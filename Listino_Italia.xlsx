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UNI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PST/" TargetMode="External" Id="rId13" /><Relationship Type="http://schemas.openxmlformats.org/officeDocument/2006/relationships/hyperlink" Target="https://www.tradingview.com/symbols/MIL-RACE/" TargetMode="External" Id="rId14" /><Relationship Type="http://schemas.openxmlformats.org/officeDocument/2006/relationships/hyperlink" Target="https://www.tradingview.com/symbols/MIL-FBK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ACE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TRN/" TargetMode="External" Id="rId31" /><Relationship Type="http://schemas.openxmlformats.org/officeDocument/2006/relationships/hyperlink" Target="https://www.tradingview.com/symbols/MIL-PRO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MFEB/" TargetMode="External" Id="rId35" /><Relationship Type="http://schemas.openxmlformats.org/officeDocument/2006/relationships/hyperlink" Target="https://www.tradingview.com/symbols/MIL-TEN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SR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BDB/" TargetMode="External" Id="rId40" /><Relationship Type="http://schemas.openxmlformats.org/officeDocument/2006/relationships/hyperlink" Target="https://www.tradingview.com/symbols/MIL-DAN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DIA/" TargetMode="External" Id="rId45" /><Relationship Type="http://schemas.openxmlformats.org/officeDocument/2006/relationships/hyperlink" Target="https://www.tradingview.com/symbols/MIL-ENEL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INW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BK/" TargetMode="External" Id="rId3" /><Relationship Type="http://schemas.openxmlformats.org/officeDocument/2006/relationships/hyperlink" Target="https://www.tradingview.com/symbols/XETR-HNR1/" TargetMode="External" Id="rId4" /><Relationship Type="http://schemas.openxmlformats.org/officeDocument/2006/relationships/hyperlink" Target="https://www.tradingview.com/symbols/XETR-HEI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DTE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CBK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RW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SAP/" TargetMode="External" Id="rId19" /><Relationship Type="http://schemas.openxmlformats.org/officeDocument/2006/relationships/hyperlink" Target="https://www.tradingview.com/symbols/XETR-BNR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SIE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ZAL/" TargetMode="External" Id="rId29" /><Relationship Type="http://schemas.openxmlformats.org/officeDocument/2006/relationships/hyperlink" Target="https://www.tradingview.com/symbols/XETR-P911/" TargetMode="External" Id="rId30" /><Relationship Type="http://schemas.openxmlformats.org/officeDocument/2006/relationships/hyperlink" Target="https://www.tradingview.com/symbols/XETR-QIA/" TargetMode="External" Id="rId31" /><Relationship Type="http://schemas.openxmlformats.org/officeDocument/2006/relationships/hyperlink" Target="https://www.tradingview.com/symbols/XETR-DTG/" TargetMode="External" Id="rId32" /><Relationship Type="http://schemas.openxmlformats.org/officeDocument/2006/relationships/hyperlink" Target="https://www.tradingview.com/symbols/XETR-ENR/" TargetMode="External" Id="rId33" /><Relationship Type="http://schemas.openxmlformats.org/officeDocument/2006/relationships/hyperlink" Target="https://www.tradingview.com/symbols/XETR-SY1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TEP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ACA/" TargetMode="External" Id="rId5" /><Relationship Type="http://schemas.openxmlformats.org/officeDocument/2006/relationships/hyperlink" Target="https://www.tradingview.com/symbols/EURONEXT-SGO/" TargetMode="External" Id="rId6" /><Relationship Type="http://schemas.openxmlformats.org/officeDocument/2006/relationships/hyperlink" Target="https://www.tradingview.com/symbols/EURONEXT-DG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CAP/" TargetMode="External" Id="rId9" /><Relationship Type="http://schemas.openxmlformats.org/officeDocument/2006/relationships/hyperlink" Target="https://www.tradingview.com/symbols/EURONEXT-SAF/" TargetMode="External" Id="rId10" /><Relationship Type="http://schemas.openxmlformats.org/officeDocument/2006/relationships/hyperlink" Target="https://www.tradingview.com/symbols/EURONEXT-RMS/" TargetMode="External" Id="rId11" /><Relationship Type="http://schemas.openxmlformats.org/officeDocument/2006/relationships/hyperlink" Target="https://www.tradingview.com/symbols/EURONEXT-CA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MC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LR/" TargetMode="External" Id="rId16" /><Relationship Type="http://schemas.openxmlformats.org/officeDocument/2006/relationships/hyperlink" Target="https://www.tradingview.com/symbols/EURONEXT-OR/" TargetMode="External" Id="rId17" /><Relationship Type="http://schemas.openxmlformats.org/officeDocument/2006/relationships/hyperlink" Target="https://www.tradingview.com/symbols/EURONEXT-RI/" TargetMode="External" Id="rId18" /><Relationship Type="http://schemas.openxmlformats.org/officeDocument/2006/relationships/hyperlink" Target="https://www.tradingview.com/symbols/EURONEXT-RNO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SU/" TargetMode="External" Id="rId22" /><Relationship Type="http://schemas.openxmlformats.org/officeDocument/2006/relationships/hyperlink" Target="https://www.tradingview.com/symbols/EURONEXT-URW/" TargetMode="External" Id="rId23" /><Relationship Type="http://schemas.openxmlformats.org/officeDocument/2006/relationships/hyperlink" Target="https://www.tradingview.com/symbols/EURONEXT-ENGI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DSY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N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WKL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ASM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ABN/" TargetMode="External" Id="rId10" /><Relationship Type="http://schemas.openxmlformats.org/officeDocument/2006/relationships/hyperlink" Target="https://www.tradingview.com/symbols/EURONEXT-UMG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MT/" TargetMode="External" Id="rId18" /><Relationship Type="http://schemas.openxmlformats.org/officeDocument/2006/relationships/hyperlink" Target="https://www.tradingview.com/symbols/EURONEXT-PHIA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BAER/" TargetMode="External" Id="rId3" /><Relationship Type="http://schemas.openxmlformats.org/officeDocument/2006/relationships/hyperlink" Target="https://www.tradingview.com/symbols/SIX-SGSN/" TargetMode="External" Id="rId4" /><Relationship Type="http://schemas.openxmlformats.org/officeDocument/2006/relationships/hyperlink" Target="https://www.tradingview.com/symbols/SIX-KNIN/" TargetMode="External" Id="rId5" /><Relationship Type="http://schemas.openxmlformats.org/officeDocument/2006/relationships/hyperlink" Target="https://www.tradingview.com/symbols/SIX-ABBN/" TargetMode="External" Id="rId6" /><Relationship Type="http://schemas.openxmlformats.org/officeDocument/2006/relationships/hyperlink" Target="https://www.tradingview.com/symbols/SIX-LOGN/" TargetMode="External" Id="rId7" /><Relationship Type="http://schemas.openxmlformats.org/officeDocument/2006/relationships/hyperlink" Target="https://www.tradingview.com/symbols/SIX-NESN/" TargetMode="External" Id="rId8" /><Relationship Type="http://schemas.openxmlformats.org/officeDocument/2006/relationships/hyperlink" Target="https://www.tradingview.com/symbols/SIX-GEB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SCMN/" TargetMode="External" Id="rId17" /><Relationship Type="http://schemas.openxmlformats.org/officeDocument/2006/relationships/hyperlink" Target="https://www.tradingview.com/symbols/SIX-ST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EP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TGT/" TargetMode="External" Id="rId11" /><Relationship Type="http://schemas.openxmlformats.org/officeDocument/2006/relationships/hyperlink" Target="https://www.tradingview.com/symbols/AXP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MCO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V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KLAC/" TargetMode="External" Id="rId21" /><Relationship Type="http://schemas.openxmlformats.org/officeDocument/2006/relationships/hyperlink" Target="https://www.tradingview.com/symbols/AMAT/" TargetMode="External" Id="rId22" /><Relationship Type="http://schemas.openxmlformats.org/officeDocument/2006/relationships/hyperlink" Target="https://www.tradingview.com/symbols/NFLX/" TargetMode="External" Id="rId23" /><Relationship Type="http://schemas.openxmlformats.org/officeDocument/2006/relationships/hyperlink" Target="https://www.tradingview.com/symbols/LLY/" TargetMode="External" Id="rId24" /><Relationship Type="http://schemas.openxmlformats.org/officeDocument/2006/relationships/hyperlink" Target="https://www.tradingview.com/symbols/URI/" TargetMode="External" Id="rId25" /><Relationship Type="http://schemas.openxmlformats.org/officeDocument/2006/relationships/hyperlink" Target="https://www.tradingview.com/symbols/ACN/" TargetMode="External" Id="rId26" /><Relationship Type="http://schemas.openxmlformats.org/officeDocument/2006/relationships/hyperlink" Target="https://www.tradingview.com/symbols/TRV/" TargetMode="External" Id="rId27" /><Relationship Type="http://schemas.openxmlformats.org/officeDocument/2006/relationships/hyperlink" Target="https://www.tradingview.com/symbols/UPS/" TargetMode="External" Id="rId28" /><Relationship Type="http://schemas.openxmlformats.org/officeDocument/2006/relationships/hyperlink" Target="https://www.tradingview.com/symbols/UNP/" TargetMode="External" Id="rId29" /><Relationship Type="http://schemas.openxmlformats.org/officeDocument/2006/relationships/hyperlink" Target="https://www.tradingview.com/symbols/ABNB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LMT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COST/" TargetMode="External" Id="rId36" /><Relationship Type="http://schemas.openxmlformats.org/officeDocument/2006/relationships/hyperlink" Target="https://www.tradingview.com/symbols/ITW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BKNG/" TargetMode="External" Id="rId39" /><Relationship Type="http://schemas.openxmlformats.org/officeDocument/2006/relationships/hyperlink" Target="https://www.tradingview.com/symbols/BX/" TargetMode="External" Id="rId40" /><Relationship Type="http://schemas.openxmlformats.org/officeDocument/2006/relationships/hyperlink" Target="https://www.tradingview.com/symbols/TJX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CSX/" TargetMode="External" Id="rId43" /><Relationship Type="http://schemas.openxmlformats.org/officeDocument/2006/relationships/hyperlink" Target="https://www.tradingview.com/symbols/CDNS/" TargetMode="External" Id="rId44" /><Relationship Type="http://schemas.openxmlformats.org/officeDocument/2006/relationships/hyperlink" Target="https://www.tradingview.com/symbols/META/" TargetMode="External" Id="rId45" /><Relationship Type="http://schemas.openxmlformats.org/officeDocument/2006/relationships/hyperlink" Target="https://www.tradingview.com/symbols/NKE/" TargetMode="External" Id="rId46" /><Relationship Type="http://schemas.openxmlformats.org/officeDocument/2006/relationships/hyperlink" Target="https://www.tradingview.com/symbols/WM/" TargetMode="External" Id="rId47" /><Relationship Type="http://schemas.openxmlformats.org/officeDocument/2006/relationships/hyperlink" Target="https://www.tradingview.com/symbols/CSCO/" TargetMode="External" Id="rId48" /><Relationship Type="http://schemas.openxmlformats.org/officeDocument/2006/relationships/hyperlink" Target="https://www.tradingview.com/symbols/GS/" TargetMode="External" Id="rId49" /><Relationship Type="http://schemas.openxmlformats.org/officeDocument/2006/relationships/hyperlink" Target="https://www.tradingview.com/symbols/PG/" TargetMode="External" Id="rId50" /><Relationship Type="http://schemas.openxmlformats.org/officeDocument/2006/relationships/hyperlink" Target="https://www.tradingview.com/symbols/AVGO/" TargetMode="External" Id="rId51" /><Relationship Type="http://schemas.openxmlformats.org/officeDocument/2006/relationships/hyperlink" Target="https://www.tradingview.com/symbols/GE/" TargetMode="External" Id="rId52" /><Relationship Type="http://schemas.openxmlformats.org/officeDocument/2006/relationships/hyperlink" Target="https://www.tradingview.com/symbols/BAC/" TargetMode="External" Id="rId53" /><Relationship Type="http://schemas.openxmlformats.org/officeDocument/2006/relationships/hyperlink" Target="https://www.tradingview.com/symbols/SCHW/" TargetMode="External" Id="rId54" /><Relationship Type="http://schemas.openxmlformats.org/officeDocument/2006/relationships/hyperlink" Target="https://www.tradingview.com/symbols/NOC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FDX/" TargetMode="External" Id="rId57" /><Relationship Type="http://schemas.openxmlformats.org/officeDocument/2006/relationships/hyperlink" Target="https://www.tradingview.com/symbols/CI/" TargetMode="External" Id="rId58" /><Relationship Type="http://schemas.openxmlformats.org/officeDocument/2006/relationships/hyperlink" Target="https://www.tradingview.com/symbols/ABBV/" TargetMode="External" Id="rId59" /><Relationship Type="http://schemas.openxmlformats.org/officeDocument/2006/relationships/hyperlink" Target="https://www.tradingview.com/symbols/CB/" TargetMode="External" Id="rId60" /><Relationship Type="http://schemas.openxmlformats.org/officeDocument/2006/relationships/hyperlink" Target="https://www.tradingview.com/symbols/MAR/" TargetMode="External" Id="rId61" /><Relationship Type="http://schemas.openxmlformats.org/officeDocument/2006/relationships/hyperlink" Target="https://www.tradingview.com/symbols/VLO/" TargetMode="External" Id="rId62" /><Relationship Type="http://schemas.openxmlformats.org/officeDocument/2006/relationships/hyperlink" Target="https://www.tradingview.com/symbols/PSX/" TargetMode="External" Id="rId63" /><Relationship Type="http://schemas.openxmlformats.org/officeDocument/2006/relationships/hyperlink" Target="https://www.tradingview.com/symbols/AMT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MS/" TargetMode="External" Id="rId66" /><Relationship Type="http://schemas.openxmlformats.org/officeDocument/2006/relationships/hyperlink" Target="https://www.tradingview.com/symbols/BA/" TargetMode="External" Id="rId67" /><Relationship Type="http://schemas.openxmlformats.org/officeDocument/2006/relationships/hyperlink" Target="https://www.tradingview.com/symbols/WFC/" TargetMode="External" Id="rId68" /><Relationship Type="http://schemas.openxmlformats.org/officeDocument/2006/relationships/hyperlink" Target="https://www.tradingview.com/symbols/C/" TargetMode="External" Id="rId69" /><Relationship Type="http://schemas.openxmlformats.org/officeDocument/2006/relationships/hyperlink" Target="https://www.tradingview.com/symbols/COP/" TargetMode="External" Id="rId70" /><Relationship Type="http://schemas.openxmlformats.org/officeDocument/2006/relationships/hyperlink" Target="https://www.tradingview.com/symbols/QCOM/" TargetMode="External" Id="rId71" /><Relationship Type="http://schemas.openxmlformats.org/officeDocument/2006/relationships/hyperlink" Target="https://www.tradingview.com/symbols/ETN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NEE/" TargetMode="External" Id="rId74" /><Relationship Type="http://schemas.openxmlformats.org/officeDocument/2006/relationships/hyperlink" Target="https://www.tradingview.com/symbols/DE/" TargetMode="External" Id="rId75" /><Relationship Type="http://schemas.openxmlformats.org/officeDocument/2006/relationships/hyperlink" Target="https://www.tradingview.com/symbols/INTU/" TargetMode="External" Id="rId76" /><Relationship Type="http://schemas.openxmlformats.org/officeDocument/2006/relationships/hyperlink" Target="https://www.tradingview.com/symbols/WMB/" TargetMode="External" Id="rId77" /><Relationship Type="http://schemas.openxmlformats.org/officeDocument/2006/relationships/hyperlink" Target="https://www.tradingview.com/symbols/REGN/" TargetMode="External" Id="rId78" /><Relationship Type="http://schemas.openxmlformats.org/officeDocument/2006/relationships/hyperlink" Target="https://www.tradingview.com/symbols/NSC/" TargetMode="External" Id="rId79" /><Relationship Type="http://schemas.openxmlformats.org/officeDocument/2006/relationships/hyperlink" Target="https://www.tradingview.com/symbols/ECL/" TargetMode="External" Id="rId80" /><Relationship Type="http://schemas.openxmlformats.org/officeDocument/2006/relationships/hyperlink" Target="https://www.tradingview.com/symbols/CMI/" TargetMode="External" Id="rId81" /><Relationship Type="http://schemas.openxmlformats.org/officeDocument/2006/relationships/hyperlink" Target="https://www.tradingview.com/symbols/JNJ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LB/" TargetMode="External" Id="rId89" /><Relationship Type="http://schemas.openxmlformats.org/officeDocument/2006/relationships/hyperlink" Target="https://www.tradingview.com/symbols/BLK/" TargetMode="External" Id="rId90" /><Relationship Type="http://schemas.openxmlformats.org/officeDocument/2006/relationships/hyperlink" Target="https://www.tradingview.com/symbols/NUE/" TargetMode="External" Id="rId91" /><Relationship Type="http://schemas.openxmlformats.org/officeDocument/2006/relationships/hyperlink" Target="https://www.tradingview.com/symbols/IBM/" TargetMode="External" Id="rId92" /><Relationship Type="http://schemas.openxmlformats.org/officeDocument/2006/relationships/hyperlink" Target="https://www.tradingview.com/symbols/TMO/" TargetMode="External" Id="rId93" /><Relationship Type="http://schemas.openxmlformats.org/officeDocument/2006/relationships/hyperlink" Target="https://www.tradingview.com/symbols/LIN/" TargetMode="External" Id="rId94" /><Relationship Type="http://schemas.openxmlformats.org/officeDocument/2006/relationships/hyperlink" Target="https://www.tradingview.com/symbols/ORCL/" TargetMode="External" Id="rId95" /><Relationship Type="http://schemas.openxmlformats.org/officeDocument/2006/relationships/hyperlink" Target="https://www.tradingview.com/symbols/NOW/" TargetMode="External" Id="rId96" /><Relationship Type="http://schemas.openxmlformats.org/officeDocument/2006/relationships/hyperlink" Target="https://www.tradingview.com/symbols/UNH/" TargetMode="External" Id="rId97" /><Relationship Type="http://schemas.openxmlformats.org/officeDocument/2006/relationships/hyperlink" Target="https://www.tradingview.com/symbols/MU/" TargetMode="External" Id="rId98" /><Relationship Type="http://schemas.openxmlformats.org/officeDocument/2006/relationships/hyperlink" Target="https://www.tradingview.com/symbols/HD/" TargetMode="External" Id="rId99" /><Relationship Type="http://schemas.openxmlformats.org/officeDocument/2006/relationships/hyperlink" Target="https://www.tradingview.com/symbols/CVX/" TargetMode="External" Id="rId100" /><Relationship Type="http://schemas.openxmlformats.org/officeDocument/2006/relationships/hyperlink" Target="https://www.tradingview.com/symbols/ABT/" TargetMode="External" Id="rId101" /><Relationship Type="http://schemas.openxmlformats.org/officeDocument/2006/relationships/hyperlink" Target="https://www.tradingview.com/symbols/MRK/" TargetMode="External" Id="rId102" /><Relationship Type="http://schemas.openxmlformats.org/officeDocument/2006/relationships/hyperlink" Target="https://www.tradingview.com/symbols/BRK.B/" TargetMode="External" Id="rId103" /><Relationship Type="http://schemas.openxmlformats.org/officeDocument/2006/relationships/hyperlink" Target="https://www.tradingview.com/symbols/SYK/" TargetMode="External" Id="rId104" /><Relationship Type="http://schemas.openxmlformats.org/officeDocument/2006/relationships/hyperlink" Target="https://www.tradingview.com/symbols/MDT/" TargetMode="External" Id="rId105" /><Relationship Type="http://schemas.openxmlformats.org/officeDocument/2006/relationships/hyperlink" Target="https://www.tradingview.com/symbols/MET/" TargetMode="External" Id="rId106" /><Relationship Type="http://schemas.openxmlformats.org/officeDocument/2006/relationships/hyperlink" Target="https://www.tradingview.com/symbols/OXY/" TargetMode="External" Id="rId107" /><Relationship Type="http://schemas.openxmlformats.org/officeDocument/2006/relationships/hyperlink" Target="https://www.tradingview.com/symbols/KMI/" TargetMode="External" Id="rId108" /><Relationship Type="http://schemas.openxmlformats.org/officeDocument/2006/relationships/hyperlink" Target="https://www.tradingview.com/symbols/CL/" TargetMode="External" Id="rId109" /><Relationship Type="http://schemas.openxmlformats.org/officeDocument/2006/relationships/hyperlink" Target="https://www.tradingview.com/symbols/PANW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AEP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EQIX/" TargetMode="External" Id="rId114" /><Relationship Type="http://schemas.openxmlformats.org/officeDocument/2006/relationships/hyperlink" Target="https://www.tradingview.com/symbols/SNPS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RTX/" TargetMode="External" Id="rId117" /><Relationship Type="http://schemas.openxmlformats.org/officeDocument/2006/relationships/hyperlink" Target="https://www.tradingview.com/symbols/MDLZ/" TargetMode="External" Id="rId118" /><Relationship Type="http://schemas.openxmlformats.org/officeDocument/2006/relationships/hyperlink" Target="https://www.tradingview.com/symbols/VRTX/" TargetMode="External" Id="rId119" /><Relationship Type="http://schemas.openxmlformats.org/officeDocument/2006/relationships/hyperlink" Target="https://www.tradingview.com/symbols/BS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AMZN/" TargetMode="External" Id="rId123" /><Relationship Type="http://schemas.openxmlformats.org/officeDocument/2006/relationships/hyperlink" Target="https://www.tradingview.com/symbols/D/" TargetMode="External" Id="rId124" /><Relationship Type="http://schemas.openxmlformats.org/officeDocument/2006/relationships/hyperlink" Target="https://www.tradingview.com/symbols/BMY/" TargetMode="External" Id="rId125" /><Relationship Type="http://schemas.openxmlformats.org/officeDocument/2006/relationships/hyperlink" Target="https://www.tradingview.com/symbols/PLD/" TargetMode="External" Id="rId126" /><Relationship Type="http://schemas.openxmlformats.org/officeDocument/2006/relationships/hyperlink" Target="https://www.tradingview.com/symbols/UBER/" TargetMode="External" Id="rId127" /><Relationship Type="http://schemas.openxmlformats.org/officeDocument/2006/relationships/hyperlink" Target="https://www.tradingview.com/symbols/TSLA/" TargetMode="External" Id="rId128" /><Relationship Type="http://schemas.openxmlformats.org/officeDocument/2006/relationships/hyperlink" Target="https://www.tradingview.com/symbols/EMR/" TargetMode="External" Id="rId129" /><Relationship Type="http://schemas.openxmlformats.org/officeDocument/2006/relationships/hyperlink" Target="https://www.tradingview.com/symbols/FCX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GM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ELV/" TargetMode="External" Id="rId138" /><Relationship Type="http://schemas.openxmlformats.org/officeDocument/2006/relationships/hyperlink" Target="https://www.tradingview.com/symbols/SRE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CRM/" TargetMode="External" Id="rId141" /><Relationship Type="http://schemas.openxmlformats.org/officeDocument/2006/relationships/hyperlink" Target="https://www.tradingview.com/symbols/KKR/" TargetMode="External" Id="rId142" /><Relationship Type="http://schemas.openxmlformats.org/officeDocument/2006/relationships/hyperlink" Target="https://www.tradingview.com/symbols/CVS/" TargetMode="External" Id="rId143" /><Relationship Type="http://schemas.openxmlformats.org/officeDocument/2006/relationships/hyperlink" Target="https://www.tradingview.com/symbols/VST/" TargetMode="External" Id="rId144" /><Relationship Type="http://schemas.openxmlformats.org/officeDocument/2006/relationships/hyperlink" Target="https://www.tradingview.com/symbols/AMD/" TargetMode="External" Id="rId145" /><Relationship Type="http://schemas.openxmlformats.org/officeDocument/2006/relationships/hyperlink" Target="https://www.tradingview.com/symbols/CRWD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35.02</v>
      </c>
      <c r="G2" s="15" t="inlineStr">
        <is>
          <t>EUR</t>
        </is>
      </c>
      <c r="H2" s="14" t="n">
        <v>35.02</v>
      </c>
      <c r="I2" s="16" t="n">
        <v>4863.2</v>
      </c>
      <c r="J2" s="16" t="n">
        <v>4863.2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2.5152626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2026-10-21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59</v>
      </c>
      <c r="G3" s="15" t="inlineStr">
        <is>
          <t>EUR</t>
        </is>
      </c>
      <c r="H3" s="14" t="n">
        <v>59</v>
      </c>
      <c r="I3" s="16" t="n">
        <v>6730.9</v>
      </c>
      <c r="J3" s="16" t="n">
        <v>6730.9</v>
      </c>
      <c r="K3" s="14" t="n">
        <v>4.66</v>
      </c>
      <c r="L3" s="14" t="n">
        <v>3.82408</v>
      </c>
      <c r="M3" s="17">
        <f>IF(OR(F3="",K3="",K3&lt;=0),"",F3/K3)</f>
        <v/>
      </c>
      <c r="N3" s="18" t="n">
        <v>4.7885723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2026-10-21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22.99</v>
      </c>
      <c r="G4" s="15" t="inlineStr">
        <is>
          <t>EUR</t>
        </is>
      </c>
      <c r="H4" s="14" t="n">
        <v>22.99</v>
      </c>
      <c r="I4" s="16" t="n">
        <v>16996.9</v>
      </c>
      <c r="J4" s="16" t="n">
        <v>16996.9</v>
      </c>
      <c r="K4" s="14" t="n">
        <v>1.77</v>
      </c>
      <c r="L4" s="14" t="n">
        <v>1.58172</v>
      </c>
      <c r="M4" s="17">
        <f>IF(OR(F4="",K4="",K4&lt;=0),"",F4/K4)</f>
        <v/>
      </c>
      <c r="N4" s="18" t="n">
        <v>3.7194626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2026-10-21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2.05</v>
      </c>
      <c r="G5" s="15" t="inlineStr">
        <is>
          <t>EUR</t>
        </is>
      </c>
      <c r="H5" s="14" t="n">
        <v>2.05</v>
      </c>
      <c r="I5" s="16" t="n">
        <v>534.7</v>
      </c>
      <c r="J5" s="16" t="n">
        <v>534.7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1.8369174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2026-10-21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8.82</v>
      </c>
      <c r="G6" s="15" t="inlineStr">
        <is>
          <t>EUR</t>
        </is>
      </c>
      <c r="H6" s="14" t="n">
        <v>8.82</v>
      </c>
      <c r="I6" s="16" t="n">
        <v>8980.299999999999</v>
      </c>
      <c r="J6" s="16" t="n">
        <v>8980.299999999999</v>
      </c>
      <c r="K6" s="14" t="n">
        <v>0.68</v>
      </c>
      <c r="L6" s="14" t="n">
        <v>0.79899</v>
      </c>
      <c r="M6" s="17">
        <f>IF(OR(F6="",K6="",K6&lt;=0),"",F6/K6)</f>
        <v/>
      </c>
      <c r="N6" s="18" t="n">
        <v>2.3779993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2026-10-21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12.36</v>
      </c>
      <c r="G7" s="15" t="inlineStr">
        <is>
          <t>EUR</t>
        </is>
      </c>
      <c r="H7" s="14" t="n">
        <v>12.36</v>
      </c>
      <c r="I7" s="16" t="n">
        <v>4037.7</v>
      </c>
      <c r="J7" s="16" t="n">
        <v>4037.7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6.967305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2026-10-21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2.416</v>
      </c>
      <c r="G8" s="15" t="inlineStr">
        <is>
          <t>EUR</t>
        </is>
      </c>
      <c r="H8" s="14" t="n">
        <v>2.416</v>
      </c>
      <c r="I8" s="16" t="n">
        <v>7561.6</v>
      </c>
      <c r="J8" s="16" t="n">
        <v>7561.6</v>
      </c>
      <c r="K8" s="14" t="n">
        <v>0.22</v>
      </c>
      <c r="L8" s="14" t="n">
        <v>0.21</v>
      </c>
      <c r="M8" s="17">
        <f>IF(OR(F8="",K8="",K8&lt;=0),"",F8/K8)</f>
        <v/>
      </c>
      <c r="N8" s="18" t="n">
        <v>1.4536703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2026-10-21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13.232</v>
      </c>
      <c r="G9" s="15" t="inlineStr">
        <is>
          <t>EUR</t>
        </is>
      </c>
      <c r="H9" s="14" t="n">
        <v>13.232</v>
      </c>
      <c r="I9" s="16" t="n">
        <v>27629.4</v>
      </c>
      <c r="J9" s="16" t="n">
        <v>27629.4</v>
      </c>
      <c r="K9" s="14" t="n">
        <v>1.12</v>
      </c>
      <c r="L9" s="14" t="n">
        <v>1.30349</v>
      </c>
      <c r="M9" s="17">
        <f>IF(OR(F9="",K9="",K9&lt;=0),"",F9/K9)</f>
        <v/>
      </c>
      <c r="N9" s="18" t="n">
        <v>1.5321909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2026-10-21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Unipol</t>
        </is>
      </c>
      <c r="C10" s="12" t="inlineStr">
        <is>
          <t>UNI.MI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25.55</v>
      </c>
      <c r="G10" s="15" t="inlineStr">
        <is>
          <t>EUR</t>
        </is>
      </c>
      <c r="H10" s="14" t="n">
        <v>25.55</v>
      </c>
      <c r="I10" s="16" t="n">
        <v>18845</v>
      </c>
      <c r="J10" s="16" t="n">
        <v>18845</v>
      </c>
      <c r="K10" s="14" t="n">
        <v>2.32</v>
      </c>
      <c r="L10" s="14" t="n">
        <v>2.24206</v>
      </c>
      <c r="M10" s="17">
        <f>IF(OR(F10="",K10="",K10&lt;=0),"",F10/K10)</f>
        <v/>
      </c>
      <c r="N10" s="18" t="n">
        <v>1.8244787</v>
      </c>
      <c r="O10" s="19">
        <f>IF(OR(N10="",M10="",M10&lt;=0),"",N10/M10)</f>
        <v/>
      </c>
      <c r="P10" s="20" t="n">
        <v>0.16938</v>
      </c>
      <c r="Q10" s="20" t="n">
        <v>0.1181376184447107</v>
      </c>
      <c r="R10" s="20" t="n">
        <v>0.02618848036787977</v>
      </c>
      <c r="S10" s="21" t="n">
        <v>4</v>
      </c>
      <c r="T10" s="20" t="n"/>
      <c r="U10" s="20" t="n">
        <v>0.1426234241170244</v>
      </c>
      <c r="V10" s="20" t="n">
        <v>0.1152236884454458</v>
      </c>
      <c r="W10" s="20" t="n">
        <v>0.1381950546002259</v>
      </c>
      <c r="X10" s="20" t="n">
        <v>0.0765083066161469</v>
      </c>
      <c r="Y10" s="14" t="n">
        <v>1.09</v>
      </c>
      <c r="Z10" s="19">
        <f>IF(OR(Y10="",F10="",F10=0),"",Y10/F10)</f>
        <v/>
      </c>
      <c r="AA10" s="22" t="n">
        <v>40.819</v>
      </c>
      <c r="AB10" s="20" t="n">
        <v>0.232</v>
      </c>
      <c r="AC10" s="20" t="n">
        <v>0.1254284255815649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2026-10-21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20.1</v>
      </c>
      <c r="G11" s="15" t="inlineStr">
        <is>
          <t>EUR</t>
        </is>
      </c>
      <c r="H11" s="14" t="n">
        <v>20.1</v>
      </c>
      <c r="I11" s="16" t="n">
        <v>6835.7</v>
      </c>
      <c r="J11" s="16" t="n">
        <v>6835.7</v>
      </c>
      <c r="K11" s="14" t="n">
        <v>1.66</v>
      </c>
      <c r="L11" s="14" t="n">
        <v>1.70813</v>
      </c>
      <c r="M11" s="17">
        <f>IF(OR(F11="",K11="",K11&lt;=0),"",F11/K11)</f>
        <v/>
      </c>
      <c r="N11" s="18" t="n">
        <v>1.4472927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2026-10-21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3.544</v>
      </c>
      <c r="G12" s="15" t="inlineStr">
        <is>
          <t>EUR</t>
        </is>
      </c>
      <c r="H12" s="14" t="n">
        <v>3.544</v>
      </c>
      <c r="I12" s="16" t="n">
        <v>5239.4</v>
      </c>
      <c r="J12" s="16" t="n">
        <v>5239.4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1.2831281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2026-10-21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0.8149999999999999</v>
      </c>
      <c r="G13" s="15" t="inlineStr">
        <is>
          <t>EUR</t>
        </is>
      </c>
      <c r="H13" s="14" t="n">
        <v>0.8149999999999999</v>
      </c>
      <c r="I13" s="16" t="n">
        <v>421.7</v>
      </c>
      <c r="J13" s="16" t="n">
        <v>421.7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0.9167604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2026-10-21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Poste Italiane</t>
        </is>
      </c>
      <c r="C14" s="12" t="inlineStr">
        <is>
          <t>PST.MI</t>
        </is>
      </c>
      <c r="D14" s="11" t="inlineStr">
        <is>
          <t>Servizi finanziari</t>
        </is>
      </c>
      <c r="E14" s="13" t="inlineStr">
        <is>
          <t>Finanziario</t>
        </is>
      </c>
      <c r="F14" s="14" t="n">
        <v>24.64</v>
      </c>
      <c r="G14" s="15" t="inlineStr">
        <is>
          <t>EUR</t>
        </is>
      </c>
      <c r="H14" s="14" t="n">
        <v>24.64</v>
      </c>
      <c r="I14" s="16" t="n">
        <v>39358.9</v>
      </c>
      <c r="J14" s="16" t="n">
        <v>39358.9</v>
      </c>
      <c r="K14" s="14" t="n">
        <v>1.85</v>
      </c>
      <c r="L14" s="14" t="n">
        <v>1.98996</v>
      </c>
      <c r="M14" s="17">
        <f>IF(OR(F14="",K14="",K14&lt;=0),"",F14/K14)</f>
        <v/>
      </c>
      <c r="N14" s="18" t="n">
        <v>2.4846222</v>
      </c>
      <c r="O14" s="19">
        <f>IF(OR(N14="",M14="",M14&lt;=0),"",N14/M14)</f>
        <v/>
      </c>
      <c r="P14" s="20" t="n">
        <v>0.18174</v>
      </c>
      <c r="Q14" s="20" t="n">
        <v>0.1799413465174911</v>
      </c>
      <c r="R14" s="20" t="n">
        <v>0.01549228779776163</v>
      </c>
      <c r="S14" s="21" t="n">
        <v>4</v>
      </c>
      <c r="T14" s="20" t="n"/>
      <c r="U14" s="20" t="n">
        <v>0.1599826577064817</v>
      </c>
      <c r="V14" s="20" t="n">
        <v>0.1721488388155055</v>
      </c>
      <c r="W14" s="20" t="n">
        <v>0.1862042239875993</v>
      </c>
      <c r="X14" s="20" t="n">
        <v>0.2014296655603778</v>
      </c>
      <c r="Y14" s="14" t="n">
        <v>1.25</v>
      </c>
      <c r="Z14" s="19">
        <f>IF(OR(Y14="",F14="",F14=0),"",Y14/F14)</f>
        <v/>
      </c>
      <c r="AA14" s="22" t="n">
        <v>631.496</v>
      </c>
      <c r="AB14" s="20" t="n">
        <v>0.034</v>
      </c>
      <c r="AC14" s="20" t="n">
        <v>0.1031947370684095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2026-10-21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Ferrari</t>
        </is>
      </c>
      <c r="C15" s="12" t="inlineStr">
        <is>
          <t>RACE.MI</t>
        </is>
      </c>
      <c r="D15" s="11" t="inlineStr">
        <is>
          <t>Lusso / Auto</t>
        </is>
      </c>
      <c r="E15" s="13" t="inlineStr">
        <is>
          <t>Consumi</t>
        </is>
      </c>
      <c r="F15" s="14" t="n">
        <v>353.5</v>
      </c>
      <c r="G15" s="15" t="inlineStr">
        <is>
          <t>EUR</t>
        </is>
      </c>
      <c r="H15" s="14" t="n">
        <v>353.5</v>
      </c>
      <c r="I15" s="16" t="n">
        <v>62003.9</v>
      </c>
      <c r="J15" s="16" t="n">
        <v>62003.9</v>
      </c>
      <c r="K15" s="14" t="n">
        <v>9.23</v>
      </c>
      <c r="L15" s="14" t="n">
        <v>11.02004</v>
      </c>
      <c r="M15" s="17">
        <f>IF(OR(F15="",K15="",K15&lt;=0),"",F15/K15)</f>
        <v/>
      </c>
      <c r="N15" s="18" t="n">
        <v>16.99846</v>
      </c>
      <c r="O15" s="19">
        <f>IF(OR(N15="",M15="",M15&lt;=0),"",N15/M15)</f>
        <v/>
      </c>
      <c r="P15" s="20" t="n">
        <v>0.45439997</v>
      </c>
      <c r="Q15" s="20" t="n">
        <v>0.4020305960143391</v>
      </c>
      <c r="R15" s="20" t="n">
        <v>0.02601046878287762</v>
      </c>
      <c r="S15" s="21" t="n">
        <v>4</v>
      </c>
      <c r="T15" s="20" t="n"/>
      <c r="U15" s="20" t="n">
        <v>0.4087439814706981</v>
      </c>
      <c r="V15" s="20" t="n">
        <v>0.4306452334019818</v>
      </c>
      <c r="W15" s="20" t="n">
        <v>0.4090473091468881</v>
      </c>
      <c r="X15" s="20" t="n">
        <v>0.3596858600377884</v>
      </c>
      <c r="Y15" s="14" t="n">
        <v>3.62</v>
      </c>
      <c r="Z15" s="19">
        <f>IF(OR(Y15="",F15="",F15=0),"",Y15/F15)</f>
        <v/>
      </c>
      <c r="AA15" s="22" t="n">
        <v>86.386</v>
      </c>
      <c r="AB15" s="20" t="n">
        <v>0.08400000000000001</v>
      </c>
      <c r="AC15" s="20" t="n">
        <v>0.2289629285473584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2026-10-21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FinecoBank</t>
        </is>
      </c>
      <c r="C16" s="12" t="inlineStr">
        <is>
          <t>FBK.MI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21.4</v>
      </c>
      <c r="G16" s="15" t="inlineStr">
        <is>
          <t>EUR</t>
        </is>
      </c>
      <c r="H16" s="14" t="n">
        <v>21.4</v>
      </c>
      <c r="I16" s="16" t="n">
        <v>13092.9</v>
      </c>
      <c r="J16" s="16" t="n">
        <v>13092.9</v>
      </c>
      <c r="K16" s="14" t="n">
        <v>1.1</v>
      </c>
      <c r="L16" s="14" t="n">
        <v>1.29042</v>
      </c>
      <c r="M16" s="17">
        <f>IF(OR(F16="",K16="",K16&lt;=0),"",F16/K16)</f>
        <v/>
      </c>
      <c r="N16" s="18" t="n">
        <v>5.4633646</v>
      </c>
      <c r="O16" s="19">
        <f>IF(OR(N16="",M16="",M16&lt;=0),"",N16/M16)</f>
        <v/>
      </c>
      <c r="P16" s="20" t="n">
        <v>0.28855</v>
      </c>
      <c r="Q16" s="20" t="n">
        <v>0.2570624236556285</v>
      </c>
      <c r="R16" s="20" t="n">
        <v>0.02097502353736271</v>
      </c>
      <c r="S16" s="21" t="n">
        <v>4</v>
      </c>
      <c r="T16" s="20" t="n"/>
      <c r="U16" s="20" t="n">
        <v>0.2534112396233302</v>
      </c>
      <c r="V16" s="20" t="n">
        <v>0.2730011819301958</v>
      </c>
      <c r="W16" s="20" t="n">
        <v>0.2775357273693247</v>
      </c>
      <c r="X16" s="20" t="n">
        <v>0.2243015456996635</v>
      </c>
      <c r="Y16" s="14" t="n">
        <v>0.79</v>
      </c>
      <c r="Z16" s="19">
        <f>IF(OR(Y16="",F16="",F16=0),"",Y16/F16)</f>
        <v/>
      </c>
      <c r="AA16" s="22" t="n"/>
      <c r="AB16" s="20" t="n">
        <v>0.18</v>
      </c>
      <c r="AC16" s="20" t="n">
        <v>0.4311898534625156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2026-10-21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39.77</v>
      </c>
      <c r="G17" s="15" t="inlineStr">
        <is>
          <t>EUR</t>
        </is>
      </c>
      <c r="H17" s="14" t="n">
        <v>39.77</v>
      </c>
      <c r="I17" s="16" t="n">
        <v>7003.1</v>
      </c>
      <c r="J17" s="16" t="n">
        <v>7003.1</v>
      </c>
      <c r="K17" s="14" t="n">
        <v>4.76</v>
      </c>
      <c r="L17" s="14" t="n">
        <v>4.83569</v>
      </c>
      <c r="M17" s="17">
        <f>IF(OR(F17="",K17="",K17&lt;=0),"",F17/K17)</f>
        <v/>
      </c>
      <c r="N17" s="18" t="n">
        <v>0.9641212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2026-10-21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Acea</t>
        </is>
      </c>
      <c r="C18" s="12" t="inlineStr">
        <is>
          <t>ACE.MI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20.4</v>
      </c>
      <c r="G18" s="15" t="inlineStr">
        <is>
          <t>EUR</t>
        </is>
      </c>
      <c r="H18" s="14" t="n">
        <v>20.4</v>
      </c>
      <c r="I18" s="16" t="n">
        <v>4336</v>
      </c>
      <c r="J18" s="16" t="n">
        <v>4336</v>
      </c>
      <c r="K18" s="14" t="n">
        <v>1.7</v>
      </c>
      <c r="L18" s="14" t="n">
        <v>1.58975</v>
      </c>
      <c r="M18" s="17">
        <f>IF(OR(F18="",K18="",K18&lt;=0),"",F18/K18)</f>
        <v/>
      </c>
      <c r="N18" s="18" t="n">
        <v>1.4550642</v>
      </c>
      <c r="O18" s="19">
        <f>IF(OR(N18="",M18="",M18&lt;=0),"",N18/M18)</f>
        <v/>
      </c>
      <c r="P18" s="20" t="n">
        <v>0.124309994</v>
      </c>
      <c r="Q18" s="20" t="n">
        <v>0.1377274020186562</v>
      </c>
      <c r="R18" s="20" t="n">
        <v>0.02063562538189108</v>
      </c>
      <c r="S18" s="21" t="n">
        <v>4</v>
      </c>
      <c r="T18" s="20" t="n"/>
      <c r="U18" s="20" t="n">
        <v>0.172816869044327</v>
      </c>
      <c r="V18" s="20" t="n">
        <v>0.1323776847677043</v>
      </c>
      <c r="W18" s="20" t="n">
        <v>0.1236319980683815</v>
      </c>
      <c r="X18" s="20" t="n">
        <v>0.1220830561942121</v>
      </c>
      <c r="Y18" s="14" t="n">
        <v>0.95</v>
      </c>
      <c r="Z18" s="19">
        <f>IF(OR(Y18="",F18="",F18=0),"",Y18/F18)</f>
        <v/>
      </c>
      <c r="AA18" s="22" t="n">
        <v>169.549</v>
      </c>
      <c r="AB18" s="20" t="n">
        <v>0.063</v>
      </c>
      <c r="AC18" s="20" t="n">
        <v>0.1313480180950612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2026-10-21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75.20999999999999</v>
      </c>
      <c r="G19" s="15" t="inlineStr">
        <is>
          <t>EUR</t>
        </is>
      </c>
      <c r="H19" s="14" t="n">
        <v>75.20999999999999</v>
      </c>
      <c r="I19" s="16" t="n">
        <v>113413.1</v>
      </c>
      <c r="J19" s="16" t="n">
        <v>113413.1</v>
      </c>
      <c r="K19" s="14" t="n">
        <v>6.98</v>
      </c>
      <c r="L19" s="14" t="n">
        <v>8.40476</v>
      </c>
      <c r="M19" s="17">
        <f>IF(OR(F19="",K19="",K19&lt;=0),"",F19/K19)</f>
        <v/>
      </c>
      <c r="N19" s="18" t="n">
        <v>1.6001787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>
        <v>3.15</v>
      </c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2026-10-21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6.07</v>
      </c>
      <c r="G20" s="15" t="inlineStr">
        <is>
          <t>EUR</t>
        </is>
      </c>
      <c r="H20" s="14" t="n">
        <v>6.07</v>
      </c>
      <c r="I20" s="16" t="n">
        <v>104963</v>
      </c>
      <c r="J20" s="16" t="n">
        <v>104963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1.5524297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>
        <v>0.38</v>
      </c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2026-10-21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2.112</v>
      </c>
      <c r="G21" s="15" t="inlineStr">
        <is>
          <t>EUR</t>
        </is>
      </c>
      <c r="H21" s="14" t="n">
        <v>2.112</v>
      </c>
      <c r="I21" s="16" t="n">
        <v>1480.2</v>
      </c>
      <c r="J21" s="16" t="n">
        <v>1480.2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0.42418155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2026-10-21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2.448</v>
      </c>
      <c r="G22" s="15" t="inlineStr">
        <is>
          <t>EUR</t>
        </is>
      </c>
      <c r="H22" s="14" t="n">
        <v>2.448</v>
      </c>
      <c r="I22" s="16" t="n">
        <v>3141</v>
      </c>
      <c r="J22" s="16" t="n">
        <v>3141</v>
      </c>
      <c r="K22" s="14" t="n">
        <v>0.23</v>
      </c>
      <c r="L22" s="14" t="n">
        <v>0.24547</v>
      </c>
      <c r="M22" s="17">
        <f>IF(OR(F22="",K22="",K22&lt;=0),"",F22/K22)</f>
        <v/>
      </c>
      <c r="N22" s="18" t="n">
        <v>1.0652741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2026-10-21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10.13</v>
      </c>
      <c r="G23" s="15" t="inlineStr">
        <is>
          <t>EUR</t>
        </is>
      </c>
      <c r="H23" s="14" t="n">
        <v>10.13</v>
      </c>
      <c r="I23" s="16" t="n">
        <v>618.7</v>
      </c>
      <c r="J23" s="16" t="n">
        <v>618.7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0.30183843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2026-10-21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11.05</v>
      </c>
      <c r="G24" s="15" t="inlineStr">
        <is>
          <t>EUR</t>
        </is>
      </c>
      <c r="H24" s="14" t="n">
        <v>11.05</v>
      </c>
      <c r="I24" s="16" t="n">
        <v>33574.5</v>
      </c>
      <c r="J24" s="16" t="n">
        <v>33574.5</v>
      </c>
      <c r="K24" s="14" t="n">
        <v>1.19</v>
      </c>
      <c r="L24" s="14" t="n">
        <v>0.8913</v>
      </c>
      <c r="M24" s="17">
        <f>IF(OR(F24="",K24="",K24&lt;=0),"",F24/K24)</f>
        <v/>
      </c>
      <c r="N24" s="18" t="n">
        <v>1.2715766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2026-10-21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85.18000000000001</v>
      </c>
      <c r="G25" s="15" t="inlineStr">
        <is>
          <t>EUR</t>
        </is>
      </c>
      <c r="H25" s="14" t="n">
        <v>85.18000000000001</v>
      </c>
      <c r="I25" s="16" t="n">
        <v>5792.2</v>
      </c>
      <c r="J25" s="16" t="n">
        <v>5792.2</v>
      </c>
      <c r="K25" s="14" t="n">
        <v>2.02</v>
      </c>
      <c r="L25" s="14" t="n">
        <v>2.62383</v>
      </c>
      <c r="M25" s="17">
        <f>IF(OR(F25="",K25="",K25&lt;=0),"",F25/K25)</f>
        <v/>
      </c>
      <c r="N25" s="18" t="n">
        <v>10.570862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2026-10-21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13.51</v>
      </c>
      <c r="G26" s="15" t="inlineStr">
        <is>
          <t>EUR</t>
        </is>
      </c>
      <c r="H26" s="14" t="n">
        <v>13.51</v>
      </c>
      <c r="I26" s="16" t="n">
        <v>20338</v>
      </c>
      <c r="J26" s="16" t="n">
        <v>20338</v>
      </c>
      <c r="K26" s="14" t="n">
        <v>1.27</v>
      </c>
      <c r="L26" s="14" t="n">
        <v>1.41984</v>
      </c>
      <c r="M26" s="17">
        <f>IF(OR(F26="",K26="",K26&lt;=0),"",F26/K26)</f>
        <v/>
      </c>
      <c r="N26" s="18" t="n">
        <v>1.3021687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2026-10-21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52.95</v>
      </c>
      <c r="G27" s="15" t="inlineStr">
        <is>
          <t>EUR</t>
        </is>
      </c>
      <c r="H27" s="14" t="n">
        <v>52.95</v>
      </c>
      <c r="I27" s="16" t="n">
        <v>11013.6</v>
      </c>
      <c r="J27" s="16" t="n">
        <v>11013.6</v>
      </c>
      <c r="K27" s="14" t="n">
        <v>2.38</v>
      </c>
      <c r="L27" s="14" t="n">
        <v>3.789</v>
      </c>
      <c r="M27" s="17">
        <f>IF(OR(F27="",K27="",K27&lt;=0),"",F27/K27)</f>
        <v/>
      </c>
      <c r="N27" s="18" t="n">
        <v>5.089878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2026-10-21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10.35</v>
      </c>
      <c r="G28" s="15" t="inlineStr">
        <is>
          <t>EUR</t>
        </is>
      </c>
      <c r="H28" s="14" t="n">
        <v>10.35</v>
      </c>
      <c r="I28" s="16" t="n">
        <v>3292.5</v>
      </c>
      <c r="J28" s="16" t="n">
        <v>3292.5</v>
      </c>
      <c r="K28" s="14" t="n">
        <v>0.72</v>
      </c>
      <c r="L28" s="14" t="n">
        <v>0.8532</v>
      </c>
      <c r="M28" s="17">
        <f>IF(OR(F28="",K28="",K28&lt;=0),"",F28/K28)</f>
        <v/>
      </c>
      <c r="N28" s="18" t="n">
        <v>1.4052954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0.061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2026-10-21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42.94</v>
      </c>
      <c r="G29" s="15" t="inlineStr">
        <is>
          <t>EUR</t>
        </is>
      </c>
      <c r="H29" s="14" t="n">
        <v>42.94</v>
      </c>
      <c r="I29" s="16" t="n">
        <v>64504.8</v>
      </c>
      <c r="J29" s="16" t="n">
        <v>64504.8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2.022514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2026-10-21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42.94</v>
      </c>
      <c r="G30" s="15" t="inlineStr">
        <is>
          <t>EUR</t>
        </is>
      </c>
      <c r="H30" s="14" t="n">
        <v>42.94</v>
      </c>
      <c r="I30" s="16" t="n">
        <v>11679.2</v>
      </c>
      <c r="J30" s="16" t="n">
        <v>11679.2</v>
      </c>
      <c r="K30" s="14" t="n">
        <v>2.37</v>
      </c>
      <c r="L30" s="14" t="n">
        <v>2.54713</v>
      </c>
      <c r="M30" s="17">
        <f>IF(OR(F30="",K30="",K30&lt;=0),"",F30/K30)</f>
        <v/>
      </c>
      <c r="N30" s="18" t="n">
        <v>3.2008944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2026-10-21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6.61</v>
      </c>
      <c r="G31" s="15" t="inlineStr">
        <is>
          <t>EUR</t>
        </is>
      </c>
      <c r="H31" s="14" t="n">
        <v>6.61</v>
      </c>
      <c r="I31" s="16" t="n">
        <v>7171.1</v>
      </c>
      <c r="J31" s="16" t="n">
        <v>7171.1</v>
      </c>
      <c r="K31" s="14" t="n">
        <v>0.5</v>
      </c>
      <c r="L31" s="14" t="n">
        <v>0.5705</v>
      </c>
      <c r="M31" s="17">
        <f>IF(OR(F31="",K31="",K31&lt;=0),"",F31/K31)</f>
        <v/>
      </c>
      <c r="N31" s="18" t="n">
        <v>1.1210991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2026-10-21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Terna</t>
        </is>
      </c>
      <c r="C32" s="12" t="inlineStr">
        <is>
          <t>TRN.MI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9.44</v>
      </c>
      <c r="G32" s="15" t="inlineStr">
        <is>
          <t>EUR</t>
        </is>
      </c>
      <c r="H32" s="14" t="n">
        <v>9.44</v>
      </c>
      <c r="I32" s="16" t="n">
        <v>18932.5</v>
      </c>
      <c r="J32" s="16" t="n">
        <v>18932.5</v>
      </c>
      <c r="K32" s="14" t="n">
        <v>0.51</v>
      </c>
      <c r="L32" s="14" t="n">
        <v>0.55945</v>
      </c>
      <c r="M32" s="17">
        <f>IF(OR(F32="",K32="",K32&lt;=0),"",F32/K32)</f>
        <v/>
      </c>
      <c r="N32" s="18" t="n">
        <v>3.1848853</v>
      </c>
      <c r="O32" s="19">
        <f>IF(OR(N32="",M32="",M32&lt;=0),"",N32/M32)</f>
        <v/>
      </c>
      <c r="P32" s="20" t="n">
        <v>0.13828</v>
      </c>
      <c r="Q32" s="20" t="n">
        <v>0.1473166531875201</v>
      </c>
      <c r="R32" s="20" t="n">
        <v>0.01230561727656675</v>
      </c>
      <c r="S32" s="21" t="n">
        <v>4</v>
      </c>
      <c r="T32" s="20" t="n"/>
      <c r="U32" s="20" t="n"/>
      <c r="V32" s="20" t="n">
        <v>0.1411312830599931</v>
      </c>
      <c r="W32" s="20" t="n">
        <v>0.1399974701157422</v>
      </c>
      <c r="X32" s="20" t="n">
        <v>0.1395310973624227</v>
      </c>
      <c r="Y32" s="14" t="n">
        <v>0.4</v>
      </c>
      <c r="Z32" s="19">
        <f>IF(OR(Y32="",F32="",F32=0),"",Y32/F32)</f>
        <v/>
      </c>
      <c r="AA32" s="22" t="n">
        <v>172.37</v>
      </c>
      <c r="AB32" s="20" t="n">
        <v>0.123</v>
      </c>
      <c r="AC32" s="20" t="n">
        <v>0.291854893908282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2026-10-21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Banca Profilo</t>
        </is>
      </c>
      <c r="C33" s="12" t="inlineStr">
        <is>
          <t>PRO.MI</t>
        </is>
      </c>
      <c r="D33" s="11" t="inlineStr">
        <is>
          <t>Banca</t>
        </is>
      </c>
      <c r="E33" s="13" t="inlineStr">
        <is>
          <t>Finanziario</t>
        </is>
      </c>
      <c r="F33" s="14" t="n">
        <v>1.592</v>
      </c>
      <c r="G33" s="15" t="inlineStr">
        <is>
          <t>EUR</t>
        </is>
      </c>
      <c r="H33" s="14" t="n">
        <v>1.592</v>
      </c>
      <c r="I33" s="16" t="n">
        <v>105.2</v>
      </c>
      <c r="J33" s="16" t="n">
        <v>105.2</v>
      </c>
      <c r="K33" s="14" t="n">
        <v>0.13</v>
      </c>
      <c r="L33" s="14" t="n">
        <v>0.158</v>
      </c>
      <c r="M33" s="17">
        <f>IF(OR(F33="",K33="",K33&lt;=0),"",F33/K33)</f>
        <v/>
      </c>
      <c r="N33" s="18" t="n">
        <v>0.65165776</v>
      </c>
      <c r="O33" s="19">
        <f>IF(OR(N33="",M33="",M33&lt;=0),"",N33/M33)</f>
        <v/>
      </c>
      <c r="P33" s="20" t="n">
        <v>0.05441</v>
      </c>
      <c r="Q33" s="20" t="n">
        <v>0.06503077574268615</v>
      </c>
      <c r="R33" s="20" t="n">
        <v>0.006357036968247848</v>
      </c>
      <c r="S33" s="21" t="n">
        <v>4</v>
      </c>
      <c r="T33" s="20" t="n"/>
      <c r="U33" s="20" t="n">
        <v>0.060088543950598</v>
      </c>
      <c r="V33" s="20" t="n">
        <v>0.05765696403735347</v>
      </c>
      <c r="W33" s="20" t="n">
        <v>0.07306048899843912</v>
      </c>
      <c r="X33" s="20" t="n">
        <v>0.06931710598435398</v>
      </c>
      <c r="Y33" s="14" t="n">
        <v>0.07000000000000001</v>
      </c>
      <c r="Z33" s="19">
        <f>IF(OR(Y33="",F33="",F33=0),"",Y33/F33)</f>
        <v/>
      </c>
      <c r="AA33" s="22" t="n"/>
      <c r="AB33" s="20" t="n">
        <v>-0.28</v>
      </c>
      <c r="AC33" s="20" t="n">
        <v>0.127950402243708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2026-10-21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25.55</v>
      </c>
      <c r="G34" s="15" t="inlineStr">
        <is>
          <t>EUR</t>
        </is>
      </c>
      <c r="H34" s="14" t="n">
        <v>25.55</v>
      </c>
      <c r="I34" s="16" t="n">
        <v>20606.9</v>
      </c>
      <c r="J34" s="16" t="n">
        <v>20606.9</v>
      </c>
      <c r="K34" s="14" t="n">
        <v>1.51</v>
      </c>
      <c r="L34" s="14" t="n">
        <v>1.8655</v>
      </c>
      <c r="M34" s="17">
        <f>IF(OR(F34="",K34="",K34&lt;=0),"",F34/K34)</f>
        <v/>
      </c>
      <c r="N34" s="18" t="n">
        <v>1.7798676</v>
      </c>
      <c r="O34" s="19">
        <f>IF(OR(N34="",M34="",M34&lt;=0),"",N34/M34)</f>
        <v/>
      </c>
      <c r="P34" s="20" t="n">
        <v>0.0919960661733171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>
        <v>1.26</v>
      </c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2026-10-21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1.935</v>
      </c>
      <c r="G35" s="15" t="inlineStr">
        <is>
          <t>EUR</t>
        </is>
      </c>
      <c r="H35" s="14" t="n">
        <v>1.935</v>
      </c>
      <c r="I35" s="16" t="n">
        <v>1913.4</v>
      </c>
      <c r="J35" s="16" t="n">
        <v>1913.4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1.089527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2026-10-21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MFE-MediaForEurope B</t>
        </is>
      </c>
      <c r="C36" s="12" t="inlineStr">
        <is>
          <t>MFEB.MI</t>
        </is>
      </c>
      <c r="D36" s="11" t="inlineStr">
        <is>
          <t>Media / TV</t>
        </is>
      </c>
      <c r="E36" s="13" t="inlineStr">
        <is>
          <t>Industriale</t>
        </is>
      </c>
      <c r="F36" s="14" t="n">
        <v>2.938</v>
      </c>
      <c r="G36" s="15" t="inlineStr">
        <is>
          <t>EUR</t>
        </is>
      </c>
      <c r="H36" s="14" t="n">
        <v>2.938</v>
      </c>
      <c r="I36" s="16" t="n">
        <v>2055.5</v>
      </c>
      <c r="J36" s="16" t="n">
        <v>2055.5</v>
      </c>
      <c r="K36" s="14" t="n">
        <v>0.19</v>
      </c>
      <c r="L36" s="14" t="n">
        <v>0.5222</v>
      </c>
      <c r="M36" s="17">
        <f>IF(OR(F36="",K36="",K36&lt;=0),"",F36/K36)</f>
        <v/>
      </c>
      <c r="N36" s="18" t="n">
        <v>0.5900782999999999</v>
      </c>
      <c r="O36" s="19">
        <f>IF(OR(N36="",M36="",M36&lt;=0),"",N36/M36)</f>
        <v/>
      </c>
      <c r="P36" s="20" t="n">
        <v>0.055760004</v>
      </c>
      <c r="Q36" s="20" t="n">
        <v>0.07215163334997049</v>
      </c>
      <c r="R36" s="20" t="n">
        <v>0.01470500804818441</v>
      </c>
      <c r="S36" s="21" t="n">
        <v>4</v>
      </c>
      <c r="T36" s="20" t="n"/>
      <c r="U36" s="20" t="n">
        <v>0.08632122864934692</v>
      </c>
      <c r="V36" s="20" t="n">
        <v>0.04807055460661624</v>
      </c>
      <c r="W36" s="20" t="n">
        <v>0.07291485134711234</v>
      </c>
      <c r="X36" s="20" t="n">
        <v>0.08129989879680648</v>
      </c>
      <c r="Y36" s="14" t="n">
        <v>0.22</v>
      </c>
      <c r="Z36" s="19">
        <f>IF(OR(Y36="",F36="",F36=0),"",Y36/F36)</f>
        <v/>
      </c>
      <c r="AA36" s="22" t="n">
        <v>88.622</v>
      </c>
      <c r="AB36" s="20" t="n">
        <v>0.945</v>
      </c>
      <c r="AC36" s="20" t="n">
        <v>0.0410969196093163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2026-10-21</t>
        </is>
      </c>
      <c r="AI36" s="11" t="inlineStr">
        <is>
          <t>yahoo</t>
        </is>
      </c>
      <c r="AJ36" s="23" t="inlineStr">
        <is>
          <t>Stessa societa' di MFEA, voto multiplo</t>
        </is>
      </c>
    </row>
    <row r="37">
      <c r="A37" s="10">
        <f>IF(AD37="","",RANK(AD37,AD$2:AD$67))</f>
        <v/>
      </c>
      <c r="B37" s="11" t="inlineStr">
        <is>
          <t>Tenaris</t>
        </is>
      </c>
      <c r="C37" s="12" t="inlineStr">
        <is>
          <t>TEN.MI</t>
        </is>
      </c>
      <c r="D37" s="11" t="inlineStr">
        <is>
          <t>Oil service</t>
        </is>
      </c>
      <c r="E37" s="13" t="inlineStr">
        <is>
          <t>Energia</t>
        </is>
      </c>
      <c r="F37" s="14" t="n">
        <v>25.81</v>
      </c>
      <c r="G37" s="15" t="inlineStr">
        <is>
          <t>EUR</t>
        </is>
      </c>
      <c r="H37" s="14" t="n">
        <v>25.81</v>
      </c>
      <c r="I37" s="16" t="n">
        <v>26058.8</v>
      </c>
      <c r="J37" s="16" t="n">
        <v>26058.8</v>
      </c>
      <c r="K37" s="14" t="n">
        <v>1.61</v>
      </c>
      <c r="L37" s="14" t="n">
        <v>1.9262259</v>
      </c>
      <c r="M37" s="17">
        <f>IF(OR(F37="",K37="",K37&lt;=0),"",F37/K37)</f>
        <v/>
      </c>
      <c r="N37" s="18" t="n">
        <v>1.724374</v>
      </c>
      <c r="O37" s="19">
        <f>IF(OR(N37="",M37="",M37&lt;=0),"",N37/M37)</f>
        <v/>
      </c>
      <c r="P37" s="20" t="n">
        <v>0.115839995</v>
      </c>
      <c r="Q37" s="20" t="n">
        <v>0.163851096927405</v>
      </c>
      <c r="R37" s="20" t="n">
        <v>0.04758970868898593</v>
      </c>
      <c r="S37" s="21" t="n">
        <v>4</v>
      </c>
      <c r="T37" s="20" t="n"/>
      <c r="U37" s="20" t="n">
        <v>0.1164401927780697</v>
      </c>
      <c r="V37" s="20" t="n">
        <v>0.1227272620438531</v>
      </c>
      <c r="W37" s="20" t="n">
        <v>0.2326231380067603</v>
      </c>
      <c r="X37" s="20" t="n">
        <v>0.183613794880937</v>
      </c>
      <c r="Y37" s="14" t="n">
        <v>0.77</v>
      </c>
      <c r="Z37" s="19">
        <f>IF(OR(Y37="",F37="",F37=0),"",Y37/F37)</f>
        <v/>
      </c>
      <c r="AA37" s="22" t="n">
        <v>2.596</v>
      </c>
      <c r="AB37" s="20" t="n">
        <v>-0.039</v>
      </c>
      <c r="AC37" s="20" t="n">
        <v>0.1596170600218326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2026-10-20</t>
        </is>
      </c>
      <c r="AI37" s="11" t="inlineStr">
        <is>
          <t>yahoo</t>
        </is>
      </c>
      <c r="AJ37" s="23" t="inlineStr">
        <is>
          <t>Bilancio in USD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108.35</v>
      </c>
      <c r="G38" s="15" t="inlineStr">
        <is>
          <t>EUR</t>
        </is>
      </c>
      <c r="H38" s="14" t="n">
        <v>108.35</v>
      </c>
      <c r="I38" s="16" t="n">
        <v>32426.3</v>
      </c>
      <c r="J38" s="16" t="n">
        <v>32426.3</v>
      </c>
      <c r="K38" s="14" t="n">
        <v>4.7</v>
      </c>
      <c r="L38" s="14" t="n">
        <v>6.14297</v>
      </c>
      <c r="M38" s="17">
        <f>IF(OR(F38="",K38="",K38&lt;=0),"",F38/K38)</f>
        <v/>
      </c>
      <c r="N38" s="18" t="n">
        <v>4.4643593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2026-10-21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Snam</t>
        </is>
      </c>
      <c r="C39" s="12" t="inlineStr">
        <is>
          <t>SRG.MI</t>
        </is>
      </c>
      <c r="D39" s="11" t="inlineStr">
        <is>
          <t>Utility / Reti</t>
        </is>
      </c>
      <c r="E39" s="13" t="inlineStr">
        <is>
          <t>Utility</t>
        </is>
      </c>
      <c r="F39" s="14" t="n">
        <v>5.908</v>
      </c>
      <c r="G39" s="15" t="inlineStr">
        <is>
          <t>EUR</t>
        </is>
      </c>
      <c r="H39" s="14" t="n">
        <v>5.908</v>
      </c>
      <c r="I39" s="16" t="n">
        <v>19829.7</v>
      </c>
      <c r="J39" s="16" t="n">
        <v>19829.7</v>
      </c>
      <c r="K39" s="14" t="n">
        <v>0.33</v>
      </c>
      <c r="L39" s="14" t="n">
        <v>0.43643</v>
      </c>
      <c r="M39" s="17">
        <f>IF(OR(F39="",K39="",K39&lt;=0),"",F39/K39)</f>
        <v/>
      </c>
      <c r="N39" s="18" t="n">
        <v>2.3967547</v>
      </c>
      <c r="O39" s="19">
        <f>IF(OR(N39="",M39="",M39&lt;=0),"",N39/M39)</f>
        <v/>
      </c>
      <c r="P39" s="20" t="n">
        <v>0.1238</v>
      </c>
      <c r="Q39" s="20" t="n">
        <v>0.1292498210780141</v>
      </c>
      <c r="R39" s="20" t="n">
        <v>0.02310306594021611</v>
      </c>
      <c r="S39" s="21" t="n">
        <v>4</v>
      </c>
      <c r="T39" s="20" t="n"/>
      <c r="U39" s="20" t="n">
        <v>0.1374905272274548</v>
      </c>
      <c r="V39" s="20" t="n">
        <v>0.1410012319408668</v>
      </c>
      <c r="W39" s="20" t="n">
        <v>0.1486574983628029</v>
      </c>
      <c r="X39" s="20" t="n">
        <v>0.08985002678093197</v>
      </c>
      <c r="Y39" s="14" t="n">
        <v>0.3</v>
      </c>
      <c r="Z39" s="19">
        <f>IF(OR(Y39="",F39="",F39=0),"",Y39/F39)</f>
        <v/>
      </c>
      <c r="AA39" s="22" t="n">
        <v>234.16</v>
      </c>
      <c r="AB39" s="20" t="n">
        <v>0.097</v>
      </c>
      <c r="AC39" s="20" t="n">
        <v>0.2889407933541018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2026-10-21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24.69</v>
      </c>
      <c r="G40" s="15" t="inlineStr">
        <is>
          <t>EUR</t>
        </is>
      </c>
      <c r="H40" s="14" t="n">
        <v>24.69</v>
      </c>
      <c r="I40" s="16" t="n">
        <v>5704.1</v>
      </c>
      <c r="J40" s="16" t="n">
        <v>5704.1</v>
      </c>
      <c r="K40" s="14" t="n">
        <v>0.9</v>
      </c>
      <c r="L40" s="14" t="n">
        <v>2.26348</v>
      </c>
      <c r="M40" s="17">
        <f>IF(OR(F40="",K40="",K40&lt;=0),"",F40/K40)</f>
        <v/>
      </c>
      <c r="N40" s="18" t="n">
        <v>25.63863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2026-10-21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Banco Desio e Brianza</t>
        </is>
      </c>
      <c r="C41" s="12" t="inlineStr">
        <is>
          <t>BDB.MI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15.92</v>
      </c>
      <c r="G41" s="15" t="inlineStr">
        <is>
          <t>EUR</t>
        </is>
      </c>
      <c r="H41" s="14" t="n">
        <v>15.92</v>
      </c>
      <c r="I41" s="16" t="n">
        <v>2093.1</v>
      </c>
      <c r="J41" s="16" t="n">
        <v>2093.1</v>
      </c>
      <c r="K41" s="14" t="n">
        <v>1.02</v>
      </c>
      <c r="L41" s="14" t="n"/>
      <c r="M41" s="17">
        <f>IF(OR(F41="",K41="",K41&lt;=0),"",F41/K41)</f>
        <v/>
      </c>
      <c r="N41" s="18" t="n">
        <v>1.3983312</v>
      </c>
      <c r="O41" s="19">
        <f>IF(OR(N41="",M41="",M41&lt;=0),"",N41/M41)</f>
        <v/>
      </c>
      <c r="P41" s="20" t="n">
        <v>0.09042</v>
      </c>
      <c r="Q41" s="20" t="n">
        <v>0.1057732555853402</v>
      </c>
      <c r="R41" s="20" t="n">
        <v>0.04181671720819548</v>
      </c>
      <c r="S41" s="21" t="n">
        <v>4</v>
      </c>
      <c r="T41" s="20" t="n"/>
      <c r="U41" s="20" t="n">
        <v>0.08541270271503291</v>
      </c>
      <c r="V41" s="20" t="n">
        <v>0.08758728118881172</v>
      </c>
      <c r="W41" s="20" t="n">
        <v>0.1775172357765608</v>
      </c>
      <c r="X41" s="20" t="n">
        <v>0.07257580266095537</v>
      </c>
      <c r="Y41" s="14" t="n">
        <v>0.51</v>
      </c>
      <c r="Z41" s="19">
        <f>IF(OR(Y41="",F41="",F41=0),"",Y41/F41)</f>
        <v/>
      </c>
      <c r="AA41" s="22" t="n"/>
      <c r="AB41" s="20" t="n">
        <v>0.079</v>
      </c>
      <c r="AC41" s="20" t="n">
        <v>0.2061490474278459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2026-10-21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Danieli &amp; C. ord.</t>
        </is>
      </c>
      <c r="C42" s="12" t="inlineStr">
        <is>
          <t>DAN.MI</t>
        </is>
      </c>
      <c r="D42" s="11" t="inlineStr">
        <is>
          <t>Impiantistica</t>
        </is>
      </c>
      <c r="E42" s="13" t="inlineStr">
        <is>
          <t>Industriale</t>
        </is>
      </c>
      <c r="F42" s="14" t="n">
        <v>51.5</v>
      </c>
      <c r="G42" s="15" t="inlineStr">
        <is>
          <t>EUR</t>
        </is>
      </c>
      <c r="H42" s="14" t="n">
        <v>51.5</v>
      </c>
      <c r="I42" s="16" t="n">
        <v>3686</v>
      </c>
      <c r="J42" s="16" t="n">
        <v>3686</v>
      </c>
      <c r="K42" s="14" t="n">
        <v>3.21</v>
      </c>
      <c r="L42" s="14" t="n">
        <v>4.40924</v>
      </c>
      <c r="M42" s="17">
        <f>IF(OR(F42="",K42="",K42&lt;=0),"",F42/K42)</f>
        <v/>
      </c>
      <c r="N42" s="18" t="n">
        <v>1.2913741</v>
      </c>
      <c r="O42" s="19">
        <f>IF(OR(N42="",M42="",M42&lt;=0),"",N42/M42)</f>
        <v/>
      </c>
      <c r="P42" s="20" t="n">
        <v>0.08036</v>
      </c>
      <c r="Q42" s="20" t="n">
        <v>0.0968440934016148</v>
      </c>
      <c r="R42" s="20" t="n">
        <v>0.00397470844110338</v>
      </c>
      <c r="S42" s="21" t="n">
        <v>3</v>
      </c>
      <c r="T42" s="20" t="n"/>
      <c r="U42" s="20" t="n"/>
      <c r="V42" s="20" t="n">
        <v>0.09166035137508417</v>
      </c>
      <c r="W42" s="20" t="n">
        <v>0.1013185357254691</v>
      </c>
      <c r="X42" s="20" t="n">
        <v>0.09755339310429112</v>
      </c>
      <c r="Y42" s="14" t="n">
        <v>0.31</v>
      </c>
      <c r="Z42" s="19">
        <f>IF(OR(Y42="",F42="",F42=0),"",Y42/F42)</f>
        <v/>
      </c>
      <c r="AA42" s="22" t="n">
        <v>29.397</v>
      </c>
      <c r="AB42" s="20" t="n">
        <v>-0.048</v>
      </c>
      <c r="AC42" s="20" t="n">
        <v>0.05336443329885146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2026-10-21</t>
        </is>
      </c>
      <c r="AI42" s="11" t="inlineStr">
        <is>
          <t>yahoo</t>
        </is>
      </c>
      <c r="AJ42" s="23" t="inlineStr">
        <is>
          <t>Verificare se posizione e' su risparmio (DANR.MI)</t>
        </is>
      </c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48.2</v>
      </c>
      <c r="G43" s="15" t="inlineStr">
        <is>
          <t>EUR</t>
        </is>
      </c>
      <c r="H43" s="14" t="n">
        <v>48.2</v>
      </c>
      <c r="I43" s="16" t="n">
        <v>27801.6</v>
      </c>
      <c r="J43" s="16" t="n">
        <v>27801.6</v>
      </c>
      <c r="K43" s="14" t="n">
        <v>2.03</v>
      </c>
      <c r="L43" s="14" t="n">
        <v>2.86701</v>
      </c>
      <c r="M43" s="17">
        <f>IF(OR(F43="",K43="",K43&lt;=0),"",F43/K43)</f>
        <v/>
      </c>
      <c r="N43" s="18" t="n">
        <v>2.8798473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2026-10-21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50.4</v>
      </c>
      <c r="G44" s="15" t="inlineStr">
        <is>
          <t>CHF</t>
        </is>
      </c>
      <c r="H44" s="14" t="n">
        <v>54.42940916012397</v>
      </c>
      <c r="I44" s="16" t="n">
        <v>3001.71711826517</v>
      </c>
      <c r="J44" s="16" t="n">
        <v>2779.5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0.90112644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2026-10-21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36.96</v>
      </c>
      <c r="G45" s="15" t="inlineStr">
        <is>
          <t>EUR</t>
        </is>
      </c>
      <c r="H45" s="14" t="n">
        <v>36.96</v>
      </c>
      <c r="I45" s="16" t="n">
        <v>3884.3</v>
      </c>
      <c r="J45" s="16" t="n">
        <v>3884.3</v>
      </c>
      <c r="K45" s="14" t="n">
        <v>2</v>
      </c>
      <c r="L45" s="14" t="n">
        <v>2.38934</v>
      </c>
      <c r="M45" s="17">
        <f>IF(OR(F45="",K45="",K45&lt;=0),"",F45/K45)</f>
        <v/>
      </c>
      <c r="N45" s="18" t="n">
        <v>1.8030146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2026-10-21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DiaSorin</t>
        </is>
      </c>
      <c r="C46" s="12" t="inlineStr">
        <is>
          <t>DIA.MI</t>
        </is>
      </c>
      <c r="D46" s="11" t="inlineStr">
        <is>
          <t>Diagnostica</t>
        </is>
      </c>
      <c r="E46" s="13" t="inlineStr">
        <is>
          <t>Salute</t>
        </is>
      </c>
      <c r="F46" s="14" t="n">
        <v>78.16</v>
      </c>
      <c r="G46" s="15" t="inlineStr">
        <is>
          <t>EUR</t>
        </is>
      </c>
      <c r="H46" s="14" t="n">
        <v>78.16</v>
      </c>
      <c r="I46" s="16" t="n">
        <v>3850.6</v>
      </c>
      <c r="J46" s="16" t="n">
        <v>3850.6</v>
      </c>
      <c r="K46" s="14" t="n">
        <v>2.72</v>
      </c>
      <c r="L46" s="14" t="n">
        <v>4.32937</v>
      </c>
      <c r="M46" s="17">
        <f>IF(OR(F46="",K46="",K46&lt;=0),"",F46/K46)</f>
        <v/>
      </c>
      <c r="N46" s="18" t="n">
        <v>2.7178526</v>
      </c>
      <c r="O46" s="19">
        <f>IF(OR(N46="",M46="",M46&lt;=0),"",N46/M46)</f>
        <v/>
      </c>
      <c r="P46" s="20" t="n">
        <v>0.091630004</v>
      </c>
      <c r="Q46" s="20" t="n">
        <v>0.116288776654548</v>
      </c>
      <c r="R46" s="20" t="n">
        <v>0.02454805062203687</v>
      </c>
      <c r="S46" s="21" t="n">
        <v>4</v>
      </c>
      <c r="T46" s="20" t="n"/>
      <c r="U46" s="20" t="n">
        <v>0.09821690597560229</v>
      </c>
      <c r="V46" s="20" t="n">
        <v>0.1044495085284283</v>
      </c>
      <c r="W46" s="20" t="n">
        <v>0.1038917569158156</v>
      </c>
      <c r="X46" s="20" t="n">
        <v>0.1585969351983458</v>
      </c>
      <c r="Y46" s="14" t="n">
        <v>1.3</v>
      </c>
      <c r="Z46" s="19">
        <f>IF(OR(Y46="",F46="",F46=0),"",Y46/F46)</f>
        <v/>
      </c>
      <c r="AA46" s="22" t="n">
        <v>68.18300000000001</v>
      </c>
      <c r="AB46" s="20" t="n">
        <v>0.027</v>
      </c>
      <c r="AC46" s="20" t="n">
        <v>0.1176280589596295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2026-10-21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Enel</t>
        </is>
      </c>
      <c r="C47" s="12" t="inlineStr">
        <is>
          <t>ENEL.MI</t>
        </is>
      </c>
      <c r="D47" s="11" t="inlineStr">
        <is>
          <t>Utility</t>
        </is>
      </c>
      <c r="E47" s="13" t="inlineStr">
        <is>
          <t>Utility</t>
        </is>
      </c>
      <c r="F47" s="14" t="n">
        <v>9.199</v>
      </c>
      <c r="G47" s="15" t="inlineStr">
        <is>
          <t>EUR</t>
        </is>
      </c>
      <c r="H47" s="14" t="n">
        <v>9.199</v>
      </c>
      <c r="I47" s="16" t="n">
        <v>91415.5</v>
      </c>
      <c r="J47" s="16" t="n">
        <v>91415.5</v>
      </c>
      <c r="K47" s="14" t="n">
        <v>0.42</v>
      </c>
      <c r="L47" s="14" t="n">
        <v>0.758</v>
      </c>
      <c r="M47" s="17">
        <f>IF(OR(F47="",K47="",K47&lt;=0),"",F47/K47)</f>
        <v/>
      </c>
      <c r="N47" s="18" t="n">
        <v>3.6973476</v>
      </c>
      <c r="O47" s="19">
        <f>IF(OR(N47="",M47="",M47&lt;=0),"",N47/M47)</f>
        <v/>
      </c>
      <c r="P47" s="20" t="n">
        <v>0.122559994</v>
      </c>
      <c r="Q47" s="20" t="n">
        <v>0.122559994</v>
      </c>
      <c r="R47" s="20" t="n"/>
      <c r="S47" s="21" t="n">
        <v>0</v>
      </c>
      <c r="T47" s="20" t="n"/>
      <c r="U47" s="20" t="n">
        <v>0.1317512785331171</v>
      </c>
      <c r="V47" s="20" t="n">
        <v>0.2079985769766683</v>
      </c>
      <c r="W47" s="20" t="n">
        <v>0.1082664147378366</v>
      </c>
      <c r="X47" s="20" t="n">
        <v>0.05869830745070669</v>
      </c>
      <c r="Y47" s="14" t="n">
        <v>0.52</v>
      </c>
      <c r="Z47" s="19">
        <f>IF(OR(Y47="",F47="",F47=0),"",Y47/F47)</f>
        <v/>
      </c>
      <c r="AA47" s="22" t="n">
        <v>147.743</v>
      </c>
      <c r="AB47" s="20" t="n">
        <v>0.08500000000000001</v>
      </c>
      <c r="AC47" s="20" t="n">
        <v>0.05711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2026-10-21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11.51</v>
      </c>
      <c r="G48" s="15" t="inlineStr">
        <is>
          <t>USD</t>
        </is>
      </c>
      <c r="H48" s="14" t="n">
        <v>10.24159759668589</v>
      </c>
      <c r="I48" s="16" t="n">
        <v>16470.10837140714</v>
      </c>
      <c r="J48" s="16" t="n">
        <v>18509.9</v>
      </c>
      <c r="K48" s="14" t="n">
        <v>0.25</v>
      </c>
      <c r="L48" s="14" t="n">
        <v>0.68704</v>
      </c>
      <c r="M48" s="17">
        <f>IF(OR(F48="",K48="",K48&lt;=0),"",F48/K48)</f>
        <v/>
      </c>
      <c r="N48" s="18" t="n">
        <v>1.8368976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2026-10-21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26.4</v>
      </c>
      <c r="G49" s="15" t="inlineStr">
        <is>
          <t>EUR</t>
        </is>
      </c>
      <c r="H49" s="14" t="n">
        <v>26.4</v>
      </c>
      <c r="I49" s="16" t="n">
        <v>75606.39999999999</v>
      </c>
      <c r="J49" s="16" t="n">
        <v>75606.39999999999</v>
      </c>
      <c r="K49" s="14" t="n">
        <v>1.23</v>
      </c>
      <c r="L49" s="14" t="n">
        <v>2.6635</v>
      </c>
      <c r="M49" s="17">
        <f>IF(OR(F49="",K49="",K49&lt;=0),"",F49/K49)</f>
        <v/>
      </c>
      <c r="N49" s="18" t="n">
        <v>1.6725798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2026-10-21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INWIT</t>
        </is>
      </c>
      <c r="C50" s="12" t="inlineStr">
        <is>
          <t>INW.MI</t>
        </is>
      </c>
      <c r="D50" s="11" t="inlineStr">
        <is>
          <t>Torri / Infrastrutture</t>
        </is>
      </c>
      <c r="E50" s="13" t="inlineStr">
        <is>
          <t>Industriale</t>
        </is>
      </c>
      <c r="F50" s="14" t="n">
        <v>7.21</v>
      </c>
      <c r="G50" s="15" t="inlineStr">
        <is>
          <t>EUR</t>
        </is>
      </c>
      <c r="H50" s="14" t="n">
        <v>7.21</v>
      </c>
      <c r="I50" s="16" t="n">
        <v>6507</v>
      </c>
      <c r="J50" s="16" t="n">
        <v>6507</v>
      </c>
      <c r="K50" s="14" t="n">
        <v>0.37</v>
      </c>
      <c r="L50" s="14" t="n">
        <v>0.35606</v>
      </c>
      <c r="M50" s="17">
        <f>IF(OR(F50="",K50="",K50&lt;=0),"",F50/K50)</f>
        <v/>
      </c>
      <c r="N50" s="18" t="n">
        <v>2.1432817</v>
      </c>
      <c r="O50" s="19">
        <f>IF(OR(N50="",M50="",M50&lt;=0),"",N50/M50)</f>
        <v/>
      </c>
      <c r="P50" s="20" t="n">
        <v>0.098620005</v>
      </c>
      <c r="Q50" s="20" t="n">
        <v>0.08375718905919846</v>
      </c>
      <c r="R50" s="20" t="n">
        <v>0.01401549999798546</v>
      </c>
      <c r="S50" s="21" t="n">
        <v>4</v>
      </c>
      <c r="T50" s="20" t="n"/>
      <c r="U50" s="20" t="n">
        <v>0.1042395007229944</v>
      </c>
      <c r="V50" s="20" t="n">
        <v>0.0868230114415488</v>
      </c>
      <c r="W50" s="20" t="n">
        <v>0.0782900743220354</v>
      </c>
      <c r="X50" s="20" t="n">
        <v>0.06567616975021522</v>
      </c>
      <c r="Y50" s="14" t="n">
        <v>0.55</v>
      </c>
      <c r="Z50" s="19">
        <f>IF(OR(Y50="",F50="",F50=0),"",Y50/F50)</f>
        <v/>
      </c>
      <c r="AA50" s="22" t="n">
        <v>176.713</v>
      </c>
      <c r="AB50" s="20" t="n">
        <v>-0.008</v>
      </c>
      <c r="AC50" s="20" t="n">
        <v>0.3133351145555501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2026-10-21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42.03</v>
      </c>
      <c r="G51" s="15" t="inlineStr">
        <is>
          <t>EUR</t>
        </is>
      </c>
      <c r="H51" s="14" t="n">
        <v>42.03</v>
      </c>
      <c r="I51" s="16" t="n">
        <v>37631.6</v>
      </c>
      <c r="J51" s="16" t="n">
        <v>37631.6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2.3842373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2026-10-21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12.785</v>
      </c>
      <c r="G52" s="15" t="inlineStr">
        <is>
          <t>EUR</t>
        </is>
      </c>
      <c r="H52" s="14" t="n">
        <v>12.785</v>
      </c>
      <c r="I52" s="16" t="n">
        <v>3397.6</v>
      </c>
      <c r="J52" s="16" t="n">
        <v>3397.6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2.2445576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2026-10-21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6.548</v>
      </c>
      <c r="G53" s="15" t="inlineStr">
        <is>
          <t>EUR</t>
        </is>
      </c>
      <c r="H53" s="14" t="n">
        <v>6.548</v>
      </c>
      <c r="I53" s="16" t="n">
        <v>7853.4</v>
      </c>
      <c r="J53" s="16" t="n">
        <v>7853.4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1.967548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2026-10-21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14.36</v>
      </c>
      <c r="G54" s="15" t="inlineStr">
        <is>
          <t>EUR</t>
        </is>
      </c>
      <c r="H54" s="14" t="n">
        <v>14.36</v>
      </c>
      <c r="I54" s="16" t="n">
        <v>3824.7</v>
      </c>
      <c r="J54" s="16" t="n">
        <v>3824.7</v>
      </c>
      <c r="K54" s="14" t="n">
        <v>0.23</v>
      </c>
      <c r="L54" s="14" t="n">
        <v>2.04021</v>
      </c>
      <c r="M54" s="17">
        <f>IF(OR(F54="",K54="",K54&lt;=0),"",F54/K54)</f>
        <v/>
      </c>
      <c r="N54" s="18" t="n">
        <v>1.5497518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2026-10-21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22.24</v>
      </c>
      <c r="G55" s="15" t="inlineStr">
        <is>
          <t>EUR</t>
        </is>
      </c>
      <c r="H55" s="14" t="n">
        <v>22.24</v>
      </c>
      <c r="I55" s="16" t="n">
        <v>3232.7</v>
      </c>
      <c r="J55" s="16" t="n">
        <v>3232.7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1.7109009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2026-10-21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8.095000000000001</v>
      </c>
      <c r="G56" s="15" t="inlineStr">
        <is>
          <t>EUR</t>
        </is>
      </c>
      <c r="H56" s="14" t="n">
        <v>8.095000000000001</v>
      </c>
      <c r="I56" s="16" t="n">
        <v>400.2</v>
      </c>
      <c r="J56" s="16" t="n">
        <v>400.2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1.0620573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2026-10-21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5.758</v>
      </c>
      <c r="G57" s="15" t="inlineStr">
        <is>
          <t>EUR</t>
        </is>
      </c>
      <c r="H57" s="14" t="n">
        <v>5.758</v>
      </c>
      <c r="I57" s="16" t="n">
        <v>12283.3</v>
      </c>
      <c r="J57" s="16" t="n">
        <v>12283.3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1.0625576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2026-10-21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12.255</v>
      </c>
      <c r="G58" s="15" t="inlineStr">
        <is>
          <t>EUR</t>
        </is>
      </c>
      <c r="H58" s="14" t="n">
        <v>12.255</v>
      </c>
      <c r="I58" s="16" t="n">
        <v>4641.1</v>
      </c>
      <c r="J58" s="16" t="n">
        <v>4641.1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2.7185006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2026-10-21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6.61</v>
      </c>
      <c r="G59" s="15" t="inlineStr">
        <is>
          <t>EUR</t>
        </is>
      </c>
      <c r="H59" s="14" t="n">
        <v>6.61</v>
      </c>
      <c r="I59" s="16" t="n">
        <v>1088.6</v>
      </c>
      <c r="J59" s="16" t="n">
        <v>1088.6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1.8682872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2026-10-21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4.485</v>
      </c>
      <c r="G60" s="15" t="inlineStr">
        <is>
          <t>EUR</t>
        </is>
      </c>
      <c r="H60" s="14" t="n">
        <v>4.485</v>
      </c>
      <c r="I60" s="16" t="n">
        <v>8702.200000000001</v>
      </c>
      <c r="J60" s="16" t="n">
        <v>8702.200000000001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3.762584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2026-10-21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68.3</v>
      </c>
      <c r="G61" s="15" t="inlineStr">
        <is>
          <t>EUR</t>
        </is>
      </c>
      <c r="H61" s="14" t="n">
        <v>68.3</v>
      </c>
      <c r="I61" s="16" t="n">
        <v>22483</v>
      </c>
      <c r="J61" s="16" t="n">
        <v>22483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0.4325906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2026-10-21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8.868</v>
      </c>
      <c r="G62" s="15" t="inlineStr">
        <is>
          <t>EUR</t>
        </is>
      </c>
      <c r="H62" s="14" t="n">
        <v>8.868</v>
      </c>
      <c r="I62" s="16" t="n">
        <v>1632.2</v>
      </c>
      <c r="J62" s="16" t="n">
        <v>1632.2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0.8554891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2026-10-21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0.261</v>
      </c>
      <c r="G63" s="15" t="inlineStr">
        <is>
          <t>EUR</t>
        </is>
      </c>
      <c r="H63" s="14" t="n">
        <v>0.261</v>
      </c>
      <c r="I63" s="16" t="n">
        <v>95.59999999999999</v>
      </c>
      <c r="J63" s="16" t="n">
        <v>95.59999999999999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1.2608696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2026-10-21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1.615</v>
      </c>
      <c r="G64" s="15" t="inlineStr">
        <is>
          <t>EUR</t>
        </is>
      </c>
      <c r="H64" s="14" t="n">
        <v>1.615</v>
      </c>
      <c r="I64" s="16" t="n">
        <v>673.5</v>
      </c>
      <c r="J64" s="16" t="n">
        <v>673.5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57.67857</v>
      </c>
      <c r="O64" s="19">
        <f>IF(OR(N64="",M64="",M64&lt;=0),"",N64/M64)</f>
        <v/>
      </c>
      <c r="P64" s="20" t="n">
        <v>-5.34</v>
      </c>
      <c r="Q64" s="20" t="n">
        <v>-5.34</v>
      </c>
      <c r="R64" s="20" t="n"/>
      <c r="S64" s="21" t="n">
        <v>0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2026-10-21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4.46</v>
      </c>
      <c r="G65" s="15" t="inlineStr">
        <is>
          <t>EUR</t>
        </is>
      </c>
      <c r="H65" s="14" t="n">
        <v>4.46</v>
      </c>
      <c r="I65" s="16" t="n">
        <v>5239.3</v>
      </c>
      <c r="J65" s="16" t="n">
        <v>5239.3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0.7704267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2026-10-21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0.0225</v>
      </c>
      <c r="G66" s="15" t="inlineStr">
        <is>
          <t>EUR</t>
        </is>
      </c>
      <c r="H66" s="14" t="n">
        <v>0.0225</v>
      </c>
      <c r="I66" s="16" t="n">
        <v>40.5</v>
      </c>
      <c r="J66" s="16" t="n">
        <v>40.5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2026-10-21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3.815</v>
      </c>
      <c r="G67" s="15" t="inlineStr">
        <is>
          <t>EUR</t>
        </is>
      </c>
      <c r="H67" s="14" t="n">
        <v>3.815</v>
      </c>
      <c r="I67" s="16" t="n">
        <v>11076.6</v>
      </c>
      <c r="J67" s="16" t="n">
        <v>11076.6</v>
      </c>
      <c r="K67" s="14" t="n">
        <v>-7.49</v>
      </c>
      <c r="L67" s="14" t="n">
        <v>1.02592</v>
      </c>
      <c r="M67" s="17">
        <f>IF(OR(F67="",K67="",K67&lt;=0),"",F67/K67)</f>
        <v/>
      </c>
      <c r="N67" s="18" t="n">
        <v>0.19687274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2026-10-21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551.6</v>
      </c>
      <c r="G2" s="15" t="inlineStr">
        <is>
          <t>EUR</t>
        </is>
      </c>
      <c r="H2" s="14" t="n">
        <v>551.6</v>
      </c>
      <c r="I2" s="16" t="n">
        <v>69399.3</v>
      </c>
      <c r="J2" s="16" t="n">
        <v>69399.3</v>
      </c>
      <c r="K2" s="14" t="n">
        <v>53.29</v>
      </c>
      <c r="L2" s="14" t="n">
        <v>51.60554</v>
      </c>
      <c r="M2" s="17">
        <f>IF(OR(F2="",K2="",K2&lt;=0),"",F2/K2)</f>
        <v/>
      </c>
      <c r="N2" s="18" t="n">
        <v>2.0678537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2026-10-21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436.8</v>
      </c>
      <c r="G3" s="15" t="inlineStr">
        <is>
          <t>EUR</t>
        </is>
      </c>
      <c r="H3" s="14" t="n">
        <v>436.8</v>
      </c>
      <c r="I3" s="16" t="n">
        <v>165672.2</v>
      </c>
      <c r="J3" s="16" t="n">
        <v>165672.2</v>
      </c>
      <c r="K3" s="14" t="n">
        <v>30.5</v>
      </c>
      <c r="L3" s="14" t="n">
        <v>33.38262</v>
      </c>
      <c r="M3" s="17">
        <f>IF(OR(F3="",K3="",K3&lt;=0),"",F3/K3)</f>
        <v/>
      </c>
      <c r="N3" s="18" t="n">
        <v>2.6261046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2026-10-21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Bank</t>
        </is>
      </c>
      <c r="C4" s="12" t="inlineStr">
        <is>
          <t>DBK.DE</t>
        </is>
      </c>
      <c r="D4" s="11" t="inlineStr">
        <is>
          <t>Banca</t>
        </is>
      </c>
      <c r="E4" s="13" t="inlineStr">
        <is>
          <t>Finanziario</t>
        </is>
      </c>
      <c r="F4" s="14" t="n">
        <v>28.815</v>
      </c>
      <c r="G4" s="15" t="inlineStr">
        <is>
          <t>EUR</t>
        </is>
      </c>
      <c r="H4" s="14" t="n">
        <v>28.815</v>
      </c>
      <c r="I4" s="16" t="n">
        <v>54143.4</v>
      </c>
      <c r="J4" s="16" t="n">
        <v>54143.4</v>
      </c>
      <c r="K4" s="14" t="n">
        <v>3.29</v>
      </c>
      <c r="L4" s="14" t="n">
        <v>3.90101</v>
      </c>
      <c r="M4" s="17">
        <f>IF(OR(F4="",K4="",K4&lt;=0),"",F4/K4)</f>
        <v/>
      </c>
      <c r="N4" s="18" t="n">
        <v>0.6868892</v>
      </c>
      <c r="O4" s="19">
        <f>IF(OR(N4="",M4="",M4&lt;=0),"",N4/M4)</f>
        <v/>
      </c>
      <c r="P4" s="20" t="n">
        <v>0.08891</v>
      </c>
      <c r="Q4" s="20" t="n">
        <v>0.06875856120342795</v>
      </c>
      <c r="R4" s="20" t="n">
        <v>0.01680390963498571</v>
      </c>
      <c r="S4" s="21" t="n">
        <v>4</v>
      </c>
      <c r="T4" s="20" t="n"/>
      <c r="U4" s="20" t="n">
        <v>0.08813468801261429</v>
      </c>
      <c r="V4" s="20" t="n">
        <v>0.04325032765399738</v>
      </c>
      <c r="W4" s="20" t="n">
        <v>0.0653215429682153</v>
      </c>
      <c r="X4" s="20" t="n">
        <v>0.07832768617888484</v>
      </c>
      <c r="Y4" s="14" t="n">
        <v>1</v>
      </c>
      <c r="Z4" s="19">
        <f>IF(OR(Y4="",F4="",F4=0),"",Y4/F4)</f>
        <v/>
      </c>
      <c r="AA4" s="22" t="n"/>
      <c r="AB4" s="20" t="n">
        <v>0.08699999999999999</v>
      </c>
      <c r="AC4" s="20" t="n">
        <v>0.1897566842580766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2026-10-21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Hannover Rueck</t>
        </is>
      </c>
      <c r="C5" s="12" t="inlineStr">
        <is>
          <t>HNR1.DE</t>
        </is>
      </c>
      <c r="D5" s="11" t="inlineStr">
        <is>
          <t>Riassicurazione</t>
        </is>
      </c>
      <c r="E5" s="13" t="inlineStr">
        <is>
          <t>Finanziario</t>
        </is>
      </c>
      <c r="F5" s="14" t="n">
        <v>277.6</v>
      </c>
      <c r="G5" s="15" t="inlineStr">
        <is>
          <t>EUR</t>
        </is>
      </c>
      <c r="H5" s="14" t="n">
        <v>277.6</v>
      </c>
      <c r="I5" s="16" t="n">
        <v>33477.8</v>
      </c>
      <c r="J5" s="16" t="n">
        <v>33477.8</v>
      </c>
      <c r="K5" s="14" t="n">
        <v>22.67</v>
      </c>
      <c r="L5" s="14" t="n">
        <v>23.73287</v>
      </c>
      <c r="M5" s="17">
        <f>IF(OR(F5="",K5="",K5&lt;=0),"",F5/K5)</f>
        <v/>
      </c>
      <c r="N5" s="18" t="n">
        <v>2.5235677</v>
      </c>
      <c r="O5" s="19">
        <f>IF(OR(N5="",M5="",M5&lt;=0),"",N5/M5)</f>
        <v/>
      </c>
      <c r="P5" s="20" t="n">
        <v>0.22163</v>
      </c>
      <c r="Q5" s="20" t="n">
        <v>0.1670328412048878</v>
      </c>
      <c r="R5" s="20" t="n">
        <v>0.047497809554564</v>
      </c>
      <c r="S5" s="21" t="n">
        <v>4</v>
      </c>
      <c r="T5" s="20" t="n"/>
      <c r="U5" s="20" t="n">
        <v>0.2043128852862237</v>
      </c>
      <c r="V5" s="20" t="n">
        <v>0.1974394845054898</v>
      </c>
      <c r="W5" s="20" t="n">
        <v>0.1801951258047952</v>
      </c>
      <c r="X5" s="20" t="n">
        <v>0.08618386922304271</v>
      </c>
      <c r="Y5" s="14" t="n">
        <v>12.5</v>
      </c>
      <c r="Z5" s="19">
        <f>IF(OR(Y5="",F5="",F5=0),"",Y5/F5)</f>
        <v/>
      </c>
      <c r="AA5" s="22" t="n">
        <v>28.967</v>
      </c>
      <c r="AB5" s="20" t="n">
        <v>-0.233</v>
      </c>
      <c r="AC5" s="20" t="n">
        <v>0.1138114191974286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2026-10-21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Heidelberg Materials</t>
        </is>
      </c>
      <c r="C6" s="12" t="inlineStr">
        <is>
          <t>HEI.DE</t>
        </is>
      </c>
      <c r="D6" s="11" t="inlineStr">
        <is>
          <t>Cemento</t>
        </is>
      </c>
      <c r="E6" s="13" t="inlineStr">
        <is>
          <t>Materiali</t>
        </is>
      </c>
      <c r="F6" s="14" t="n">
        <v>147.8</v>
      </c>
      <c r="G6" s="15" t="inlineStr">
        <is>
          <t>EUR</t>
        </is>
      </c>
      <c r="H6" s="14" t="n">
        <v>147.8</v>
      </c>
      <c r="I6" s="16" t="n">
        <v>25983.5</v>
      </c>
      <c r="J6" s="16" t="n">
        <v>25983.5</v>
      </c>
      <c r="K6" s="14" t="n">
        <v>11.45</v>
      </c>
      <c r="L6" s="14" t="n">
        <v>14.38566</v>
      </c>
      <c r="M6" s="17">
        <f>IF(OR(F6="",K6="",K6&lt;=0),"",F6/K6)</f>
        <v/>
      </c>
      <c r="N6" s="18" t="n">
        <v>1.3944185</v>
      </c>
      <c r="O6" s="19">
        <f>IF(OR(N6="",M6="",M6&lt;=0),"",N6/M6)</f>
        <v/>
      </c>
      <c r="P6" s="20" t="n">
        <v>0.11698</v>
      </c>
      <c r="Q6" s="20" t="n">
        <v>0.1025170168781795</v>
      </c>
      <c r="R6" s="20" t="n">
        <v>0.007100317118667784</v>
      </c>
      <c r="S6" s="21" t="n">
        <v>4</v>
      </c>
      <c r="T6" s="20" t="n"/>
      <c r="U6" s="20" t="n">
        <v>0.1068506876011583</v>
      </c>
      <c r="V6" s="20" t="n">
        <v>0.09479878269382196</v>
      </c>
      <c r="W6" s="20" t="n">
        <v>0.1118767146328873</v>
      </c>
      <c r="X6" s="20" t="n">
        <v>0.09654188258485055</v>
      </c>
      <c r="Y6" s="14" t="n">
        <v>3.6</v>
      </c>
      <c r="Z6" s="19">
        <f>IF(OR(Y6="",F6="",F6=0),"",Y6/F6)</f>
        <v/>
      </c>
      <c r="AA6" s="22" t="n">
        <v>50.409</v>
      </c>
      <c r="AB6" s="20" t="n">
        <v>0.017</v>
      </c>
      <c r="AC6" s="20" t="n">
        <v>0.09477544626797514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2026-10-21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57.88</v>
      </c>
      <c r="G7" s="15" t="inlineStr">
        <is>
          <t>EUR</t>
        </is>
      </c>
      <c r="H7" s="14" t="n">
        <v>57.88</v>
      </c>
      <c r="I7" s="16" t="n">
        <v>64781.8</v>
      </c>
      <c r="J7" s="16" t="n">
        <v>64781.8</v>
      </c>
      <c r="K7" s="14" t="n">
        <v>3.26</v>
      </c>
      <c r="L7" s="14" t="n">
        <v>3.92707</v>
      </c>
      <c r="M7" s="17">
        <f>IF(OR(F7="",K7="",K7&lt;=0),"",F7/K7)</f>
        <v/>
      </c>
      <c r="N7" s="18" t="n">
        <v>2.8826137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2026-10-21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308</v>
      </c>
      <c r="G8" s="15" t="inlineStr">
        <is>
          <t>EUR</t>
        </is>
      </c>
      <c r="H8" s="14" t="n">
        <v>308</v>
      </c>
      <c r="I8" s="16" t="n">
        <v>55528.6</v>
      </c>
      <c r="J8" s="16" t="n">
        <v>55528.6</v>
      </c>
      <c r="K8" s="14" t="n">
        <v>11.6</v>
      </c>
      <c r="L8" s="14" t="n">
        <v>13.5922</v>
      </c>
      <c r="M8" s="17">
        <f>IF(OR(F8="",K8="",K8&lt;=0),"",F8/K8)</f>
        <v/>
      </c>
      <c r="N8" s="18" t="n">
        <v>5.043971</v>
      </c>
      <c r="O8" s="19">
        <f>IF(OR(N8="",M8="",M8&lt;=0),"",N8/M8)</f>
        <v/>
      </c>
      <c r="P8" s="20" t="n">
        <v>0.20336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/>
      <c r="AB8" s="20" t="n">
        <v>0.165</v>
      </c>
      <c r="AC8" s="20" t="n">
        <v>0.2981980674705325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2026-10-21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41.04</v>
      </c>
      <c r="G9" s="15" t="inlineStr">
        <is>
          <t>EUR</t>
        </is>
      </c>
      <c r="H9" s="14" t="n">
        <v>41.04</v>
      </c>
      <c r="I9" s="16" t="n">
        <v>38956.5</v>
      </c>
      <c r="J9" s="16" t="n">
        <v>38956.5</v>
      </c>
      <c r="K9" s="14" t="n">
        <v>5.28</v>
      </c>
      <c r="L9" s="14" t="n">
        <v>6.74821</v>
      </c>
      <c r="M9" s="17">
        <f>IF(OR(F9="",K9="",K9&lt;=0),"",F9/K9)</f>
        <v/>
      </c>
      <c r="N9" s="18" t="n">
        <v>0.41359714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2026-10-21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Deutsche Telekom</t>
        </is>
      </c>
      <c r="C10" s="12" t="inlineStr">
        <is>
          <t>DTE.DE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25.5</v>
      </c>
      <c r="G10" s="15" t="inlineStr">
        <is>
          <t>EUR</t>
        </is>
      </c>
      <c r="H10" s="14" t="n">
        <v>25.5</v>
      </c>
      <c r="I10" s="16" t="n">
        <v>121956.6</v>
      </c>
      <c r="J10" s="16" t="n">
        <v>121956.6</v>
      </c>
      <c r="K10" s="14" t="n">
        <v>1.78</v>
      </c>
      <c r="L10" s="14" t="n">
        <v>2.57328</v>
      </c>
      <c r="M10" s="17">
        <f>IF(OR(F10="",K10="",K10&lt;=0),"",F10/K10)</f>
        <v/>
      </c>
      <c r="N10" s="18" t="n">
        <v>2.0377178</v>
      </c>
      <c r="O10" s="19">
        <f>IF(OR(N10="",M10="",M10&lt;=0),"",N10/M10)</f>
        <v/>
      </c>
      <c r="P10" s="20" t="n">
        <v>0.15063</v>
      </c>
      <c r="Q10" s="20" t="n">
        <v>0.15063</v>
      </c>
      <c r="R10" s="20" t="n"/>
      <c r="S10" s="21" t="n">
        <v>0</v>
      </c>
      <c r="T10" s="20" t="n"/>
      <c r="U10" s="20" t="n">
        <v>0.1545575911598655</v>
      </c>
      <c r="V10" s="20" t="n">
        <v>0.1770885995955511</v>
      </c>
      <c r="W10" s="20" t="n">
        <v>0.3124813350900307</v>
      </c>
      <c r="X10" s="20" t="n">
        <v>0.164772025206969</v>
      </c>
      <c r="Y10" s="14" t="n">
        <v>1</v>
      </c>
      <c r="Z10" s="19">
        <f>IF(OR(Y10="",F10="",F10=0),"",Y10/F10)</f>
        <v/>
      </c>
      <c r="AA10" s="22" t="n">
        <v>165.297</v>
      </c>
      <c r="AB10" s="20" t="n">
        <v>0.043</v>
      </c>
      <c r="AC10" s="20" t="n">
        <v>0.07013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2026-10-21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1020</v>
      </c>
      <c r="G11" s="15" t="inlineStr">
        <is>
          <t>EUR</t>
        </is>
      </c>
      <c r="H11" s="14" t="n">
        <v>1020</v>
      </c>
      <c r="I11" s="16" t="n">
        <v>47601.4</v>
      </c>
      <c r="J11" s="16" t="n">
        <v>47601.4</v>
      </c>
      <c r="K11" s="14" t="n">
        <v>25.75</v>
      </c>
      <c r="L11" s="14" t="n">
        <v>52.99102</v>
      </c>
      <c r="M11" s="17">
        <f>IF(OR(F11="",K11="",K11&lt;=0),"",F11/K11)</f>
        <v/>
      </c>
      <c r="N11" s="18" t="n">
        <v>9.57333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2026-10-21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57</v>
      </c>
      <c r="G12" s="15" t="inlineStr">
        <is>
          <t>EUR</t>
        </is>
      </c>
      <c r="H12" s="14" t="n">
        <v>57</v>
      </c>
      <c r="I12" s="16" t="n">
        <v>34118.8</v>
      </c>
      <c r="J12" s="16" t="n">
        <v>34118.8</v>
      </c>
      <c r="K12" s="14" t="n">
        <v>10.39</v>
      </c>
      <c r="L12" s="14" t="n">
        <v>8.55368</v>
      </c>
      <c r="M12" s="17">
        <f>IF(OR(F12="",K12="",K12&lt;=0),"",F12/K12)</f>
        <v/>
      </c>
      <c r="N12" s="18" t="n">
        <v>0.35800648</v>
      </c>
      <c r="O12" s="19">
        <f>IF(OR(N12="",M12="",M12&lt;=0),"",N12/M12)</f>
        <v/>
      </c>
      <c r="P12" s="20" t="n">
        <v>0.06592000000000001</v>
      </c>
      <c r="Q12" s="20" t="n">
        <v>0.06592000000000001</v>
      </c>
      <c r="R12" s="20" t="n"/>
      <c r="S12" s="21" t="n">
        <v>0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0.04923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2026-10-21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69.2</v>
      </c>
      <c r="G13" s="15" t="inlineStr">
        <is>
          <t>EUR</t>
        </is>
      </c>
      <c r="H13" s="14" t="n">
        <v>69.2</v>
      </c>
      <c r="I13" s="16" t="n">
        <v>11265.9</v>
      </c>
      <c r="J13" s="16" t="n">
        <v>11265.9</v>
      </c>
      <c r="K13" s="14" t="n">
        <v>2.68</v>
      </c>
      <c r="L13" s="14" t="n">
        <v>3.74645</v>
      </c>
      <c r="M13" s="17">
        <f>IF(OR(F13="",K13="",K13&lt;=0),"",F13/K13)</f>
        <v/>
      </c>
      <c r="N13" s="18" t="n">
        <v>4.5016913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2026-10-21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Commerzbank</t>
        </is>
      </c>
      <c r="C14" s="12" t="inlineStr">
        <is>
          <t>CBK.DE</t>
        </is>
      </c>
      <c r="D14" s="11" t="inlineStr">
        <is>
          <t>Banca</t>
        </is>
      </c>
      <c r="E14" s="13" t="inlineStr">
        <is>
          <t>Finanziario</t>
        </is>
      </c>
      <c r="F14" s="14" t="n">
        <v>37.29</v>
      </c>
      <c r="G14" s="15" t="inlineStr">
        <is>
          <t>EUR</t>
        </is>
      </c>
      <c r="H14" s="14" t="n">
        <v>37.29</v>
      </c>
      <c r="I14" s="16" t="n">
        <v>40304.8</v>
      </c>
      <c r="J14" s="16" t="n">
        <v>40304.8</v>
      </c>
      <c r="K14" s="14" t="n">
        <v>2.61</v>
      </c>
      <c r="L14" s="14" t="n">
        <v>3.93641</v>
      </c>
      <c r="M14" s="17">
        <f>IF(OR(F14="",K14="",K14&lt;=0),"",F14/K14)</f>
        <v/>
      </c>
      <c r="N14" s="18" t="n">
        <v>1.1936238</v>
      </c>
      <c r="O14" s="19">
        <f>IF(OR(N14="",M14="",M14&lt;=0),"",N14/M14)</f>
        <v/>
      </c>
      <c r="P14" s="20" t="n">
        <v>0.09666</v>
      </c>
      <c r="Q14" s="20" t="n">
        <v>0.09666</v>
      </c>
      <c r="R14" s="20" t="n"/>
      <c r="S14" s="21" t="n">
        <v>0</v>
      </c>
      <c r="T14" s="20" t="n"/>
      <c r="U14" s="20" t="n">
        <v>0.07759614531910491</v>
      </c>
      <c r="V14" s="20" t="n">
        <v>0.07766624115121272</v>
      </c>
      <c r="W14" s="20" t="n">
        <v>0.06951737934483621</v>
      </c>
      <c r="X14" s="20" t="n">
        <v>0.04776169079713763</v>
      </c>
      <c r="Y14" s="14" t="n">
        <v>1.1</v>
      </c>
      <c r="Z14" s="19">
        <f>IF(OR(Y14="",F14="",F14=0),"",Y14/F14)</f>
        <v/>
      </c>
      <c r="AA14" s="22" t="n"/>
      <c r="AB14" s="20" t="n">
        <v>0.101</v>
      </c>
      <c r="AC14" s="20" t="n">
        <v>0.2217411473635379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2026-10-21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38.45</v>
      </c>
      <c r="G15" s="15" t="inlineStr">
        <is>
          <t>EUR</t>
        </is>
      </c>
      <c r="H15" s="14" t="n">
        <v>38.45</v>
      </c>
      <c r="I15" s="16" t="n">
        <v>10326.3</v>
      </c>
      <c r="J15" s="16" t="n">
        <v>10326.3</v>
      </c>
      <c r="K15" s="14" t="n">
        <v>3.32</v>
      </c>
      <c r="L15" s="14" t="n">
        <v>4.26387</v>
      </c>
      <c r="M15" s="17">
        <f>IF(OR(F15="",K15="",K15&lt;=0),"",F15/K15)</f>
        <v/>
      </c>
      <c r="N15" s="18" t="n">
        <v>0.81486034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2026-10-21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69.09999999999999</v>
      </c>
      <c r="G16" s="15" t="inlineStr">
        <is>
          <t>EUR</t>
        </is>
      </c>
      <c r="H16" s="14" t="n">
        <v>69.09999999999999</v>
      </c>
      <c r="I16" s="16" t="n">
        <v>34639.5</v>
      </c>
      <c r="J16" s="16" t="n">
        <v>34639.5</v>
      </c>
      <c r="K16" s="14" t="n">
        <v>10.44</v>
      </c>
      <c r="L16" s="14" t="n">
        <v>21.97345</v>
      </c>
      <c r="M16" s="17">
        <f>IF(OR(F16="",K16="",K16&lt;=0),"",F16/K16)</f>
        <v/>
      </c>
      <c r="N16" s="18" t="n">
        <v>0.19755274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2026-10-21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RWE</t>
        </is>
      </c>
      <c r="C17" s="12" t="inlineStr">
        <is>
          <t>RWE.DE</t>
        </is>
      </c>
      <c r="D17" s="11" t="inlineStr">
        <is>
          <t>Utility / Generazione</t>
        </is>
      </c>
      <c r="E17" s="13" t="inlineStr">
        <is>
          <t>Utility</t>
        </is>
      </c>
      <c r="F17" s="14" t="n">
        <v>58.16</v>
      </c>
      <c r="G17" s="15" t="inlineStr">
        <is>
          <t>EUR</t>
        </is>
      </c>
      <c r="H17" s="14" t="n">
        <v>58.16</v>
      </c>
      <c r="I17" s="16" t="n">
        <v>45363.9</v>
      </c>
      <c r="J17" s="16" t="n">
        <v>45363.9</v>
      </c>
      <c r="K17" s="14" t="n">
        <v>4.51</v>
      </c>
      <c r="L17" s="14" t="n">
        <v>3.36249</v>
      </c>
      <c r="M17" s="17">
        <f>IF(OR(F17="",K17="",K17&lt;=0),"",F17/K17)</f>
        <v/>
      </c>
      <c r="N17" s="18" t="n">
        <v>1.0431165</v>
      </c>
      <c r="O17" s="19">
        <f>IF(OR(N17="",M17="",M17&lt;=0),"",N17/M17)</f>
        <v/>
      </c>
      <c r="P17" s="20" t="n">
        <v>0.08547</v>
      </c>
      <c r="Q17" s="20" t="n">
        <v>0.09991327745593341</v>
      </c>
      <c r="R17" s="20" t="n">
        <v>0.04122771245141714</v>
      </c>
      <c r="S17" s="21" t="n">
        <v>4</v>
      </c>
      <c r="T17" s="20" t="n"/>
      <c r="U17" s="20" t="n">
        <v>0.09106774090340596</v>
      </c>
      <c r="V17" s="20" t="n">
        <v>0.1627626866144727</v>
      </c>
      <c r="W17" s="20" t="n">
        <v>0.04729497705491212</v>
      </c>
      <c r="X17" s="20" t="n">
        <v>0.09852770525094284</v>
      </c>
      <c r="Y17" s="14" t="n">
        <v>1.2</v>
      </c>
      <c r="Z17" s="19">
        <f>IF(OR(Y17="",F17="",F17=0),"",Y17/F17)</f>
        <v/>
      </c>
      <c r="AA17" s="22" t="n">
        <v>50.366</v>
      </c>
      <c r="AB17" s="20" t="n">
        <v>-0.091</v>
      </c>
      <c r="AC17" s="20" t="n">
        <v>0.183458127524393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2026-10-21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18.23</v>
      </c>
      <c r="G18" s="15" t="inlineStr">
        <is>
          <t>EUR</t>
        </is>
      </c>
      <c r="H18" s="14" t="n">
        <v>18.23</v>
      </c>
      <c r="I18" s="16" t="n">
        <v>47658.4</v>
      </c>
      <c r="J18" s="16" t="n">
        <v>47658.4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2.245627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2026-10-21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16.61</v>
      </c>
      <c r="G19" s="15" t="inlineStr">
        <is>
          <t>EUR</t>
        </is>
      </c>
      <c r="H19" s="14" t="n">
        <v>16.61</v>
      </c>
      <c r="I19" s="16" t="n">
        <v>14092.5</v>
      </c>
      <c r="J19" s="16" t="n">
        <v>14092.5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0.5170911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2026-10-21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SAP</t>
        </is>
      </c>
      <c r="C20" s="12" t="inlineStr">
        <is>
          <t>SAP.DE</t>
        </is>
      </c>
      <c r="D20" s="11" t="inlineStr">
        <is>
          <t>Software</t>
        </is>
      </c>
      <c r="E20" s="13" t="inlineStr">
        <is>
          <t>Tecnologia</t>
        </is>
      </c>
      <c r="F20" s="14" t="n">
        <v>208.65</v>
      </c>
      <c r="G20" s="15" t="inlineStr">
        <is>
          <t>EUR</t>
        </is>
      </c>
      <c r="H20" s="14" t="n">
        <v>208.65</v>
      </c>
      <c r="I20" s="16" t="n">
        <v>240824.7</v>
      </c>
      <c r="J20" s="16" t="n">
        <v>240824.7</v>
      </c>
      <c r="K20" s="14" t="n">
        <v>6.68</v>
      </c>
      <c r="L20" s="14" t="n">
        <v>8.404199999999999</v>
      </c>
      <c r="M20" s="17">
        <f>IF(OR(F20="",K20="",K20&lt;=0),"",F20/K20)</f>
        <v/>
      </c>
      <c r="N20" s="18" t="n">
        <v>5.3824325</v>
      </c>
      <c r="O20" s="19">
        <f>IF(OR(N20="",M20="",M20&lt;=0),"",N20/M20)</f>
        <v/>
      </c>
      <c r="P20" s="20" t="n">
        <v>0.18320999</v>
      </c>
      <c r="Q20" s="20" t="n">
        <v>0.18320999</v>
      </c>
      <c r="R20" s="20" t="n"/>
      <c r="S20" s="21" t="n">
        <v>0</v>
      </c>
      <c r="T20" s="20" t="n"/>
      <c r="U20" s="20" t="n">
        <v>0.160610954111156</v>
      </c>
      <c r="V20" s="20" t="n">
        <v>0.06875302610150094</v>
      </c>
      <c r="W20" s="20" t="n">
        <v>0.1422480709965938</v>
      </c>
      <c r="X20" s="20" t="n">
        <v>0.05683571393022446</v>
      </c>
      <c r="Y20" s="14" t="n">
        <v>2.5</v>
      </c>
      <c r="Z20" s="19">
        <f>IF(OR(Y20="",F20="",F20=0),"",Y20/F20)</f>
        <v/>
      </c>
      <c r="AA20" s="22" t="n">
        <v>21.966</v>
      </c>
      <c r="AB20" s="20" t="n">
        <v>0.094</v>
      </c>
      <c r="AC20" s="20" t="n">
        <v>0.20413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2026-10-21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Brenntag</t>
        </is>
      </c>
      <c r="C21" s="12" t="inlineStr">
        <is>
          <t>BNR.DE</t>
        </is>
      </c>
      <c r="D21" s="11" t="inlineStr">
        <is>
          <t>Distribuzione chimica</t>
        </is>
      </c>
      <c r="E21" s="13" t="inlineStr">
        <is>
          <t>Industriale</t>
        </is>
      </c>
      <c r="F21" s="14" t="n">
        <v>62.64</v>
      </c>
      <c r="G21" s="15" t="inlineStr">
        <is>
          <t>EUR</t>
        </is>
      </c>
      <c r="H21" s="14" t="n">
        <v>62.64</v>
      </c>
      <c r="I21" s="16" t="n">
        <v>9044.299999999999</v>
      </c>
      <c r="J21" s="16" t="n">
        <v>9044.299999999999</v>
      </c>
      <c r="K21" s="14" t="n">
        <v>2.52</v>
      </c>
      <c r="L21" s="14" t="n">
        <v>4.17018</v>
      </c>
      <c r="M21" s="17">
        <f>IF(OR(F21="",K21="",K21&lt;=0),"",F21/K21)</f>
        <v/>
      </c>
      <c r="N21" s="18" t="n">
        <v>2.039793</v>
      </c>
      <c r="O21" s="19">
        <f>IF(OR(N21="",M21="",M21&lt;=0),"",N21/M21)</f>
        <v/>
      </c>
      <c r="P21" s="20" t="n">
        <v>0.08531000499999999</v>
      </c>
      <c r="Q21" s="20" t="n">
        <v>0.1318613129768742</v>
      </c>
      <c r="R21" s="20" t="n">
        <v>0.04868245762110701</v>
      </c>
      <c r="S21" s="21" t="n">
        <v>4</v>
      </c>
      <c r="T21" s="20" t="n"/>
      <c r="U21" s="20" t="n">
        <v>0.06133376602304073</v>
      </c>
      <c r="V21" s="20" t="n">
        <v>0.1134406668500222</v>
      </c>
      <c r="W21" s="20" t="n">
        <v>0.1660742908913513</v>
      </c>
      <c r="X21" s="20" t="n">
        <v>0.1865965281430826</v>
      </c>
      <c r="Y21" s="14" t="n">
        <v>1.9</v>
      </c>
      <c r="Z21" s="19">
        <f>IF(OR(Y21="",F21="",F21=0),"",Y21/F21)</f>
        <v/>
      </c>
      <c r="AA21" s="22" t="n">
        <v>80.702</v>
      </c>
      <c r="AB21" s="20" t="n">
        <v>0.102</v>
      </c>
      <c r="AC21" s="20" t="n">
        <v>0.02403190192136572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2026-10-21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78.04000000000001</v>
      </c>
      <c r="G22" s="15" t="inlineStr">
        <is>
          <t>EUR</t>
        </is>
      </c>
      <c r="H22" s="14" t="n">
        <v>78.04000000000001</v>
      </c>
      <c r="I22" s="16" t="n">
        <v>31594.6</v>
      </c>
      <c r="J22" s="16" t="n">
        <v>31594.6</v>
      </c>
      <c r="K22" s="14" t="n">
        <v>4.69</v>
      </c>
      <c r="L22" s="14" t="n">
        <v>5.86276</v>
      </c>
      <c r="M22" s="17">
        <f>IF(OR(F22="",K22="",K22&lt;=0),"",F22/K22)</f>
        <v/>
      </c>
      <c r="N22" s="18" t="n">
        <v>1.50834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32.159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2026-10-21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81.18000000000001</v>
      </c>
      <c r="G23" s="15" t="inlineStr">
        <is>
          <t>EUR</t>
        </is>
      </c>
      <c r="H23" s="14" t="n">
        <v>81.18000000000001</v>
      </c>
      <c r="I23" s="16" t="n">
        <v>17739.8</v>
      </c>
      <c r="J23" s="16" t="n">
        <v>17739.8</v>
      </c>
      <c r="K23" s="14" t="n">
        <v>4.3</v>
      </c>
      <c r="L23" s="14" t="n">
        <v>4.00944</v>
      </c>
      <c r="M23" s="17">
        <f>IF(OR(F23="",K23="",K23&lt;=0),"",F23/K23)</f>
        <v/>
      </c>
      <c r="N23" s="18" t="n">
        <v>1.9669986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2026-10-21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53.09</v>
      </c>
      <c r="G24" s="15" t="inlineStr">
        <is>
          <t>EUR</t>
        </is>
      </c>
      <c r="H24" s="14" t="n">
        <v>53.09</v>
      </c>
      <c r="I24" s="16" t="n">
        <v>68990.39999999999</v>
      </c>
      <c r="J24" s="16" t="n">
        <v>68990.39999999999</v>
      </c>
      <c r="K24" s="14" t="n">
        <v>0.92</v>
      </c>
      <c r="L24" s="14" t="n">
        <v>2.87076</v>
      </c>
      <c r="M24" s="17">
        <f>IF(OR(F24="",K24="",K24&lt;=0),"",F24/K24)</f>
        <v/>
      </c>
      <c r="N24" s="18" t="n">
        <v>3.9732075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2026-10-21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142.25</v>
      </c>
      <c r="G25" s="15" t="inlineStr">
        <is>
          <t>EUR</t>
        </is>
      </c>
      <c r="H25" s="14" t="n">
        <v>142.25</v>
      </c>
      <c r="I25" s="16" t="n">
        <v>61847.2</v>
      </c>
      <c r="J25" s="16" t="n">
        <v>61847.2</v>
      </c>
      <c r="K25" s="14" t="n">
        <v>5.45</v>
      </c>
      <c r="L25" s="14" t="n">
        <v>8.92984</v>
      </c>
      <c r="M25" s="17">
        <f>IF(OR(F25="",K25="",K25&lt;=0),"",F25/K25)</f>
        <v/>
      </c>
      <c r="N25" s="18" t="n">
        <v>2.0444093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2026-10-21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41.71</v>
      </c>
      <c r="G26" s="15" t="inlineStr">
        <is>
          <t>EUR</t>
        </is>
      </c>
      <c r="H26" s="14" t="n">
        <v>41.71</v>
      </c>
      <c r="I26" s="16" t="n">
        <v>46681.8</v>
      </c>
      <c r="J26" s="16" t="n">
        <v>46681.8</v>
      </c>
      <c r="K26" s="14" t="n">
        <v>1.97</v>
      </c>
      <c r="L26" s="14" t="n">
        <v>2.38068</v>
      </c>
      <c r="M26" s="17">
        <f>IF(OR(F26="",K26="",K26&lt;=0),"",F26/K26)</f>
        <v/>
      </c>
      <c r="N26" s="18" t="n">
        <v>2.4346251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2026-10-21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Siemens</t>
        </is>
      </c>
      <c r="C27" s="12" t="inlineStr">
        <is>
          <t>SIE.DE</t>
        </is>
      </c>
      <c r="D27" s="11" t="inlineStr">
        <is>
          <t>Conglomerata industriale</t>
        </is>
      </c>
      <c r="E27" s="13" t="inlineStr">
        <is>
          <t>Industriale</t>
        </is>
      </c>
      <c r="F27" s="14" t="n">
        <v>266.75</v>
      </c>
      <c r="G27" s="15" t="inlineStr">
        <is>
          <t>EUR</t>
        </is>
      </c>
      <c r="H27" s="14" t="n">
        <v>266.75</v>
      </c>
      <c r="I27" s="16" t="n">
        <v>203854.3</v>
      </c>
      <c r="J27" s="16" t="n">
        <v>203854.3</v>
      </c>
      <c r="K27" s="14" t="n">
        <v>10</v>
      </c>
      <c r="L27" s="14" t="n">
        <v>13.00633</v>
      </c>
      <c r="M27" s="17">
        <f>IF(OR(F27="",K27="",K27&lt;=0),"",F27/K27)</f>
        <v/>
      </c>
      <c r="N27" s="18" t="n">
        <v>3.0248566</v>
      </c>
      <c r="O27" s="19">
        <f>IF(OR(N27="",M27="",M27&lt;=0),"",N27/M27)</f>
        <v/>
      </c>
      <c r="P27" s="20" t="n">
        <v>0.12465999</v>
      </c>
      <c r="Q27" s="20" t="n">
        <v>0.12465999</v>
      </c>
      <c r="R27" s="20" t="n"/>
      <c r="S27" s="21" t="n">
        <v>0</v>
      </c>
      <c r="T27" s="20" t="n"/>
      <c r="U27" s="20" t="n">
        <v>0.1545530492898914</v>
      </c>
      <c r="V27" s="20" t="n">
        <v>0.1619264981273408</v>
      </c>
      <c r="W27" s="20" t="n">
        <v>0.1663597170482609</v>
      </c>
      <c r="X27" s="20" t="n">
        <v>0.07614275488291236</v>
      </c>
      <c r="Y27" s="14" t="n">
        <v>5.35</v>
      </c>
      <c r="Z27" s="19">
        <f>IF(OR(Y27="",F27="",F27=0),"",Y27/F27)</f>
        <v/>
      </c>
      <c r="AA27" s="22" t="n">
        <v>66.425</v>
      </c>
      <c r="AB27" s="20" t="n">
        <v>0.073</v>
      </c>
      <c r="AC27" s="20" t="n">
        <v>0.09972882033606205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2026-10-21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347.4</v>
      </c>
      <c r="G28" s="15" t="inlineStr">
        <is>
          <t>EUR</t>
        </is>
      </c>
      <c r="H28" s="14" t="n">
        <v>347.4</v>
      </c>
      <c r="I28" s="16" t="n">
        <v>18714.7</v>
      </c>
      <c r="J28" s="16" t="n">
        <v>18714.7</v>
      </c>
      <c r="K28" s="14" t="n">
        <v>17.25</v>
      </c>
      <c r="L28" s="14" t="n">
        <v>20.67373</v>
      </c>
      <c r="M28" s="17">
        <f>IF(OR(F28="",K28="",K28&lt;=0),"",F28/K28)</f>
        <v/>
      </c>
      <c r="N28" s="18" t="n">
        <v>4.1194324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2026-10-20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160.75</v>
      </c>
      <c r="G29" s="15" t="inlineStr">
        <is>
          <t>EUR</t>
        </is>
      </c>
      <c r="H29" s="14" t="n">
        <v>160.75</v>
      </c>
      <c r="I29" s="16" t="n">
        <v>28141.4</v>
      </c>
      <c r="J29" s="16" t="n">
        <v>28141.4</v>
      </c>
      <c r="K29" s="14" t="n">
        <v>7.8</v>
      </c>
      <c r="L29" s="14" t="n">
        <v>11.64614</v>
      </c>
      <c r="M29" s="17">
        <f>IF(OR(F29="",K29="",K29&lt;=0),"",F29/K29)</f>
        <v/>
      </c>
      <c r="N29" s="18" t="n">
        <v>4.724884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2026-10-21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Zalando</t>
        </is>
      </c>
      <c r="C30" s="12" t="inlineStr">
        <is>
          <t>ZAL.DE</t>
        </is>
      </c>
      <c r="D30" s="11" t="inlineStr">
        <is>
          <t>E-commerce</t>
        </is>
      </c>
      <c r="E30" s="13" t="inlineStr">
        <is>
          <t>Consumi</t>
        </is>
      </c>
      <c r="F30" s="14" t="n">
        <v>25.75</v>
      </c>
      <c r="G30" s="15" t="inlineStr">
        <is>
          <t>EUR</t>
        </is>
      </c>
      <c r="H30" s="14" t="n">
        <v>25.75</v>
      </c>
      <c r="I30" s="16" t="n">
        <v>6288.7</v>
      </c>
      <c r="J30" s="16" t="n">
        <v>6288.7</v>
      </c>
      <c r="K30" s="14" t="n">
        <v>0.37</v>
      </c>
      <c r="L30" s="14" t="n">
        <v>1.85143</v>
      </c>
      <c r="M30" s="17">
        <f>IF(OR(F30="",K30="",K30&lt;=0),"",F30/K30)</f>
        <v/>
      </c>
      <c r="N30" s="18" t="n">
        <v>2.4990296</v>
      </c>
      <c r="O30" s="19">
        <f>IF(OR(N30="",M30="",M30&lt;=0),"",N30/M30)</f>
        <v/>
      </c>
      <c r="P30" s="20" t="n">
        <v>0.0345</v>
      </c>
      <c r="Q30" s="20" t="n">
        <v>0.0532363275090132</v>
      </c>
      <c r="R30" s="20" t="n">
        <v>0.0339673993502578</v>
      </c>
      <c r="S30" s="21" t="n">
        <v>4</v>
      </c>
      <c r="T30" s="20" t="n"/>
      <c r="U30" s="20" t="n">
        <v>0.076120036803737</v>
      </c>
      <c r="V30" s="20" t="n">
        <v>0.09421078302630098</v>
      </c>
      <c r="W30" s="20" t="n">
        <v>0.03497534870001264</v>
      </c>
      <c r="X30" s="20" t="n">
        <v>0.007639141506002182</v>
      </c>
      <c r="Y30" s="14" t="n"/>
      <c r="Z30" s="19">
        <f>IF(OR(Y30="",F30="",F30=0),"",Y30/F30)</f>
        <v/>
      </c>
      <c r="AA30" s="22" t="n">
        <v>53.379</v>
      </c>
      <c r="AB30" s="20" t="n">
        <v>0.208</v>
      </c>
      <c r="AC30" s="20" t="n">
        <v>0.007678475968314137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2026-10-21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Porsche AG</t>
        </is>
      </c>
      <c r="C31" s="12" t="inlineStr">
        <is>
          <t>P911.DE</t>
        </is>
      </c>
      <c r="D31" s="11" t="inlineStr">
        <is>
          <t>Auto di lusso</t>
        </is>
      </c>
      <c r="E31" s="13" t="inlineStr">
        <is>
          <t>Consumi</t>
        </is>
      </c>
      <c r="F31" s="14" t="n">
        <v>42.96</v>
      </c>
      <c r="G31" s="15" t="inlineStr">
        <is>
          <t>EUR</t>
        </is>
      </c>
      <c r="H31" s="14" t="n">
        <v>42.96</v>
      </c>
      <c r="I31" s="16" t="n">
        <v>39136.6</v>
      </c>
      <c r="J31" s="16" t="n">
        <v>39136.6</v>
      </c>
      <c r="K31" s="14" t="n">
        <v>0.92</v>
      </c>
      <c r="L31" s="14" t="n">
        <v>1.81587</v>
      </c>
      <c r="M31" s="17">
        <f>IF(OR(F31="",K31="",K31&lt;=0),"",F31/K31)</f>
        <v/>
      </c>
      <c r="N31" s="18" t="n">
        <v>1.7124407</v>
      </c>
      <c r="O31" s="19">
        <f>IF(OR(N31="",M31="",M31&lt;=0),"",N31/M31)</f>
        <v/>
      </c>
      <c r="P31" s="20" t="n">
        <v>0.02861</v>
      </c>
      <c r="Q31" s="20" t="n">
        <v>0.1759856797926469</v>
      </c>
      <c r="R31" s="20" t="n">
        <v>0.1028024855712775</v>
      </c>
      <c r="S31" s="21" t="n">
        <v>4</v>
      </c>
      <c r="T31" s="20" t="n"/>
      <c r="U31" s="20" t="n">
        <v>0.01874646600843808</v>
      </c>
      <c r="V31" s="20" t="n">
        <v>0.1558824805797856</v>
      </c>
      <c r="W31" s="20" t="n">
        <v>0.2380117228965708</v>
      </c>
      <c r="X31" s="20" t="n">
        <v>0.2913020496857932</v>
      </c>
      <c r="Y31" s="14" t="n">
        <v>1.01</v>
      </c>
      <c r="Z31" s="19">
        <f>IF(OR(Y31="",F31="",F31=0),"",Y31/F31)</f>
        <v/>
      </c>
      <c r="AA31" s="22" t="n">
        <v>50.953</v>
      </c>
      <c r="AB31" s="20" t="n">
        <v>-0.051</v>
      </c>
      <c r="AC31" s="20" t="n">
        <v>0.02324234904880066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2026-10-21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Qiagen</t>
        </is>
      </c>
      <c r="C32" s="12" t="inlineStr">
        <is>
          <t>QIA.DE</t>
        </is>
      </c>
      <c r="D32" s="11" t="inlineStr">
        <is>
          <t>Diagnostica</t>
        </is>
      </c>
      <c r="E32" s="13" t="inlineStr">
        <is>
          <t>Salute</t>
        </is>
      </c>
      <c r="F32" s="14" t="n">
        <v>42.82</v>
      </c>
      <c r="G32" s="15" t="inlineStr">
        <is>
          <t>EUR</t>
        </is>
      </c>
      <c r="H32" s="14" t="n">
        <v>42.82</v>
      </c>
      <c r="I32" s="16" t="n">
        <v>8842.1</v>
      </c>
      <c r="J32" s="16" t="n">
        <v>8842.1</v>
      </c>
      <c r="K32" s="14" t="n">
        <v>1.69</v>
      </c>
      <c r="L32" s="14" t="n">
        <v>2.27313</v>
      </c>
      <c r="M32" s="17">
        <f>IF(OR(F32="",K32="",K32&lt;=0),"",F32/K32)</f>
        <v/>
      </c>
      <c r="N32" s="18" t="n">
        <v>2.9529235</v>
      </c>
      <c r="O32" s="19">
        <f>IF(OR(N32="",M32="",M32&lt;=0),"",N32/M32)</f>
        <v/>
      </c>
      <c r="P32" s="20" t="n">
        <v>0.11928</v>
      </c>
      <c r="Q32" s="20" t="n">
        <v>0.08690121198682332</v>
      </c>
      <c r="R32" s="20" t="n">
        <v>0.03849207167992108</v>
      </c>
      <c r="S32" s="21" t="n">
        <v>4</v>
      </c>
      <c r="T32" s="20" t="n"/>
      <c r="U32" s="20" t="n">
        <v>0.1124570358963663</v>
      </c>
      <c r="V32" s="20" t="n">
        <v>0.02343231187167802</v>
      </c>
      <c r="W32" s="20" t="n">
        <v>0.08963344366930304</v>
      </c>
      <c r="X32" s="20" t="n">
        <v>0.1220820565099459</v>
      </c>
      <c r="Y32" s="14" t="n">
        <v>0.31</v>
      </c>
      <c r="Z32" s="19">
        <f>IF(OR(Y32="",F32="",F32=0),"",Y32/F32)</f>
        <v/>
      </c>
      <c r="AA32" s="22" t="n">
        <v>49.25</v>
      </c>
      <c r="AB32" s="20" t="n">
        <v>0.003</v>
      </c>
      <c r="AC32" s="20" t="n">
        <v>0.19584506978233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2026-10-21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Daimler Truck</t>
        </is>
      </c>
      <c r="C33" s="12" t="inlineStr">
        <is>
          <t>DTG.DE</t>
        </is>
      </c>
      <c r="D33" s="11" t="inlineStr">
        <is>
          <t>Veicoli industriali</t>
        </is>
      </c>
      <c r="E33" s="13" t="inlineStr">
        <is>
          <t>Industriale</t>
        </is>
      </c>
      <c r="F33" s="14" t="n">
        <v>40.92</v>
      </c>
      <c r="G33" s="15" t="inlineStr">
        <is>
          <t>EUR</t>
        </is>
      </c>
      <c r="H33" s="14" t="n">
        <v>40.92</v>
      </c>
      <c r="I33" s="16" t="n">
        <v>31107.9</v>
      </c>
      <c r="J33" s="16" t="n">
        <v>31107.9</v>
      </c>
      <c r="K33" s="14" t="n">
        <v>1.44</v>
      </c>
      <c r="L33" s="14" t="n">
        <v>4.80066</v>
      </c>
      <c r="M33" s="17">
        <f>IF(OR(F33="",K33="",K33&lt;=0),"",F33/K33)</f>
        <v/>
      </c>
      <c r="N33" s="18" t="n">
        <v>1.3782418</v>
      </c>
      <c r="O33" s="19">
        <f>IF(OR(N33="",M33="",M33&lt;=0),"",N33/M33)</f>
        <v/>
      </c>
      <c r="P33" s="20" t="n">
        <v>0.05047</v>
      </c>
      <c r="Q33" s="20" t="n">
        <v>0.05047</v>
      </c>
      <c r="R33" s="20" t="n"/>
      <c r="S33" s="21" t="n">
        <v>0</v>
      </c>
      <c r="T33" s="20" t="n"/>
      <c r="U33" s="20" t="n">
        <v>0.0914068299925761</v>
      </c>
      <c r="V33" s="20" t="n">
        <v>0.1306012159423553</v>
      </c>
      <c r="W33" s="20" t="n">
        <v>0.174728072205508</v>
      </c>
      <c r="X33" s="20" t="n">
        <v>0.1329044484340714</v>
      </c>
      <c r="Y33" s="14" t="n">
        <v>1.9</v>
      </c>
      <c r="Z33" s="19">
        <f>IF(OR(Y33="",F33="",F33=0),"",Y33/F33)</f>
        <v/>
      </c>
      <c r="AA33" s="22" t="n">
        <v>127.015</v>
      </c>
      <c r="AB33" s="20" t="n">
        <v>0.053</v>
      </c>
      <c r="AC33" s="20" t="n">
        <v>0.057239998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2026-10-21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Siemens Energy</t>
        </is>
      </c>
      <c r="C34" s="12" t="inlineStr">
        <is>
          <t>ENR.DE</t>
        </is>
      </c>
      <c r="D34" s="11" t="inlineStr">
        <is>
          <t>Elettrificazione / Energia</t>
        </is>
      </c>
      <c r="E34" s="13" t="inlineStr">
        <is>
          <t>Industriale</t>
        </is>
      </c>
      <c r="F34" s="14" t="n">
        <v>133.64</v>
      </c>
      <c r="G34" s="15" t="inlineStr">
        <is>
          <t>EUR</t>
        </is>
      </c>
      <c r="H34" s="14" t="n">
        <v>133.64</v>
      </c>
      <c r="I34" s="16" t="n">
        <v>113707.4</v>
      </c>
      <c r="J34" s="16" t="n">
        <v>113707.4</v>
      </c>
      <c r="K34" s="14" t="n">
        <v>3.1</v>
      </c>
      <c r="L34" s="14" t="n">
        <v>6.24731</v>
      </c>
      <c r="M34" s="17">
        <f>IF(OR(F34="",K34="",K34&lt;=0),"",F34/K34)</f>
        <v/>
      </c>
      <c r="N34" s="18" t="n">
        <v>10.60046</v>
      </c>
      <c r="O34" s="19">
        <f>IF(OR(N34="",M34="",M34&lt;=0),"",N34/M34)</f>
        <v/>
      </c>
      <c r="P34" s="20" t="n">
        <v>0.27749002</v>
      </c>
      <c r="Q34" s="20" t="n">
        <v>-0.07313166554355918</v>
      </c>
      <c r="R34" s="20" t="n">
        <v>0.2735379738789365</v>
      </c>
      <c r="S34" s="21" t="n">
        <v>4</v>
      </c>
      <c r="T34" s="20" t="n"/>
      <c r="U34" s="20" t="n">
        <v>0.1372682263857878</v>
      </c>
      <c r="V34" s="20" t="n">
        <v>0.1304683195592287</v>
      </c>
      <c r="W34" s="20" t="n">
        <v>-0.5329883570504528</v>
      </c>
      <c r="X34" s="20" t="n">
        <v>-0.02727485106880037</v>
      </c>
      <c r="Y34" s="14" t="n">
        <v>0.7</v>
      </c>
      <c r="Z34" s="19">
        <f>IF(OR(Y34="",F34="",F34=0),"",Y34/F34)</f>
        <v/>
      </c>
      <c r="AA34" s="22" t="n">
        <v>26.488</v>
      </c>
      <c r="AB34" s="20" t="n">
        <v>0.175</v>
      </c>
      <c r="AC34" s="20" t="n">
        <v>0.06888962817002328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2026-10-21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Symrise</t>
        </is>
      </c>
      <c r="C35" s="12" t="inlineStr">
        <is>
          <t>SY1.DE</t>
        </is>
      </c>
      <c r="D35" s="11" t="inlineStr">
        <is>
          <t>Aromi e fragranze</t>
        </is>
      </c>
      <c r="E35" s="13" t="inlineStr">
        <is>
          <t>Materiali</t>
        </is>
      </c>
      <c r="F35" s="14" t="n">
        <v>101</v>
      </c>
      <c r="G35" s="15" t="inlineStr">
        <is>
          <t>EUR</t>
        </is>
      </c>
      <c r="H35" s="14" t="n">
        <v>101</v>
      </c>
      <c r="I35" s="16" t="n">
        <v>13855.2</v>
      </c>
      <c r="J35" s="16" t="n">
        <v>13855.2</v>
      </c>
      <c r="K35" s="14" t="n">
        <v>1.77</v>
      </c>
      <c r="L35" s="14" t="n">
        <v>4.38623</v>
      </c>
      <c r="M35" s="17">
        <f>IF(OR(F35="",K35="",K35&lt;=0),"",F35/K35)</f>
        <v/>
      </c>
      <c r="N35" s="18" t="n">
        <v>3.7107797</v>
      </c>
      <c r="O35" s="19">
        <f>IF(OR(N35="",M35="",M35&lt;=0),"",N35/M35)</f>
        <v/>
      </c>
      <c r="P35" s="20" t="n">
        <v>0.06708</v>
      </c>
      <c r="Q35" s="20" t="n">
        <v>0.06708</v>
      </c>
      <c r="R35" s="20" t="n"/>
      <c r="S35" s="21" t="n">
        <v>0</v>
      </c>
      <c r="T35" s="20" t="n"/>
      <c r="U35" s="20" t="n">
        <v>0.06703170317031704</v>
      </c>
      <c r="V35" s="20" t="n">
        <v>0.1201211701053456</v>
      </c>
      <c r="W35" s="20" t="n">
        <v>0.09376135965579004</v>
      </c>
      <c r="X35" s="20" t="n">
        <v>0.07884473944154541</v>
      </c>
      <c r="Y35" s="14" t="n">
        <v>1.25</v>
      </c>
      <c r="Z35" s="19">
        <f>IF(OR(Y35="",F35="",F35=0),"",Y35/F35)</f>
        <v/>
      </c>
      <c r="AA35" s="22" t="n">
        <v>60.613</v>
      </c>
      <c r="AB35" s="20" t="n">
        <v>-0.006</v>
      </c>
      <c r="AC35" s="20" t="n">
        <v>0.05007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2026-10-21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45.595</v>
      </c>
      <c r="G36" s="15" t="inlineStr">
        <is>
          <t>EUR</t>
        </is>
      </c>
      <c r="H36" s="14" t="n">
        <v>45.595</v>
      </c>
      <c r="I36" s="16" t="n">
        <v>25680.8</v>
      </c>
      <c r="J36" s="16" t="n">
        <v>25680.8</v>
      </c>
      <c r="K36" s="14" t="n">
        <v>2.77</v>
      </c>
      <c r="L36" s="14" t="n">
        <v>3.95297</v>
      </c>
      <c r="M36" s="17">
        <f>IF(OR(F36="",K36="",K36&lt;=0),"",F36/K36)</f>
        <v/>
      </c>
      <c r="N36" s="18" t="n">
        <v>1.3036456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2026-10-21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25.24</v>
      </c>
      <c r="G37" s="15" t="inlineStr">
        <is>
          <t>EUR</t>
        </is>
      </c>
      <c r="H37" s="14" t="n">
        <v>25.24</v>
      </c>
      <c r="I37" s="16" t="n">
        <v>7729.7</v>
      </c>
      <c r="J37" s="16" t="n">
        <v>7729.7</v>
      </c>
      <c r="K37" s="14" t="n">
        <v>0.31</v>
      </c>
      <c r="L37" s="14" t="n">
        <v>12.91484</v>
      </c>
      <c r="M37" s="17">
        <f>IF(OR(F37="",K37="",K37&lt;=0),"",F37/K37)</f>
        <v/>
      </c>
      <c r="N37" s="18" t="n">
        <v>0.21636264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2026-10-21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261.1</v>
      </c>
      <c r="G38" s="15" t="inlineStr">
        <is>
          <t>EUR</t>
        </is>
      </c>
      <c r="H38" s="14" t="n">
        <v>261.1</v>
      </c>
      <c r="I38" s="16" t="n">
        <v>18029.6</v>
      </c>
      <c r="J38" s="16" t="n">
        <v>18029.6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6.660884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2026-10-21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52.58</v>
      </c>
      <c r="G39" s="15" t="inlineStr">
        <is>
          <t>EUR</t>
        </is>
      </c>
      <c r="H39" s="14" t="n">
        <v>52.58</v>
      </c>
      <c r="I39" s="16" t="n">
        <v>46497.8</v>
      </c>
      <c r="J39" s="16" t="n">
        <v>46497.8</v>
      </c>
      <c r="K39" s="14" t="n">
        <v>2.4</v>
      </c>
      <c r="L39" s="14" t="n">
        <v>2.92646</v>
      </c>
      <c r="M39" s="17">
        <f>IF(OR(F39="",K39="",K39&lt;=0),"",F39/K39)</f>
        <v/>
      </c>
      <c r="N39" s="18" t="n">
        <v>1.255432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2026-10-21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44.63</v>
      </c>
      <c r="G40" s="15" t="inlineStr">
        <is>
          <t>EUR</t>
        </is>
      </c>
      <c r="H40" s="14" t="n">
        <v>44.63</v>
      </c>
      <c r="I40" s="16" t="n">
        <v>43845.6</v>
      </c>
      <c r="J40" s="16" t="n">
        <v>43845.6</v>
      </c>
      <c r="K40" s="14" t="n">
        <v>-1.76</v>
      </c>
      <c r="L40" s="14" t="n">
        <v>4.84719</v>
      </c>
      <c r="M40" s="17">
        <f>IF(OR(F40="",K40="",K40&lt;=0),"",F40/K40)</f>
        <v/>
      </c>
      <c r="N40" s="18" t="n">
        <v>1.4820842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2026-10-21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67.73999999999999</v>
      </c>
      <c r="G41" s="15" t="inlineStr">
        <is>
          <t>EUR</t>
        </is>
      </c>
      <c r="H41" s="14" t="n">
        <v>67.73999999999999</v>
      </c>
      <c r="I41" s="16" t="n">
        <v>13548.4</v>
      </c>
      <c r="J41" s="16" t="n">
        <v>13548.4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3.2241788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2026-10-21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60.9</v>
      </c>
      <c r="G42" s="15" t="inlineStr">
        <is>
          <t>EUR</t>
        </is>
      </c>
      <c r="H42" s="14" t="n">
        <v>60.9</v>
      </c>
      <c r="I42" s="16" t="n">
        <v>11494.3</v>
      </c>
      <c r="J42" s="16" t="n">
        <v>11494.3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1.7270226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2026-10-21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444.8</v>
      </c>
      <c r="G43" s="15" t="inlineStr">
        <is>
          <t>EUR</t>
        </is>
      </c>
      <c r="H43" s="14" t="n">
        <v>444.8</v>
      </c>
      <c r="I43" s="16" t="n">
        <v>205044</v>
      </c>
      <c r="J43" s="16" t="n">
        <v>205044</v>
      </c>
      <c r="K43" s="14" t="n"/>
      <c r="L43" s="14" t="n"/>
      <c r="M43" s="17">
        <f>IF(OR(F43="",K43="",K43&lt;=0),"",F43/K43)</f>
        <v/>
      </c>
      <c r="N43" s="18" t="n">
        <v>5.8834815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2026-10-21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25.51</v>
      </c>
      <c r="G44" s="15" t="inlineStr">
        <is>
          <t>EUR</t>
        </is>
      </c>
      <c r="H44" s="14" t="n">
        <v>25.51</v>
      </c>
      <c r="I44" s="16" t="n">
        <v>3755.3</v>
      </c>
      <c r="J44" s="16" t="n">
        <v>3755.3</v>
      </c>
      <c r="K44" s="14" t="n">
        <v>-3.01</v>
      </c>
      <c r="L44" s="14" t="n">
        <v>0.27222</v>
      </c>
      <c r="M44" s="17">
        <f>IF(OR(F44="",K44="",K44&lt;=0),"",F44/K44)</f>
        <v/>
      </c>
      <c r="N44" s="18" t="n">
        <v>2.054276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2026-10-21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80.90000000000001</v>
      </c>
      <c r="G2" s="15" t="inlineStr">
        <is>
          <t>EUR</t>
        </is>
      </c>
      <c r="H2" s="14" t="n">
        <v>80.90000000000001</v>
      </c>
      <c r="I2" s="16" t="n">
        <v>178370.7</v>
      </c>
      <c r="J2" s="16" t="n">
        <v>178370.7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1.5772789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2026-10-21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86.81</v>
      </c>
      <c r="G3" s="15" t="inlineStr">
        <is>
          <t>EUR</t>
        </is>
      </c>
      <c r="H3" s="14" t="n">
        <v>86.81</v>
      </c>
      <c r="I3" s="16" t="n">
        <v>95143.8</v>
      </c>
      <c r="J3" s="16" t="n">
        <v>95143.8</v>
      </c>
      <c r="K3" s="14" t="n">
        <v>11.23</v>
      </c>
      <c r="L3" s="14" t="n">
        <v>13.25077</v>
      </c>
      <c r="M3" s="17">
        <f>IF(OR(F3="",K3="",K3&lt;=0),"",F3/K3)</f>
        <v/>
      </c>
      <c r="N3" s="18" t="n">
        <v>0.7922066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2026-10-21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Teleperformance</t>
        </is>
      </c>
      <c r="C4" s="12" t="inlineStr">
        <is>
          <t>TEP.PA</t>
        </is>
      </c>
      <c r="D4" s="11" t="inlineStr">
        <is>
          <t>Servizi esternalizzati</t>
        </is>
      </c>
      <c r="E4" s="13" t="inlineStr">
        <is>
          <t>Industriale</t>
        </is>
      </c>
      <c r="F4" s="14" t="n">
        <v>75.98</v>
      </c>
      <c r="G4" s="15" t="inlineStr">
        <is>
          <t>EUR</t>
        </is>
      </c>
      <c r="H4" s="14" t="n">
        <v>75.98</v>
      </c>
      <c r="I4" s="16" t="n">
        <v>4417</v>
      </c>
      <c r="J4" s="16" t="n">
        <v>4417</v>
      </c>
      <c r="K4" s="14" t="n">
        <v>7.91</v>
      </c>
      <c r="L4" s="14" t="n">
        <v>14.21599</v>
      </c>
      <c r="M4" s="17">
        <f>IF(OR(F4="",K4="",K4&lt;=0),"",F4/K4)</f>
        <v/>
      </c>
      <c r="N4" s="18" t="n">
        <v>1.0534197</v>
      </c>
      <c r="O4" s="19">
        <f>IF(OR(N4="",M4="",M4&lt;=0),"",N4/M4)</f>
        <v/>
      </c>
      <c r="P4" s="20" t="n">
        <v>0.11395001</v>
      </c>
      <c r="Q4" s="20" t="n">
        <v>0.1379142974696466</v>
      </c>
      <c r="R4" s="20" t="n">
        <v>0.02348834113828559</v>
      </c>
      <c r="S4" s="21" t="n">
        <v>4</v>
      </c>
      <c r="T4" s="20" t="n"/>
      <c r="U4" s="20" t="n">
        <v>0.1213082743470832</v>
      </c>
      <c r="V4" s="20" t="n">
        <v>0.114793678665496</v>
      </c>
      <c r="W4" s="20" t="n">
        <v>0.1403508771929824</v>
      </c>
      <c r="X4" s="20" t="n">
        <v>0.1752043596730245</v>
      </c>
      <c r="Y4" s="14" t="n">
        <v>4.5</v>
      </c>
      <c r="Z4" s="19">
        <f>IF(OR(Y4="",F4="",F4=0),"",Y4/F4)</f>
        <v/>
      </c>
      <c r="AA4" s="22" t="n">
        <v>120.367</v>
      </c>
      <c r="AB4" s="20" t="n">
        <v>-0.046</v>
      </c>
      <c r="AC4" s="20" t="n">
        <v>0.0454483123396086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43.2</v>
      </c>
      <c r="G5" s="15" t="inlineStr">
        <is>
          <t>EUR</t>
        </is>
      </c>
      <c r="H5" s="14" t="n">
        <v>43.2</v>
      </c>
      <c r="I5" s="16" t="n">
        <v>90334.10000000001</v>
      </c>
      <c r="J5" s="16" t="n">
        <v>90334.10000000001</v>
      </c>
      <c r="K5" s="14" t="n">
        <v>3.71</v>
      </c>
      <c r="L5" s="14" t="n">
        <v>4.47797</v>
      </c>
      <c r="M5" s="17">
        <f>IF(OR(F5="",K5="",K5&lt;=0),"",F5/K5)</f>
        <v/>
      </c>
      <c r="N5" s="18" t="n">
        <v>1.9555476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2026-10-21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Credit Agricole</t>
        </is>
      </c>
      <c r="C6" s="12" t="inlineStr">
        <is>
          <t>ACA.PA</t>
        </is>
      </c>
      <c r="D6" s="11" t="inlineStr">
        <is>
          <t>Banca</t>
        </is>
      </c>
      <c r="E6" s="13" t="inlineStr">
        <is>
          <t>Finanziario</t>
        </is>
      </c>
      <c r="F6" s="14" t="n">
        <v>15.24</v>
      </c>
      <c r="G6" s="15" t="inlineStr">
        <is>
          <t>EUR</t>
        </is>
      </c>
      <c r="H6" s="14" t="n">
        <v>15.24</v>
      </c>
      <c r="I6" s="16" t="n">
        <v>46228.1</v>
      </c>
      <c r="J6" s="16" t="n">
        <v>46228.1</v>
      </c>
      <c r="K6" s="14" t="n">
        <v>1.98</v>
      </c>
      <c r="L6" s="14" t="n">
        <v>2.49711</v>
      </c>
      <c r="M6" s="17">
        <f>IF(OR(F6="",K6="",K6&lt;=0),"",F6/K6)</f>
        <v/>
      </c>
      <c r="N6" s="18" t="n">
        <v>0.65689653</v>
      </c>
      <c r="O6" s="19">
        <f>IF(OR(N6="",M6="",M6&lt;=0),"",N6/M6)</f>
        <v/>
      </c>
      <c r="P6" s="20" t="n">
        <v>0.08612</v>
      </c>
      <c r="Q6" s="20" t="n">
        <v>0.08875352782251728</v>
      </c>
      <c r="R6" s="20" t="n">
        <v>0.005563228260210011</v>
      </c>
      <c r="S6" s="21" t="n">
        <v>4</v>
      </c>
      <c r="T6" s="20" t="n"/>
      <c r="U6" s="20" t="n">
        <v>0.09108701810409209</v>
      </c>
      <c r="V6" s="20" t="n">
        <v>0.0948601258198367</v>
      </c>
      <c r="W6" s="20" t="n">
        <v>0.08930028416284501</v>
      </c>
      <c r="X6" s="20" t="n">
        <v>0.0797666832032953</v>
      </c>
      <c r="Y6" s="14" t="n">
        <v>1.7</v>
      </c>
      <c r="Z6" s="19">
        <f>IF(OR(Y6="",F6="",F6=0),"",Y6/F6)</f>
        <v/>
      </c>
      <c r="AA6" s="22" t="n"/>
      <c r="AB6" s="20" t="n">
        <v>-0.063</v>
      </c>
      <c r="AC6" s="20" t="n">
        <v>0.2331594306385895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2026-10-21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Saint-Gobain</t>
        </is>
      </c>
      <c r="C7" s="12" t="inlineStr">
        <is>
          <t>SGO.PA</t>
        </is>
      </c>
      <c r="D7" s="11" t="inlineStr">
        <is>
          <t>Materiali da costruzione</t>
        </is>
      </c>
      <c r="E7" s="13" t="inlineStr">
        <is>
          <t>Materiali</t>
        </is>
      </c>
      <c r="F7" s="14" t="n">
        <v>66.36</v>
      </c>
      <c r="G7" s="15" t="inlineStr">
        <is>
          <t>EUR</t>
        </is>
      </c>
      <c r="H7" s="14" t="n">
        <v>66.36</v>
      </c>
      <c r="I7" s="16" t="n">
        <v>32407.6</v>
      </c>
      <c r="J7" s="16" t="n">
        <v>32407.6</v>
      </c>
      <c r="K7" s="14" t="n">
        <v>5.39</v>
      </c>
      <c r="L7" s="14" t="n">
        <v>6.80531</v>
      </c>
      <c r="M7" s="17">
        <f>IF(OR(F7="",K7="",K7&lt;=0),"",F7/K7)</f>
        <v/>
      </c>
      <c r="N7" s="18" t="n">
        <v>1.2785143</v>
      </c>
      <c r="O7" s="19">
        <f>IF(OR(N7="",M7="",M7&lt;=0),"",N7/M7)</f>
        <v/>
      </c>
      <c r="P7" s="20" t="n">
        <v>0.11038999</v>
      </c>
      <c r="Q7" s="20" t="n">
        <v>0.1193836987434596</v>
      </c>
      <c r="R7" s="20" t="n">
        <v>0.007575505655233246</v>
      </c>
      <c r="S7" s="21" t="n">
        <v>4</v>
      </c>
      <c r="T7" s="20" t="n"/>
      <c r="U7" s="20" t="n">
        <v>0.1174768754329489</v>
      </c>
      <c r="V7" s="20" t="n">
        <v>0.1131489954247066</v>
      </c>
      <c r="W7" s="20" t="n">
        <v>0.114682249817385</v>
      </c>
      <c r="X7" s="20" t="n">
        <v>0.1322266742987979</v>
      </c>
      <c r="Y7" s="14" t="n">
        <v>2.3</v>
      </c>
      <c r="Z7" s="19">
        <f>IF(OR(Y7="",F7="",F7=0),"",Y7/F7)</f>
        <v/>
      </c>
      <c r="AA7" s="22" t="n">
        <v>66.318</v>
      </c>
      <c r="AB7" s="20" t="n">
        <v>-0.011</v>
      </c>
      <c r="AC7" s="20" t="n">
        <v>0.0574618691564658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2026-10-21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Vinci</t>
        </is>
      </c>
      <c r="C8" s="12" t="inlineStr">
        <is>
          <t>DG.PA</t>
        </is>
      </c>
      <c r="D8" s="11" t="inlineStr">
        <is>
          <t>Costruzioni / Concessioni</t>
        </is>
      </c>
      <c r="E8" s="13" t="inlineStr">
        <is>
          <t>Industriale</t>
        </is>
      </c>
      <c r="F8" s="14" t="n">
        <v>107</v>
      </c>
      <c r="G8" s="15" t="inlineStr">
        <is>
          <t>EUR</t>
        </is>
      </c>
      <c r="H8" s="14" t="n">
        <v>107</v>
      </c>
      <c r="I8" s="16" t="n">
        <v>59015.7</v>
      </c>
      <c r="J8" s="16" t="n">
        <v>59015.7</v>
      </c>
      <c r="K8" s="14" t="n">
        <v>9.01</v>
      </c>
      <c r="L8" s="14" t="n">
        <v>10.09107</v>
      </c>
      <c r="M8" s="17">
        <f>IF(OR(F8="",K8="",K8&lt;=0),"",F8/K8)</f>
        <v/>
      </c>
      <c r="N8" s="18" t="n">
        <v>1.9383355</v>
      </c>
      <c r="O8" s="19">
        <f>IF(OR(N8="",M8="",M8&lt;=0),"",N8/M8)</f>
        <v/>
      </c>
      <c r="P8" s="20" t="n">
        <v>0.16318001</v>
      </c>
      <c r="Q8" s="20" t="n">
        <v>0.16318001</v>
      </c>
      <c r="R8" s="20" t="n"/>
      <c r="S8" s="21" t="n">
        <v>0</v>
      </c>
      <c r="T8" s="20" t="n"/>
      <c r="U8" s="20" t="n">
        <v>0.1594367845993757</v>
      </c>
      <c r="V8" s="20" t="n">
        <v>0.162386883494173</v>
      </c>
      <c r="W8" s="20" t="n">
        <v>0.1672535837512894</v>
      </c>
      <c r="X8" s="20" t="n">
        <v>0.1641929141447242</v>
      </c>
      <c r="Y8" s="14" t="n">
        <v>5.05</v>
      </c>
      <c r="Z8" s="19">
        <f>IF(OR(Y8="",F8="",F8=0),"",Y8/F8)</f>
        <v/>
      </c>
      <c r="AA8" s="22" t="n">
        <v>120.742</v>
      </c>
      <c r="AB8" s="20" t="n">
        <v>0.023</v>
      </c>
      <c r="AC8" s="20" t="n">
        <v>0.0671712793849568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2026-10-21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198.78</v>
      </c>
      <c r="G9" s="15" t="inlineStr">
        <is>
          <t>EUR</t>
        </is>
      </c>
      <c r="H9" s="14" t="n">
        <v>198.78</v>
      </c>
      <c r="I9" s="16" t="n">
        <v>157330.5</v>
      </c>
      <c r="J9" s="16" t="n">
        <v>157330.5</v>
      </c>
      <c r="K9" s="14" t="n">
        <v>7.51</v>
      </c>
      <c r="L9" s="14" t="n">
        <v>8.72044</v>
      </c>
      <c r="M9" s="17">
        <f>IF(OR(F9="",K9="",K9&lt;=0),"",F9/K9)</f>
        <v/>
      </c>
      <c r="N9" s="18" t="n">
        <v>6.080572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2026-10-21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Capgemini</t>
        </is>
      </c>
      <c r="C10" s="12" t="inlineStr">
        <is>
          <t>CAP.PA</t>
        </is>
      </c>
      <c r="D10" s="11" t="inlineStr">
        <is>
          <t>Servizi IT</t>
        </is>
      </c>
      <c r="E10" s="13" t="inlineStr">
        <is>
          <t>Tecnologia</t>
        </is>
      </c>
      <c r="F10" s="14" t="n">
        <v>125.05</v>
      </c>
      <c r="G10" s="15" t="inlineStr">
        <is>
          <t>EUR</t>
        </is>
      </c>
      <c r="H10" s="14" t="n">
        <v>125.05</v>
      </c>
      <c r="I10" s="16" t="n">
        <v>20758.6</v>
      </c>
      <c r="J10" s="16" t="n">
        <v>20758.6</v>
      </c>
      <c r="K10" s="14" t="n">
        <v>7.87</v>
      </c>
      <c r="L10" s="14" t="n">
        <v>13.73574</v>
      </c>
      <c r="M10" s="17">
        <f>IF(OR(F10="",K10="",K10&lt;=0),"",F10/K10)</f>
        <v/>
      </c>
      <c r="N10" s="18" t="n">
        <v>1.8123714</v>
      </c>
      <c r="O10" s="19">
        <f>IF(OR(N10="",M10="",M10&lt;=0),"",N10/M10)</f>
        <v/>
      </c>
      <c r="P10" s="20" t="n">
        <v>0.12202</v>
      </c>
      <c r="Q10" s="20" t="n">
        <v>0.1493697560657985</v>
      </c>
      <c r="R10" s="20" t="n">
        <v>0.009817698883656849</v>
      </c>
      <c r="S10" s="21" t="n">
        <v>4</v>
      </c>
      <c r="T10" s="20" t="n"/>
      <c r="U10" s="20" t="n">
        <v>0.137448489010989</v>
      </c>
      <c r="V10" s="20" t="n">
        <v>0.1419108280254777</v>
      </c>
      <c r="W10" s="20" t="n">
        <v>0.1590778649320834</v>
      </c>
      <c r="X10" s="20" t="n">
        <v>0.1590418422946438</v>
      </c>
      <c r="Y10" s="14" t="n">
        <v>3.4</v>
      </c>
      <c r="Z10" s="19">
        <f>IF(OR(Y10="",F10="",F10=0),"",Y10/F10)</f>
        <v/>
      </c>
      <c r="AA10" s="22" t="n">
        <v>87.509</v>
      </c>
      <c r="AB10" s="20" t="n">
        <v>0.08799999999999999</v>
      </c>
      <c r="AC10" s="20" t="n">
        <v>0.06120632379256621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2026-10-21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Safran</t>
        </is>
      </c>
      <c r="C11" s="12" t="inlineStr">
        <is>
          <t>SAF.PA</t>
        </is>
      </c>
      <c r="D11" s="11" t="inlineStr">
        <is>
          <t>Aerospazio</t>
        </is>
      </c>
      <c r="E11" s="13" t="inlineStr">
        <is>
          <t>Industriale</t>
        </is>
      </c>
      <c r="F11" s="14" t="n">
        <v>313.9</v>
      </c>
      <c r="G11" s="15" t="inlineStr">
        <is>
          <t>EUR</t>
        </is>
      </c>
      <c r="H11" s="14" t="n">
        <v>313.9</v>
      </c>
      <c r="I11" s="16" t="n">
        <v>129964.3</v>
      </c>
      <c r="J11" s="16" t="n">
        <v>129964.3</v>
      </c>
      <c r="K11" s="14" t="n">
        <v>9.31</v>
      </c>
      <c r="L11" s="14" t="n">
        <v>12.95271</v>
      </c>
      <c r="M11" s="17">
        <f>IF(OR(F11="",K11="",K11&lt;=0),"",F11/K11)</f>
        <v/>
      </c>
      <c r="N11" s="18" t="n">
        <v>8.96729</v>
      </c>
      <c r="O11" s="19">
        <f>IF(OR(N11="",M11="",M11&lt;=0),"",N11/M11)</f>
        <v/>
      </c>
      <c r="P11" s="20" t="n">
        <v>0.2749</v>
      </c>
      <c r="Q11" s="20" t="n">
        <v>0.2749</v>
      </c>
      <c r="R11" s="20" t="n"/>
      <c r="S11" s="21" t="n">
        <v>0</v>
      </c>
      <c r="T11" s="20" t="n"/>
      <c r="U11" s="20" t="n">
        <v>0.483657928431835</v>
      </c>
      <c r="V11" s="20" t="n">
        <v>-0.06554638364779874</v>
      </c>
      <c r="W11" s="20" t="n">
        <v>0.2974863954392329</v>
      </c>
      <c r="X11" s="20" t="n">
        <v>-0.2361924887138603</v>
      </c>
      <c r="Y11" s="14" t="n">
        <v>3.35</v>
      </c>
      <c r="Z11" s="19">
        <f>IF(OR(Y11="",F11="",F11=0),"",Y11/F11)</f>
        <v/>
      </c>
      <c r="AA11" s="22" t="n">
        <v>33.745</v>
      </c>
      <c r="AB11" s="20" t="n">
        <v>0.16</v>
      </c>
      <c r="AC11" s="20" t="n">
        <v>0.11564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2026-10-21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Hermes International</t>
        </is>
      </c>
      <c r="C12" s="12" t="inlineStr">
        <is>
          <t>RMS.PA</t>
        </is>
      </c>
      <c r="D12" s="11" t="inlineStr">
        <is>
          <t>Lusso</t>
        </is>
      </c>
      <c r="E12" s="13" t="inlineStr">
        <is>
          <t>Consumi</t>
        </is>
      </c>
      <c r="F12" s="14" t="n">
        <v>1356.5</v>
      </c>
      <c r="G12" s="15" t="inlineStr">
        <is>
          <t>EUR</t>
        </is>
      </c>
      <c r="H12" s="14" t="n">
        <v>1356.5</v>
      </c>
      <c r="I12" s="16" t="n">
        <v>142081.9</v>
      </c>
      <c r="J12" s="16" t="n">
        <v>142081.9</v>
      </c>
      <c r="K12" s="14" t="n">
        <v>43</v>
      </c>
      <c r="L12" s="14" t="n">
        <v>48.68004</v>
      </c>
      <c r="M12" s="17">
        <f>IF(OR(F12="",K12="",K12&lt;=0),"",F12/K12)</f>
        <v/>
      </c>
      <c r="N12" s="18" t="n">
        <v>7.4689736</v>
      </c>
      <c r="O12" s="19">
        <f>IF(OR(N12="",M12="",M12&lt;=0),"",N12/M12)</f>
        <v/>
      </c>
      <c r="P12" s="20" t="n">
        <v>0.25452</v>
      </c>
      <c r="Q12" s="20" t="n">
        <v>0.2649891304567901</v>
      </c>
      <c r="R12" s="20" t="n">
        <v>0.01578518864255581</v>
      </c>
      <c r="S12" s="21" t="n">
        <v>4</v>
      </c>
      <c r="T12" s="20" t="n"/>
      <c r="U12" s="20" t="n">
        <v>0.2401019000106146</v>
      </c>
      <c r="V12" s="20" t="n">
        <v>0.2656547584694408</v>
      </c>
      <c r="W12" s="20" t="n">
        <v>0.2835624547786621</v>
      </c>
      <c r="X12" s="20" t="n">
        <v>0.270637408568443</v>
      </c>
      <c r="Y12" s="14" t="n">
        <v>18</v>
      </c>
      <c r="Z12" s="19">
        <f>IF(OR(Y12="",F12="",F12=0),"",Y12/F12)</f>
        <v/>
      </c>
      <c r="AA12" s="22" t="n">
        <v>11.984</v>
      </c>
      <c r="AB12" s="20" t="n">
        <v>0.016</v>
      </c>
      <c r="AC12" s="20" t="n">
        <v>0.2822323444784701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2026-10-21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Carrefour</t>
        </is>
      </c>
      <c r="C13" s="12" t="inlineStr">
        <is>
          <t>CA.PA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14.05</v>
      </c>
      <c r="G13" s="15" t="inlineStr">
        <is>
          <t>EUR</t>
        </is>
      </c>
      <c r="H13" s="14" t="n">
        <v>14.05</v>
      </c>
      <c r="I13" s="16" t="n">
        <v>9942</v>
      </c>
      <c r="J13" s="16" t="n">
        <v>9942</v>
      </c>
      <c r="K13" s="14" t="n">
        <v>2.15</v>
      </c>
      <c r="L13" s="14" t="n">
        <v>1.84997</v>
      </c>
      <c r="M13" s="17">
        <f>IF(OR(F13="",K13="",K13&lt;=0),"",F13/K13)</f>
        <v/>
      </c>
      <c r="N13" s="18" t="n">
        <v>0.8983376</v>
      </c>
      <c r="O13" s="19">
        <f>IF(OR(N13="",M13="",M13&lt;=0),"",N13/M13)</f>
        <v/>
      </c>
      <c r="P13" s="20" t="n">
        <v>0.08428001</v>
      </c>
      <c r="Q13" s="20" t="n">
        <v>0.09015483917042293</v>
      </c>
      <c r="R13" s="20" t="n">
        <v>0.0450018363392368</v>
      </c>
      <c r="S13" s="21" t="n">
        <v>4</v>
      </c>
      <c r="T13" s="20" t="n"/>
      <c r="U13" s="20" t="n">
        <v>0.0290634110787172</v>
      </c>
      <c r="V13" s="20" t="n">
        <v>0.06682070240295748</v>
      </c>
      <c r="W13" s="20" t="n">
        <v>0.1437732905797729</v>
      </c>
      <c r="X13" s="20" t="n">
        <v>0.1209619526202441</v>
      </c>
      <c r="Y13" s="14" t="n">
        <v>0.97</v>
      </c>
      <c r="Z13" s="19">
        <f>IF(OR(Y13="",F13="",F13=0),"",Y13/F13)</f>
        <v/>
      </c>
      <c r="AA13" s="22" t="n">
        <v>185.209</v>
      </c>
      <c r="AB13" s="20" t="n">
        <v>0.02</v>
      </c>
      <c r="AC13" s="20" t="n">
        <v>0.01084214034085499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2026-10-21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100.8</v>
      </c>
      <c r="G14" s="15" t="inlineStr">
        <is>
          <t>EUR</t>
        </is>
      </c>
      <c r="H14" s="14" t="n">
        <v>100.8</v>
      </c>
      <c r="I14" s="16" t="n">
        <v>25171.9</v>
      </c>
      <c r="J14" s="16" t="n">
        <v>25171.9</v>
      </c>
      <c r="K14" s="14" t="n">
        <v>6.42</v>
      </c>
      <c r="L14" s="14" t="n">
        <v>8.547269999999999</v>
      </c>
      <c r="M14" s="17">
        <f>IF(OR(F14="",K14="",K14&lt;=0),"",F14/K14)</f>
        <v/>
      </c>
      <c r="N14" s="18" t="n">
        <v>2.392992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>
        <v>3.75</v>
      </c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2026-10-21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LVMH</t>
        </is>
      </c>
      <c r="C15" s="12" t="inlineStr">
        <is>
          <t>MC.PA</t>
        </is>
      </c>
      <c r="D15" s="11" t="inlineStr">
        <is>
          <t>Lusso</t>
        </is>
      </c>
      <c r="E15" s="13" t="inlineStr">
        <is>
          <t>Consumi</t>
        </is>
      </c>
      <c r="F15" s="14" t="n">
        <v>388.6</v>
      </c>
      <c r="G15" s="15" t="inlineStr">
        <is>
          <t>EUR</t>
        </is>
      </c>
      <c r="H15" s="14" t="n">
        <v>388.6</v>
      </c>
      <c r="I15" s="16" t="n">
        <v>191566.3</v>
      </c>
      <c r="J15" s="16" t="n">
        <v>191566.3</v>
      </c>
      <c r="K15" s="14" t="n">
        <v>21.94</v>
      </c>
      <c r="L15" s="14" t="n">
        <v>24.16192</v>
      </c>
      <c r="M15" s="17">
        <f>IF(OR(F15="",K15="",K15&lt;=0),"",F15/K15)</f>
        <v/>
      </c>
      <c r="N15" s="18" t="n">
        <v>2.8139846</v>
      </c>
      <c r="O15" s="19">
        <f>IF(OR(N15="",M15="",M15&lt;=0),"",N15/M15)</f>
        <v/>
      </c>
      <c r="P15" s="20" t="n">
        <v>0.16586</v>
      </c>
      <c r="Q15" s="20" t="n">
        <v>0.2128358261370027</v>
      </c>
      <c r="R15" s="20" t="n">
        <v>0.04031392768938293</v>
      </c>
      <c r="S15" s="21" t="n">
        <v>4</v>
      </c>
      <c r="T15" s="20" t="n"/>
      <c r="U15" s="20" t="n">
        <v>0.1612224330092483</v>
      </c>
      <c r="V15" s="20" t="n">
        <v>0.1858791119273664</v>
      </c>
      <c r="W15" s="20" t="n">
        <v>0.2486847927626727</v>
      </c>
      <c r="X15" s="20" t="n">
        <v>0.2555569668487235</v>
      </c>
      <c r="Y15" s="14" t="n">
        <v>13</v>
      </c>
      <c r="Z15" s="19">
        <f>IF(OR(Y15="",F15="",F15=0),"",Y15/F15)</f>
        <v/>
      </c>
      <c r="AA15" s="22" t="n">
        <v>53.306</v>
      </c>
      <c r="AB15" s="20" t="n">
        <v>-0.029</v>
      </c>
      <c r="AC15" s="20" t="n">
        <v>0.1346046713774797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2026-10-21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62.55</v>
      </c>
      <c r="G16" s="15" t="inlineStr">
        <is>
          <t>EUR</t>
        </is>
      </c>
      <c r="H16" s="14" t="n">
        <v>62.55</v>
      </c>
      <c r="I16" s="16" t="n">
        <v>45328.4</v>
      </c>
      <c r="J16" s="16" t="n">
        <v>45328.4</v>
      </c>
      <c r="K16" s="14" t="n">
        <v>7.79</v>
      </c>
      <c r="L16" s="14" t="n">
        <v>9.22852</v>
      </c>
      <c r="M16" s="17">
        <f>IF(OR(F16="",K16="",K16&lt;=0),"",F16/K16)</f>
        <v/>
      </c>
      <c r="N16" s="18" t="n">
        <v>0.63840866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1.75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2026-10-21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Legrand</t>
        </is>
      </c>
      <c r="C17" s="12" t="inlineStr">
        <is>
          <t>LR.PA</t>
        </is>
      </c>
      <c r="D17" s="11" t="inlineStr">
        <is>
          <t>Materiale elettrico</t>
        </is>
      </c>
      <c r="E17" s="13" t="inlineStr">
        <is>
          <t>Industriale</t>
        </is>
      </c>
      <c r="F17" s="14" t="n">
        <v>131.3</v>
      </c>
      <c r="G17" s="15" t="inlineStr">
        <is>
          <t>EUR</t>
        </is>
      </c>
      <c r="H17" s="14" t="n">
        <v>131.3</v>
      </c>
      <c r="I17" s="16" t="n">
        <v>34415.5</v>
      </c>
      <c r="J17" s="16" t="n">
        <v>34415.5</v>
      </c>
      <c r="K17" s="14" t="n">
        <v>4.97</v>
      </c>
      <c r="L17" s="14" t="n">
        <v>6.91055</v>
      </c>
      <c r="M17" s="17">
        <f>IF(OR(F17="",K17="",K17&lt;=0),"",F17/K17)</f>
        <v/>
      </c>
      <c r="N17" s="18" t="n">
        <v>4.5928364</v>
      </c>
      <c r="O17" s="19">
        <f>IF(OR(N17="",M17="",M17&lt;=0),"",N17/M17)</f>
        <v/>
      </c>
      <c r="P17" s="20" t="n">
        <v>0.18209</v>
      </c>
      <c r="Q17" s="20" t="n">
        <v>0.1617376492488797</v>
      </c>
      <c r="R17" s="20" t="n">
        <v>0.009124205826637278</v>
      </c>
      <c r="S17" s="21" t="n">
        <v>4</v>
      </c>
      <c r="T17" s="20" t="n"/>
      <c r="U17" s="20" t="n">
        <v>0.1706287187080146</v>
      </c>
      <c r="V17" s="20" t="n">
        <v>0.1548921704026346</v>
      </c>
      <c r="W17" s="20" t="n">
        <v>0.1708390973864667</v>
      </c>
      <c r="X17" s="20" t="n">
        <v>0.1505906104984029</v>
      </c>
      <c r="Y17" s="14" t="n">
        <v>2.38</v>
      </c>
      <c r="Z17" s="19">
        <f>IF(OR(Y17="",F17="",F17=0),"",Y17/F17)</f>
        <v/>
      </c>
      <c r="AA17" s="22" t="n">
        <v>102.554</v>
      </c>
      <c r="AB17" s="20" t="n">
        <v>0.147</v>
      </c>
      <c r="AC17" s="20" t="n">
        <v>0.1386726612239732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2026-10-21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L'Oreal</t>
        </is>
      </c>
      <c r="C18" s="12" t="inlineStr">
        <is>
          <t>OR.PA</t>
        </is>
      </c>
      <c r="D18" s="11" t="inlineStr">
        <is>
          <t>Cosmetica</t>
        </is>
      </c>
      <c r="E18" s="13" t="inlineStr">
        <is>
          <t>Consumi</t>
        </is>
      </c>
      <c r="F18" s="14" t="n">
        <v>405.7</v>
      </c>
      <c r="G18" s="15" t="inlineStr">
        <is>
          <t>EUR</t>
        </is>
      </c>
      <c r="H18" s="14" t="n">
        <v>405.7</v>
      </c>
      <c r="I18" s="16" t="n">
        <v>215994.4</v>
      </c>
      <c r="J18" s="16" t="n">
        <v>215994.4</v>
      </c>
      <c r="K18" s="14" t="n">
        <v>11.78</v>
      </c>
      <c r="L18" s="14" t="n">
        <v>14.94049</v>
      </c>
      <c r="M18" s="17">
        <f>IF(OR(F18="",K18="",K18&lt;=0),"",F18/K18)</f>
        <v/>
      </c>
      <c r="N18" s="18" t="n">
        <v>6.382644</v>
      </c>
      <c r="O18" s="19">
        <f>IF(OR(N18="",M18="",M18&lt;=0),"",N18/M18)</f>
        <v/>
      </c>
      <c r="P18" s="20" t="n">
        <v>0.19409001</v>
      </c>
      <c r="Q18" s="20" t="n">
        <v>0.1978457130618108</v>
      </c>
      <c r="R18" s="20" t="n">
        <v>0.01496232640451087</v>
      </c>
      <c r="S18" s="21" t="n">
        <v>4</v>
      </c>
      <c r="T18" s="20" t="n"/>
      <c r="U18" s="20" t="n">
        <v>0.175297254614742</v>
      </c>
      <c r="V18" s="20" t="n">
        <v>0.1934217237643096</v>
      </c>
      <c r="W18" s="20" t="n">
        <v>0.2126964363716409</v>
      </c>
      <c r="X18" s="20" t="n">
        <v>0.2099674374965506</v>
      </c>
      <c r="Y18" s="14" t="n">
        <v>7.2</v>
      </c>
      <c r="Z18" s="19">
        <f>IF(OR(Y18="",F18="",F18=0),"",Y18/F18)</f>
        <v/>
      </c>
      <c r="AA18" s="22" t="n">
        <v>49.316</v>
      </c>
      <c r="AB18" s="20" t="n">
        <v>0.058</v>
      </c>
      <c r="AC18" s="20" t="n">
        <v>0.143155813674748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2026-10-21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Pernod Ricard</t>
        </is>
      </c>
      <c r="C19" s="12" t="inlineStr">
        <is>
          <t>RI.PA</t>
        </is>
      </c>
      <c r="D19" s="11" t="inlineStr">
        <is>
          <t>Bevande</t>
        </is>
      </c>
      <c r="E19" s="13" t="inlineStr">
        <is>
          <t>Consumi</t>
        </is>
      </c>
      <c r="F19" s="14" t="n">
        <v>65.59999999999999</v>
      </c>
      <c r="G19" s="15" t="inlineStr">
        <is>
          <t>EUR</t>
        </is>
      </c>
      <c r="H19" s="14" t="n">
        <v>65.59999999999999</v>
      </c>
      <c r="I19" s="16" t="n">
        <v>16519</v>
      </c>
      <c r="J19" s="16" t="n">
        <v>16519</v>
      </c>
      <c r="K19" s="14" t="n">
        <v>4.77</v>
      </c>
      <c r="L19" s="14" t="n">
        <v>5.92596</v>
      </c>
      <c r="M19" s="17">
        <f>IF(OR(F19="",K19="",K19&lt;=0),"",F19/K19)</f>
        <v/>
      </c>
      <c r="N19" s="18" t="n">
        <v>1.0651772</v>
      </c>
      <c r="O19" s="19">
        <f>IF(OR(N19="",M19="",M19&lt;=0),"",N19/M19)</f>
        <v/>
      </c>
      <c r="P19" s="20" t="n">
        <v>0.07563</v>
      </c>
      <c r="Q19" s="20" t="n">
        <v>0.1055357582218678</v>
      </c>
      <c r="R19" s="20" t="n">
        <v>0.02446691744383145</v>
      </c>
      <c r="S19" s="21" t="n">
        <v>4</v>
      </c>
      <c r="T19" s="20" t="n">
        <v>0.07761290322580645</v>
      </c>
      <c r="U19" s="20" t="n">
        <v>0.1068892979226926</v>
      </c>
      <c r="V19" s="20" t="n">
        <v>0.09372023620547336</v>
      </c>
      <c r="W19" s="20" t="n">
        <v>0.1439205955334988</v>
      </c>
      <c r="X19" s="20" t="n">
        <v>0.1251881585549423</v>
      </c>
      <c r="Y19" s="14" t="n">
        <v>4.7</v>
      </c>
      <c r="Z19" s="19">
        <f>IF(OR(Y19="",F19="",F19=0),"",Y19/F19)</f>
        <v/>
      </c>
      <c r="AA19" s="22" t="n">
        <v>76.64400000000001</v>
      </c>
      <c r="AB19" s="20" t="n">
        <v>-0.132</v>
      </c>
      <c r="AC19" s="20" t="n">
        <v>0.1279378989684143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2026-10-21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Renault</t>
        </is>
      </c>
      <c r="C20" s="12" t="inlineStr">
        <is>
          <t>RNO.PA</t>
        </is>
      </c>
      <c r="D20" s="11" t="inlineStr">
        <is>
          <t>Auto</t>
        </is>
      </c>
      <c r="E20" s="13" t="inlineStr">
        <is>
          <t>Consumi</t>
        </is>
      </c>
      <c r="F20" s="14" t="n">
        <v>26.93</v>
      </c>
      <c r="G20" s="15" t="inlineStr">
        <is>
          <t>EUR</t>
        </is>
      </c>
      <c r="H20" s="14" t="n">
        <v>26.93</v>
      </c>
      <c r="I20" s="16" t="n">
        <v>7792.8</v>
      </c>
      <c r="J20" s="16" t="n">
        <v>7792.8</v>
      </c>
      <c r="K20" s="14" t="n">
        <v>3.27</v>
      </c>
      <c r="L20" s="14" t="n">
        <v>6.30119</v>
      </c>
      <c r="M20" s="17">
        <f>IF(OR(F20="",K20="",K20&lt;=0),"",F20/K20)</f>
        <v/>
      </c>
      <c r="N20" s="18" t="n">
        <v>0.37985218</v>
      </c>
      <c r="O20" s="19">
        <f>IF(OR(N20="",M20="",M20&lt;=0),"",N20/M20)</f>
        <v/>
      </c>
      <c r="P20" s="20" t="n">
        <v>0.050029997</v>
      </c>
      <c r="Q20" s="20" t="n">
        <v>-0.1098240599858381</v>
      </c>
      <c r="R20" s="20" t="n">
        <v>0.2420730377777369</v>
      </c>
      <c r="S20" s="21" t="n">
        <v>4</v>
      </c>
      <c r="T20" s="20" t="n"/>
      <c r="U20" s="20" t="n">
        <v>-0.5257563368765331</v>
      </c>
      <c r="V20" s="20" t="n">
        <v>0.02481111221089445</v>
      </c>
      <c r="W20" s="20" t="n">
        <v>0.07387738639419199</v>
      </c>
      <c r="X20" s="20" t="n">
        <v>-0.01222840167190577</v>
      </c>
      <c r="Y20" s="14" t="n">
        <v>2.2</v>
      </c>
      <c r="Z20" s="19">
        <f>IF(OR(Y20="",F20="",F20=0),"",Y20/F20)</f>
        <v/>
      </c>
      <c r="AA20" s="22" t="n">
        <v>327.722</v>
      </c>
      <c r="AB20" s="20" t="n">
        <v>0.094</v>
      </c>
      <c r="AC20" s="20" t="n">
        <v>0.01634957356444874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2026-10-21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230</v>
      </c>
      <c r="G21" s="15" t="inlineStr">
        <is>
          <t>EUR</t>
        </is>
      </c>
      <c r="H21" s="14" t="n">
        <v>230</v>
      </c>
      <c r="I21" s="16" t="n">
        <v>47301.3</v>
      </c>
      <c r="J21" s="16" t="n">
        <v>47301.3</v>
      </c>
      <c r="K21" s="14" t="n">
        <v>7.26</v>
      </c>
      <c r="L21" s="14" t="n">
        <v>12.39858</v>
      </c>
      <c r="M21" s="17">
        <f>IF(OR(F21="",K21="",K21&lt;=0),"",F21/K21)</f>
        <v/>
      </c>
      <c r="N21" s="18" t="n">
        <v>5.9019756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2026-10-21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14.1</v>
      </c>
      <c r="G22" s="15" t="inlineStr">
        <is>
          <t>EUR</t>
        </is>
      </c>
      <c r="H22" s="14" t="n">
        <v>14.1</v>
      </c>
      <c r="I22" s="16" t="n">
        <v>37474.6</v>
      </c>
      <c r="J22" s="16" t="n">
        <v>37474.6</v>
      </c>
      <c r="K22" s="14" t="n">
        <v>1.07</v>
      </c>
      <c r="L22" s="14" t="n">
        <v>1.15176</v>
      </c>
      <c r="M22" s="17">
        <f>IF(OR(F22="",K22="",K22&lt;=0),"",F22/K22)</f>
        <v/>
      </c>
      <c r="N22" s="18" t="n">
        <v>1.1775514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2026-10-21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Schneider Electric</t>
        </is>
      </c>
      <c r="C23" s="12" t="inlineStr">
        <is>
          <t>SU.PA</t>
        </is>
      </c>
      <c r="D23" s="11" t="inlineStr">
        <is>
          <t>Elettrificazione</t>
        </is>
      </c>
      <c r="E23" s="13" t="inlineStr">
        <is>
          <t>Industriale</t>
        </is>
      </c>
      <c r="F23" s="14" t="n">
        <v>249.1</v>
      </c>
      <c r="G23" s="15" t="inlineStr">
        <is>
          <t>EUR</t>
        </is>
      </c>
      <c r="H23" s="14" t="n">
        <v>249.1</v>
      </c>
      <c r="I23" s="16" t="n">
        <v>140318.3</v>
      </c>
      <c r="J23" s="16" t="n">
        <v>140318.3</v>
      </c>
      <c r="K23" s="14" t="n">
        <v>8.32</v>
      </c>
      <c r="L23" s="14" t="n">
        <v>12.56289</v>
      </c>
      <c r="M23" s="17">
        <f>IF(OR(F23="",K23="",K23&lt;=0),"",F23/K23)</f>
        <v/>
      </c>
      <c r="N23" s="18" t="n">
        <v>5.7260423</v>
      </c>
      <c r="O23" s="19">
        <f>IF(OR(N23="",M23="",M23&lt;=0),"",N23/M23)</f>
        <v/>
      </c>
      <c r="P23" s="20" t="n">
        <v>0.18620001</v>
      </c>
      <c r="Q23" s="20" t="n">
        <v>0.18620001</v>
      </c>
      <c r="R23" s="20" t="n"/>
      <c r="S23" s="21" t="n">
        <v>0</v>
      </c>
      <c r="T23" s="20" t="n"/>
      <c r="U23" s="20" t="n">
        <v>0.1720319021447167</v>
      </c>
      <c r="V23" s="20" t="n">
        <v>0.1400177113057168</v>
      </c>
      <c r="W23" s="20" t="n">
        <v>0.1512735242989948</v>
      </c>
      <c r="X23" s="20" t="n">
        <v>0.1366799009395023</v>
      </c>
      <c r="Y23" s="14" t="n">
        <v>4.2</v>
      </c>
      <c r="Z23" s="19">
        <f>IF(OR(Y23="",F23="",F23=0),"",Y23/F23)</f>
        <v/>
      </c>
      <c r="AA23" s="22" t="n">
        <v>84.124</v>
      </c>
      <c r="AB23" s="20" t="n">
        <v>0.098</v>
      </c>
      <c r="AC23" s="20" t="n">
        <v>0.1180015907551305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2026-10-21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Unibail-Rodamco-Westfield</t>
        </is>
      </c>
      <c r="C24" s="12" t="inlineStr">
        <is>
          <t>URW.PA</t>
        </is>
      </c>
      <c r="D24" s="11" t="inlineStr">
        <is>
          <t>REIT / Centri commerciali</t>
        </is>
      </c>
      <c r="E24" s="13" t="inlineStr">
        <is>
          <t>Immobiliare</t>
        </is>
      </c>
      <c r="F24" s="14" t="n">
        <v>89.26000000000001</v>
      </c>
      <c r="G24" s="15" t="inlineStr">
        <is>
          <t>EUR</t>
        </is>
      </c>
      <c r="H24" s="14" t="n">
        <v>89.26000000000001</v>
      </c>
      <c r="I24" s="16" t="n">
        <v>12900</v>
      </c>
      <c r="J24" s="16" t="n">
        <v>12900</v>
      </c>
      <c r="K24" s="14" t="n">
        <v>10.8</v>
      </c>
      <c r="L24" s="14" t="n">
        <v>9.419409999999999</v>
      </c>
      <c r="M24" s="17">
        <f>IF(OR(F24="",K24="",K24&lt;=0),"",F24/K24)</f>
        <v/>
      </c>
      <c r="N24" s="18" t="n">
        <v>0.7854835999999999</v>
      </c>
      <c r="O24" s="19">
        <f>IF(OR(N24="",M24="",M24&lt;=0),"",N24/M24)</f>
        <v/>
      </c>
      <c r="P24" s="20" t="n">
        <v>0.086260006</v>
      </c>
      <c r="Q24" s="20" t="n">
        <v>-0.001367852461538597</v>
      </c>
      <c r="R24" s="20" t="n">
        <v>0.0596731239565902</v>
      </c>
      <c r="S24" s="21" t="n">
        <v>4</v>
      </c>
      <c r="T24" s="20" t="n"/>
      <c r="U24" s="20" t="n">
        <v>0.07164040830852487</v>
      </c>
      <c r="V24" s="20" t="n">
        <v>0.008273582823544059</v>
      </c>
      <c r="W24" s="20" t="n">
        <v>-0.09467768556617151</v>
      </c>
      <c r="X24" s="20" t="n">
        <v>0.009292284587948188</v>
      </c>
      <c r="Y24" s="14" t="n">
        <v>4.5</v>
      </c>
      <c r="Z24" s="19">
        <f>IF(OR(Y24="",F24="",F24=0),"",Y24/F24)</f>
        <v/>
      </c>
      <c r="AA24" s="22" t="n">
        <v>108.102</v>
      </c>
      <c r="AB24" s="20" t="n">
        <v>-0.004</v>
      </c>
      <c r="AC24" s="20" t="n">
        <v>0.5164792048129742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2026-10-21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Engie</t>
        </is>
      </c>
      <c r="C25" s="12" t="inlineStr">
        <is>
          <t>ENGI.PA</t>
        </is>
      </c>
      <c r="D25" s="11" t="inlineStr">
        <is>
          <t>Utility</t>
        </is>
      </c>
      <c r="E25" s="13" t="inlineStr">
        <is>
          <t>Utility</t>
        </is>
      </c>
      <c r="F25" s="14" t="n">
        <v>23.1</v>
      </c>
      <c r="G25" s="15" t="inlineStr">
        <is>
          <t>EUR</t>
        </is>
      </c>
      <c r="H25" s="14" t="n">
        <v>23.1</v>
      </c>
      <c r="I25" s="16" t="n">
        <v>58688</v>
      </c>
      <c r="J25" s="16" t="n">
        <v>58688</v>
      </c>
      <c r="K25" s="14" t="n">
        <v>1.63</v>
      </c>
      <c r="L25" s="14" t="n">
        <v>2.11315</v>
      </c>
      <c r="M25" s="17">
        <f>IF(OR(F25="",K25="",K25&lt;=0),"",F25/K25)</f>
        <v/>
      </c>
      <c r="N25" s="18" t="n">
        <v>1.721953</v>
      </c>
      <c r="O25" s="19">
        <f>IF(OR(N25="",M25="",M25&lt;=0),"",N25/M25)</f>
        <v/>
      </c>
      <c r="P25" s="20" t="n">
        <v>0.12218001</v>
      </c>
      <c r="Q25" s="20" t="n">
        <v>0.07868348110711317</v>
      </c>
      <c r="R25" s="20" t="n">
        <v>0.04549790486997691</v>
      </c>
      <c r="S25" s="21" t="n">
        <v>4</v>
      </c>
      <c r="T25" s="20" t="n"/>
      <c r="U25" s="20" t="n">
        <v>0.1161456752655539</v>
      </c>
      <c r="V25" s="20" t="n">
        <v>0.1188216228730177</v>
      </c>
      <c r="W25" s="20" t="n">
        <v>0.07346042519213494</v>
      </c>
      <c r="X25" s="20" t="n">
        <v>0.006306201097746117</v>
      </c>
      <c r="Y25" s="14" t="n">
        <v>1.35</v>
      </c>
      <c r="Z25" s="19">
        <f>IF(OR(Y25="",F25="",F25=0),"",Y25/F25)</f>
        <v/>
      </c>
      <c r="AA25" s="22" t="n">
        <v>143.77</v>
      </c>
      <c r="AB25" s="20" t="n">
        <v>-0.036</v>
      </c>
      <c r="AC25" s="20" t="n">
        <v>0.05650227866118092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2026-10-21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173.6</v>
      </c>
      <c r="G26" s="15" t="inlineStr">
        <is>
          <t>EUR</t>
        </is>
      </c>
      <c r="H26" s="14" t="n">
        <v>173.6</v>
      </c>
      <c r="I26" s="16" t="n">
        <v>110785.3</v>
      </c>
      <c r="J26" s="16" t="n">
        <v>110785.3</v>
      </c>
      <c r="K26" s="14" t="n">
        <v>5.55</v>
      </c>
      <c r="L26" s="14" t="n">
        <v>7.19494</v>
      </c>
      <c r="M26" s="17">
        <f>IF(OR(F26="",K26="",K26&lt;=0),"",F26/K26)</f>
        <v/>
      </c>
      <c r="N26" s="18" t="n">
        <v>4.166767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2026-10-21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Dassault Systemes</t>
        </is>
      </c>
      <c r="C27" s="12" t="inlineStr">
        <is>
          <t>DSY.PA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23.58</v>
      </c>
      <c r="G27" s="15" t="inlineStr">
        <is>
          <t>EUR</t>
        </is>
      </c>
      <c r="H27" s="14" t="n">
        <v>23.58</v>
      </c>
      <c r="I27" s="16" t="n">
        <v>30986.1</v>
      </c>
      <c r="J27" s="16" t="n">
        <v>30986.1</v>
      </c>
      <c r="K27" s="14" t="n">
        <v>0.97</v>
      </c>
      <c r="L27" s="14" t="n">
        <v>1.4092</v>
      </c>
      <c r="M27" s="17">
        <f>IF(OR(F27="",K27="",K27&lt;=0),"",F27/K27)</f>
        <v/>
      </c>
      <c r="N27" s="18" t="n">
        <v>3.3503835</v>
      </c>
      <c r="O27" s="19">
        <f>IF(OR(N27="",M27="",M27&lt;=0),"",N27/M27)</f>
        <v/>
      </c>
      <c r="P27" s="20" t="n">
        <v>0.15088001</v>
      </c>
      <c r="Q27" s="20" t="n">
        <v>0.15088001</v>
      </c>
      <c r="R27" s="20" t="n"/>
      <c r="S27" s="21" t="n">
        <v>0</v>
      </c>
      <c r="T27" s="20" t="n"/>
      <c r="U27" s="20" t="n">
        <v>0.1360234742851944</v>
      </c>
      <c r="V27" s="20" t="n">
        <v>0.1323759733527452</v>
      </c>
      <c r="W27" s="20" t="n">
        <v>0.1341443177901737</v>
      </c>
      <c r="X27" s="20" t="n">
        <v>0.127415979317986</v>
      </c>
      <c r="Y27" s="14" t="n">
        <v>0.27</v>
      </c>
      <c r="Z27" s="19">
        <f>IF(OR(Y27="",F27="",F27=0),"",Y27/F27)</f>
        <v/>
      </c>
      <c r="AA27" s="22" t="n">
        <v>36.229</v>
      </c>
      <c r="AB27" s="20" t="n">
        <v>0.022</v>
      </c>
      <c r="AC27" s="20" t="n">
        <v>0.2133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2026-10-21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173.8</v>
      </c>
      <c r="G28" s="15" t="inlineStr">
        <is>
          <t>EUR</t>
        </is>
      </c>
      <c r="H28" s="14" t="n">
        <v>173.8</v>
      </c>
      <c r="I28" s="16" t="n">
        <v>79665.10000000001</v>
      </c>
      <c r="J28" s="16" t="n">
        <v>79665.10000000001</v>
      </c>
      <c r="K28" s="14" t="n">
        <v>5.35</v>
      </c>
      <c r="L28" s="14" t="n">
        <v>7.9248</v>
      </c>
      <c r="M28" s="17">
        <f>IF(OR(F28="",K28="",K28&lt;=0),"",F28/K28)</f>
        <v/>
      </c>
      <c r="N28" s="18" t="n">
        <v>2.0367982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2026-10-21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32.02</v>
      </c>
      <c r="G29" s="15" t="inlineStr">
        <is>
          <t>EUR</t>
        </is>
      </c>
      <c r="H29" s="14" t="n">
        <v>32.02</v>
      </c>
      <c r="I29" s="16" t="n">
        <v>23761</v>
      </c>
      <c r="J29" s="16" t="n">
        <v>23761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3.2861247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2026-10-21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80.90000000000001</v>
      </c>
      <c r="G30" s="15" t="inlineStr">
        <is>
          <t>EUR</t>
        </is>
      </c>
      <c r="H30" s="14" t="n">
        <v>80.90000000000001</v>
      </c>
      <c r="I30" s="16" t="n">
        <v>13843</v>
      </c>
      <c r="J30" s="16" t="n">
        <v>13843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3.8793519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2026-10-21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Sanofi</t>
        </is>
      </c>
      <c r="C31" s="12" t="inlineStr">
        <is>
          <t>SAN.PA</t>
        </is>
      </c>
      <c r="D31" s="11" t="inlineStr">
        <is>
          <t>Farmaceutica</t>
        </is>
      </c>
      <c r="E31" s="13" t="inlineStr">
        <is>
          <t>Salute</t>
        </is>
      </c>
      <c r="F31" s="14" t="n">
        <v>73.56999999999999</v>
      </c>
      <c r="G31" s="15" t="inlineStr">
        <is>
          <t>EUR</t>
        </is>
      </c>
      <c r="H31" s="14" t="n">
        <v>73.56999999999999</v>
      </c>
      <c r="I31" s="16" t="n">
        <v>88141.89999999999</v>
      </c>
      <c r="J31" s="16" t="n">
        <v>88141.89999999999</v>
      </c>
      <c r="K31" s="14" t="n">
        <v>3.25</v>
      </c>
      <c r="L31" s="14" t="n">
        <v>9.04649</v>
      </c>
      <c r="M31" s="17">
        <f>IF(OR(F31="",K31="",K31&lt;=0),"",F31/K31)</f>
        <v/>
      </c>
      <c r="N31" s="18" t="n">
        <v>1.2736086</v>
      </c>
      <c r="O31" s="19">
        <f>IF(OR(N31="",M31="",M31&lt;=0),"",N31/M31)</f>
        <v/>
      </c>
      <c r="P31" s="20" t="n">
        <v>0.05709</v>
      </c>
      <c r="Q31" s="20" t="n">
        <v>0.05709</v>
      </c>
      <c r="R31" s="20" t="n"/>
      <c r="S31" s="21" t="n">
        <v>0</v>
      </c>
      <c r="T31" s="20" t="n"/>
      <c r="U31" s="20" t="n">
        <v>0.1094625644474333</v>
      </c>
      <c r="V31" s="20" t="n">
        <v>0.07173545615234753</v>
      </c>
      <c r="W31" s="20" t="n">
        <v>0.07293354943273905</v>
      </c>
      <c r="X31" s="20" t="n">
        <v>0.1119357081728712</v>
      </c>
      <c r="Y31" s="14" t="n">
        <v>4.12</v>
      </c>
      <c r="Z31" s="19">
        <f>IF(OR(Y31="",F31="",F31=0),"",Y31/F31)</f>
        <v/>
      </c>
      <c r="AA31" s="22" t="n">
        <v>33.89</v>
      </c>
      <c r="AB31" s="20" t="n">
        <v>0.146</v>
      </c>
      <c r="AC31" s="20" t="n">
        <v>0.08091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2026-10-21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60.82</v>
      </c>
      <c r="G32" s="15" t="inlineStr">
        <is>
          <t>EUR</t>
        </is>
      </c>
      <c r="H32" s="14" t="n">
        <v>60.82</v>
      </c>
      <c r="I32" s="16" t="n">
        <v>39173.9</v>
      </c>
      <c r="J32" s="16" t="n">
        <v>39173.9</v>
      </c>
      <c r="K32" s="14" t="n">
        <v>3.02</v>
      </c>
      <c r="L32" s="14" t="n">
        <v>4.21721</v>
      </c>
      <c r="M32" s="17">
        <f>IF(OR(F32="",K32="",K32&lt;=0),"",F32/K32)</f>
        <v/>
      </c>
      <c r="N32" s="18" t="n">
        <v>2.2218976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2026-10-21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26.46</v>
      </c>
      <c r="G33" s="15" t="inlineStr">
        <is>
          <t>EUR</t>
        </is>
      </c>
      <c r="H33" s="14" t="n">
        <v>26.46</v>
      </c>
      <c r="I33" s="16" t="n">
        <v>6040</v>
      </c>
      <c r="J33" s="16" t="n">
        <v>6040</v>
      </c>
      <c r="K33" s="14" t="n">
        <v>2.06</v>
      </c>
      <c r="L33" s="14" t="n">
        <v>2.43638</v>
      </c>
      <c r="M33" s="17">
        <f>IF(OR(F33="",K33="",K33&lt;=0),"",F33/K33)</f>
        <v/>
      </c>
      <c r="N33" s="18" t="n">
        <v>-6.212726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2026-10-21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216.25</v>
      </c>
      <c r="G34" s="15" t="inlineStr">
        <is>
          <t>EUR</t>
        </is>
      </c>
      <c r="H34" s="14" t="n">
        <v>216.25</v>
      </c>
      <c r="I34" s="16" t="n">
        <v>26516.2</v>
      </c>
      <c r="J34" s="16" t="n">
        <v>26516.2</v>
      </c>
      <c r="K34" s="14" t="n">
        <v>-2.98</v>
      </c>
      <c r="L34" s="14" t="n">
        <v>9.608470000000001</v>
      </c>
      <c r="M34" s="17">
        <f>IF(OR(F34="",K34="",K34&lt;=0),"",F34/K34)</f>
        <v/>
      </c>
      <c r="N34" s="18" t="n">
        <v>1.8309823</v>
      </c>
      <c r="O34" s="19">
        <f>IF(OR(N34="",M34="",M34&lt;=0),"",N34/M34)</f>
        <v/>
      </c>
      <c r="P34" s="20" t="n">
        <v>-0.01601</v>
      </c>
      <c r="Q34" s="20" t="n">
        <v>-0.01601</v>
      </c>
      <c r="R34" s="20" t="n"/>
      <c r="S34" s="21" t="n">
        <v>0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2026-10-21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30.86</v>
      </c>
      <c r="G35" s="15" t="inlineStr">
        <is>
          <t>EUR</t>
        </is>
      </c>
      <c r="H35" s="14" t="n">
        <v>30.86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0.36793286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2026-10-21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11.462</v>
      </c>
      <c r="G36" s="15" t="inlineStr">
        <is>
          <t>EUR</t>
        </is>
      </c>
      <c r="H36" s="14" t="n">
        <v>11.462</v>
      </c>
      <c r="I36" s="16" t="n">
        <v>648.3</v>
      </c>
      <c r="J36" s="16" t="n">
        <v>648.3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0.17391701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2026-10-21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34.58</v>
      </c>
      <c r="G2" s="15" t="inlineStr">
        <is>
          <t>EUR</t>
        </is>
      </c>
      <c r="H2" s="14" t="n">
        <v>34.58</v>
      </c>
      <c r="I2" s="16" t="n">
        <v>72270.7</v>
      </c>
      <c r="J2" s="16" t="n">
        <v>72270.7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1.5476598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2026-10-21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162.45</v>
      </c>
      <c r="G3" s="15" t="inlineStr">
        <is>
          <t>EUR</t>
        </is>
      </c>
      <c r="H3" s="14" t="n">
        <v>162.45</v>
      </c>
      <c r="I3" s="16" t="n">
        <v>12852</v>
      </c>
      <c r="J3" s="16" t="n">
        <v>12852</v>
      </c>
      <c r="K3" s="14" t="n">
        <v>2.62</v>
      </c>
      <c r="L3" s="14" t="n">
        <v>6.53261</v>
      </c>
      <c r="M3" s="17">
        <f>IF(OR(F3="",K3="",K3&lt;=0),"",F3/K3)</f>
        <v/>
      </c>
      <c r="N3" s="18" t="n">
        <v>22.902863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2026-10-21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Wolters Kluwer</t>
        </is>
      </c>
      <c r="C4" s="12" t="inlineStr">
        <is>
          <t>WKL.AS</t>
        </is>
      </c>
      <c r="D4" s="11" t="inlineStr">
        <is>
          <t>Informazione professionale</t>
        </is>
      </c>
      <c r="E4" s="13" t="inlineStr">
        <is>
          <t>Tecnologia</t>
        </is>
      </c>
      <c r="F4" s="14" t="n">
        <v>85.09999999999999</v>
      </c>
      <c r="G4" s="15" t="inlineStr">
        <is>
          <t>EUR</t>
        </is>
      </c>
      <c r="H4" s="14" t="n">
        <v>85.09999999999999</v>
      </c>
      <c r="I4" s="16" t="n">
        <v>18929.4</v>
      </c>
      <c r="J4" s="16" t="n">
        <v>18929.4</v>
      </c>
      <c r="K4" s="14" t="n">
        <v>5.85</v>
      </c>
      <c r="L4" s="14" t="n">
        <v>6.19867</v>
      </c>
      <c r="M4" s="17">
        <f>IF(OR(F4="",K4="",K4&lt;=0),"",F4/K4)</f>
        <v/>
      </c>
      <c r="N4" s="18" t="n">
        <v>20.208977</v>
      </c>
      <c r="O4" s="19">
        <f>IF(OR(N4="",M4="",M4&lt;=0),"",N4/M4)</f>
        <v/>
      </c>
      <c r="P4" s="20" t="n">
        <v>1.46141</v>
      </c>
      <c r="Q4" s="20" t="n">
        <v>0.8394564854324691</v>
      </c>
      <c r="R4" s="20" t="n">
        <v>0.4703152761290522</v>
      </c>
      <c r="S4" s="21" t="n">
        <v>4</v>
      </c>
      <c r="T4" s="20" t="n"/>
      <c r="U4" s="20" t="n">
        <v>1.639097744360902</v>
      </c>
      <c r="V4" s="20" t="n">
        <v>0.6983818770226538</v>
      </c>
      <c r="W4" s="20" t="n">
        <v>0.5757575757575758</v>
      </c>
      <c r="X4" s="20" t="n">
        <v>0.4445887445887446</v>
      </c>
      <c r="Y4" s="14" t="n">
        <v>2.6</v>
      </c>
      <c r="Z4" s="19">
        <f>IF(OR(Y4="",F4="",F4=0),"",Y4/F4)</f>
        <v/>
      </c>
      <c r="AA4" s="22" t="n">
        <v>590.213</v>
      </c>
      <c r="AB4" s="20" t="n">
        <v>-0.006</v>
      </c>
      <c r="AC4" s="20" t="n">
        <v>0.217959194122449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2026-10-21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1493.8</v>
      </c>
      <c r="G5" s="15" t="inlineStr">
        <is>
          <t>EUR</t>
        </is>
      </c>
      <c r="H5" s="14" t="n">
        <v>1493.8</v>
      </c>
      <c r="I5" s="16" t="n">
        <v>575737</v>
      </c>
      <c r="J5" s="16" t="n">
        <v>575737</v>
      </c>
      <c r="K5" s="14" t="n">
        <v>34.98</v>
      </c>
      <c r="L5" s="14" t="n">
        <v>55.92932</v>
      </c>
      <c r="M5" s="17">
        <f>IF(OR(F5="",K5="",K5&lt;=0),"",F5/K5)</f>
        <v/>
      </c>
      <c r="N5" s="18" t="n">
        <v>25.937181</v>
      </c>
      <c r="O5" s="19">
        <f>IF(OR(N5="",M5="",M5&lt;=0),"",N5/M5)</f>
        <v/>
      </c>
      <c r="P5" s="20" t="n">
        <v>0.65636003</v>
      </c>
      <c r="Q5" s="20" t="n">
        <v>0.65636003</v>
      </c>
      <c r="R5" s="20" t="n"/>
      <c r="S5" s="21" t="n">
        <v>0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7.52</v>
      </c>
      <c r="Z5" s="19">
        <f>IF(OR(Y5="",F5="",F5=0),"",Y5/F5)</f>
        <v/>
      </c>
      <c r="AA5" s="22" t="n">
        <v>8.897</v>
      </c>
      <c r="AB5" s="20" t="n">
        <v>0.552</v>
      </c>
      <c r="AC5" s="20" t="n">
        <v>0.34135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2026-10-21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29.825</v>
      </c>
      <c r="G6" s="15" t="inlineStr">
        <is>
          <t>EUR</t>
        </is>
      </c>
      <c r="H6" s="14" t="n">
        <v>29.825</v>
      </c>
      <c r="I6" s="16" t="n">
        <v>84733.3</v>
      </c>
      <c r="J6" s="16" t="n">
        <v>84733.3</v>
      </c>
      <c r="K6" s="14" t="n">
        <v>2.29</v>
      </c>
      <c r="L6" s="14" t="n">
        <v>2.99754</v>
      </c>
      <c r="M6" s="17">
        <f>IF(OR(F6="",K6="",K6&lt;=0),"",F6/K6)</f>
        <v/>
      </c>
      <c r="N6" s="18" t="n">
        <v>1.6974958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2026-10-21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940.3</v>
      </c>
      <c r="G7" s="15" t="inlineStr">
        <is>
          <t>EUR</t>
        </is>
      </c>
      <c r="H7" s="14" t="n">
        <v>940.3</v>
      </c>
      <c r="I7" s="16" t="n">
        <v>29682.1</v>
      </c>
      <c r="J7" s="16" t="n">
        <v>29682.1</v>
      </c>
      <c r="K7" s="14" t="n">
        <v>35.58</v>
      </c>
      <c r="L7" s="14" t="n">
        <v>46.75981</v>
      </c>
      <c r="M7" s="17">
        <f>IF(OR(F7="",K7="",K7&lt;=0),"",F7/K7)</f>
        <v/>
      </c>
      <c r="N7" s="18" t="n">
        <v>5.0233994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2026-10-21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32.5</v>
      </c>
      <c r="G8" s="15" t="inlineStr">
        <is>
          <t>EUR</t>
        </is>
      </c>
      <c r="H8" s="14" t="n">
        <v>32.5</v>
      </c>
      <c r="I8" s="16" t="n">
        <v>28372.9</v>
      </c>
      <c r="J8" s="16" t="n">
        <v>28372.9</v>
      </c>
      <c r="K8" s="14" t="n">
        <v>2.52</v>
      </c>
      <c r="L8" s="14" t="n">
        <v>2.91723</v>
      </c>
      <c r="M8" s="17">
        <f>IF(OR(F8="",K8="",K8&lt;=0),"",F8/K8)</f>
        <v/>
      </c>
      <c r="N8" s="18" t="n">
        <v>1.9658844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2026-10-21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ASM International</t>
        </is>
      </c>
      <c r="C9" s="12" t="inlineStr">
        <is>
          <t>ASM.AS</t>
        </is>
      </c>
      <c r="D9" s="11" t="inlineStr">
        <is>
          <t>Apparecchiature semicond.</t>
        </is>
      </c>
      <c r="E9" s="13" t="inlineStr">
        <is>
          <t>Tecnologia</t>
        </is>
      </c>
      <c r="F9" s="14" t="n">
        <v>760</v>
      </c>
      <c r="G9" s="15" t="inlineStr">
        <is>
          <t>EUR</t>
        </is>
      </c>
      <c r="H9" s="14" t="n">
        <v>760</v>
      </c>
      <c r="I9" s="16" t="n">
        <v>37100.9</v>
      </c>
      <c r="J9" s="16" t="n">
        <v>37100.9</v>
      </c>
      <c r="K9" s="14" t="n">
        <v>21.86</v>
      </c>
      <c r="L9" s="14" t="n">
        <v>31.64102</v>
      </c>
      <c r="M9" s="17">
        <f>IF(OR(F9="",K9="",K9&lt;=0),"",F9/K9)</f>
        <v/>
      </c>
      <c r="N9" s="18" t="n">
        <v>8.369951</v>
      </c>
      <c r="O9" s="19">
        <f>IF(OR(N9="",M9="",M9&lt;=0),"",N9/M9)</f>
        <v/>
      </c>
      <c r="P9" s="20" t="n">
        <v>0.26798</v>
      </c>
      <c r="Q9" s="20" t="n">
        <v>0.26798</v>
      </c>
      <c r="R9" s="20" t="n"/>
      <c r="S9" s="21" t="n">
        <v>0</v>
      </c>
      <c r="T9" s="20" t="n"/>
      <c r="U9" s="20" t="n">
        <v>0.1806630385940386</v>
      </c>
      <c r="V9" s="20" t="n">
        <v>0.1829899658411614</v>
      </c>
      <c r="W9" s="20" t="n">
        <v>0.2330700496558367</v>
      </c>
      <c r="X9" s="20" t="n">
        <v>0.1415306845076908</v>
      </c>
      <c r="Y9" s="14" t="n">
        <v>3.25</v>
      </c>
      <c r="Z9" s="19">
        <f>IF(OR(Y9="",F9="",F9=0),"",Y9/F9)</f>
        <v/>
      </c>
      <c r="AA9" s="22" t="n">
        <v>1.585</v>
      </c>
      <c r="AB9" s="20" t="n">
        <v>0.2</v>
      </c>
      <c r="AC9" s="20" t="n">
        <v>0.3384911029875205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2026-10-21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4.053</v>
      </c>
      <c r="G10" s="15" t="inlineStr">
        <is>
          <t>EUR</t>
        </is>
      </c>
      <c r="H10" s="14" t="n">
        <v>4.053</v>
      </c>
      <c r="I10" s="16" t="n">
        <v>15288.4</v>
      </c>
      <c r="J10" s="16" t="n">
        <v>15288.4</v>
      </c>
      <c r="K10" s="14" t="n">
        <v>0.22</v>
      </c>
      <c r="L10" s="14" t="n">
        <v>0.26973</v>
      </c>
      <c r="M10" s="17">
        <f>IF(OR(F10="",K10="",K10&lt;=0),"",F10/K10)</f>
        <v/>
      </c>
      <c r="N10" s="18" t="n">
        <v>6.6661186</v>
      </c>
      <c r="O10" s="19">
        <f>IF(OR(N10="",M10="",M10&lt;=0),"",N10/M10)</f>
        <v/>
      </c>
      <c r="P10" s="20" t="n">
        <v>0.26111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218.133</v>
      </c>
      <c r="AB10" s="20" t="n">
        <v>0.005</v>
      </c>
      <c r="AC10" s="20" t="n">
        <v>0.1428324995687424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2026-10-21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ABN AMRO</t>
        </is>
      </c>
      <c r="C11" s="12" t="inlineStr">
        <is>
          <t>ABN.AS</t>
        </is>
      </c>
      <c r="D11" s="11" t="inlineStr">
        <is>
          <t>Banca</t>
        </is>
      </c>
      <c r="E11" s="13" t="inlineStr">
        <is>
          <t>Finanziario</t>
        </is>
      </c>
      <c r="F11" s="14" t="n">
        <v>40.86</v>
      </c>
      <c r="G11" s="15" t="inlineStr">
        <is>
          <t>EUR</t>
        </is>
      </c>
      <c r="H11" s="14" t="n">
        <v>40.86</v>
      </c>
      <c r="I11" s="16" t="n">
        <v>33298.3</v>
      </c>
      <c r="J11" s="16" t="n">
        <v>33298.3</v>
      </c>
      <c r="K11" s="14" t="n">
        <v>2.78</v>
      </c>
      <c r="L11" s="14" t="n">
        <v>3.81075</v>
      </c>
      <c r="M11" s="17">
        <f>IF(OR(F11="",K11="",K11&lt;=0),"",F11/K11)</f>
        <v/>
      </c>
      <c r="N11" s="18" t="n">
        <v>1.2181016</v>
      </c>
      <c r="O11" s="19">
        <f>IF(OR(N11="",M11="",M11&lt;=0),"",N11/M11)</f>
        <v/>
      </c>
      <c r="P11" s="20" t="n">
        <v>0.0912</v>
      </c>
      <c r="Q11" s="20" t="n">
        <v>0.09219355240720387</v>
      </c>
      <c r="R11" s="20" t="n">
        <v>0.01186740445601576</v>
      </c>
      <c r="S11" s="21" t="n">
        <v>4</v>
      </c>
      <c r="T11" s="20" t="n"/>
      <c r="U11" s="20" t="n">
        <v>0.08328402366863906</v>
      </c>
      <c r="V11" s="20" t="n">
        <v>0.09204780510227534</v>
      </c>
      <c r="W11" s="20" t="n">
        <v>0.1116030787056195</v>
      </c>
      <c r="X11" s="20" t="n">
        <v>0.08183930215228159</v>
      </c>
      <c r="Y11" s="14" t="n">
        <v>1.38</v>
      </c>
      <c r="Z11" s="19">
        <f>IF(OR(Y11="",F11="",F11=0),"",Y11/F11)</f>
        <v/>
      </c>
      <c r="AA11" s="22" t="n"/>
      <c r="AB11" s="20" t="n">
        <v>0.118</v>
      </c>
      <c r="AC11" s="20" t="n">
        <v>0.2616811653687586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2026-10-21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Universal Music Group</t>
        </is>
      </c>
      <c r="C12" s="12" t="inlineStr">
        <is>
          <t>UMG.AS</t>
        </is>
      </c>
      <c r="D12" s="11" t="inlineStr">
        <is>
          <t>Musica / Media</t>
        </is>
      </c>
      <c r="E12" s="13" t="inlineStr">
        <is>
          <t>Consumi</t>
        </is>
      </c>
      <c r="F12" s="14" t="n">
        <v>16.205</v>
      </c>
      <c r="G12" s="15" t="inlineStr">
        <is>
          <t>EUR</t>
        </is>
      </c>
      <c r="H12" s="14" t="n">
        <v>16.205</v>
      </c>
      <c r="I12" s="16" t="n">
        <v>29140</v>
      </c>
      <c r="J12" s="16" t="n">
        <v>29140</v>
      </c>
      <c r="K12" s="14" t="n">
        <v>0.18</v>
      </c>
      <c r="L12" s="14" t="n">
        <v>1.08942</v>
      </c>
      <c r="M12" s="17">
        <f>IF(OR(F12="",K12="",K12&lt;=0),"",F12/K12)</f>
        <v/>
      </c>
      <c r="N12" s="18" t="n">
        <v>8.102499999999999</v>
      </c>
      <c r="O12" s="19">
        <f>IF(OR(N12="",M12="",M12&lt;=0),"",N12/M12)</f>
        <v/>
      </c>
      <c r="P12" s="20" t="n">
        <v>0.076680005</v>
      </c>
      <c r="Q12" s="20" t="n">
        <v>0.3890024739536239</v>
      </c>
      <c r="R12" s="20" t="n">
        <v>0.05546307097014871</v>
      </c>
      <c r="S12" s="21" t="n">
        <v>4</v>
      </c>
      <c r="T12" s="20" t="n"/>
      <c r="U12" s="20" t="n">
        <v>0.337442218798151</v>
      </c>
      <c r="V12" s="20" t="n">
        <v>0.4608926204153778</v>
      </c>
      <c r="W12" s="20" t="n">
        <v>0.425050641458474</v>
      </c>
      <c r="X12" s="20" t="n">
        <v>0.3326244151424926</v>
      </c>
      <c r="Y12" s="14" t="n">
        <v>0.52</v>
      </c>
      <c r="Z12" s="19">
        <f>IF(OR(Y12="",F12="",F12=0),"",Y12/F12)</f>
        <v/>
      </c>
      <c r="AA12" s="22" t="n">
        <v>152.303</v>
      </c>
      <c r="AB12" s="20" t="n">
        <v>0.053</v>
      </c>
      <c r="AC12" s="20" t="n">
        <v>0.02582553769888862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2026-10-21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76.8</v>
      </c>
      <c r="G13" s="15" t="inlineStr">
        <is>
          <t>EUR</t>
        </is>
      </c>
      <c r="H13" s="14" t="n">
        <v>76.8</v>
      </c>
      <c r="I13" s="16" t="n">
        <v>19881.2</v>
      </c>
      <c r="J13" s="16" t="n">
        <v>19881.2</v>
      </c>
      <c r="K13" s="14" t="n">
        <v>6.78</v>
      </c>
      <c r="L13" s="14" t="n">
        <v>8.888450000000001</v>
      </c>
      <c r="M13" s="17">
        <f>IF(OR(F13="",K13="",K13&lt;=0),"",F13/K13)</f>
        <v/>
      </c>
      <c r="N13" s="18" t="n">
        <v>0.9565207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2026-10-21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60.96</v>
      </c>
      <c r="G14" s="15" t="inlineStr">
        <is>
          <t>EUR</t>
        </is>
      </c>
      <c r="H14" s="14" t="n">
        <v>60.96</v>
      </c>
      <c r="I14" s="16" t="n">
        <v>10448.5</v>
      </c>
      <c r="J14" s="16" t="n">
        <v>10448.5</v>
      </c>
      <c r="K14" s="14" t="n">
        <v>3.71</v>
      </c>
      <c r="L14" s="14" t="n">
        <v>4.26369</v>
      </c>
      <c r="M14" s="17">
        <f>IF(OR(F14="",K14="",K14&lt;=0),"",F14/K14)</f>
        <v/>
      </c>
      <c r="N14" s="18" t="n">
        <v>2.1529984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2026-10-21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100.6</v>
      </c>
      <c r="G15" s="15" t="inlineStr">
        <is>
          <t>EUR</t>
        </is>
      </c>
      <c r="H15" s="14" t="n">
        <v>100.6</v>
      </c>
      <c r="I15" s="16" t="n">
        <v>5938.7</v>
      </c>
      <c r="J15" s="16" t="n">
        <v>5938.7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2.7979417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2026-10-21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76.68000000000001</v>
      </c>
      <c r="G16" s="15" t="inlineStr">
        <is>
          <t>EUR</t>
        </is>
      </c>
      <c r="H16" s="14" t="n">
        <v>76.68000000000001</v>
      </c>
      <c r="I16" s="16" t="n">
        <v>42416.7</v>
      </c>
      <c r="J16" s="16" t="n">
        <v>42416.7</v>
      </c>
      <c r="K16" s="14" t="n">
        <v>4.1</v>
      </c>
      <c r="L16" s="14" t="n">
        <v>5.6914</v>
      </c>
      <c r="M16" s="17">
        <f>IF(OR(F16="",K16="",K16&lt;=0),"",F16/K16)</f>
        <v/>
      </c>
      <c r="N16" s="18" t="n">
        <v>2.1992142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2026-10-21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7.548</v>
      </c>
      <c r="G17" s="15" t="inlineStr">
        <is>
          <t>EUR</t>
        </is>
      </c>
      <c r="H17" s="14" t="n">
        <v>7.548</v>
      </c>
      <c r="I17" s="16" t="n">
        <v>11171</v>
      </c>
      <c r="J17" s="16" t="n">
        <v>11171</v>
      </c>
      <c r="K17" s="14" t="n">
        <v>0.59</v>
      </c>
      <c r="L17" s="14" t="n">
        <v>0.92522</v>
      </c>
      <c r="M17" s="17">
        <f>IF(OR(F17="",K17="",K17&lt;=0),"",F17/K17)</f>
        <v/>
      </c>
      <c r="N17" s="18" t="n">
        <v>1.2571619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2026-10-21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41.25</v>
      </c>
      <c r="G18" s="15" t="inlineStr">
        <is>
          <t>EUR</t>
        </is>
      </c>
      <c r="H18" s="14" t="n">
        <v>41.25</v>
      </c>
      <c r="I18" s="16" t="n">
        <v>7237.3</v>
      </c>
      <c r="J18" s="16" t="n">
        <v>7237.3</v>
      </c>
      <c r="K18" s="14" t="n">
        <v>1.78</v>
      </c>
      <c r="L18" s="14" t="n">
        <v>2.92458</v>
      </c>
      <c r="M18" s="17">
        <f>IF(OR(F18="",K18="",K18&lt;=0),"",F18/K18)</f>
        <v/>
      </c>
      <c r="N18" s="18" t="n">
        <v>1.854516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2026-10-21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ArcelorMittal</t>
        </is>
      </c>
      <c r="C19" s="12" t="inlineStr">
        <is>
          <t>MT.AS</t>
        </is>
      </c>
      <c r="D19" s="11" t="inlineStr">
        <is>
          <t>Acciaio</t>
        </is>
      </c>
      <c r="E19" s="13" t="inlineStr">
        <is>
          <t>Materiali</t>
        </is>
      </c>
      <c r="F19" s="14" t="n">
        <v>56.24</v>
      </c>
      <c r="G19" s="15" t="inlineStr">
        <is>
          <t>EUR</t>
        </is>
      </c>
      <c r="H19" s="14" t="n">
        <v>56.24</v>
      </c>
      <c r="I19" s="16" t="n">
        <v>42288.8</v>
      </c>
      <c r="J19" s="16" t="n">
        <v>42288.8</v>
      </c>
      <c r="K19" s="14" t="n">
        <v>2.03</v>
      </c>
      <c r="L19" s="14" t="n">
        <v>6.6471314</v>
      </c>
      <c r="M19" s="17">
        <f>IF(OR(F19="",K19="",K19&lt;=0),"",F19/K19)</f>
        <v/>
      </c>
      <c r="N19" s="18" t="n">
        <v>0.8674646</v>
      </c>
      <c r="O19" s="19">
        <f>IF(OR(N19="",M19="",M19&lt;=0),"",N19/M19)</f>
        <v/>
      </c>
      <c r="P19" s="20" t="n">
        <v>0.03284</v>
      </c>
      <c r="Q19" s="20" t="n">
        <v>0.03284</v>
      </c>
      <c r="R19" s="20" t="n"/>
      <c r="S19" s="21" t="n">
        <v>0</v>
      </c>
      <c r="T19" s="20" t="n"/>
      <c r="U19" s="20" t="n">
        <v>0.05787096537289318</v>
      </c>
      <c r="V19" s="20" t="n">
        <v>0.02720273043089613</v>
      </c>
      <c r="W19" s="20" t="n">
        <v>0.01703081855414095</v>
      </c>
      <c r="X19" s="20" t="n">
        <v>0.1750075255869958</v>
      </c>
      <c r="Y19" s="14" t="n">
        <v>0.54</v>
      </c>
      <c r="Z19" s="19">
        <f>IF(OR(Y19="",F19="",F19=0),"",Y19/F19)</f>
        <v/>
      </c>
      <c r="AA19" s="22" t="n">
        <v>25.379</v>
      </c>
      <c r="AB19" s="20" t="n">
        <v>0.052</v>
      </c>
      <c r="AC19" s="20" t="n">
        <v>0.02883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2026-10-21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Philips</t>
        </is>
      </c>
      <c r="C20" s="12" t="inlineStr">
        <is>
          <t>PHIA.AS</t>
        </is>
      </c>
      <c r="D20" s="11" t="inlineStr">
        <is>
          <t>Dispositivi medicali</t>
        </is>
      </c>
      <c r="E20" s="13" t="inlineStr">
        <is>
          <t>Salute</t>
        </is>
      </c>
      <c r="F20" s="14" t="n">
        <v>23.41</v>
      </c>
      <c r="G20" s="15" t="inlineStr">
        <is>
          <t>EUR</t>
        </is>
      </c>
      <c r="H20" s="14" t="n">
        <v>23.41</v>
      </c>
      <c r="I20" s="16" t="n">
        <v>22881.6</v>
      </c>
      <c r="J20" s="16" t="n">
        <v>22881.6</v>
      </c>
      <c r="K20" s="14" t="n">
        <v>1.15</v>
      </c>
      <c r="L20" s="14" t="n">
        <v>1.68397</v>
      </c>
      <c r="M20" s="17">
        <f>IF(OR(F20="",K20="",K20&lt;=0),"",F20/K20)</f>
        <v/>
      </c>
      <c r="N20" s="18" t="n">
        <v>1.9989753</v>
      </c>
      <c r="O20" s="19">
        <f>IF(OR(N20="",M20="",M20&lt;=0),"",N20/M20)</f>
        <v/>
      </c>
      <c r="P20" s="20" t="n">
        <v>0.10154</v>
      </c>
      <c r="Q20" s="20" t="n">
        <v>-0.0342246014377813</v>
      </c>
      <c r="R20" s="20" t="n">
        <v>0.07354719819959123</v>
      </c>
      <c r="S20" s="21" t="n">
        <v>4</v>
      </c>
      <c r="T20" s="20" t="n"/>
      <c r="U20" s="20" t="n">
        <v>0.08168294241124395</v>
      </c>
      <c r="V20" s="20" t="n">
        <v>-0.05847076461769116</v>
      </c>
      <c r="W20" s="20" t="n">
        <v>-0.0387429331559694</v>
      </c>
      <c r="X20" s="20" t="n">
        <v>-0.1213676503887086</v>
      </c>
      <c r="Y20" s="14" t="n">
        <v>0.85</v>
      </c>
      <c r="Z20" s="19">
        <f>IF(OR(Y20="",F20="",F20=0),"",Y20/F20)</f>
        <v/>
      </c>
      <c r="AA20" s="22" t="n">
        <v>65.04900000000001</v>
      </c>
      <c r="AB20" s="20" t="n">
        <v>0.005</v>
      </c>
      <c r="AC20" s="20" t="n">
        <v>0.06224066390041494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2026-10-21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107.85</v>
      </c>
      <c r="G21" s="15" t="inlineStr">
        <is>
          <t>EUR</t>
        </is>
      </c>
      <c r="H21" s="14" t="n">
        <v>107.85</v>
      </c>
      <c r="I21" s="16" t="n">
        <v>26354.4</v>
      </c>
      <c r="J21" s="16" t="n">
        <v>26354.4</v>
      </c>
      <c r="K21" s="14" t="n">
        <v>-5.23</v>
      </c>
      <c r="L21" s="14" t="n">
        <v>4.13858</v>
      </c>
      <c r="M21" s="17">
        <f>IF(OR(F21="",K21="",K21&lt;=0),"",F21/K21)</f>
        <v/>
      </c>
      <c r="N21" s="18" t="n">
        <v>1.5137479</v>
      </c>
      <c r="O21" s="19">
        <f>IF(OR(N21="",M21="",M21&lt;=0),"",N21/M21)</f>
        <v/>
      </c>
      <c r="P21" s="20" t="n">
        <v>0.01874</v>
      </c>
      <c r="Q21" s="20" t="n">
        <v>0.01874</v>
      </c>
      <c r="R21" s="20" t="n"/>
      <c r="S21" s="21" t="n">
        <v>0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-0.15229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2026-10-21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611</v>
      </c>
      <c r="G2" s="15" t="inlineStr">
        <is>
          <t>CHF</t>
        </is>
      </c>
      <c r="H2" s="14" t="n">
        <v>659.8485912070585</v>
      </c>
      <c r="I2" s="16" t="n">
        <v>17012.9701826193</v>
      </c>
      <c r="J2" s="16" t="n">
        <v>15753.5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10.749473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2026-10-21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624.6</v>
      </c>
      <c r="G3" s="15" t="inlineStr">
        <is>
          <t>CHF</t>
        </is>
      </c>
      <c r="H3" s="14" t="n">
        <v>674.5358920915364</v>
      </c>
      <c r="I3" s="16" t="n">
        <v>100754.8840675184</v>
      </c>
      <c r="J3" s="16" t="n">
        <v>93296</v>
      </c>
      <c r="K3" s="14" t="n">
        <v>39.19</v>
      </c>
      <c r="L3" s="14" t="n">
        <v>43.42129</v>
      </c>
      <c r="M3" s="17">
        <f>IF(OR(F3="",K3="",K3&lt;=0),"",F3/K3)</f>
        <v/>
      </c>
      <c r="N3" s="18" t="n">
        <v>3.549244</v>
      </c>
      <c r="O3" s="19">
        <f>IF(OR(N3="",M3="",M3&lt;=0),"",N3/M3)</f>
        <v/>
      </c>
      <c r="P3" s="20" t="n">
        <v>0.25695</v>
      </c>
      <c r="Q3" s="20" t="n">
        <v>0.25695</v>
      </c>
      <c r="R3" s="20" t="n"/>
      <c r="S3" s="21" t="n">
        <v>0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0.09383000399999999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2026-10-21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Julius Baer Gruppe</t>
        </is>
      </c>
      <c r="C4" s="12" t="inlineStr">
        <is>
          <t>BAER.SW</t>
        </is>
      </c>
      <c r="D4" s="11" t="inlineStr">
        <is>
          <t>Gestione patrimoni</t>
        </is>
      </c>
      <c r="E4" s="13" t="inlineStr">
        <is>
          <t>Finanziario</t>
        </is>
      </c>
      <c r="F4" s="14" t="n">
        <v>69.86</v>
      </c>
      <c r="G4" s="15" t="inlineStr">
        <is>
          <t>CHF</t>
        </is>
      </c>
      <c r="H4" s="14" t="n">
        <v>75.44520880806073</v>
      </c>
      <c r="I4" s="16" t="n">
        <v>15523.93706059592</v>
      </c>
      <c r="J4" s="16" t="n">
        <v>14374.7</v>
      </c>
      <c r="K4" s="14" t="n">
        <v>5.54</v>
      </c>
      <c r="L4" s="14" t="n">
        <v>6.23582</v>
      </c>
      <c r="M4" s="17">
        <f>IF(OR(F4="",K4="",K4&lt;=0),"",F4/K4)</f>
        <v/>
      </c>
      <c r="N4" s="18" t="n">
        <v>1.9492188</v>
      </c>
      <c r="O4" s="19">
        <f>IF(OR(N4="",M4="",M4&lt;=0),"",N4/M4)</f>
        <v/>
      </c>
      <c r="P4" s="20" t="n">
        <v>0.16169001</v>
      </c>
      <c r="Q4" s="20" t="n">
        <v>0.1200210000885957</v>
      </c>
      <c r="R4" s="20" t="n">
        <v>0.03239015609690895</v>
      </c>
      <c r="S4" s="21" t="n">
        <v>4</v>
      </c>
      <c r="T4" s="20" t="n"/>
      <c r="U4" s="20" t="n">
        <v>0.1056556265736975</v>
      </c>
      <c r="V4" s="20" t="n">
        <v>0.1497055980314615</v>
      </c>
      <c r="W4" s="20" t="n">
        <v>0.07368574813756837</v>
      </c>
      <c r="X4" s="20" t="n">
        <v>0.1510370276116554</v>
      </c>
      <c r="Y4" s="14" t="n">
        <v>2.6</v>
      </c>
      <c r="Z4" s="19">
        <f>IF(OR(Y4="",F4="",F4=0),"",Y4/F4)</f>
        <v/>
      </c>
      <c r="AA4" s="22" t="n"/>
      <c r="AB4" s="20" t="n">
        <v>0.257</v>
      </c>
      <c r="AC4" s="20" t="n">
        <v>0.2798606497202866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2026-10-21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SGS</t>
        </is>
      </c>
      <c r="C5" s="12" t="inlineStr">
        <is>
          <t>SGSN.SW</t>
        </is>
      </c>
      <c r="D5" s="11" t="inlineStr">
        <is>
          <t>Ispezione e certificazione</t>
        </is>
      </c>
      <c r="E5" s="13" t="inlineStr">
        <is>
          <t>Industriale</t>
        </is>
      </c>
      <c r="F5" s="14" t="n">
        <v>100.45</v>
      </c>
      <c r="G5" s="15" t="inlineStr">
        <is>
          <t>CHF</t>
        </is>
      </c>
      <c r="H5" s="14" t="n">
        <v>108.4808363121915</v>
      </c>
      <c r="I5" s="16" t="n">
        <v>21455.87870017387</v>
      </c>
      <c r="J5" s="16" t="n">
        <v>19867.5</v>
      </c>
      <c r="K5" s="14" t="n">
        <v>3.4</v>
      </c>
      <c r="L5" s="14" t="n">
        <v>4.4884</v>
      </c>
      <c r="M5" s="17">
        <f>IF(OR(F5="",K5="",K5&lt;=0),"",F5/K5)</f>
        <v/>
      </c>
      <c r="N5" s="18" t="n">
        <v>19.711536</v>
      </c>
      <c r="O5" s="19">
        <f>IF(OR(N5="",M5="",M5&lt;=0),"",N5/M5)</f>
        <v/>
      </c>
      <c r="P5" s="20" t="n">
        <v>0.76313</v>
      </c>
      <c r="Q5" s="20" t="n">
        <v>0.8843363128257563</v>
      </c>
      <c r="R5" s="20" t="n">
        <v>0.1921909984470007</v>
      </c>
      <c r="S5" s="21" t="n">
        <v>4</v>
      </c>
      <c r="T5" s="20" t="n"/>
      <c r="U5" s="20" t="n">
        <v>0.7413984461709212</v>
      </c>
      <c r="V5" s="20" t="n">
        <v>0.7289836888331243</v>
      </c>
      <c r="W5" s="20" t="n">
        <v>1.20479302832244</v>
      </c>
      <c r="X5" s="20" t="n">
        <v>0.8621700879765396</v>
      </c>
      <c r="Y5" s="14" t="n">
        <v>3.2</v>
      </c>
      <c r="Z5" s="19">
        <f>IF(OR(Y5="",F5="",F5=0),"",Y5/F5)</f>
        <v/>
      </c>
      <c r="AA5" s="22" t="n">
        <v>464.47</v>
      </c>
      <c r="AB5" s="20" t="n">
        <v>0.076</v>
      </c>
      <c r="AC5" s="20" t="n">
        <v>0.09546436285097193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2026-10-21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Kuehne + Nagel</t>
        </is>
      </c>
      <c r="C6" s="12" t="inlineStr">
        <is>
          <t>KNIN.SW</t>
        </is>
      </c>
      <c r="D6" s="11" t="inlineStr">
        <is>
          <t>Logistica</t>
        </is>
      </c>
      <c r="E6" s="13" t="inlineStr">
        <is>
          <t>Industriale</t>
        </is>
      </c>
      <c r="F6" s="14" t="n">
        <v>229.8</v>
      </c>
      <c r="G6" s="15" t="inlineStr">
        <is>
          <t>CHF</t>
        </is>
      </c>
      <c r="H6" s="14" t="n">
        <v>248.1721870038986</v>
      </c>
      <c r="I6" s="16" t="n">
        <v>29472.98508590991</v>
      </c>
      <c r="J6" s="16" t="n">
        <v>27291.1</v>
      </c>
      <c r="K6" s="14" t="n">
        <v>7.26</v>
      </c>
      <c r="L6" s="14" t="n">
        <v>9.53543</v>
      </c>
      <c r="M6" s="17">
        <f>IF(OR(F6="",K6="",K6&lt;=0),"",F6/K6)</f>
        <v/>
      </c>
      <c r="N6" s="18" t="n">
        <v>13.306312</v>
      </c>
      <c r="O6" s="19">
        <f>IF(OR(N6="",M6="",M6&lt;=0),"",N6/M6)</f>
        <v/>
      </c>
      <c r="P6" s="20" t="n">
        <v>0.44268</v>
      </c>
      <c r="Q6" s="20" t="n">
        <v>0.464756209938601</v>
      </c>
      <c r="R6" s="20" t="n">
        <v>0.1055333217304714</v>
      </c>
      <c r="S6" s="21" t="n">
        <v>4</v>
      </c>
      <c r="T6" s="20" t="n"/>
      <c r="U6" s="20" t="n">
        <v>0.4045871559633027</v>
      </c>
      <c r="V6" s="20" t="n">
        <v>0.3619368679129635</v>
      </c>
      <c r="W6" s="20" t="n">
        <v>0.4538534728829686</v>
      </c>
      <c r="X6" s="20" t="n">
        <v>0.6386473429951691</v>
      </c>
      <c r="Y6" s="14" t="n">
        <v>6</v>
      </c>
      <c r="Z6" s="19">
        <f>IF(OR(Y6="",F6="",F6=0),"",Y6/F6)</f>
        <v/>
      </c>
      <c r="AA6" s="22" t="n">
        <v>196.252</v>
      </c>
      <c r="AB6" s="20" t="n">
        <v>0.076</v>
      </c>
      <c r="AC6" s="20" t="n">
        <v>0.03529988560222259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2026-10-21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ABB</t>
        </is>
      </c>
      <c r="C7" s="12" t="inlineStr">
        <is>
          <t>ABBN.SW</t>
        </is>
      </c>
      <c r="D7" s="11" t="inlineStr">
        <is>
          <t>Automazione / Elettrificazione</t>
        </is>
      </c>
      <c r="E7" s="13" t="inlineStr">
        <is>
          <t>Industriale</t>
        </is>
      </c>
      <c r="F7" s="14" t="n">
        <v>71.84</v>
      </c>
      <c r="G7" s="15" t="inlineStr">
        <is>
          <t>CHF</t>
        </is>
      </c>
      <c r="H7" s="14" t="n">
        <v>77.5835070250656</v>
      </c>
      <c r="I7" s="16" t="n">
        <v>140358.8669179347</v>
      </c>
      <c r="J7" s="16" t="n">
        <v>129968.1</v>
      </c>
      <c r="K7" s="14" t="n">
        <v>2.2</v>
      </c>
      <c r="L7" s="14" t="n">
        <v>3.043406</v>
      </c>
      <c r="M7" s="17">
        <f>IF(OR(F7="",K7="",K7&lt;=0),"",F7/K7)</f>
        <v/>
      </c>
      <c r="N7" s="18" t="n">
        <v>9.48751</v>
      </c>
      <c r="O7" s="19">
        <f>IF(OR(N7="",M7="",M7&lt;=0),"",N7/M7)</f>
        <v/>
      </c>
      <c r="P7" s="20" t="n">
        <v>0.31129</v>
      </c>
      <c r="Q7" s="20" t="n">
        <v>0.2600388332410384</v>
      </c>
      <c r="R7" s="20" t="n">
        <v>0.03907452780269946</v>
      </c>
      <c r="S7" s="21" t="n">
        <v>4</v>
      </c>
      <c r="T7" s="20" t="n"/>
      <c r="U7" s="20" t="n">
        <v>0.2942748803381612</v>
      </c>
      <c r="V7" s="20" t="n">
        <v>0.2729038074762466</v>
      </c>
      <c r="W7" s="20" t="n">
        <v>0.2792692020879941</v>
      </c>
      <c r="X7" s="20" t="n">
        <v>0.1937074430617516</v>
      </c>
      <c r="Y7" s="14" t="n">
        <v>0.9399999999999999</v>
      </c>
      <c r="Z7" s="19">
        <f>IF(OR(Y7="",F7="",F7=0),"",Y7/F7)</f>
        <v/>
      </c>
      <c r="AA7" s="22" t="n">
        <v>49.616</v>
      </c>
      <c r="AB7" s="20" t="n">
        <v>0.068</v>
      </c>
      <c r="AC7" s="20" t="n">
        <v>0.1504515390728477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2026-10-21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Logitech International</t>
        </is>
      </c>
      <c r="C8" s="12" t="inlineStr">
        <is>
          <t>LOGN.SW</t>
        </is>
      </c>
      <c r="D8" s="11" t="inlineStr">
        <is>
          <t>Periferiche</t>
        </is>
      </c>
      <c r="E8" s="13" t="inlineStr">
        <is>
          <t>Tecnologia</t>
        </is>
      </c>
      <c r="F8" s="14" t="n">
        <v>90.44</v>
      </c>
      <c r="G8" s="15" t="inlineStr">
        <is>
          <t>CHF</t>
        </is>
      </c>
      <c r="H8" s="14" t="n">
        <v>97.67055088177803</v>
      </c>
      <c r="I8" s="16" t="n">
        <v>13985.33429808741</v>
      </c>
      <c r="J8" s="16" t="n">
        <v>12950</v>
      </c>
      <c r="K8" s="14" t="n">
        <v>4.33</v>
      </c>
      <c r="L8" s="14" t="n">
        <v>4.952715</v>
      </c>
      <c r="M8" s="17">
        <f>IF(OR(F8="",K8="",K8&lt;=0),"",F8/K8)</f>
        <v/>
      </c>
      <c r="N8" s="18" t="n">
        <v>6.6752024</v>
      </c>
      <c r="O8" s="19">
        <f>IF(OR(N8="",M8="",M8&lt;=0),"",N8/M8)</f>
        <v/>
      </c>
      <c r="P8" s="20" t="n">
        <v>0.35287997</v>
      </c>
      <c r="Q8" s="20" t="n">
        <v>0.2634996625637651</v>
      </c>
      <c r="R8" s="20" t="n">
        <v>0.06124827333549866</v>
      </c>
      <c r="S8" s="21" t="n">
        <v>4</v>
      </c>
      <c r="T8" s="20" t="n">
        <v>0.3216012162464039</v>
      </c>
      <c r="U8" s="20" t="n">
        <v>0.2968520555414539</v>
      </c>
      <c r="V8" s="20" t="n">
        <v>0.2740546539681857</v>
      </c>
      <c r="W8" s="20" t="n">
        <v>0.1614907244990166</v>
      </c>
      <c r="X8" s="20" t="n"/>
      <c r="Y8" s="14" t="n">
        <v>1.36</v>
      </c>
      <c r="Z8" s="19">
        <f>IF(OR(Y8="",F8="",F8=0),"",Y8/F8)</f>
        <v/>
      </c>
      <c r="AA8" s="22" t="n">
        <v>3.588</v>
      </c>
      <c r="AB8" s="20" t="n">
        <v>0.06900000000000001</v>
      </c>
      <c r="AC8" s="20" t="n">
        <v>0.1654427871981285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2026-10-21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Nestle</t>
        </is>
      </c>
      <c r="C9" s="12" t="inlineStr">
        <is>
          <t>NESN.SW</t>
        </is>
      </c>
      <c r="D9" s="11" t="inlineStr">
        <is>
          <t>Alimentare</t>
        </is>
      </c>
      <c r="E9" s="13" t="inlineStr">
        <is>
          <t>Consumi</t>
        </is>
      </c>
      <c r="F9" s="14" t="n">
        <v>83.47</v>
      </c>
      <c r="G9" s="15" t="inlineStr">
        <is>
          <t>CHF</t>
        </is>
      </c>
      <c r="H9" s="14" t="n">
        <v>90.14330917848309</v>
      </c>
      <c r="I9" s="16" t="n">
        <v>231868.4190632526</v>
      </c>
      <c r="J9" s="16" t="n">
        <v>214703.2</v>
      </c>
      <c r="K9" s="14" t="n">
        <v>2.89</v>
      </c>
      <c r="L9" s="14" t="n">
        <v>4.82053</v>
      </c>
      <c r="M9" s="17">
        <f>IF(OR(F9="",K9="",K9&lt;=0),"",F9/K9)</f>
        <v/>
      </c>
      <c r="N9" s="18" t="n">
        <v>7.3477116</v>
      </c>
      <c r="O9" s="19">
        <f>IF(OR(N9="",M9="",M9&lt;=0),"",N9/M9)</f>
        <v/>
      </c>
      <c r="P9" s="20" t="n">
        <v>0.26244</v>
      </c>
      <c r="Q9" s="20" t="n">
        <v>0.2781904882450918</v>
      </c>
      <c r="R9" s="20" t="n">
        <v>0.03595995564025928</v>
      </c>
      <c r="S9" s="21" t="n">
        <v>4</v>
      </c>
      <c r="T9" s="20" t="n"/>
      <c r="U9" s="20" t="n">
        <v>0.275312404754648</v>
      </c>
      <c r="V9" s="20" t="n">
        <v>0.3030319904223627</v>
      </c>
      <c r="W9" s="20" t="n">
        <v>0.3136086396955962</v>
      </c>
      <c r="X9" s="20" t="n">
        <v>0.2208089181077605</v>
      </c>
      <c r="Y9" s="14" t="n">
        <v>3.1</v>
      </c>
      <c r="Z9" s="19">
        <f>IF(OR(Y9="",F9="",F9=0),"",Y9/F9)</f>
        <v/>
      </c>
      <c r="AA9" s="22" t="n">
        <v>213.005</v>
      </c>
      <c r="AB9" s="20" t="n">
        <v>-0.025</v>
      </c>
      <c r="AC9" s="20" t="n">
        <v>0.08277243144017356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2026-10-21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Geberit</t>
        </is>
      </c>
      <c r="C10" s="12" t="inlineStr">
        <is>
          <t>GEBN.SW</t>
        </is>
      </c>
      <c r="D10" s="11" t="inlineStr">
        <is>
          <t>Sanitari e impianti</t>
        </is>
      </c>
      <c r="E10" s="13" t="inlineStr">
        <is>
          <t>Industriale</t>
        </is>
      </c>
      <c r="F10" s="14" t="n">
        <v>558.6</v>
      </c>
      <c r="G10" s="15" t="inlineStr">
        <is>
          <t>CHF</t>
        </is>
      </c>
      <c r="H10" s="14" t="n">
        <v>603.2592848580407</v>
      </c>
      <c r="I10" s="16" t="n">
        <v>19520.50282406557</v>
      </c>
      <c r="J10" s="16" t="n">
        <v>18075.4</v>
      </c>
      <c r="K10" s="14" t="n">
        <v>18.86</v>
      </c>
      <c r="L10" s="14" t="n">
        <v>21.05756</v>
      </c>
      <c r="M10" s="17">
        <f>IF(OR(F10="",K10="",K10&lt;=0),"",F10/K10)</f>
        <v/>
      </c>
      <c r="N10" s="18" t="n">
        <v>16.307583</v>
      </c>
      <c r="O10" s="19">
        <f>IF(OR(N10="",M10="",M10&lt;=0),"",N10/M10)</f>
        <v/>
      </c>
      <c r="P10" s="20" t="n">
        <v>0.54099</v>
      </c>
      <c r="Q10" s="20" t="n">
        <v>0.54099</v>
      </c>
      <c r="R10" s="20" t="n"/>
      <c r="S10" s="21" t="n">
        <v>0</v>
      </c>
      <c r="T10" s="20" t="n"/>
      <c r="U10" s="20" t="n">
        <v>0.3940412629358645</v>
      </c>
      <c r="V10" s="20" t="n">
        <v>0.4586021505376344</v>
      </c>
      <c r="W10" s="20" t="n">
        <v>0.4673888341792288</v>
      </c>
      <c r="X10" s="20" t="n">
        <v>0.471810287241149</v>
      </c>
      <c r="Y10" s="14" t="n">
        <v>12.9</v>
      </c>
      <c r="Z10" s="19">
        <f>IF(OR(Y10="",F10="",F10=0),"",Y10/F10)</f>
        <v/>
      </c>
      <c r="AA10" s="22" t="n">
        <v>134.428</v>
      </c>
      <c r="AB10" s="20" t="n">
        <v>0.065</v>
      </c>
      <c r="AC10" s="20" t="n">
        <v>0.19413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2026-10-21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152.7</v>
      </c>
      <c r="G11" s="15" t="inlineStr">
        <is>
          <t>CHF</t>
        </is>
      </c>
      <c r="H11" s="14" t="n">
        <v>164.9081503720423</v>
      </c>
      <c r="I11" s="16" t="n">
        <v>48634.62099204077</v>
      </c>
      <c r="J11" s="16" t="n">
        <v>45034.2</v>
      </c>
      <c r="K11" s="14" t="n">
        <v>13.03</v>
      </c>
      <c r="L11" s="14" t="n">
        <v>12.8818655</v>
      </c>
      <c r="M11" s="17">
        <f>IF(OR(F11="",K11="",K11&lt;=0),"",F11/K11)</f>
        <v/>
      </c>
      <c r="N11" s="18" t="n">
        <v>2.2194405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2026-10-21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276.8</v>
      </c>
      <c r="G12" s="15" t="inlineStr">
        <is>
          <t>CHF</t>
        </is>
      </c>
      <c r="H12" s="14" t="n">
        <v>298.9297709429031</v>
      </c>
      <c r="I12" s="16" t="n">
        <v>17757.81072820934</v>
      </c>
      <c r="J12" s="16" t="n">
        <v>16443.2</v>
      </c>
      <c r="K12" s="14" t="n">
        <v>9.01</v>
      </c>
      <c r="L12" s="14" t="n">
        <v>12.21901</v>
      </c>
      <c r="M12" s="17">
        <f>IF(OR(F12="",K12="",K12&lt;=0),"",F12/K12)</f>
        <v/>
      </c>
      <c r="N12" s="18" t="n">
        <v>6.290623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2026-10-21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3962</v>
      </c>
      <c r="G13" s="15" t="inlineStr">
        <is>
          <t>CHF</t>
        </is>
      </c>
      <c r="H13" s="14" t="n">
        <v>4278.756331198635</v>
      </c>
      <c r="I13" s="16" t="n">
        <v>39498.5798675983</v>
      </c>
      <c r="J13" s="16" t="n">
        <v>36574.5</v>
      </c>
      <c r="K13" s="14" t="n">
        <v>102.7</v>
      </c>
      <c r="L13" s="14" t="n">
        <v>133.94225</v>
      </c>
      <c r="M13" s="17">
        <f>IF(OR(F13="",K13="",K13&lt;=0),"",F13/K13)</f>
        <v/>
      </c>
      <c r="N13" s="18" t="n">
        <v>8.308605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2026-10-21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126.88</v>
      </c>
      <c r="G14" s="15" t="inlineStr">
        <is>
          <t>CHF</t>
        </is>
      </c>
      <c r="H14" s="14" t="n">
        <v>137.0238776634232</v>
      </c>
      <c r="I14" s="16" t="n">
        <v>260443.3188980205</v>
      </c>
      <c r="J14" s="16" t="n">
        <v>241162.7</v>
      </c>
      <c r="K14" s="14" t="n">
        <v>5.25</v>
      </c>
      <c r="L14" s="14" t="n">
        <v>8.122567</v>
      </c>
      <c r="M14" s="17">
        <f>IF(OR(F14="",K14="",K14&lt;=0),"",F14/K14)</f>
        <v/>
      </c>
      <c r="N14" s="18" t="n">
        <v>7.0188622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2026-10-21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39.54</v>
      </c>
      <c r="G15" s="15" t="inlineStr">
        <is>
          <t>CHF</t>
        </is>
      </c>
      <c r="H15" s="14" t="n">
        <v>42.70116742443059</v>
      </c>
      <c r="I15" s="16" t="n">
        <v>130739.980776915</v>
      </c>
      <c r="J15" s="16" t="n">
        <v>121061.3</v>
      </c>
      <c r="K15" s="14" t="n">
        <v>2.33</v>
      </c>
      <c r="L15" s="14" t="n">
        <v>3.55185</v>
      </c>
      <c r="M15" s="17">
        <f>IF(OR(F15="",K15="",K15&lt;=0),"",F15/K15)</f>
        <v/>
      </c>
      <c r="N15" s="18" t="n">
        <v>1.6415713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2026-10-21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185.7</v>
      </c>
      <c r="G16" s="15" t="inlineStr">
        <is>
          <t>CHF</t>
        </is>
      </c>
      <c r="H16" s="14" t="n">
        <v>200.5464539887901</v>
      </c>
      <c r="I16" s="16" t="n">
        <v>32175.55644351329</v>
      </c>
      <c r="J16" s="16" t="n">
        <v>29793.6</v>
      </c>
      <c r="K16" s="14" t="n">
        <v>6.48</v>
      </c>
      <c r="L16" s="14" t="n">
        <v>8.37627</v>
      </c>
      <c r="M16" s="17">
        <f>IF(OR(F16="",K16="",K16&lt;=0),"",F16/K16)</f>
        <v/>
      </c>
      <c r="N16" s="18" t="n">
        <v>4.3721895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2026-10-21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938.6</v>
      </c>
      <c r="G17" s="15" t="inlineStr">
        <is>
          <t>CHF</t>
        </is>
      </c>
      <c r="H17" s="14" t="n">
        <v>1013.639750747864</v>
      </c>
      <c r="I17" s="16" t="n">
        <v>28326.61965290452</v>
      </c>
      <c r="J17" s="16" t="n">
        <v>26229.6</v>
      </c>
      <c r="K17" s="14" t="n">
        <v>45.92</v>
      </c>
      <c r="L17" s="14" t="n">
        <v>51.40119</v>
      </c>
      <c r="M17" s="17">
        <f>IF(OR(F17="",K17="",K17&lt;=0),"",F17/K17)</f>
        <v/>
      </c>
      <c r="N17" s="18" t="n">
        <v>4.1542</v>
      </c>
      <c r="O17" s="19">
        <f>IF(OR(N17="",M17="",M17&lt;=0),"",N17/M17)</f>
        <v/>
      </c>
      <c r="P17" s="20" t="n">
        <v>0.19368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257.891</v>
      </c>
      <c r="AB17" s="20" t="n">
        <v>0.034</v>
      </c>
      <c r="AC17" s="20" t="n">
        <v>0.07243200359631378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2026-10-21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Swisscom</t>
        </is>
      </c>
      <c r="C18" s="12" t="inlineStr">
        <is>
          <t>SCMN.SW</t>
        </is>
      </c>
      <c r="D18" s="11" t="inlineStr">
        <is>
          <t>Telecomunicazioni</t>
        </is>
      </c>
      <c r="E18" s="13" t="inlineStr">
        <is>
          <t>Industriale</t>
        </is>
      </c>
      <c r="F18" s="14" t="n">
        <v>669</v>
      </c>
      <c r="G18" s="15" t="inlineStr">
        <is>
          <t>CHF</t>
        </is>
      </c>
      <c r="H18" s="14" t="n">
        <v>722.485609684979</v>
      </c>
      <c r="I18" s="16" t="n">
        <v>37426.15851485469</v>
      </c>
      <c r="J18" s="16" t="n">
        <v>34655.5</v>
      </c>
      <c r="K18" s="14" t="n">
        <v>25.38</v>
      </c>
      <c r="L18" s="14" t="n">
        <v>30.88335</v>
      </c>
      <c r="M18" s="17">
        <f>IF(OR(F18="",K18="",K18&lt;=0),"",F18/K18)</f>
        <v/>
      </c>
      <c r="N18" s="18" t="n">
        <v>3.0088105</v>
      </c>
      <c r="O18" s="19">
        <f>IF(OR(N18="",M18="",M18&lt;=0),"",N18/M18)</f>
        <v/>
      </c>
      <c r="P18" s="20" t="n">
        <v>0.11364</v>
      </c>
      <c r="Q18" s="20" t="n">
        <v>0.1303592998522721</v>
      </c>
      <c r="R18" s="20" t="n">
        <v>0.01711917560174847</v>
      </c>
      <c r="S18" s="21" t="n">
        <v>4</v>
      </c>
      <c r="T18" s="20" t="n"/>
      <c r="U18" s="20" t="n">
        <v>0.1038483536236621</v>
      </c>
      <c r="V18" s="20" t="n">
        <v>0.1268718117492184</v>
      </c>
      <c r="W18" s="20" t="n">
        <v>0.147271475296953</v>
      </c>
      <c r="X18" s="20" t="n">
        <v>0.143445558739255</v>
      </c>
      <c r="Y18" s="14" t="n">
        <v>26</v>
      </c>
      <c r="Z18" s="19">
        <f>IF(OR(Y18="",F18="",F18=0),"",Y18/F18)</f>
        <v/>
      </c>
      <c r="AA18" s="22" t="n">
        <v>143.288</v>
      </c>
      <c r="AB18" s="20" t="n">
        <v>-0.02</v>
      </c>
      <c r="AC18" s="20" t="n">
        <v>0.08732057416267942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2026-10-21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Straumann Holding</t>
        </is>
      </c>
      <c r="C19" s="12" t="inlineStr">
        <is>
          <t>STMN.SW</t>
        </is>
      </c>
      <c r="D19" s="11" t="inlineStr">
        <is>
          <t>Implantologia dentale</t>
        </is>
      </c>
      <c r="E19" s="13" t="inlineStr">
        <is>
          <t>Salute</t>
        </is>
      </c>
      <c r="F19" s="14" t="n">
        <v>95.59999999999999</v>
      </c>
      <c r="G19" s="15" t="inlineStr">
        <is>
          <t>CHF</t>
        </is>
      </c>
      <c r="H19" s="14" t="n">
        <v>103.243085629124</v>
      </c>
      <c r="I19" s="16" t="n">
        <v>16462.19639945139</v>
      </c>
      <c r="J19" s="16" t="n">
        <v>15243.5</v>
      </c>
      <c r="K19" s="14" t="n">
        <v>2.31</v>
      </c>
      <c r="L19" s="14" t="n">
        <v>3.86032</v>
      </c>
      <c r="M19" s="17">
        <f>IF(OR(F19="",K19="",K19&lt;=0),"",F19/K19)</f>
        <v/>
      </c>
      <c r="N19" s="18" t="n">
        <v>6.664343</v>
      </c>
      <c r="O19" s="19">
        <f>IF(OR(N19="",M19="",M19&lt;=0),"",N19/M19)</f>
        <v/>
      </c>
      <c r="P19" s="20" t="n">
        <v>0.17048</v>
      </c>
      <c r="Q19" s="20" t="n">
        <v>0.17048</v>
      </c>
      <c r="R19" s="20" t="n"/>
      <c r="S19" s="21" t="n">
        <v>0</v>
      </c>
      <c r="T19" s="20" t="n"/>
      <c r="U19" s="20" t="n">
        <v>0.1647370296828064</v>
      </c>
      <c r="V19" s="20" t="n">
        <v>0.1903387576582092</v>
      </c>
      <c r="W19" s="20" t="n">
        <v>0.1340130782456395</v>
      </c>
      <c r="X19" s="20" t="n">
        <v>0.2348182488855572</v>
      </c>
      <c r="Y19" s="14" t="n">
        <v>1</v>
      </c>
      <c r="Z19" s="19">
        <f>IF(OR(Y19="",F19="",F19=0),"",Y19/F19)</f>
        <v/>
      </c>
      <c r="AA19" s="22" t="n">
        <v>20.764</v>
      </c>
      <c r="AB19" s="20" t="n">
        <v>0.023</v>
      </c>
      <c r="AC19" s="20" t="n">
        <v>0.1416968572495589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2026-10-21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65</v>
      </c>
      <c r="G20" s="15" t="inlineStr">
        <is>
          <t>CHF</t>
        </is>
      </c>
      <c r="H20" s="14" t="n">
        <v>70.19665863904878</v>
      </c>
      <c r="I20" s="16" t="n">
        <v>38827.49981100899</v>
      </c>
      <c r="J20" s="16" t="n">
        <v>35953.1</v>
      </c>
      <c r="K20" s="14" t="n">
        <v>0.7</v>
      </c>
      <c r="L20" s="14" t="n">
        <v>4.28708</v>
      </c>
      <c r="M20" s="17">
        <f>IF(OR(F20="",K20="",K20&lt;=0),"",F20/K20)</f>
        <v/>
      </c>
      <c r="N20" s="18" t="n">
        <v>2.2783034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2026-10-21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175.6</v>
      </c>
      <c r="G21" s="15" t="inlineStr">
        <is>
          <t>CHF</t>
        </is>
      </c>
      <c r="H21" s="14" t="n">
        <v>189.6389731848764</v>
      </c>
      <c r="I21" s="16" t="n">
        <v>111496.3767724656</v>
      </c>
      <c r="J21" s="16" t="n">
        <v>103242.3</v>
      </c>
      <c r="K21" s="14" t="n">
        <v>5.47</v>
      </c>
      <c r="L21" s="14" t="n">
        <v>7.9482985</v>
      </c>
      <c r="M21" s="17">
        <f>IF(OR(F21="",K21="",K21&lt;=0),"",F21/K21)</f>
        <v/>
      </c>
      <c r="N21" s="18" t="n">
        <v>4.6265697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2026-10-21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55.92</v>
      </c>
      <c r="G22" s="15" t="inlineStr">
        <is>
          <t>CHF</t>
        </is>
      </c>
      <c r="H22" s="14" t="n">
        <v>60.39072540147089</v>
      </c>
      <c r="I22" s="16" t="n">
        <v>29192.84642051038</v>
      </c>
      <c r="J22" s="16" t="n">
        <v>27031.7</v>
      </c>
      <c r="K22" s="14" t="n">
        <v>1.05</v>
      </c>
      <c r="L22" s="14" t="n">
        <v>3.6192052</v>
      </c>
      <c r="M22" s="17">
        <f>IF(OR(F22="",K22="",K22&lt;=0),"",F22/K22)</f>
        <v/>
      </c>
      <c r="N22" s="18" t="n">
        <v>1.5134437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2026-10-21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623.6</v>
      </c>
      <c r="G23" s="15" t="inlineStr">
        <is>
          <t>CHF</t>
        </is>
      </c>
      <c r="H23" s="14" t="n">
        <v>673.4559434970895</v>
      </c>
      <c r="I23" s="16" t="n">
        <v>47037.05303627547</v>
      </c>
      <c r="J23" s="16" t="n">
        <v>43554.9</v>
      </c>
      <c r="K23" s="14" t="n">
        <v>15.09</v>
      </c>
      <c r="L23" s="14" t="n">
        <v>22.29384</v>
      </c>
      <c r="M23" s="17">
        <f>IF(OR(F23="",K23="",K23&lt;=0),"",F23/K23)</f>
        <v/>
      </c>
      <c r="N23" s="18" t="n">
        <v>5.358631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2026-10-21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215.51</v>
      </c>
      <c r="G2" s="15" t="inlineStr">
        <is>
          <t>USD</t>
        </is>
      </c>
      <c r="H2" s="14" t="n">
        <v>191.7607904484601</v>
      </c>
      <c r="I2" s="16" t="n">
        <v>60776.62986661631</v>
      </c>
      <c r="J2" s="16" t="n">
        <v>68303.7</v>
      </c>
      <c r="K2" s="14" t="n">
        <v>27.09</v>
      </c>
      <c r="L2" s="14" t="n">
        <v>9.81265</v>
      </c>
      <c r="M2" s="17">
        <f>IF(OR(F2="",K2="",K2&lt;=0),"",F2/K2)</f>
        <v/>
      </c>
      <c r="N2" s="18" t="n">
        <v>3.6847503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2026-10-21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205.61</v>
      </c>
      <c r="G3" s="15" t="inlineStr">
        <is>
          <t>USD</t>
        </is>
      </c>
      <c r="H3" s="14" t="n">
        <v>182.9517707953593</v>
      </c>
      <c r="I3" s="16" t="n">
        <v>69452.80238494863</v>
      </c>
      <c r="J3" s="16" t="n">
        <v>78054.39999999999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15.139533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2026-10-21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157.69</v>
      </c>
      <c r="G4" s="15" t="inlineStr">
        <is>
          <t>USD</t>
        </is>
      </c>
      <c r="H4" s="14" t="n">
        <v>140.3125564744915</v>
      </c>
      <c r="I4" s="16" t="n">
        <v>74734.4770169563</v>
      </c>
      <c r="J4" s="16" t="n">
        <v>83990.2</v>
      </c>
      <c r="K4" s="14" t="n">
        <v>12.85</v>
      </c>
      <c r="L4" s="14" t="n">
        <v>16.0909</v>
      </c>
      <c r="M4" s="17">
        <f>IF(OR(F4="",K4="",K4&lt;=0),"",F4/K4)</f>
        <v/>
      </c>
      <c r="N4" s="18" t="n">
        <v>2.6006002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2026-10-21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255.705</v>
      </c>
      <c r="G5" s="15" t="inlineStr">
        <is>
          <t>USD</t>
        </is>
      </c>
      <c r="H5" s="14" t="n">
        <v>227.5263000400143</v>
      </c>
      <c r="I5" s="16" t="n">
        <v>88553.24843277308</v>
      </c>
      <c r="J5" s="16" t="n">
        <v>99520.39999999999</v>
      </c>
      <c r="K5" s="14" t="n">
        <v>17.91</v>
      </c>
      <c r="L5" s="14" t="n">
        <v>27.50756</v>
      </c>
      <c r="M5" s="17">
        <f>IF(OR(F5="",K5="",K5&lt;=0),"",F5/K5)</f>
        <v/>
      </c>
      <c r="N5" s="18" t="n">
        <v>8.498854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2026-10-21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79.52</v>
      </c>
      <c r="G6" s="15" t="inlineStr">
        <is>
          <t>USD</t>
        </is>
      </c>
      <c r="H6" s="14" t="n">
        <v>70.75689321359354</v>
      </c>
      <c r="I6" s="16" t="n">
        <v>29238.38194859252</v>
      </c>
      <c r="J6" s="16" t="n">
        <v>32859.5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10.4617815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2026-10-21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334.17</v>
      </c>
      <c r="G7" s="15" t="inlineStr">
        <is>
          <t>USD</t>
        </is>
      </c>
      <c r="H7" s="14" t="n">
        <v>297.3444542905754</v>
      </c>
      <c r="I7" s="16" t="n">
        <v>3636503.634254487</v>
      </c>
      <c r="J7" s="16" t="n">
        <v>4086877.7</v>
      </c>
      <c r="K7" s="14" t="n">
        <v>19.93</v>
      </c>
      <c r="L7" s="14" t="n">
        <v>15.34777</v>
      </c>
      <c r="M7" s="17">
        <f>IF(OR(F7="",K7="",K7&lt;=0),"",F7/K7)</f>
        <v/>
      </c>
      <c r="N7" s="18" t="n">
        <v>6.565742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2026-10-21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473.34</v>
      </c>
      <c r="G8" s="15" t="inlineStr">
        <is>
          <t>USD</t>
        </is>
      </c>
      <c r="H8" s="14" t="n">
        <v>421.1779154140137</v>
      </c>
      <c r="I8" s="16" t="n">
        <v>122957.2750979425</v>
      </c>
      <c r="J8" s="16" t="n">
        <v>138185.3</v>
      </c>
      <c r="K8" s="14" t="n">
        <v>28.88</v>
      </c>
      <c r="L8" s="14" t="n">
        <v>58.32262</v>
      </c>
      <c r="M8" s="17">
        <f>IF(OR(F8="",K8="",K8&lt;=0),"",F8/K8)</f>
        <v/>
      </c>
      <c r="N8" s="18" t="n">
        <v>7.0218062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2026-10-21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57.27</v>
      </c>
      <c r="G9" s="15" t="inlineStr">
        <is>
          <t>USD</t>
        </is>
      </c>
      <c r="H9" s="14" t="n">
        <v>50.95884399324073</v>
      </c>
      <c r="I9" s="16" t="n">
        <v>43926.4879301749</v>
      </c>
      <c r="J9" s="16" t="n">
        <v>49366.7</v>
      </c>
      <c r="K9" s="14" t="n">
        <v>5.35</v>
      </c>
      <c r="L9" s="14" t="n">
        <v>5.77857</v>
      </c>
      <c r="M9" s="17">
        <f>IF(OR(F9="",K9="",K9&lt;=0),"",F9/K9)</f>
        <v/>
      </c>
      <c r="N9" s="18" t="n">
        <v>2.4907582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2026-10-21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PepsiCo</t>
        </is>
      </c>
      <c r="C10" s="12" t="inlineStr">
        <is>
          <t>PEP</t>
        </is>
      </c>
      <c r="D10" s="11" t="inlineStr">
        <is>
          <t>Bevande e snack</t>
        </is>
      </c>
      <c r="E10" s="13" t="inlineStr">
        <is>
          <t>Consumi</t>
        </is>
      </c>
      <c r="F10" s="14" t="n">
        <v>134.04</v>
      </c>
      <c r="G10" s="15" t="inlineStr">
        <is>
          <t>USD</t>
        </is>
      </c>
      <c r="H10" s="14" t="n">
        <v>119.2687873031952</v>
      </c>
      <c r="I10" s="16" t="n">
        <v>162532.4632394716</v>
      </c>
      <c r="J10" s="16" t="n">
        <v>182661.8</v>
      </c>
      <c r="K10" s="14" t="n">
        <v>7.95</v>
      </c>
      <c r="L10" s="14" t="n">
        <v>8.638719999999999</v>
      </c>
      <c r="M10" s="17">
        <f>IF(OR(F10="",K10="",K10&lt;=0),"",F10/K10)</f>
        <v/>
      </c>
      <c r="N10" s="18" t="n">
        <v>8.201676000000001</v>
      </c>
      <c r="O10" s="19">
        <f>IF(OR(N10="",M10="",M10&lt;=0),"",N10/M10)</f>
        <v/>
      </c>
      <c r="P10" s="20" t="n">
        <v>0.5218699999999999</v>
      </c>
      <c r="Q10" s="20" t="n">
        <v>0.486168855450935</v>
      </c>
      <c r="R10" s="20" t="n">
        <v>0.04979556056471136</v>
      </c>
      <c r="S10" s="21" t="n">
        <v>4</v>
      </c>
      <c r="T10" s="20" t="n"/>
      <c r="U10" s="20" t="n">
        <v>0.4038028030971283</v>
      </c>
      <c r="V10" s="20" t="n">
        <v>0.5309018347098277</v>
      </c>
      <c r="W10" s="20" t="n">
        <v>0.490406961033346</v>
      </c>
      <c r="X10" s="20" t="n">
        <v>0.5195638229634381</v>
      </c>
      <c r="Y10" s="14" t="n">
        <v>5.92</v>
      </c>
      <c r="Z10" s="19">
        <f>IF(OR(Y10="",F10="",F10=0),"",Y10/F10)</f>
        <v/>
      </c>
      <c r="AA10" s="22" t="n">
        <v>230.716</v>
      </c>
      <c r="AB10" s="20" t="n">
        <v>0.056</v>
      </c>
      <c r="AC10" s="20" t="n">
        <v>0.1160074527548576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2026-10-21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220.75</v>
      </c>
      <c r="G11" s="15" t="inlineStr">
        <is>
          <t>USD</t>
        </is>
      </c>
      <c r="H11" s="14" t="n">
        <v>196.4233422648488</v>
      </c>
      <c r="I11" s="16" t="n">
        <v>114004.1078505182</v>
      </c>
      <c r="J11" s="16" t="n">
        <v>128123.3</v>
      </c>
      <c r="K11" s="14" t="n">
        <v>19.85</v>
      </c>
      <c r="L11" s="14" t="n">
        <v>16.30119</v>
      </c>
      <c r="M11" s="17">
        <f>IF(OR(F11="",K11="",K11&lt;=0),"",F11/K11)</f>
        <v/>
      </c>
      <c r="N11" s="18" t="n">
        <v>3.7095852</v>
      </c>
      <c r="O11" s="19">
        <f>IF(OR(N11="",M11="",M11&lt;=0),"",N11/M11)</f>
        <v/>
      </c>
      <c r="P11" s="20" t="n">
        <v>0.33238998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24.327</v>
      </c>
      <c r="AB11" s="20" t="n">
        <v>0.03</v>
      </c>
      <c r="AC11" s="20" t="n">
        <v>0.1326152152173169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2026-10-21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Target</t>
        </is>
      </c>
      <c r="C12" s="12" t="inlineStr">
        <is>
          <t>TGT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154.2699</v>
      </c>
      <c r="G12" s="15" t="inlineStr">
        <is>
          <t>USD</t>
        </is>
      </c>
      <c r="H12" s="14" t="n">
        <v>137.2539389913097</v>
      </c>
      <c r="I12" s="16" t="n">
        <v>62353.29402104657</v>
      </c>
      <c r="J12" s="16" t="n">
        <v>70083.5</v>
      </c>
      <c r="K12" s="14" t="n">
        <v>9.630000000000001</v>
      </c>
      <c r="L12" s="14" t="n">
        <v>9.545249999999999</v>
      </c>
      <c r="M12" s="17">
        <f>IF(OR(F12="",K12="",K12&lt;=0),"",F12/K12)</f>
        <v/>
      </c>
      <c r="N12" s="18" t="n">
        <v>3.9277413</v>
      </c>
      <c r="O12" s="19">
        <f>IF(OR(N12="",M12="",M12&lt;=0),"",N12/M12)</f>
        <v/>
      </c>
      <c r="P12" s="20" t="n">
        <v>0.26408002</v>
      </c>
      <c r="Q12" s="20" t="n">
        <v>0.265930196598988</v>
      </c>
      <c r="R12" s="20" t="n">
        <v>0.03014032785235156</v>
      </c>
      <c r="S12" s="21" t="n">
        <v>4</v>
      </c>
      <c r="T12" s="20" t="n">
        <v>0.2291988864831426</v>
      </c>
      <c r="U12" s="20" t="n">
        <v>0.278944497477158</v>
      </c>
      <c r="V12" s="20" t="n">
        <v>0.3080702799285289</v>
      </c>
      <c r="W12" s="20" t="n">
        <v>0.2475071225071225</v>
      </c>
      <c r="X12" s="20" t="n"/>
      <c r="Y12" s="14" t="n">
        <v>4.64</v>
      </c>
      <c r="Z12" s="19">
        <f>IF(OR(Y12="",F12="",F12=0),"",Y12/F12)</f>
        <v/>
      </c>
      <c r="AA12" s="22" t="n">
        <v>107.583</v>
      </c>
      <c r="AB12" s="20" t="n">
        <v>0.053</v>
      </c>
      <c r="AC12" s="20" t="n">
        <v>0.04191639625882802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American Express</t>
        </is>
      </c>
      <c r="C13" s="12" t="inlineStr">
        <is>
          <t>AXP</t>
        </is>
      </c>
      <c r="D13" s="11" t="inlineStr">
        <is>
          <t>Pagamenti / Credito</t>
        </is>
      </c>
      <c r="E13" s="13" t="inlineStr">
        <is>
          <t>Finanziario</t>
        </is>
      </c>
      <c r="F13" s="14" t="n">
        <v>324.31</v>
      </c>
      <c r="G13" s="15" t="inlineStr">
        <is>
          <t>USD</t>
        </is>
      </c>
      <c r="H13" s="14" t="n">
        <v>288.571026636073</v>
      </c>
      <c r="I13" s="16" t="n">
        <v>194874.8233858295</v>
      </c>
      <c r="J13" s="16" t="n">
        <v>219009.7</v>
      </c>
      <c r="K13" s="14" t="n">
        <v>16.48</v>
      </c>
      <c r="L13" s="14" t="n">
        <v>20.14957</v>
      </c>
      <c r="M13" s="17">
        <f>IF(OR(F13="",K13="",K13&lt;=0),"",F13/K13)</f>
        <v/>
      </c>
      <c r="N13" s="18" t="n">
        <v>6.3859406</v>
      </c>
      <c r="O13" s="19">
        <f>IF(OR(N13="",M13="",M13&lt;=0),"",N13/M13)</f>
        <v/>
      </c>
      <c r="P13" s="20" t="n">
        <v>0.34377</v>
      </c>
      <c r="Q13" s="20" t="n">
        <v>0.3152128333482085</v>
      </c>
      <c r="R13" s="20" t="n">
        <v>0.01461690524528727</v>
      </c>
      <c r="S13" s="21" t="n">
        <v>4</v>
      </c>
      <c r="T13" s="20" t="n"/>
      <c r="U13" s="20" t="n">
        <v>0.3236243054310808</v>
      </c>
      <c r="V13" s="20" t="n">
        <v>0.3346880782447793</v>
      </c>
      <c r="W13" s="20" t="n">
        <v>0.2984638414655879</v>
      </c>
      <c r="X13" s="20" t="n">
        <v>0.304075108251386</v>
      </c>
      <c r="Y13" s="14" t="n">
        <v>3.8</v>
      </c>
      <c r="Z13" s="19">
        <f>IF(OR(Y13="",F13="",F13=0),"",Y13/F13)</f>
        <v/>
      </c>
      <c r="AA13" s="22" t="n">
        <v>172.38</v>
      </c>
      <c r="AB13" s="20" t="n">
        <v>0.128</v>
      </c>
      <c r="AC13" s="20" t="n">
        <v>0.1565969756610827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2026-10-21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530.46</v>
      </c>
      <c r="G14" s="15" t="inlineStr">
        <is>
          <t>USD</t>
        </is>
      </c>
      <c r="H14" s="14" t="n">
        <v>472.0032894125105</v>
      </c>
      <c r="I14" s="16" t="n">
        <v>3504882.020977746</v>
      </c>
      <c r="J14" s="16" t="n">
        <v>3938955</v>
      </c>
      <c r="K14" s="14" t="n">
        <v>17.95</v>
      </c>
      <c r="L14" s="14" t="n">
        <v>23.69881</v>
      </c>
      <c r="M14" s="17">
        <f>IF(OR(F14="",K14="",K14&lt;=0),"",F14/K14)</f>
        <v/>
      </c>
      <c r="N14" s="18" t="n">
        <v>8.905566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3.92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2026-10-21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Moody's</t>
        </is>
      </c>
      <c r="C15" s="12" t="inlineStr">
        <is>
          <t>MCO</t>
        </is>
      </c>
      <c r="D15" s="11" t="inlineStr">
        <is>
          <t>Dati e rating</t>
        </is>
      </c>
      <c r="E15" s="13" t="inlineStr">
        <is>
          <t>Finanziario</t>
        </is>
      </c>
      <c r="F15" s="14" t="n">
        <v>478.11</v>
      </c>
      <c r="G15" s="15" t="inlineStr">
        <is>
          <t>USD</t>
        </is>
      </c>
      <c r="H15" s="14" t="n">
        <v>425.4222612468714</v>
      </c>
      <c r="I15" s="16" t="n">
        <v>73675.0811786753</v>
      </c>
      <c r="J15" s="16" t="n">
        <v>82799.60000000001</v>
      </c>
      <c r="K15" s="14" t="n">
        <v>15.76</v>
      </c>
      <c r="L15" s="14" t="n">
        <v>18.76318</v>
      </c>
      <c r="M15" s="17">
        <f>IF(OR(F15="",K15="",K15&lt;=0),"",F15/K15)</f>
        <v/>
      </c>
      <c r="N15" s="18" t="n">
        <v>27.372189</v>
      </c>
      <c r="O15" s="19">
        <f>IF(OR(N15="",M15="",M15&lt;=0),"",N15/M15)</f>
        <v/>
      </c>
      <c r="P15" s="20" t="n">
        <v>0.76932</v>
      </c>
      <c r="Q15" s="20" t="n">
        <v>0.5534057442590806</v>
      </c>
      <c r="R15" s="20" t="n">
        <v>0.04536086460562505</v>
      </c>
      <c r="S15" s="21" t="n">
        <v>4</v>
      </c>
      <c r="T15" s="20" t="n"/>
      <c r="U15" s="20" t="n">
        <v>0.6065614208189443</v>
      </c>
      <c r="V15" s="20" t="n">
        <v>0.5772791023842917</v>
      </c>
      <c r="W15" s="20" t="n">
        <v>0.4843279083785413</v>
      </c>
      <c r="X15" s="20" t="n">
        <v>0.5454545454545454</v>
      </c>
      <c r="Y15" s="14" t="n">
        <v>4.12</v>
      </c>
      <c r="Z15" s="19">
        <f>IF(OR(Y15="",F15="",F15=0),"",Y15/F15)</f>
        <v/>
      </c>
      <c r="AA15" s="22" t="n">
        <v>240.682</v>
      </c>
      <c r="AB15" s="20" t="n">
        <v>0.151</v>
      </c>
      <c r="AC15" s="20" t="n">
        <v>0.3621404591863177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2026-10-21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260.5</v>
      </c>
      <c r="G16" s="15" t="inlineStr">
        <is>
          <t>USD</t>
        </is>
      </c>
      <c r="H16" s="14" t="n">
        <v>231.792890871996</v>
      </c>
      <c r="I16" s="16" t="n">
        <v>290071.3183569915</v>
      </c>
      <c r="J16" s="16" t="n">
        <v>325996.1</v>
      </c>
      <c r="K16" s="14" t="n">
        <v>5.76</v>
      </c>
      <c r="L16" s="14" t="n">
        <v>11.76569</v>
      </c>
      <c r="M16" s="17">
        <f>IF(OR(F16="",K16="",K16&lt;=0),"",F16/K16)</f>
        <v/>
      </c>
      <c r="N16" s="18" t="n">
        <v>26.13625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2026-10-21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344.1301</v>
      </c>
      <c r="G17" s="15" t="inlineStr">
        <is>
          <t>USD</t>
        </is>
      </c>
      <c r="H17" s="14" t="n">
        <v>306.2069509215703</v>
      </c>
      <c r="I17" s="16" t="n">
        <v>4468839.5166571</v>
      </c>
      <c r="J17" s="16" t="n">
        <v>5022296.8</v>
      </c>
      <c r="K17" s="14" t="n">
        <v>8.720000000000001</v>
      </c>
      <c r="L17" s="14" t="n">
        <v>9.5707</v>
      </c>
      <c r="M17" s="17">
        <f>IF(OR(F17="",K17="",K17&lt;=0),"",F17/K17)</f>
        <v/>
      </c>
      <c r="N17" s="18" t="n">
        <v>46.756805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2026-10-21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Visa</t>
        </is>
      </c>
      <c r="C18" s="12" t="inlineStr">
        <is>
          <t>V</t>
        </is>
      </c>
      <c r="D18" s="11" t="inlineStr">
        <is>
          <t>Pagamenti</t>
        </is>
      </c>
      <c r="E18" s="13" t="inlineStr">
        <is>
          <t>Finanziario</t>
        </is>
      </c>
      <c r="F18" s="14" t="n">
        <v>407.645</v>
      </c>
      <c r="G18" s="15" t="inlineStr">
        <is>
          <t>USD</t>
        </is>
      </c>
      <c r="H18" s="14" t="n">
        <v>362.6817801794934</v>
      </c>
      <c r="I18" s="16" t="n">
        <v>680882.5611048224</v>
      </c>
      <c r="J18" s="16" t="n">
        <v>765294.5</v>
      </c>
      <c r="K18" s="14" t="n">
        <v>11.75</v>
      </c>
      <c r="L18" s="14" t="n">
        <v>15.02363</v>
      </c>
      <c r="M18" s="17">
        <f>IF(OR(F18="",K18="",K18&lt;=0),"",F18/K18)</f>
        <v/>
      </c>
      <c r="N18" s="18" t="n">
        <v>21.602808</v>
      </c>
      <c r="O18" s="19">
        <f>IF(OR(N18="",M18="",M18&lt;=0),"",N18/M18)</f>
        <v/>
      </c>
      <c r="P18" s="20" t="n">
        <v>0.6119</v>
      </c>
      <c r="Q18" s="20" t="n">
        <v>0.4749707904577081</v>
      </c>
      <c r="R18" s="20" t="n">
        <v>0.0436591756067068</v>
      </c>
      <c r="S18" s="21" t="n">
        <v>4</v>
      </c>
      <c r="T18" s="20" t="n"/>
      <c r="U18" s="20" t="n">
        <v>0.5291091825160252</v>
      </c>
      <c r="V18" s="20" t="n">
        <v>0.504458696374275</v>
      </c>
      <c r="W18" s="20" t="n">
        <v>0.445950481501562</v>
      </c>
      <c r="X18" s="20" t="n">
        <v>0.4203648014389703</v>
      </c>
      <c r="Y18" s="14" t="n">
        <v>2.68</v>
      </c>
      <c r="Z18" s="19">
        <f>IF(OR(Y18="",F18="",F18=0),"",Y18/F18)</f>
        <v/>
      </c>
      <c r="AA18" s="22" t="n">
        <v>67.821</v>
      </c>
      <c r="AB18" s="20" t="n">
        <v>0.144</v>
      </c>
      <c r="AC18" s="20" t="n">
        <v>0.5599499776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183.07</v>
      </c>
      <c r="G19" s="15" t="inlineStr">
        <is>
          <t>USD</t>
        </is>
      </c>
      <c r="H19" s="14" t="n">
        <v>162.8956795851681</v>
      </c>
      <c r="I19" s="16" t="n">
        <v>205448.0494294558</v>
      </c>
      <c r="J19" s="16" t="n">
        <v>230892.4</v>
      </c>
      <c r="K19" s="14" t="n">
        <v>3.17</v>
      </c>
      <c r="L19" s="14" t="n">
        <v>5.21686</v>
      </c>
      <c r="M19" s="17">
        <f>IF(OR(F19="",K19="",K19&lt;=0),"",F19/K19)</f>
        <v/>
      </c>
      <c r="N19" s="18" t="n">
        <v>15.603001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2026-10-21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739.6</v>
      </c>
      <c r="G20" s="15" t="inlineStr">
        <is>
          <t>USD</t>
        </is>
      </c>
      <c r="H20" s="14" t="n">
        <v>658.0960540841775</v>
      </c>
      <c r="I20" s="16" t="n">
        <v>302510.1879871488</v>
      </c>
      <c r="J20" s="16" t="n">
        <v>339975.5</v>
      </c>
      <c r="K20" s="14" t="n">
        <v>23.23</v>
      </c>
      <c r="L20" s="14" t="n">
        <v>32.58528</v>
      </c>
      <c r="M20" s="17">
        <f>IF(OR(F20="",K20="",K20&lt;=0),"",F20/K20)</f>
        <v/>
      </c>
      <c r="N20" s="18" t="n">
        <v>17.528973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2026-10-21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621.55</v>
      </c>
      <c r="G21" s="15" t="inlineStr">
        <is>
          <t>USD</t>
        </is>
      </c>
      <c r="H21" s="14" t="n">
        <v>553.0551682206874</v>
      </c>
      <c r="I21" s="16" t="n">
        <v>484481.844121105</v>
      </c>
      <c r="J21" s="16" t="n">
        <v>544484</v>
      </c>
      <c r="K21" s="14" t="n">
        <v>18.18</v>
      </c>
      <c r="L21" s="14" t="n">
        <v>23.06876</v>
      </c>
      <c r="M21" s="17">
        <f>IF(OR(F21="",K21="",K21&lt;=0),"",F21/K21)</f>
        <v/>
      </c>
      <c r="N21" s="18" t="n">
        <v>97.177925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2026-10-21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KLA Corporation</t>
        </is>
      </c>
      <c r="C22" s="12" t="inlineStr">
        <is>
          <t>KLAC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163.06</v>
      </c>
      <c r="G22" s="15" t="inlineStr">
        <is>
          <t>USD</t>
        </is>
      </c>
      <c r="H22" s="14" t="n">
        <v>145.090782286325</v>
      </c>
      <c r="I22" s="16" t="n">
        <v>189344.3606836191</v>
      </c>
      <c r="J22" s="16" t="n">
        <v>212794.3</v>
      </c>
      <c r="K22" s="14" t="n">
        <v>3.66</v>
      </c>
      <c r="L22" s="14" t="n">
        <v>6.74039</v>
      </c>
      <c r="M22" s="17">
        <f>IF(OR(F22="",K22="",K22&lt;=0),"",F22/K22)</f>
        <v/>
      </c>
      <c r="N22" s="18" t="n">
        <v>33.565254</v>
      </c>
      <c r="O22" s="19">
        <f>IF(OR(N22="",M22="",M22&lt;=0),"",N22/M22)</f>
        <v/>
      </c>
      <c r="P22" s="20" t="n">
        <v>0.87496</v>
      </c>
      <c r="Q22" s="20" t="n">
        <v>0.9016067947009443</v>
      </c>
      <c r="R22" s="20" t="n">
        <v>0.1538102798939616</v>
      </c>
      <c r="S22" s="21" t="n">
        <v>4</v>
      </c>
      <c r="T22" s="20" t="n">
        <v>0.7607729037988479</v>
      </c>
      <c r="U22" s="20" t="n">
        <v>0.8655692449130551</v>
      </c>
      <c r="V22" s="20" t="n">
        <v>0.8199605264095421</v>
      </c>
      <c r="W22" s="20" t="n">
        <v>1.160124503682332</v>
      </c>
      <c r="X22" s="20" t="n">
        <v>2.370431819008942</v>
      </c>
      <c r="Y22" s="14" t="n">
        <v>0.92</v>
      </c>
      <c r="Z22" s="19">
        <f>IF(OR(Y22="",F22="",F22=0),"",Y22/F22)</f>
        <v/>
      </c>
      <c r="AA22" s="22" t="n">
        <v>96.88</v>
      </c>
      <c r="AB22" s="20" t="n">
        <v>0.152</v>
      </c>
      <c r="AC22" s="20" t="n">
        <v>0.3557406191520203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2026-10-21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Applied Materials</t>
        </is>
      </c>
      <c r="C23" s="12" t="inlineStr">
        <is>
          <t>AMAT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411.81</v>
      </c>
      <c r="G23" s="15" t="inlineStr">
        <is>
          <t>USD</t>
        </is>
      </c>
      <c r="H23" s="14" t="n">
        <v>366.4285235700448</v>
      </c>
      <c r="I23" s="16" t="n">
        <v>290796.7722684231</v>
      </c>
      <c r="J23" s="16" t="n">
        <v>326811.4</v>
      </c>
      <c r="K23" s="14" t="n">
        <v>11.59</v>
      </c>
      <c r="L23" s="14" t="n">
        <v>18.49094</v>
      </c>
      <c r="M23" s="17">
        <f>IF(OR(F23="",K23="",K23&lt;=0),"",F23/K23)</f>
        <v/>
      </c>
      <c r="N23" s="18" t="n">
        <v>12.753089</v>
      </c>
      <c r="O23" s="19">
        <f>IF(OR(N23="",M23="",M23&lt;=0),"",N23/M23)</f>
        <v/>
      </c>
      <c r="P23" s="20" t="n">
        <v>0.41068</v>
      </c>
      <c r="Q23" s="20" t="n">
        <v>0.4187390558280515</v>
      </c>
      <c r="R23" s="20" t="n">
        <v>0.07244233633790677</v>
      </c>
      <c r="S23" s="21" t="n">
        <v>4</v>
      </c>
      <c r="T23" s="20" t="n"/>
      <c r="U23" s="20" t="n">
        <v>0.3427871662992897</v>
      </c>
      <c r="V23" s="20" t="n">
        <v>0.377716962265144</v>
      </c>
      <c r="W23" s="20" t="n">
        <v>0.4193528656186923</v>
      </c>
      <c r="X23" s="20" t="n">
        <v>0.5350992291290799</v>
      </c>
      <c r="Y23" s="14" t="n">
        <v>2.12</v>
      </c>
      <c r="Z23" s="19">
        <f>IF(OR(Y23="",F23="",F23=0),"",Y23/F23)</f>
        <v/>
      </c>
      <c r="AA23" s="22" t="n">
        <v>28.666</v>
      </c>
      <c r="AB23" s="20" t="n">
        <v>0.248</v>
      </c>
      <c r="AC23" s="20" t="n">
        <v>0.3266709080654258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2026-10-21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Netflix</t>
        </is>
      </c>
      <c r="C24" s="12" t="inlineStr">
        <is>
          <t>NFLX</t>
        </is>
      </c>
      <c r="D24" s="11" t="inlineStr">
        <is>
          <t>Streaming</t>
        </is>
      </c>
      <c r="E24" s="13" t="inlineStr">
        <is>
          <t>Consumi</t>
        </is>
      </c>
      <c r="F24" s="14" t="n">
        <v>65.12260000000001</v>
      </c>
      <c r="G24" s="15" t="inlineStr">
        <is>
          <t>USD</t>
        </is>
      </c>
      <c r="H24" s="14" t="n">
        <v>57.94608719808309</v>
      </c>
      <c r="I24" s="16" t="n">
        <v>241329.9448564268</v>
      </c>
      <c r="J24" s="16" t="n">
        <v>271218.2</v>
      </c>
      <c r="K24" s="14" t="n">
        <v>3.46</v>
      </c>
      <c r="L24" s="14" t="n">
        <v>3.77918</v>
      </c>
      <c r="M24" s="17">
        <f>IF(OR(F24="",K24="",K24&lt;=0),"",F24/K24)</f>
        <v/>
      </c>
      <c r="N24" s="18" t="n">
        <v>9.195962</v>
      </c>
      <c r="O24" s="19">
        <f>IF(OR(N24="",M24="",M24&lt;=0),"",N24/M24)</f>
        <v/>
      </c>
      <c r="P24" s="20" t="n">
        <v>0.53463</v>
      </c>
      <c r="Q24" s="20" t="n">
        <v>0.3108822652973959</v>
      </c>
      <c r="R24" s="20" t="n">
        <v>0.07637252776064919</v>
      </c>
      <c r="S24" s="21" t="n">
        <v>4</v>
      </c>
      <c r="T24" s="20" t="n"/>
      <c r="U24" s="20" t="n">
        <v>0.4125868742290204</v>
      </c>
      <c r="V24" s="20" t="n">
        <v>0.3520766023750739</v>
      </c>
      <c r="W24" s="20" t="n">
        <v>0.262672808597771</v>
      </c>
      <c r="X24" s="20" t="n">
        <v>0.2161927759877186</v>
      </c>
      <c r="Y24" s="14" t="n"/>
      <c r="Z24" s="19">
        <f>IF(OR(Y24="",F24="",F24=0),"",Y24/F24)</f>
        <v/>
      </c>
      <c r="AA24" s="22" t="n">
        <v>51.671</v>
      </c>
      <c r="AB24" s="20" t="n">
        <v>0.118</v>
      </c>
      <c r="AC24" s="20" t="n">
        <v>0.3268185307423786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2026-10-21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Eli Lilly</t>
        </is>
      </c>
      <c r="C25" s="12" t="inlineStr">
        <is>
          <t>LLY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1273.29</v>
      </c>
      <c r="G25" s="15" t="inlineStr">
        <is>
          <t>USD</t>
        </is>
      </c>
      <c r="H25" s="14" t="n">
        <v>1132.973397383508</v>
      </c>
      <c r="I25" s="16" t="n">
        <v>1009883.898010772</v>
      </c>
      <c r="J25" s="16" t="n">
        <v>1134956.1</v>
      </c>
      <c r="K25" s="14" t="n">
        <v>29.79</v>
      </c>
      <c r="L25" s="14" t="n">
        <v>47.24199</v>
      </c>
      <c r="M25" s="17">
        <f>IF(OR(F25="",K25="",K25&lt;=0),"",F25/K25)</f>
        <v/>
      </c>
      <c r="N25" s="18" t="n">
        <v>33.50587</v>
      </c>
      <c r="O25" s="19">
        <f>IF(OR(N25="",M25="",M25&lt;=0),"",N25/M25)</f>
        <v/>
      </c>
      <c r="P25" s="20" t="n">
        <v>1.02286</v>
      </c>
      <c r="Q25" s="20" t="n">
        <v>0.6481702467386419</v>
      </c>
      <c r="R25" s="20" t="n">
        <v>0.1178900700269788</v>
      </c>
      <c r="S25" s="21" t="n">
        <v>4</v>
      </c>
      <c r="T25" s="20" t="n"/>
      <c r="U25" s="20" t="n">
        <v>0.7778405879027699</v>
      </c>
      <c r="V25" s="20" t="n">
        <v>0.7420123318385651</v>
      </c>
      <c r="W25" s="20" t="n">
        <v>0.4864508582515619</v>
      </c>
      <c r="X25" s="20" t="n">
        <v>0.5863772089616707</v>
      </c>
      <c r="Y25" s="14" t="n">
        <v>6.92</v>
      </c>
      <c r="Z25" s="19">
        <f>IF(OR(Y25="",F25="",F25=0),"",Y25/F25)</f>
        <v/>
      </c>
      <c r="AA25" s="22" t="n">
        <v>162.071</v>
      </c>
      <c r="AB25" s="20" t="n">
        <v>0.477</v>
      </c>
      <c r="AC25" s="20" t="n">
        <v>0.4098098933705641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2026-10-21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United Rentals</t>
        </is>
      </c>
      <c r="C26" s="12" t="inlineStr">
        <is>
          <t>URI</t>
        </is>
      </c>
      <c r="D26" s="11" t="inlineStr">
        <is>
          <t>Noleggio attrezzature</t>
        </is>
      </c>
      <c r="E26" s="13" t="inlineStr">
        <is>
          <t>Industriale</t>
        </is>
      </c>
      <c r="F26" s="14" t="n">
        <v>1068.875</v>
      </c>
      <c r="G26" s="15" t="inlineStr">
        <is>
          <t>USD</t>
        </is>
      </c>
      <c r="H26" s="14" t="n">
        <v>951.0849375462752</v>
      </c>
      <c r="I26" s="16" t="n">
        <v>59197.85778878836</v>
      </c>
      <c r="J26" s="16" t="n">
        <v>66529.39999999999</v>
      </c>
      <c r="K26" s="14" t="n">
        <v>41.59</v>
      </c>
      <c r="L26" s="14" t="n">
        <v>57.31793</v>
      </c>
      <c r="M26" s="17">
        <f>IF(OR(F26="",K26="",K26&lt;=0),"",F26/K26)</f>
        <v/>
      </c>
      <c r="N26" s="18" t="n">
        <v>7.22369</v>
      </c>
      <c r="O26" s="19">
        <f>IF(OR(N26="",M26="",M26&lt;=0),"",N26/M26)</f>
        <v/>
      </c>
      <c r="P26" s="20" t="n">
        <v>0.28895</v>
      </c>
      <c r="Q26" s="20" t="n">
        <v>0.2932459241968061</v>
      </c>
      <c r="R26" s="20" t="n">
        <v>0.008747380113543703</v>
      </c>
      <c r="S26" s="21" t="n">
        <v>4</v>
      </c>
      <c r="T26" s="20" t="n"/>
      <c r="U26" s="20" t="n">
        <v>0.278099910793934</v>
      </c>
      <c r="V26" s="20" t="n">
        <v>0.298654604500116</v>
      </c>
      <c r="W26" s="20" t="n">
        <v>0.2981549815498155</v>
      </c>
      <c r="X26" s="20" t="n">
        <v>0.2980741999433588</v>
      </c>
      <c r="Y26" s="14" t="n">
        <v>7.88</v>
      </c>
      <c r="Z26" s="19">
        <f>IF(OR(Y26="",F26="",F26=0),"",Y26/F26)</f>
        <v/>
      </c>
      <c r="AA26" s="22" t="n">
        <v>166.793</v>
      </c>
      <c r="AB26" s="20" t="n">
        <v>0.118</v>
      </c>
      <c r="AC26" s="20" t="n">
        <v>0.1638611173364805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2026-10-21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Accenture</t>
        </is>
      </c>
      <c r="C27" s="12" t="inlineStr">
        <is>
          <t>ACN</t>
        </is>
      </c>
      <c r="D27" s="11" t="inlineStr">
        <is>
          <t>Consulenza IT</t>
        </is>
      </c>
      <c r="E27" s="13" t="inlineStr">
        <is>
          <t>Tecnologia</t>
        </is>
      </c>
      <c r="F27" s="14" t="n">
        <v>238.4</v>
      </c>
      <c r="G27" s="15" t="inlineStr">
        <is>
          <t>USD</t>
        </is>
      </c>
      <c r="H27" s="14" t="n">
        <v>212.1283116463871</v>
      </c>
      <c r="I27" s="16" t="n">
        <v>129810.2474880725</v>
      </c>
      <c r="J27" s="16" t="n">
        <v>145887</v>
      </c>
      <c r="K27" s="14" t="n">
        <v>13.56</v>
      </c>
      <c r="L27" s="14" t="n">
        <v>15.88639</v>
      </c>
      <c r="M27" s="17">
        <f>IF(OR(F27="",K27="",K27&lt;=0),"",F27/K27)</f>
        <v/>
      </c>
      <c r="N27" s="18" t="n">
        <v>4.497519</v>
      </c>
      <c r="O27" s="19">
        <f>IF(OR(N27="",M27="",M27&lt;=0),"",N27/M27)</f>
        <v/>
      </c>
      <c r="P27" s="20" t="n">
        <v>0.26025</v>
      </c>
      <c r="Q27" s="20" t="n">
        <v>0.2703743517719677</v>
      </c>
      <c r="R27" s="20" t="n">
        <v>0.02468970483462087</v>
      </c>
      <c r="S27" s="21" t="n">
        <v>4</v>
      </c>
      <c r="T27" s="20" t="n"/>
      <c r="U27" s="20" t="n">
        <v>0.2461395487020766</v>
      </c>
      <c r="V27" s="20" t="n">
        <v>0.2568092866657528</v>
      </c>
      <c r="W27" s="20" t="n">
        <v>0.2674502806015326</v>
      </c>
      <c r="X27" s="20" t="n">
        <v>0.3110982911185091</v>
      </c>
      <c r="Y27" s="14" t="n">
        <v>6.84</v>
      </c>
      <c r="Z27" s="19">
        <f>IF(OR(Y27="",F27="",F27=0),"",Y27/F27)</f>
        <v/>
      </c>
      <c r="AA27" s="22" t="n">
        <v>40.283</v>
      </c>
      <c r="AB27" s="20" t="n">
        <v>0.062</v>
      </c>
      <c r="AC27" s="20" t="n">
        <v>0.1200904027970557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2026-10-21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Travelers</t>
        </is>
      </c>
      <c r="C28" s="12" t="inlineStr">
        <is>
          <t>TRV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398.88</v>
      </c>
      <c r="G28" s="15" t="inlineStr">
        <is>
          <t>USD</t>
        </is>
      </c>
      <c r="H28" s="14" t="n">
        <v>354.9234100231161</v>
      </c>
      <c r="I28" s="16" t="n">
        <v>74028.1538047713</v>
      </c>
      <c r="J28" s="16" t="n">
        <v>83196.39999999999</v>
      </c>
      <c r="K28" s="14" t="n">
        <v>38.03</v>
      </c>
      <c r="L28" s="14" t="n">
        <v>31.00109</v>
      </c>
      <c r="M28" s="17">
        <f>IF(OR(F28="",K28="",K28&lt;=0),"",F28/K28)</f>
        <v/>
      </c>
      <c r="N28" s="18" t="n">
        <v>2.8187807</v>
      </c>
      <c r="O28" s="19">
        <f>IF(OR(N28="",M28="",M28&lt;=0),"",N28/M28)</f>
        <v/>
      </c>
      <c r="P28" s="20" t="n">
        <v>0.27497</v>
      </c>
      <c r="Q28" s="20" t="n">
        <v>0.1556010112383756</v>
      </c>
      <c r="R28" s="20" t="n">
        <v>0.03026061633724604</v>
      </c>
      <c r="S28" s="21" t="n">
        <v>4</v>
      </c>
      <c r="T28" s="20" t="n"/>
      <c r="U28" s="20" t="n">
        <v>0.1911594819723962</v>
      </c>
      <c r="V28" s="20" t="n">
        <v>0.1794071202985932</v>
      </c>
      <c r="W28" s="20" t="n">
        <v>0.1200192608643313</v>
      </c>
      <c r="X28" s="20" t="n">
        <v>0.1318181818181818</v>
      </c>
      <c r="Y28" s="14" t="n">
        <v>5</v>
      </c>
      <c r="Z28" s="19">
        <f>IF(OR(Y28="",F28="",F28=0),"",Y28/F28)</f>
        <v/>
      </c>
      <c r="AA28" s="22" t="n">
        <v>33.844</v>
      </c>
      <c r="AB28" s="20" t="n">
        <v>-0.005</v>
      </c>
      <c r="AC28" s="20" t="n">
        <v>0.1694109936921439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2026-10-21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Parcel Service</t>
        </is>
      </c>
      <c r="C29" s="12" t="inlineStr">
        <is>
          <t>UPS</t>
        </is>
      </c>
      <c r="D29" s="11" t="inlineStr">
        <is>
          <t>Logistica</t>
        </is>
      </c>
      <c r="E29" s="13" t="inlineStr">
        <is>
          <t>Industriale</t>
        </is>
      </c>
      <c r="F29" s="14" t="n">
        <v>99.66500000000001</v>
      </c>
      <c r="G29" s="15" t="inlineStr">
        <is>
          <t>USD</t>
        </is>
      </c>
      <c r="H29" s="14" t="n">
        <v>88.68191350770626</v>
      </c>
      <c r="I29" s="16" t="n">
        <v>75448.89740882242</v>
      </c>
      <c r="J29" s="16" t="n">
        <v>84793.10000000001</v>
      </c>
      <c r="K29" s="14" t="n">
        <v>5.38</v>
      </c>
      <c r="L29" s="14" t="n">
        <v>8.05861</v>
      </c>
      <c r="M29" s="17">
        <f>IF(OR(F29="",K29="",K29&lt;=0),"",F29/K29)</f>
        <v/>
      </c>
      <c r="N29" s="18" t="n">
        <v>5.629201</v>
      </c>
      <c r="O29" s="19">
        <f>IF(OR(N29="",M29="",M29&lt;=0),"",N29/M29)</f>
        <v/>
      </c>
      <c r="P29" s="20" t="n">
        <v>0.29602</v>
      </c>
      <c r="Q29" s="20" t="n">
        <v>0.4151223305037616</v>
      </c>
      <c r="R29" s="20" t="n">
        <v>0.09887106435484694</v>
      </c>
      <c r="S29" s="21" t="n">
        <v>4</v>
      </c>
      <c r="T29" s="20" t="n"/>
      <c r="U29" s="20" t="n">
        <v>0.3433783200838109</v>
      </c>
      <c r="V29" s="20" t="n">
        <v>0.3458547673166646</v>
      </c>
      <c r="W29" s="20" t="n">
        <v>0.3876112330983474</v>
      </c>
      <c r="X29" s="20" t="n">
        <v>0.5836450015162236</v>
      </c>
      <c r="Y29" s="14" t="n">
        <v>6.56</v>
      </c>
      <c r="Z29" s="19">
        <f>IF(OR(Y29="",F29="",F29=0),"",Y29/F29)</f>
        <v/>
      </c>
      <c r="AA29" s="22" t="n">
        <v>189.9</v>
      </c>
      <c r="AB29" s="20" t="n">
        <v>0.076</v>
      </c>
      <c r="AC29" s="20" t="n">
        <v>0.05154464614655824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2026-10-21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Union Pacific</t>
        </is>
      </c>
      <c r="C30" s="12" t="inlineStr">
        <is>
          <t>UNP</t>
        </is>
      </c>
      <c r="D30" s="11" t="inlineStr">
        <is>
          <t>Ferrovie</t>
        </is>
      </c>
      <c r="E30" s="13" t="inlineStr">
        <is>
          <t>Industriale</t>
        </is>
      </c>
      <c r="F30" s="14" t="n">
        <v>287.825</v>
      </c>
      <c r="G30" s="15" t="inlineStr">
        <is>
          <t>USD</t>
        </is>
      </c>
      <c r="H30" s="14" t="n">
        <v>256.1066749145191</v>
      </c>
      <c r="I30" s="16" t="n">
        <v>152146.7180484622</v>
      </c>
      <c r="J30" s="16" t="n">
        <v>170989.8</v>
      </c>
      <c r="K30" s="14" t="n">
        <v>12.34</v>
      </c>
      <c r="L30" s="14" t="n">
        <v>14.25247</v>
      </c>
      <c r="M30" s="17">
        <f>IF(OR(F30="",K30="",K30&lt;=0),"",F30/K30)</f>
        <v/>
      </c>
      <c r="N30" s="18" t="n">
        <v>8.269408</v>
      </c>
      <c r="O30" s="19">
        <f>IF(OR(N30="",M30="",M30&lt;=0),"",N30/M30)</f>
        <v/>
      </c>
      <c r="P30" s="20" t="n">
        <v>0.39696</v>
      </c>
      <c r="Q30" s="20" t="n">
        <v>0.4481773006556505</v>
      </c>
      <c r="R30" s="20" t="n">
        <v>0.07521532837259973</v>
      </c>
      <c r="S30" s="21" t="n">
        <v>4</v>
      </c>
      <c r="T30" s="20" t="n"/>
      <c r="U30" s="20" t="n">
        <v>0.3865273190014621</v>
      </c>
      <c r="V30" s="20" t="n">
        <v>0.3994671403197158</v>
      </c>
      <c r="W30" s="20" t="n">
        <v>0.4313632675142007</v>
      </c>
      <c r="X30" s="20" t="n">
        <v>0.5753514757872236</v>
      </c>
      <c r="Y30" s="14" t="n">
        <v>5.68</v>
      </c>
      <c r="Z30" s="19">
        <f>IF(OR(Y30="",F30="",F30=0),"",Y30/F30)</f>
        <v/>
      </c>
      <c r="AA30" s="22" t="n">
        <v>150.772</v>
      </c>
      <c r="AB30" s="20" t="n">
        <v>0.115</v>
      </c>
      <c r="AC30" s="20" t="n">
        <v>0.2990616022847817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2026-10-21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Airbnb</t>
        </is>
      </c>
      <c r="C31" s="12" t="inlineStr">
        <is>
          <t>ABNB</t>
        </is>
      </c>
      <c r="D31" s="11" t="inlineStr">
        <is>
          <t>Viaggi / Piattaforme</t>
        </is>
      </c>
      <c r="E31" s="13" t="inlineStr">
        <is>
          <t>Consumi</t>
        </is>
      </c>
      <c r="F31" s="14" t="n">
        <v>175.915</v>
      </c>
      <c r="G31" s="15" t="inlineStr">
        <is>
          <t>USD</t>
        </is>
      </c>
      <c r="H31" s="14" t="n">
        <v>156.5291608358816</v>
      </c>
      <c r="I31" s="16" t="n">
        <v>93727.4352290136</v>
      </c>
      <c r="J31" s="16" t="n">
        <v>105335.4</v>
      </c>
      <c r="K31" s="14" t="n">
        <v>4.39</v>
      </c>
      <c r="L31" s="14" t="n">
        <v>6.19918</v>
      </c>
      <c r="M31" s="17">
        <f>IF(OR(F31="",K31="",K31&lt;=0),"",F31/K31)</f>
        <v/>
      </c>
      <c r="N31" s="18" t="n">
        <v>13.307738</v>
      </c>
      <c r="O31" s="19">
        <f>IF(OR(N31="",M31="",M31&lt;=0),"",N31/M31)</f>
        <v/>
      </c>
      <c r="P31" s="20" t="n">
        <v>0.34542</v>
      </c>
      <c r="Q31" s="20" t="n">
        <v>0.3871020421928419</v>
      </c>
      <c r="R31" s="20" t="n">
        <v>0.1160358943905926</v>
      </c>
      <c r="S31" s="21" t="n">
        <v>4</v>
      </c>
      <c r="T31" s="20" t="n"/>
      <c r="U31" s="20" t="n">
        <v>0.3062568605927552</v>
      </c>
      <c r="V31" s="20" t="n">
        <v>0.3147883975273419</v>
      </c>
      <c r="W31" s="20" t="n">
        <v>0.5868952847519902</v>
      </c>
      <c r="X31" s="20" t="n">
        <v>0.3404676258992806</v>
      </c>
      <c r="Y31" s="14" t="n"/>
      <c r="Z31" s="19">
        <f>IF(OR(Y31="",F31="",F31=0),"",Y31/F31)</f>
        <v/>
      </c>
      <c r="AA31" s="22" t="n">
        <v>32.004</v>
      </c>
      <c r="AB31" s="20" t="n">
        <v>0.165</v>
      </c>
      <c r="AC31" s="20" t="n">
        <v>0.2198349860305531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2026-10-21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92.64</v>
      </c>
      <c r="G32" s="15" t="inlineStr">
        <is>
          <t>USD</t>
        </is>
      </c>
      <c r="H32" s="14" t="n">
        <v>82.43106875386451</v>
      </c>
      <c r="I32" s="16" t="n">
        <v>354663.6774133444</v>
      </c>
      <c r="J32" s="16" t="n">
        <v>398588.1</v>
      </c>
      <c r="K32" s="14" t="n">
        <v>3.33</v>
      </c>
      <c r="L32" s="14" t="n">
        <v>3.52319</v>
      </c>
      <c r="M32" s="17">
        <f>IF(OR(F32="",K32="",K32&lt;=0),"",F32/K32)</f>
        <v/>
      </c>
      <c r="N32" s="18" t="n">
        <v>11.027259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2026-10-21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335.33</v>
      </c>
      <c r="G33" s="15" t="inlineStr">
        <is>
          <t>USD</t>
        </is>
      </c>
      <c r="H33" s="14" t="n">
        <v>298.3766222499286</v>
      </c>
      <c r="I33" s="16" t="n">
        <v>72433.36532757408</v>
      </c>
      <c r="J33" s="16" t="n">
        <v>81404.10000000001</v>
      </c>
      <c r="K33" s="14" t="n">
        <v>10.85</v>
      </c>
      <c r="L33" s="14" t="n">
        <v>13.49897</v>
      </c>
      <c r="M33" s="17">
        <f>IF(OR(F33="",K33="",K33&lt;=0),"",F33/K33)</f>
        <v/>
      </c>
      <c r="N33" s="18" t="n">
        <v>20.993551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2026-10-21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285.525</v>
      </c>
      <c r="G34" s="15" t="inlineStr">
        <is>
          <t>USD</t>
        </is>
      </c>
      <c r="H34" s="14" t="n">
        <v>254.0601349951119</v>
      </c>
      <c r="I34" s="16" t="n">
        <v>232019.7898630607</v>
      </c>
      <c r="J34" s="16" t="n">
        <v>260755</v>
      </c>
      <c r="K34" s="14" t="n">
        <v>6.57</v>
      </c>
      <c r="L34" s="14" t="n">
        <v>10.65342</v>
      </c>
      <c r="M34" s="17">
        <f>IF(OR(F34="",K34="",K34&lt;=0),"",F34/K34)</f>
        <v/>
      </c>
      <c r="N34" s="18" t="n">
        <v>14.476753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6.08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2026-10-21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Lockheed Martin</t>
        </is>
      </c>
      <c r="C35" s="12" t="inlineStr">
        <is>
          <t>LMT</t>
        </is>
      </c>
      <c r="D35" s="11" t="inlineStr">
        <is>
          <t>Difesa</t>
        </is>
      </c>
      <c r="E35" s="13" t="inlineStr">
        <is>
          <t>Industriale</t>
        </is>
      </c>
      <c r="F35" s="14" t="n">
        <v>546.6</v>
      </c>
      <c r="G35" s="15" t="inlineStr">
        <is>
          <t>USD</t>
        </is>
      </c>
      <c r="H35" s="14" t="n">
        <v>486.3646608469597</v>
      </c>
      <c r="I35" s="16" t="n">
        <v>112248.4435396563</v>
      </c>
      <c r="J35" s="16" t="n">
        <v>126150.2</v>
      </c>
      <c r="K35" s="14" t="n">
        <v>27.13</v>
      </c>
      <c r="L35" s="14" t="n">
        <v>32.64446</v>
      </c>
      <c r="M35" s="17">
        <f>IF(OR(F35="",K35="",K35&lt;=0),"",F35/K35)</f>
        <v/>
      </c>
      <c r="N35" s="18" t="n">
        <v>14.338176</v>
      </c>
      <c r="O35" s="19">
        <f>IF(OR(N35="",M35="",M35&lt;=0),"",N35/M35)</f>
        <v/>
      </c>
      <c r="P35" s="20" t="n">
        <v>0.8916500000000001</v>
      </c>
      <c r="Q35" s="20" t="n">
        <v>0.8050196518940778</v>
      </c>
      <c r="R35" s="20" t="n">
        <v>0.1437100287177017</v>
      </c>
      <c r="S35" s="21" t="n">
        <v>4</v>
      </c>
      <c r="T35" s="20" t="n"/>
      <c r="U35" s="20" t="n">
        <v>0.746466299657789</v>
      </c>
      <c r="V35" s="20" t="n">
        <v>0.8425706616137691</v>
      </c>
      <c r="W35" s="20" t="n">
        <v>1.012435991221653</v>
      </c>
      <c r="X35" s="20" t="n">
        <v>0.6186056550830995</v>
      </c>
      <c r="Y35" s="14" t="n">
        <v>14.4</v>
      </c>
      <c r="Z35" s="19">
        <f>IF(OR(Y35="",F35="",F35=0),"",Y35/F35)</f>
        <v/>
      </c>
      <c r="AA35" s="22" t="n">
        <v>234.238</v>
      </c>
      <c r="AB35" s="20" t="n">
        <v>0.105</v>
      </c>
      <c r="AC35" s="20" t="n">
        <v>0.08377305276622961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2026-10-21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28.145</v>
      </c>
      <c r="G36" s="15" t="inlineStr">
        <is>
          <t>USD</t>
        </is>
      </c>
      <c r="H36" s="14" t="n">
        <v>25.04342001379012</v>
      </c>
      <c r="I36" s="16" t="n">
        <v>31690.4037120319</v>
      </c>
      <c r="J36" s="16" t="n">
        <v>35615.2</v>
      </c>
      <c r="K36" s="14" t="n">
        <v>1.09</v>
      </c>
      <c r="L36" s="14" t="n">
        <v>1.36821</v>
      </c>
      <c r="M36" s="17">
        <f>IF(OR(F36="",K36="",K36&lt;=0),"",F36/K36)</f>
        <v/>
      </c>
      <c r="N36" s="18" t="n">
        <v>16.221903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2026-10-21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Costco Wholesale</t>
        </is>
      </c>
      <c r="C37" s="12" t="inlineStr">
        <is>
          <t>COST</t>
        </is>
      </c>
      <c r="D37" s="11" t="inlineStr">
        <is>
          <t>Grande distribuzione</t>
        </is>
      </c>
      <c r="E37" s="13" t="inlineStr">
        <is>
          <t>Consumi</t>
        </is>
      </c>
      <c r="F37" s="14" t="n">
        <v>996.9400000000001</v>
      </c>
      <c r="G37" s="15" t="inlineStr">
        <is>
          <t>USD</t>
        </is>
      </c>
      <c r="H37" s="14" t="n">
        <v>887.0771770669008</v>
      </c>
      <c r="I37" s="16" t="n">
        <v>393089.9558401176</v>
      </c>
      <c r="J37" s="16" t="n">
        <v>441773.4</v>
      </c>
      <c r="K37" s="14" t="n">
        <v>20.76</v>
      </c>
      <c r="L37" s="14" t="n">
        <v>25.02632</v>
      </c>
      <c r="M37" s="17">
        <f>IF(OR(F37="",K37="",K37&lt;=0),"",F37/K37)</f>
        <v/>
      </c>
      <c r="N37" s="18" t="n">
        <v>12.342795</v>
      </c>
      <c r="O37" s="19">
        <f>IF(OR(N37="",M37="",M37&lt;=0),"",N37/M37)</f>
        <v/>
      </c>
      <c r="P37" s="20" t="n">
        <v>0.28402</v>
      </c>
      <c r="Q37" s="20" t="n">
        <v>0.2809463090154591</v>
      </c>
      <c r="R37" s="20" t="n">
        <v>0.02157800377927351</v>
      </c>
      <c r="S37" s="21" t="n">
        <v>4</v>
      </c>
      <c r="T37" s="20" t="n"/>
      <c r="U37" s="20" t="n">
        <v>0.2777053902071047</v>
      </c>
      <c r="V37" s="20" t="n">
        <v>0.3118702904072475</v>
      </c>
      <c r="W37" s="20" t="n">
        <v>0.2510974539069359</v>
      </c>
      <c r="X37" s="20" t="n">
        <v>0.2831121015405484</v>
      </c>
      <c r="Y37" s="14" t="n">
        <v>5.88</v>
      </c>
      <c r="Z37" s="19">
        <f>IF(OR(Y37="",F37="",F37=0),"",Y37/F37)</f>
        <v/>
      </c>
      <c r="AA37" s="22" t="n">
        <v>28.436</v>
      </c>
      <c r="AB37" s="20" t="n">
        <v>0.111</v>
      </c>
      <c r="AC37" s="20" t="n">
        <v>0.03352044755935837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2026-10-21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Illinois Tool Works</t>
        </is>
      </c>
      <c r="C38" s="12" t="inlineStr">
        <is>
          <t>ITW</t>
        </is>
      </c>
      <c r="D38" s="11" t="inlineStr">
        <is>
          <t>Componenti industriali</t>
        </is>
      </c>
      <c r="E38" s="13" t="inlineStr">
        <is>
          <t>Industriale</t>
        </is>
      </c>
      <c r="F38" s="14" t="n">
        <v>277.37</v>
      </c>
      <c r="G38" s="15" t="inlineStr">
        <is>
          <t>USD</t>
        </is>
      </c>
      <c r="H38" s="14" t="n">
        <v>246.8038162808657</v>
      </c>
      <c r="I38" s="16" t="n">
        <v>70289.74823198971</v>
      </c>
      <c r="J38" s="16" t="n">
        <v>78995</v>
      </c>
      <c r="K38" s="14" t="n">
        <v>11.03</v>
      </c>
      <c r="L38" s="14" t="n">
        <v>12.34399</v>
      </c>
      <c r="M38" s="17">
        <f>IF(OR(F38="",K38="",K38&lt;=0),"",F38/K38)</f>
        <v/>
      </c>
      <c r="N38" s="18" t="n">
        <v>27.294825</v>
      </c>
      <c r="O38" s="19">
        <f>IF(OR(N38="",M38="",M38&lt;=0),"",N38/M38)</f>
        <v/>
      </c>
      <c r="P38" s="20" t="n">
        <v>1.04618</v>
      </c>
      <c r="Q38" s="20" t="n">
        <v>0.9917050145447759</v>
      </c>
      <c r="R38" s="20" t="n">
        <v>0.03703105237820289</v>
      </c>
      <c r="S38" s="21" t="n">
        <v>4</v>
      </c>
      <c r="T38" s="20" t="n"/>
      <c r="U38" s="20" t="n">
        <v>0.9506976744186046</v>
      </c>
      <c r="V38" s="20" t="n">
        <v>1.051869722557298</v>
      </c>
      <c r="W38" s="20" t="n">
        <v>0.9817397078353254</v>
      </c>
      <c r="X38" s="20" t="n">
        <v>0.9825129533678757</v>
      </c>
      <c r="Y38" s="14" t="n">
        <v>6.88</v>
      </c>
      <c r="Z38" s="19">
        <f>IF(OR(Y38="",F38="",F38=0),"",Y38/F38)</f>
        <v/>
      </c>
      <c r="AA38" s="22" t="n">
        <v>334.853</v>
      </c>
      <c r="AB38" s="20" t="n">
        <v>0.061</v>
      </c>
      <c r="AC38" s="20" t="n">
        <v>0.1990775287958115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2026-10-21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334.645</v>
      </c>
      <c r="G39" s="15" t="inlineStr">
        <is>
          <t>USD</t>
        </is>
      </c>
      <c r="H39" s="14" t="n">
        <v>297.7671092739312</v>
      </c>
      <c r="I39" s="16" t="n">
        <v>790762.1145597879</v>
      </c>
      <c r="J39" s="16" t="n">
        <v>888696.5</v>
      </c>
      <c r="K39" s="14" t="n">
        <v>23.84</v>
      </c>
      <c r="L39" s="14" t="n">
        <v>25.53124</v>
      </c>
      <c r="M39" s="17">
        <f>IF(OR(F39="",K39="",K39&lt;=0),"",F39/K39)</f>
        <v/>
      </c>
      <c r="N39" s="18" t="n">
        <v>2.5295358</v>
      </c>
      <c r="O39" s="19">
        <f>IF(OR(N39="",M39="",M39&lt;=0),"",N39/M39)</f>
        <v/>
      </c>
      <c r="P39" s="20" t="n">
        <v>0.18013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6.6</v>
      </c>
      <c r="Z39" s="19">
        <f>IF(OR(Y39="",F39="",F39=0),"",Y39/F39)</f>
        <v/>
      </c>
      <c r="AA39" s="22" t="n"/>
      <c r="AB39" s="20" t="n">
        <v>0.102</v>
      </c>
      <c r="AC39" s="20" t="n">
        <v>0.3548422550385764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2026-10-21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Booking Holdings</t>
        </is>
      </c>
      <c r="C40" s="12" t="inlineStr">
        <is>
          <t>BKNG</t>
        </is>
      </c>
      <c r="D40" s="11" t="inlineStr">
        <is>
          <t>Viaggi</t>
        </is>
      </c>
      <c r="E40" s="13" t="inlineStr">
        <is>
          <t>Consumi</t>
        </is>
      </c>
      <c r="F40" s="14" t="n">
        <v>157.715</v>
      </c>
      <c r="G40" s="15" t="inlineStr">
        <is>
          <t>USD</t>
        </is>
      </c>
      <c r="H40" s="14" t="n">
        <v>140.3348014736155</v>
      </c>
      <c r="I40" s="16" t="n">
        <v>108742.4537177222</v>
      </c>
      <c r="J40" s="16" t="n">
        <v>122210</v>
      </c>
      <c r="K40" s="14" t="n">
        <v>9.02</v>
      </c>
      <c r="L40" s="14" t="n">
        <v>12.37276</v>
      </c>
      <c r="M40" s="17">
        <f>IF(OR(F40="",K40="",K40&lt;=0),"",F40/K40)</f>
        <v/>
      </c>
      <c r="N40" s="18" t="n">
        <v>-11.086391</v>
      </c>
      <c r="O40" s="19">
        <f>IF(OR(N40="",M40="",M40&lt;=0),"",N40/M40)</f>
        <v/>
      </c>
      <c r="P40" s="20" t="n">
        <v>1.09920920201294</v>
      </c>
      <c r="Q40" s="20" t="n">
        <v>1.09920920201294</v>
      </c>
      <c r="R40" s="20" t="n"/>
      <c r="S40" s="21" t="n">
        <v>1</v>
      </c>
      <c r="T40" s="20" t="n"/>
      <c r="U40" s="20" t="n"/>
      <c r="V40" s="20" t="n"/>
      <c r="W40" s="20" t="n"/>
      <c r="X40" s="20" t="n">
        <v>1.09920920201294</v>
      </c>
      <c r="Y40" s="14" t="n">
        <v>1.68</v>
      </c>
      <c r="Z40" s="19">
        <f>IF(OR(Y40="",F40="",F40=0),"",Y40/F40)</f>
        <v/>
      </c>
      <c r="AA40" s="22" t="n"/>
      <c r="AB40" s="20" t="n">
        <v>0.081</v>
      </c>
      <c r="AC40" s="20" t="n">
        <v>0.2678233063119961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2026-10-21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Blackstone</t>
        </is>
      </c>
      <c r="C41" s="12" t="inlineStr">
        <is>
          <t>BX</t>
        </is>
      </c>
      <c r="D41" s="11" t="inlineStr">
        <is>
          <t>Private equity</t>
        </is>
      </c>
      <c r="E41" s="13" t="inlineStr">
        <is>
          <t>Finanziario</t>
        </is>
      </c>
      <c r="F41" s="14" t="n">
        <v>109.785</v>
      </c>
      <c r="G41" s="15" t="inlineStr">
        <is>
          <t>USD</t>
        </is>
      </c>
      <c r="H41" s="14" t="n">
        <v>97.68668915309819</v>
      </c>
      <c r="I41" s="16" t="n">
        <v>116764.7122418056</v>
      </c>
      <c r="J41" s="16" t="n">
        <v>131225.8</v>
      </c>
      <c r="K41" s="14" t="n">
        <v>4.45</v>
      </c>
      <c r="L41" s="14" t="n">
        <v>7.41203</v>
      </c>
      <c r="M41" s="17">
        <f>IF(OR(F41="",K41="",K41&lt;=0),"",F41/K41)</f>
        <v/>
      </c>
      <c r="N41" s="18" t="n">
        <v>9.742213</v>
      </c>
      <c r="O41" s="19">
        <f>IF(OR(N41="",M41="",M41&lt;=0),"",N41/M41)</f>
        <v/>
      </c>
      <c r="P41" s="20" t="n">
        <v>0.31374002</v>
      </c>
      <c r="Q41" s="20" t="n">
        <v>0.2797041245748269</v>
      </c>
      <c r="R41" s="20" t="n">
        <v>0.06422837139830108</v>
      </c>
      <c r="S41" s="21" t="n">
        <v>4</v>
      </c>
      <c r="T41" s="20" t="n"/>
      <c r="U41" s="20" t="n">
        <v>0.3484167031522379</v>
      </c>
      <c r="V41" s="20" t="n">
        <v>0.3380905349413399</v>
      </c>
      <c r="W41" s="20" t="n">
        <v>0.2040371447122241</v>
      </c>
      <c r="X41" s="20" t="n">
        <v>0.2282721154935056</v>
      </c>
      <c r="Y41" s="14" t="n">
        <v>5.23</v>
      </c>
      <c r="Z41" s="19">
        <f>IF(OR(Y41="",F41="",F41=0),"",Y41/F41)</f>
        <v/>
      </c>
      <c r="AA41" s="22" t="n">
        <v>68.185</v>
      </c>
      <c r="AB41" s="20" t="n">
        <v>0.286</v>
      </c>
      <c r="AC41" s="20" t="n">
        <v>0.2835642627903986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2026-10-21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TJX Companies</t>
        </is>
      </c>
      <c r="C42" s="12" t="inlineStr">
        <is>
          <t>TJX</t>
        </is>
      </c>
      <c r="D42" s="11" t="inlineStr">
        <is>
          <t>Abbigliamento / Retail</t>
        </is>
      </c>
      <c r="E42" s="13" t="inlineStr">
        <is>
          <t>Consumi</t>
        </is>
      </c>
      <c r="F42" s="14" t="n">
        <v>145.83</v>
      </c>
      <c r="G42" s="15" t="inlineStr">
        <is>
          <t>USD</t>
        </is>
      </c>
      <c r="H42" s="14" t="n">
        <v>129.7595288900698</v>
      </c>
      <c r="I42" s="16" t="n">
        <v>143345.8845550391</v>
      </c>
      <c r="J42" s="16" t="n">
        <v>161099</v>
      </c>
      <c r="K42" s="14" t="n">
        <v>5.4</v>
      </c>
      <c r="L42" s="14" t="n">
        <v>5.77352</v>
      </c>
      <c r="M42" s="17">
        <f>IF(OR(F42="",K42="",K42&lt;=0),"",F42/K42)</f>
        <v/>
      </c>
      <c r="N42" s="18" t="n">
        <v>15.077543</v>
      </c>
      <c r="O42" s="19">
        <f>IF(OR(N42="",M42="",M42&lt;=0),"",N42/M42)</f>
        <v/>
      </c>
      <c r="P42" s="20" t="n">
        <v>0.62171</v>
      </c>
      <c r="Q42" s="20" t="n">
        <v>0.5702624372175532</v>
      </c>
      <c r="R42" s="20" t="n">
        <v>0.02863520188802303</v>
      </c>
      <c r="S42" s="21" t="n">
        <v>4</v>
      </c>
      <c r="T42" s="20" t="n">
        <v>0.5391560353287537</v>
      </c>
      <c r="U42" s="20" t="n">
        <v>0.5795305611819374</v>
      </c>
      <c r="V42" s="20" t="n">
        <v>0.6127088468912627</v>
      </c>
      <c r="W42" s="20" t="n">
        <v>0.549654305468259</v>
      </c>
      <c r="X42" s="20" t="n"/>
      <c r="Y42" s="14" t="n">
        <v>1.92</v>
      </c>
      <c r="Z42" s="19">
        <f>IF(OR(Y42="",F42="",F42=0),"",Y42/F42)</f>
        <v/>
      </c>
      <c r="AA42" s="22" t="n">
        <v>134.419</v>
      </c>
      <c r="AB42" s="20" t="n">
        <v>0.054</v>
      </c>
      <c r="AC42" s="20" t="n">
        <v>0.1004936031272776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2026-10-21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220.64</v>
      </c>
      <c r="G43" s="15" t="inlineStr">
        <is>
          <t>USD</t>
        </is>
      </c>
      <c r="H43" s="14" t="n">
        <v>196.3254642687032</v>
      </c>
      <c r="I43" s="16" t="n">
        <v>4740670.64757239</v>
      </c>
      <c r="J43" s="16" t="n">
        <v>5327793.7</v>
      </c>
      <c r="K43" s="14" t="n">
        <v>7.91</v>
      </c>
      <c r="L43" s="14" t="n">
        <v>15.9146</v>
      </c>
      <c r="M43" s="17">
        <f>IF(OR(F43="",K43="",K43&lt;=0),"",F43/K43)</f>
        <v/>
      </c>
      <c r="N43" s="18" t="n">
        <v>23.2669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2026-10-21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CSX Corporation</t>
        </is>
      </c>
      <c r="C44" s="12" t="inlineStr">
        <is>
          <t>CSX</t>
        </is>
      </c>
      <c r="D44" s="11" t="inlineStr">
        <is>
          <t>Ferrovie</t>
        </is>
      </c>
      <c r="E44" s="13" t="inlineStr">
        <is>
          <t>Industriale</t>
        </is>
      </c>
      <c r="F44" s="14" t="n">
        <v>48.375</v>
      </c>
      <c r="G44" s="15" t="inlineStr">
        <is>
          <t>USD</t>
        </is>
      </c>
      <c r="H44" s="14" t="n">
        <v>43.0440733049244</v>
      </c>
      <c r="I44" s="16" t="n">
        <v>79738.08915991405</v>
      </c>
      <c r="J44" s="16" t="n">
        <v>89613.5</v>
      </c>
      <c r="K44" s="14" t="n">
        <v>1.72</v>
      </c>
      <c r="L44" s="14" t="n">
        <v>2.28543</v>
      </c>
      <c r="M44" s="17">
        <f>IF(OR(F44="",K44="",K44&lt;=0),"",F44/K44)</f>
        <v/>
      </c>
      <c r="N44" s="18" t="n">
        <v>6.3634567</v>
      </c>
      <c r="O44" s="19">
        <f>IF(OR(N44="",M44="",M44&lt;=0),"",N44/M44)</f>
        <v/>
      </c>
      <c r="P44" s="20" t="n">
        <v>0.24357</v>
      </c>
      <c r="Q44" s="20" t="n">
        <v>0.2823661415471586</v>
      </c>
      <c r="R44" s="20" t="n">
        <v>0.04013263354129347</v>
      </c>
      <c r="S44" s="21" t="n">
        <v>4</v>
      </c>
      <c r="T44" s="20" t="n"/>
      <c r="U44" s="20" t="n">
        <v>0.219612314709236</v>
      </c>
      <c r="V44" s="20" t="n">
        <v>0.2775555911054231</v>
      </c>
      <c r="W44" s="20" t="n">
        <v>0.3061769616026711</v>
      </c>
      <c r="X44" s="20" t="n">
        <v>0.326119698771304</v>
      </c>
      <c r="Y44" s="14" t="n">
        <v>0.5600000000000001</v>
      </c>
      <c r="Z44" s="19">
        <f>IF(OR(Y44="",F44="",F44=0),"",Y44/F44)</f>
        <v/>
      </c>
      <c r="AA44" s="22" t="n">
        <v>138.068</v>
      </c>
      <c r="AB44" s="20" t="n">
        <v>0.101</v>
      </c>
      <c r="AC44" s="20" t="n">
        <v>0.2287113301163781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2026-10-21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Cadence Design</t>
        </is>
      </c>
      <c r="C45" s="12" t="inlineStr">
        <is>
          <t>CDNS</t>
        </is>
      </c>
      <c r="D45" s="11" t="inlineStr">
        <is>
          <t>Software EDA</t>
        </is>
      </c>
      <c r="E45" s="13" t="inlineStr">
        <is>
          <t>Tecnologia</t>
        </is>
      </c>
      <c r="F45" s="14" t="n">
        <v>329.6725</v>
      </c>
      <c r="G45" s="15" t="inlineStr">
        <is>
          <t>USD</t>
        </is>
      </c>
      <c r="H45" s="14" t="n">
        <v>293.3425789481693</v>
      </c>
      <c r="I45" s="16" t="n">
        <v>80908.532033822</v>
      </c>
      <c r="J45" s="16" t="n">
        <v>90928.89999999999</v>
      </c>
      <c r="K45" s="14" t="n">
        <v>5.03</v>
      </c>
      <c r="L45" s="14" t="n">
        <v>9.568099999999999</v>
      </c>
      <c r="M45" s="17">
        <f>IF(OR(F45="",K45="",K45&lt;=0),"",F45/K45)</f>
        <v/>
      </c>
      <c r="N45" s="18" t="n">
        <v>13.238795</v>
      </c>
      <c r="O45" s="19">
        <f>IF(OR(N45="",M45="",M45&lt;=0),"",N45/M45)</f>
        <v/>
      </c>
      <c r="P45" s="20" t="n">
        <v>0.23229</v>
      </c>
      <c r="Q45" s="20" t="n">
        <v>0.2608754092791846</v>
      </c>
      <c r="R45" s="20" t="n">
        <v>0.04740689685132777</v>
      </c>
      <c r="S45" s="21" t="n">
        <v>4</v>
      </c>
      <c r="T45" s="20" t="n"/>
      <c r="U45" s="20" t="n">
        <v>0.2025669227963051</v>
      </c>
      <c r="V45" s="20" t="n">
        <v>0.2258406728206954</v>
      </c>
      <c r="W45" s="20" t="n">
        <v>0.3058346412491837</v>
      </c>
      <c r="X45" s="20" t="n">
        <v>0.3092594002505544</v>
      </c>
      <c r="Y45" s="14" t="n"/>
      <c r="Z45" s="19">
        <f>IF(OR(Y45="",F45="",F45=0),"",Y45/F45)</f>
        <v/>
      </c>
      <c r="AA45" s="22" t="n">
        <v>38.661</v>
      </c>
      <c r="AB45" s="20" t="n">
        <v>0.242</v>
      </c>
      <c r="AC45" s="20" t="n">
        <v>0.2601579539488204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2026-10-21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Meta Platforms</t>
        </is>
      </c>
      <c r="C46" s="12" t="inlineStr">
        <is>
          <t>META</t>
        </is>
      </c>
      <c r="D46" s="11" t="inlineStr">
        <is>
          <t>Internet / Pubblicita'</t>
        </is>
      </c>
      <c r="E46" s="13" t="inlineStr">
        <is>
          <t>Tecnologia</t>
        </is>
      </c>
      <c r="F46" s="14" t="n">
        <v>703.5</v>
      </c>
      <c r="G46" s="15" t="inlineStr">
        <is>
          <t>USD</t>
        </is>
      </c>
      <c r="H46" s="14" t="n">
        <v>625.974275349133</v>
      </c>
      <c r="I46" s="16" t="n">
        <v>1595101.775764892</v>
      </c>
      <c r="J46" s="16" t="n">
        <v>1792652.1</v>
      </c>
      <c r="K46" s="14" t="n">
        <v>26.54</v>
      </c>
      <c r="L46" s="14" t="n">
        <v>34.65077</v>
      </c>
      <c r="M46" s="17">
        <f>IF(OR(F46="",K46="",K46&lt;=0),"",F46/K46)</f>
        <v/>
      </c>
      <c r="N46" s="18" t="n">
        <v>6.8639197</v>
      </c>
      <c r="O46" s="19">
        <f>IF(OR(N46="",M46="",M46&lt;=0),"",N46/M46)</f>
        <v/>
      </c>
      <c r="P46" s="20" t="n">
        <v>0.29848</v>
      </c>
      <c r="Q46" s="20" t="n">
        <v>0.2648871265585463</v>
      </c>
      <c r="R46" s="20" t="n">
        <v>0.05609730945851681</v>
      </c>
      <c r="S46" s="21" t="n">
        <v>4</v>
      </c>
      <c r="T46" s="20" t="n"/>
      <c r="U46" s="20" t="n">
        <v>0.2782966539773433</v>
      </c>
      <c r="V46" s="20" t="n">
        <v>0.3414423145364849</v>
      </c>
      <c r="W46" s="20" t="n">
        <v>0.2552621957589052</v>
      </c>
      <c r="X46" s="20" t="n">
        <v>0.1845473419614519</v>
      </c>
      <c r="Y46" s="14" t="n">
        <v>2.1</v>
      </c>
      <c r="Z46" s="19">
        <f>IF(OR(Y46="",F46="",F46=0),"",Y46/F46)</f>
        <v/>
      </c>
      <c r="AA46" s="22" t="n">
        <v>42.997</v>
      </c>
      <c r="AB46" s="20" t="n">
        <v>0.28</v>
      </c>
      <c r="AC46" s="20" t="n">
        <v>0.3388533326433327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2026-10-21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Nike</t>
        </is>
      </c>
      <c r="C47" s="12" t="inlineStr">
        <is>
          <t>NKE</t>
        </is>
      </c>
      <c r="D47" s="11" t="inlineStr">
        <is>
          <t>Abbigliamento sportivo</t>
        </is>
      </c>
      <c r="E47" s="13" t="inlineStr">
        <is>
          <t>Consumi</t>
        </is>
      </c>
      <c r="F47" s="14" t="n">
        <v>37.365</v>
      </c>
      <c r="G47" s="15" t="inlineStr">
        <is>
          <t>USD</t>
        </is>
      </c>
      <c r="H47" s="14" t="n">
        <v>33.24737569071835</v>
      </c>
      <c r="I47" s="16" t="n">
        <v>49382.65233531115</v>
      </c>
      <c r="J47" s="16" t="n">
        <v>55498.6</v>
      </c>
      <c r="K47" s="14" t="n">
        <v>2.08</v>
      </c>
      <c r="L47" s="14" t="n">
        <v>1.59634</v>
      </c>
      <c r="M47" s="17">
        <f>IF(OR(F47="",K47="",K47&lt;=0),"",F47/K47)</f>
        <v/>
      </c>
      <c r="N47" s="18" t="n">
        <v>3.6407487</v>
      </c>
      <c r="O47" s="19">
        <f>IF(OR(N47="",M47="",M47&lt;=0),"",N47/M47)</f>
        <v/>
      </c>
      <c r="P47" s="20" t="n">
        <v>0.21563</v>
      </c>
      <c r="Q47" s="20" t="n">
        <v>0.3024388129670675</v>
      </c>
      <c r="R47" s="20" t="n">
        <v>0.07793665822629463</v>
      </c>
      <c r="S47" s="21" t="n">
        <v>4</v>
      </c>
      <c r="T47" s="20" t="n">
        <v>0.2090817356205853</v>
      </c>
      <c r="U47" s="20" t="n">
        <v>0.2436237039279497</v>
      </c>
      <c r="V47" s="20" t="n">
        <v>0.395010395010395</v>
      </c>
      <c r="W47" s="20" t="n">
        <v>0.3620394173093402</v>
      </c>
      <c r="X47" s="20" t="n"/>
      <c r="Y47" s="14" t="n">
        <v>1.64</v>
      </c>
      <c r="Z47" s="19">
        <f>IF(OR(Y47="",F47="",F47=0),"",Y47/F47)</f>
        <v/>
      </c>
      <c r="AA47" s="22" t="n">
        <v>73.095</v>
      </c>
      <c r="AB47" s="20" t="n">
        <v>-0.043</v>
      </c>
      <c r="AC47" s="20" t="n">
        <v>0.06666235475667055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2026-10-21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Waste Management</t>
        </is>
      </c>
      <c r="C48" s="12" t="inlineStr">
        <is>
          <t>WM</t>
        </is>
      </c>
      <c r="D48" s="11" t="inlineStr">
        <is>
          <t>Servizi ambientali</t>
        </is>
      </c>
      <c r="E48" s="13" t="inlineStr">
        <is>
          <t>Industriale</t>
        </is>
      </c>
      <c r="F48" s="14" t="n">
        <v>230.17</v>
      </c>
      <c r="G48" s="15" t="inlineStr">
        <is>
          <t>USD</t>
        </is>
      </c>
      <c r="H48" s="14" t="n">
        <v>204.8052579347689</v>
      </c>
      <c r="I48" s="16" t="n">
        <v>81863.73229620622</v>
      </c>
      <c r="J48" s="16" t="n">
        <v>92002.39999999999</v>
      </c>
      <c r="K48" s="14" t="n">
        <v>7.06</v>
      </c>
      <c r="L48" s="14" t="n">
        <v>9.08508</v>
      </c>
      <c r="M48" s="17">
        <f>IF(OR(F48="",K48="",K48&lt;=0),"",F48/K48)</f>
        <v/>
      </c>
      <c r="N48" s="18" t="n">
        <v>9.275437999999999</v>
      </c>
      <c r="O48" s="19">
        <f>IF(OR(N48="",M48="",M48&lt;=0),"",N48/M48)</f>
        <v/>
      </c>
      <c r="P48" s="20" t="n">
        <v>0.29841</v>
      </c>
      <c r="Q48" s="20" t="n">
        <v>0.3160924607555183</v>
      </c>
      <c r="R48" s="20" t="n">
        <v>0.02613080609356336</v>
      </c>
      <c r="S48" s="21" t="n">
        <v>4</v>
      </c>
      <c r="T48" s="20" t="n"/>
      <c r="U48" s="20" t="n">
        <v>0.2710710710710711</v>
      </c>
      <c r="V48" s="20" t="n">
        <v>0.3327678138633058</v>
      </c>
      <c r="W48" s="20" t="n">
        <v>0.333767926988266</v>
      </c>
      <c r="X48" s="20" t="n">
        <v>0.3267630310994306</v>
      </c>
      <c r="Y48" s="14" t="n">
        <v>3.78</v>
      </c>
      <c r="Z48" s="19">
        <f>IF(OR(Y48="",F48="",F48=0),"",Y48/F48)</f>
        <v/>
      </c>
      <c r="AA48" s="22" t="n">
        <v>235.301</v>
      </c>
      <c r="AB48" s="20" t="n">
        <v>0.04</v>
      </c>
      <c r="AC48" s="20" t="n">
        <v>0.1131963155054753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2026-10-21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Cisco Systems</t>
        </is>
      </c>
      <c r="C49" s="12" t="inlineStr">
        <is>
          <t>CSCO</t>
        </is>
      </c>
      <c r="D49" s="11" t="inlineStr">
        <is>
          <t>Reti</t>
        </is>
      </c>
      <c r="E49" s="13" t="inlineStr">
        <is>
          <t>Tecnologia</t>
        </is>
      </c>
      <c r="F49" s="14" t="n">
        <v>107.155</v>
      </c>
      <c r="G49" s="15" t="inlineStr">
        <is>
          <t>USD</t>
        </is>
      </c>
      <c r="H49" s="14" t="n">
        <v>95.34651524525424</v>
      </c>
      <c r="I49" s="16" t="n">
        <v>375911.9226165885</v>
      </c>
      <c r="J49" s="16" t="n">
        <v>422467.9</v>
      </c>
      <c r="K49" s="14" t="n">
        <v>3.33</v>
      </c>
      <c r="L49" s="14" t="n">
        <v>5.62203</v>
      </c>
      <c r="M49" s="17">
        <f>IF(OR(F49="",K49="",K49&lt;=0),"",F49/K49)</f>
        <v/>
      </c>
      <c r="N49" s="18" t="n">
        <v>8.40893</v>
      </c>
      <c r="O49" s="19">
        <f>IF(OR(N49="",M49="",M49&lt;=0),"",N49/M49)</f>
        <v/>
      </c>
      <c r="P49" s="20" t="n">
        <v>0.27319</v>
      </c>
      <c r="Q49" s="20" t="n">
        <v>0.2481407932680991</v>
      </c>
      <c r="R49" s="20" t="n">
        <v>0.0271800865071588</v>
      </c>
      <c r="S49" s="21" t="n">
        <v>4</v>
      </c>
      <c r="T49" s="20" t="n">
        <v>0.2638361340359948</v>
      </c>
      <c r="U49" s="20" t="n">
        <v>0.2173216916081378</v>
      </c>
      <c r="V49" s="20" t="n">
        <v>0.2270277405020129</v>
      </c>
      <c r="W49" s="20" t="n">
        <v>0.2843776069262507</v>
      </c>
      <c r="X49" s="20" t="n">
        <v>0.2969853921001684</v>
      </c>
      <c r="Y49" s="14" t="n">
        <v>1.68</v>
      </c>
      <c r="Z49" s="19">
        <f>IF(OR(Y49="",F49="",F49=0),"",Y49/F49)</f>
        <v/>
      </c>
      <c r="AA49" s="22" t="n">
        <v>62.017</v>
      </c>
      <c r="AB49" s="20" t="n">
        <v>0.176</v>
      </c>
      <c r="AC49" s="20" t="n">
        <v>0.2095065190682985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2026-10-21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Goldman Sachs</t>
        </is>
      </c>
      <c r="C50" s="12" t="inlineStr">
        <is>
          <t>GS</t>
        </is>
      </c>
      <c r="D50" s="11" t="inlineStr">
        <is>
          <t>Banca d'investimento</t>
        </is>
      </c>
      <c r="E50" s="13" t="inlineStr">
        <is>
          <t>Finanziario</t>
        </is>
      </c>
      <c r="F50" s="14" t="n">
        <v>902.6799999999999</v>
      </c>
      <c r="G50" s="15" t="inlineStr">
        <is>
          <t>USD</t>
        </is>
      </c>
      <c r="H50" s="14" t="n">
        <v>803.2046323698015</v>
      </c>
      <c r="I50" s="16" t="n">
        <v>233870.2178701908</v>
      </c>
      <c r="J50" s="16" t="n">
        <v>262834.6</v>
      </c>
      <c r="K50" s="14" t="n">
        <v>69.55</v>
      </c>
      <c r="L50" s="14" t="n">
        <v>73.84513</v>
      </c>
      <c r="M50" s="17">
        <f>IF(OR(F50="",K50="",K50&lt;=0),"",F50/K50)</f>
        <v/>
      </c>
      <c r="N50" s="18" t="n">
        <v>2.4249556</v>
      </c>
      <c r="O50" s="19">
        <f>IF(OR(N50="",M50="",M50&lt;=0),"",N50/M50)</f>
        <v/>
      </c>
      <c r="P50" s="20" t="n">
        <v>0.17753</v>
      </c>
      <c r="Q50" s="20" t="n">
        <v>0.1058492814900844</v>
      </c>
      <c r="R50" s="20" t="n">
        <v>0.02401629869746958</v>
      </c>
      <c r="S50" s="21" t="n">
        <v>4</v>
      </c>
      <c r="T50" s="20" t="n"/>
      <c r="U50" s="20" t="n">
        <v>0.1374387862881285</v>
      </c>
      <c r="V50" s="20" t="n">
        <v>0.117020230171481</v>
      </c>
      <c r="W50" s="20" t="n">
        <v>0.07284547281981096</v>
      </c>
      <c r="X50" s="20" t="n">
        <v>0.09609263668091715</v>
      </c>
      <c r="Y50" s="14" t="n">
        <v>20</v>
      </c>
      <c r="Z50" s="19">
        <f>IF(OR(Y50="",F50="",F50=0),"",Y50/F50)</f>
        <v/>
      </c>
      <c r="AA50" s="22" t="n">
        <v>671.2</v>
      </c>
      <c r="AB50" s="20" t="n">
        <v>0.233</v>
      </c>
      <c r="AC50" s="20" t="n">
        <v>0.3646346232005902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2026-10-21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Procter &amp; Gamble</t>
        </is>
      </c>
      <c r="C51" s="12" t="inlineStr">
        <is>
          <t>PG</t>
        </is>
      </c>
      <c r="D51" s="11" t="inlineStr">
        <is>
          <t>Beni per la casa</t>
        </is>
      </c>
      <c r="E51" s="13" t="inlineStr">
        <is>
          <t>Consumi</t>
        </is>
      </c>
      <c r="F51" s="14" t="n">
        <v>157.24</v>
      </c>
      <c r="G51" s="15" t="inlineStr">
        <is>
          <t>USD</t>
        </is>
      </c>
      <c r="H51" s="14" t="n">
        <v>139.9121464902597</v>
      </c>
      <c r="I51" s="16" t="n">
        <v>325216.4594129759</v>
      </c>
      <c r="J51" s="16" t="n">
        <v>365493.9</v>
      </c>
      <c r="K51" s="14" t="n">
        <v>6.62</v>
      </c>
      <c r="L51" s="14" t="n">
        <v>7.39145</v>
      </c>
      <c r="M51" s="17">
        <f>IF(OR(F51="",K51="",K51&lt;=0),"",F51/K51)</f>
        <v/>
      </c>
      <c r="N51" s="18" t="n">
        <v>6.852312</v>
      </c>
      <c r="O51" s="19">
        <f>IF(OR(N51="",M51="",M51&lt;=0),"",N51/M51)</f>
        <v/>
      </c>
      <c r="P51" s="20" t="n">
        <v>0.30290002</v>
      </c>
      <c r="Q51" s="20" t="n">
        <v>0.3032410724344928</v>
      </c>
      <c r="R51" s="20" t="n">
        <v>0.007281835576251603</v>
      </c>
      <c r="S51" s="21" t="n">
        <v>4</v>
      </c>
      <c r="T51" s="20" t="n">
        <v>0.2967030935078863</v>
      </c>
      <c r="U51" s="20" t="n">
        <v>0.3071214335153426</v>
      </c>
      <c r="V51" s="20" t="n">
        <v>0.2958875233663445</v>
      </c>
      <c r="W51" s="20" t="n">
        <v>0.3132522393483977</v>
      </c>
      <c r="X51" s="20" t="n">
        <v>0.3164266243104595</v>
      </c>
      <c r="Y51" s="14" t="n">
        <v>4.35</v>
      </c>
      <c r="Z51" s="19">
        <f>IF(OR(Y51="",F51="",F51=0),"",Y51/F51)</f>
        <v/>
      </c>
      <c r="AA51" s="22" t="n">
        <v>64.48999999999999</v>
      </c>
      <c r="AB51" s="20" t="n">
        <v>0.015</v>
      </c>
      <c r="AC51" s="20" t="n">
        <v>0.1810138843643717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2026-10-21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Broadcom</t>
        </is>
      </c>
      <c r="C52" s="12" t="inlineStr">
        <is>
          <t>AVGO</t>
        </is>
      </c>
      <c r="D52" s="11" t="inlineStr">
        <is>
          <t>Semiconduttori</t>
        </is>
      </c>
      <c r="E52" s="13" t="inlineStr">
        <is>
          <t>Tecnologia</t>
        </is>
      </c>
      <c r="F52" s="14" t="n">
        <v>338.1</v>
      </c>
      <c r="G52" s="15" t="inlineStr">
        <is>
          <t>USD</t>
        </is>
      </c>
      <c r="H52" s="14" t="n">
        <v>300.8413681528669</v>
      </c>
      <c r="I52" s="16" t="n">
        <v>1436105.466566167</v>
      </c>
      <c r="J52" s="16" t="n">
        <v>1613964.4</v>
      </c>
      <c r="K52" s="14" t="n">
        <v>7.83</v>
      </c>
      <c r="L52" s="14" t="n">
        <v>19.39695</v>
      </c>
      <c r="M52" s="17">
        <f>IF(OR(F52="",K52="",K52&lt;=0),"",F52/K52)</f>
        <v/>
      </c>
      <c r="N52" s="18" t="n">
        <v>16.190979</v>
      </c>
      <c r="O52" s="19">
        <f>IF(OR(N52="",M52="",M52&lt;=0),"",N52/M52)</f>
        <v/>
      </c>
      <c r="P52" s="20" t="n">
        <v>0.44245</v>
      </c>
      <c r="Q52" s="20" t="n">
        <v>0.44245</v>
      </c>
      <c r="R52" s="20" t="n"/>
      <c r="S52" s="21" t="n">
        <v>0</v>
      </c>
      <c r="T52" s="20" t="n"/>
      <c r="U52" s="20" t="n">
        <v>0.2844806377011268</v>
      </c>
      <c r="V52" s="20" t="n">
        <v>0.08710363781435622</v>
      </c>
      <c r="W52" s="20" t="n">
        <v>0.5870435217608805</v>
      </c>
      <c r="X52" s="20" t="n">
        <v>0.5061869743273592</v>
      </c>
      <c r="Y52" s="14" t="n">
        <v>2.6</v>
      </c>
      <c r="Z52" s="19">
        <f>IF(OR(Y52="",F52="",F52=0),"",Y52/F52)</f>
        <v/>
      </c>
      <c r="AA52" s="22" t="n">
        <v>59.604</v>
      </c>
      <c r="AB52" s="20" t="n">
        <v>0.855</v>
      </c>
      <c r="AC52" s="20" t="n">
        <v>0.42944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2026-10-21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GE Aerospace</t>
        </is>
      </c>
      <c r="C53" s="12" t="inlineStr">
        <is>
          <t>GE</t>
        </is>
      </c>
      <c r="D53" s="11" t="inlineStr">
        <is>
          <t>Aerospazio</t>
        </is>
      </c>
      <c r="E53" s="13" t="inlineStr">
        <is>
          <t>Industriale</t>
        </is>
      </c>
      <c r="F53" s="14" t="n">
        <v>296.605</v>
      </c>
      <c r="G53" s="15" t="inlineStr">
        <is>
          <t>USD</t>
        </is>
      </c>
      <c r="H53" s="14" t="n">
        <v>263.9191186068651</v>
      </c>
      <c r="I53" s="16" t="n">
        <v>273832.5579764739</v>
      </c>
      <c r="J53" s="16" t="n">
        <v>307746.2</v>
      </c>
      <c r="K53" s="14" t="n">
        <v>8.48</v>
      </c>
      <c r="L53" s="14" t="n">
        <v>9.24192</v>
      </c>
      <c r="M53" s="17">
        <f>IF(OR(F53="",K53="",K53&lt;=0),"",F53/K53)</f>
        <v/>
      </c>
      <c r="N53" s="18" t="n">
        <v>16.654781</v>
      </c>
      <c r="O53" s="19">
        <f>IF(OR(N53="",M53="",M53&lt;=0),"",N53/M53)</f>
        <v/>
      </c>
      <c r="P53" s="20" t="n">
        <v>0.48231998</v>
      </c>
      <c r="Q53" s="20" t="n">
        <v>0.48231998</v>
      </c>
      <c r="R53" s="20" t="n"/>
      <c r="S53" s="21" t="n">
        <v>0</v>
      </c>
      <c r="T53" s="20" t="n"/>
      <c r="U53" s="20" t="n">
        <v>0.4660277346468919</v>
      </c>
      <c r="V53" s="20" t="n">
        <v>0.3389515044979837</v>
      </c>
      <c r="W53" s="20" t="n">
        <v>0.3460205087034267</v>
      </c>
      <c r="X53" s="20" t="n">
        <v>0.009971509971509971</v>
      </c>
      <c r="Y53" s="14" t="n">
        <v>1.88</v>
      </c>
      <c r="Z53" s="19">
        <f>IF(OR(Y53="",F53="",F53=0),"",Y53/F53)</f>
        <v/>
      </c>
      <c r="AA53" s="22" t="n">
        <v>113.225</v>
      </c>
      <c r="AB53" s="20" t="n">
        <v>0.211</v>
      </c>
      <c r="AC53" s="20" t="n">
        <v>0.1954857647802857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2026-10-21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Bank of America</t>
        </is>
      </c>
      <c r="C54" s="12" t="inlineStr">
        <is>
          <t>BAC</t>
        </is>
      </c>
      <c r="D54" s="11" t="inlineStr">
        <is>
          <t>Banca</t>
        </is>
      </c>
      <c r="E54" s="13" t="inlineStr">
        <is>
          <t>Finanziario</t>
        </is>
      </c>
      <c r="F54" s="14" t="n">
        <v>51.0651</v>
      </c>
      <c r="G54" s="15" t="inlineStr">
        <is>
          <t>USD</t>
        </is>
      </c>
      <c r="H54" s="14" t="n">
        <v>45.43772419066242</v>
      </c>
      <c r="I54" s="16" t="n">
        <v>317734.5764076124</v>
      </c>
      <c r="J54" s="16" t="n">
        <v>357085.4</v>
      </c>
      <c r="K54" s="14" t="n">
        <v>4.19</v>
      </c>
      <c r="L54" s="14" t="n">
        <v>5.18876</v>
      </c>
      <c r="M54" s="17">
        <f>IF(OR(F54="",K54="",K54&lt;=0),"",F54/K54)</f>
        <v/>
      </c>
      <c r="N54" s="18" t="n">
        <v>1.300856</v>
      </c>
      <c r="O54" s="19">
        <f>IF(OR(N54="",M54="",M54&lt;=0),"",N54/M54)</f>
        <v/>
      </c>
      <c r="P54" s="20" t="n">
        <v>0.1073</v>
      </c>
      <c r="Q54" s="20" t="n">
        <v>0.09583073596940467</v>
      </c>
      <c r="R54" s="20" t="n">
        <v>0.004886619979617854</v>
      </c>
      <c r="S54" s="21" t="n">
        <v>4</v>
      </c>
      <c r="T54" s="20" t="n"/>
      <c r="U54" s="20" t="n">
        <v>0.1006090824850038</v>
      </c>
      <c r="V54" s="20" t="n">
        <v>0.09175644553906444</v>
      </c>
      <c r="W54" s="20" t="n">
        <v>0.0901949623859062</v>
      </c>
      <c r="X54" s="20" t="n">
        <v>0.1007624534676442</v>
      </c>
      <c r="Y54" s="14" t="n">
        <v>1.28</v>
      </c>
      <c r="Z54" s="19">
        <f>IF(OR(Y54="",F54="",F54=0),"",Y54/F54)</f>
        <v/>
      </c>
      <c r="AA54" s="22" t="n"/>
      <c r="AB54" s="20" t="n">
        <v>0.07099999999999999</v>
      </c>
      <c r="AC54" s="20" t="n">
        <v>0.2720054449543312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2026-10-21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Charles Schwab</t>
        </is>
      </c>
      <c r="C55" s="12" t="inlineStr">
        <is>
          <t>SCHW</t>
        </is>
      </c>
      <c r="D55" s="11" t="inlineStr">
        <is>
          <t>Intermediazione</t>
        </is>
      </c>
      <c r="E55" s="13" t="inlineStr">
        <is>
          <t>Finanziario</t>
        </is>
      </c>
      <c r="F55" s="14" t="n">
        <v>91.565</v>
      </c>
      <c r="G55" s="15" t="inlineStr">
        <is>
          <t>USD</t>
        </is>
      </c>
      <c r="H55" s="14" t="n">
        <v>81.47453379153286</v>
      </c>
      <c r="I55" s="16" t="n">
        <v>140896.7991314841</v>
      </c>
      <c r="J55" s="16" t="n">
        <v>158346.6</v>
      </c>
      <c r="K55" s="14" t="n">
        <v>5.85</v>
      </c>
      <c r="L55" s="14" t="n">
        <v>7.8094</v>
      </c>
      <c r="M55" s="17">
        <f>IF(OR(F55="",K55="",K55&lt;=0),"",F55/K55)</f>
        <v/>
      </c>
      <c r="N55" s="18" t="n">
        <v>3.0783324</v>
      </c>
      <c r="O55" s="19">
        <f>IF(OR(N55="",M55="",M55&lt;=0),"",N55/M55)</f>
        <v/>
      </c>
      <c r="P55" s="20" t="n">
        <v>0.21122</v>
      </c>
      <c r="Q55" s="20" t="n">
        <v>0.1554644312241724</v>
      </c>
      <c r="R55" s="20" t="n">
        <v>0.03275755535947185</v>
      </c>
      <c r="S55" s="21" t="n">
        <v>4</v>
      </c>
      <c r="T55" s="20" t="n"/>
      <c r="U55" s="20" t="n">
        <v>0.179099645928174</v>
      </c>
      <c r="V55" s="20" t="n">
        <v>0.1228320413436692</v>
      </c>
      <c r="W55" s="20" t="n">
        <v>0.1237120953171542</v>
      </c>
      <c r="X55" s="20" t="n">
        <v>0.1962139423076923</v>
      </c>
      <c r="Y55" s="14" t="n">
        <v>1.28</v>
      </c>
      <c r="Z55" s="19">
        <f>IF(OR(Y55="",F55="",F55=0),"",Y55/F55)</f>
        <v/>
      </c>
      <c r="AA55" s="22" t="n">
        <v>77.821</v>
      </c>
      <c r="AB55" s="20" t="n">
        <v>0.169</v>
      </c>
      <c r="AC55" s="20" t="n">
        <v>0.4287655077964968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2026-10-21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Northrop Grumman</t>
        </is>
      </c>
      <c r="C56" s="12" t="inlineStr">
        <is>
          <t>NOC</t>
        </is>
      </c>
      <c r="D56" s="11" t="inlineStr">
        <is>
          <t>Difesa</t>
        </is>
      </c>
      <c r="E56" s="13" t="inlineStr">
        <is>
          <t>Industriale</t>
        </is>
      </c>
      <c r="F56" s="14" t="n">
        <v>537.74</v>
      </c>
      <c r="G56" s="15" t="inlineStr">
        <is>
          <t>USD</t>
        </is>
      </c>
      <c r="H56" s="14" t="n">
        <v>478.4810331574169</v>
      </c>
      <c r="I56" s="16" t="n">
        <v>67974.48872316463</v>
      </c>
      <c r="J56" s="16" t="n">
        <v>76393</v>
      </c>
      <c r="K56" s="14" t="n">
        <v>31.46</v>
      </c>
      <c r="L56" s="14" t="n">
        <v>30.38336</v>
      </c>
      <c r="M56" s="17">
        <f>IF(OR(F56="",K56="",K56&lt;=0),"",F56/K56)</f>
        <v/>
      </c>
      <c r="N56" s="18" t="n">
        <v>4.2715745</v>
      </c>
      <c r="O56" s="19">
        <f>IF(OR(N56="",M56="",M56&lt;=0),"",N56/M56)</f>
        <v/>
      </c>
      <c r="P56" s="20" t="n">
        <v>0.26958</v>
      </c>
      <c r="Q56" s="20" t="n">
        <v>0.2456284021316426</v>
      </c>
      <c r="R56" s="20" t="n">
        <v>0.06641956155607608</v>
      </c>
      <c r="S56" s="21" t="n">
        <v>4</v>
      </c>
      <c r="T56" s="20" t="n"/>
      <c r="U56" s="20" t="n">
        <v>0.250809643756747</v>
      </c>
      <c r="V56" s="20" t="n">
        <v>0.2729888816219752</v>
      </c>
      <c r="W56" s="20" t="n">
        <v>0.1389658668469077</v>
      </c>
      <c r="X56" s="20" t="n">
        <v>0.3197492163009404</v>
      </c>
      <c r="Y56" s="14" t="n">
        <v>9.880000000000001</v>
      </c>
      <c r="Z56" s="19">
        <f>IF(OR(Y56="",F56="",F56=0),"",Y56/F56)</f>
        <v/>
      </c>
      <c r="AA56" s="22" t="n">
        <v>95.348</v>
      </c>
      <c r="AB56" s="20" t="n">
        <v>0.051</v>
      </c>
      <c r="AC56" s="20" t="n">
        <v>0.1071649902273919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2026-10-21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436</v>
      </c>
      <c r="G57" s="15" t="inlineStr">
        <is>
          <t>USD</t>
        </is>
      </c>
      <c r="H57" s="14" t="n">
        <v>387.9527847224193</v>
      </c>
      <c r="I57" s="16" t="n">
        <v>209739.7326204493</v>
      </c>
      <c r="J57" s="16" t="n">
        <v>235715.6</v>
      </c>
      <c r="K57" s="14" t="n">
        <v>16.1</v>
      </c>
      <c r="L57" s="14" t="n">
        <v>24.50175</v>
      </c>
      <c r="M57" s="17">
        <f>IF(OR(F57="",K57="",K57&lt;=0),"",F57/K57)</f>
        <v/>
      </c>
      <c r="N57" s="18" t="n">
        <v>20.166512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2026-10-21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FedEx</t>
        </is>
      </c>
      <c r="C58" s="12" t="inlineStr">
        <is>
          <t>FDX</t>
        </is>
      </c>
      <c r="D58" s="11" t="inlineStr">
        <is>
          <t>Logistica</t>
        </is>
      </c>
      <c r="E58" s="13" t="inlineStr">
        <is>
          <t>Industriale</t>
        </is>
      </c>
      <c r="F58" s="14" t="n">
        <v>299.34</v>
      </c>
      <c r="G58" s="15" t="inlineStr">
        <is>
          <t>USD</t>
        </is>
      </c>
      <c r="H58" s="14" t="n">
        <v>266.3527215110298</v>
      </c>
      <c r="I58" s="16" t="n">
        <v>63037.78953757184</v>
      </c>
      <c r="J58" s="16" t="n">
        <v>70844.89999999999</v>
      </c>
      <c r="K58" s="14" t="n">
        <v>18.55</v>
      </c>
      <c r="L58" s="14" t="n">
        <v>20.85888</v>
      </c>
      <c r="M58" s="17">
        <f>IF(OR(F58="",K58="",K58&lt;=0),"",F58/K58)</f>
        <v/>
      </c>
      <c r="N58" s="18" t="n">
        <v>2.2700832</v>
      </c>
      <c r="O58" s="19">
        <f>IF(OR(N58="",M58="",M58&lt;=0),"",N58/M58)</f>
        <v/>
      </c>
      <c r="P58" s="20" t="n">
        <v>0.14846</v>
      </c>
      <c r="Q58" s="20" t="n">
        <v>0.1487776787174603</v>
      </c>
      <c r="R58" s="20" t="n">
        <v>0.006420595404348427</v>
      </c>
      <c r="S58" s="21" t="n">
        <v>4</v>
      </c>
      <c r="T58" s="20" t="n">
        <v>0.1400764685436218</v>
      </c>
      <c r="U58" s="20" t="n">
        <v>0.1457576405214789</v>
      </c>
      <c r="V58" s="20" t="n">
        <v>0.1570226959611341</v>
      </c>
      <c r="W58" s="20" t="n">
        <v>0.1522539098436063</v>
      </c>
      <c r="X58" s="20" t="n"/>
      <c r="Y58" s="14" t="n">
        <v>4.88</v>
      </c>
      <c r="Z58" s="19">
        <f>IF(OR(Y58="",F58="",F58=0),"",Y58/F58)</f>
        <v/>
      </c>
      <c r="AA58" s="22" t="n">
        <v>135.697</v>
      </c>
      <c r="AB58" s="20" t="n">
        <v>0.125</v>
      </c>
      <c r="AC58" s="20" t="n">
        <v>0.0467271945945946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2026-10-21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Cigna Group</t>
        </is>
      </c>
      <c r="C59" s="12" t="inlineStr">
        <is>
          <t>CI</t>
        </is>
      </c>
      <c r="D59" s="11" t="inlineStr">
        <is>
          <t>Assicurazione sanitaria</t>
        </is>
      </c>
      <c r="E59" s="13" t="inlineStr">
        <is>
          <t>Salute</t>
        </is>
      </c>
      <c r="F59" s="14" t="n">
        <v>305.61</v>
      </c>
      <c r="G59" s="15" t="inlineStr">
        <is>
          <t>USD</t>
        </is>
      </c>
      <c r="H59" s="14" t="n">
        <v>271.931767291327</v>
      </c>
      <c r="I59" s="16" t="n">
        <v>71855.35127033626</v>
      </c>
      <c r="J59" s="16" t="n">
        <v>80754.5</v>
      </c>
      <c r="K59" s="14" t="n">
        <v>24.19</v>
      </c>
      <c r="L59" s="14" t="n">
        <v>33.48462</v>
      </c>
      <c r="M59" s="17">
        <f>IF(OR(F59="",K59="",K59&lt;=0),"",F59/K59)</f>
        <v/>
      </c>
      <c r="N59" s="18" t="n">
        <v>1.8908818</v>
      </c>
      <c r="O59" s="19">
        <f>IF(OR(N59="",M59="",M59&lt;=0),"",N59/M59)</f>
        <v/>
      </c>
      <c r="P59" s="20" t="n">
        <v>0.16758</v>
      </c>
      <c r="Q59" s="20" t="n">
        <v>0.1220696910352129</v>
      </c>
      <c r="R59" s="20" t="n">
        <v>0.02642867866442709</v>
      </c>
      <c r="S59" s="21" t="n">
        <v>4</v>
      </c>
      <c r="T59" s="20" t="n"/>
      <c r="U59" s="20" t="n">
        <v>0.1428091961738547</v>
      </c>
      <c r="V59" s="20" t="n">
        <v>0.0836887383325616</v>
      </c>
      <c r="W59" s="20" t="n">
        <v>0.1117192739545248</v>
      </c>
      <c r="X59" s="20" t="n">
        <v>0.1500615556799105</v>
      </c>
      <c r="Y59" s="14" t="n">
        <v>6.24</v>
      </c>
      <c r="Z59" s="19">
        <f>IF(OR(Y59="",F59="",F59=0),"",Y59/F59)</f>
        <v/>
      </c>
      <c r="AA59" s="22" t="n">
        <v>74.29000000000001</v>
      </c>
      <c r="AB59" s="20" t="n">
        <v>0.067</v>
      </c>
      <c r="AC59" s="20" t="n">
        <v>0.02342854221592527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2026-10-21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AbbVie</t>
        </is>
      </c>
      <c r="C60" s="12" t="inlineStr">
        <is>
          <t>ABBV</t>
        </is>
      </c>
      <c r="D60" s="11" t="inlineStr">
        <is>
          <t>Farmaceutica</t>
        </is>
      </c>
      <c r="E60" s="13" t="inlineStr">
        <is>
          <t>Salute</t>
        </is>
      </c>
      <c r="F60" s="14" t="n">
        <v>283.26</v>
      </c>
      <c r="G60" s="15" t="inlineStr">
        <is>
          <t>USD</t>
        </is>
      </c>
      <c r="H60" s="14" t="n">
        <v>252.0447380744782</v>
      </c>
      <c r="I60" s="16" t="n">
        <v>445392.6647204369</v>
      </c>
      <c r="J60" s="16" t="n">
        <v>500553.7</v>
      </c>
      <c r="K60" s="14" t="n">
        <v>3.54</v>
      </c>
      <c r="L60" s="14" t="n">
        <v>16.20459</v>
      </c>
      <c r="M60" s="17">
        <f>IF(OR(F60="",K60="",K60&lt;=0),"",F60/K60)</f>
        <v/>
      </c>
      <c r="N60" s="18" t="n">
        <v>-84.32867400000001</v>
      </c>
      <c r="O60" s="19">
        <f>IF(OR(N60="",M60="",M60&lt;=0),"",N60/M60)</f>
        <v/>
      </c>
      <c r="P60" s="20" t="n">
        <v>1.286616541353383</v>
      </c>
      <c r="Q60" s="20" t="n">
        <v>0.8140013147022048</v>
      </c>
      <c r="R60" s="20" t="n">
        <v>0.3456887382306248</v>
      </c>
      <c r="S60" s="21" t="n">
        <v>3</v>
      </c>
      <c r="T60" s="20" t="n"/>
      <c r="U60" s="20" t="n"/>
      <c r="V60" s="20" t="n">
        <v>1.286616541353383</v>
      </c>
      <c r="W60" s="20" t="n">
        <v>0.4694015444015444</v>
      </c>
      <c r="X60" s="20" t="n">
        <v>0.6859858583516866</v>
      </c>
      <c r="Y60" s="14" t="n">
        <v>6.92</v>
      </c>
      <c r="Z60" s="19">
        <f>IF(OR(Y60="",F60="",F60=0),"",Y60/F60)</f>
        <v/>
      </c>
      <c r="AA60" s="22" t="n"/>
      <c r="AB60" s="20" t="n">
        <v>0.102</v>
      </c>
      <c r="AC60" s="20" t="n">
        <v>0.1025179877043819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2026-10-21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Chubb</t>
        </is>
      </c>
      <c r="C61" s="12" t="inlineStr">
        <is>
          <t>CB</t>
        </is>
      </c>
      <c r="D61" s="11" t="inlineStr">
        <is>
          <t>Assicurazione</t>
        </is>
      </c>
      <c r="E61" s="13" t="inlineStr">
        <is>
          <t>Finanziario</t>
        </is>
      </c>
      <c r="F61" s="14" t="n">
        <v>355.325</v>
      </c>
      <c r="G61" s="15" t="inlineStr">
        <is>
          <t>USD</t>
        </is>
      </c>
      <c r="H61" s="14" t="n">
        <v>316.1681725492974</v>
      </c>
      <c r="I61" s="16" t="n">
        <v>121977.6053365219</v>
      </c>
      <c r="J61" s="16" t="n">
        <v>137084.3</v>
      </c>
      <c r="K61" s="14" t="n">
        <v>28.35</v>
      </c>
      <c r="L61" s="14" t="n">
        <v>29.2543</v>
      </c>
      <c r="M61" s="17">
        <f>IF(OR(F61="",K61="",K61&lt;=0),"",F61/K61)</f>
        <v/>
      </c>
      <c r="N61" s="18" t="n">
        <v>1.8179842</v>
      </c>
      <c r="O61" s="19">
        <f>IF(OR(N61="",M61="",M61&lt;=0),"",N61/M61)</f>
        <v/>
      </c>
      <c r="P61" s="20" t="n">
        <v>0.1425</v>
      </c>
      <c r="Q61" s="20" t="n">
        <v>0.1350415459271134</v>
      </c>
      <c r="R61" s="20" t="n">
        <v>0.0185040460098504</v>
      </c>
      <c r="S61" s="21" t="n">
        <v>4</v>
      </c>
      <c r="T61" s="20" t="n"/>
      <c r="U61" s="20" t="n">
        <v>0.1397833425979907</v>
      </c>
      <c r="V61" s="20" t="n">
        <v>0.1448274784836226</v>
      </c>
      <c r="W61" s="20" t="n">
        <v>0.1517132438200548</v>
      </c>
      <c r="X61" s="20" t="n">
        <v>0.1038421188067856</v>
      </c>
      <c r="Y61" s="14" t="n">
        <v>4.08</v>
      </c>
      <c r="Z61" s="19">
        <f>IF(OR(Y61="",F61="",F61=0),"",Y61/F61)</f>
        <v/>
      </c>
      <c r="AA61" s="22" t="n"/>
      <c r="AB61" s="20" t="n">
        <v>-0.004</v>
      </c>
      <c r="AC61" s="20" t="n">
        <v>0.1878125931452085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2026-10-21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Marriott International</t>
        </is>
      </c>
      <c r="C62" s="12" t="inlineStr">
        <is>
          <t>MAR</t>
        </is>
      </c>
      <c r="D62" s="11" t="inlineStr">
        <is>
          <t>Alberghiero</t>
        </is>
      </c>
      <c r="E62" s="13" t="inlineStr">
        <is>
          <t>Consumi</t>
        </is>
      </c>
      <c r="F62" s="14" t="n">
        <v>403.02</v>
      </c>
      <c r="G62" s="15" t="inlineStr">
        <is>
          <t>USD</t>
        </is>
      </c>
      <c r="H62" s="14" t="n">
        <v>358.6071818780492</v>
      </c>
      <c r="I62" s="16" t="n">
        <v>93512.63751747234</v>
      </c>
      <c r="J62" s="16" t="n">
        <v>105094</v>
      </c>
      <c r="K62" s="14" t="n">
        <v>9.66</v>
      </c>
      <c r="L62" s="14" t="n">
        <v>13.15005</v>
      </c>
      <c r="M62" s="17">
        <f>IF(OR(F62="",K62="",K62&lt;=0),"",F62/K62)</f>
        <v/>
      </c>
      <c r="N62" s="18" t="n">
        <v>-23.317518</v>
      </c>
      <c r="O62" s="19">
        <f>IF(OR(N62="",M62="",M62&lt;=0),"",N62/M62)</f>
        <v/>
      </c>
      <c r="P62" s="20" t="n">
        <v>4.151408450704225</v>
      </c>
      <c r="Q62" s="20" t="n">
        <v>4.151408450704225</v>
      </c>
      <c r="R62" s="20" t="n"/>
      <c r="S62" s="21" t="n">
        <v>1</v>
      </c>
      <c r="T62" s="20" t="n"/>
      <c r="U62" s="20" t="n"/>
      <c r="V62" s="20" t="n"/>
      <c r="W62" s="20" t="n"/>
      <c r="X62" s="20" t="n">
        <v>4.151408450704225</v>
      </c>
      <c r="Y62" s="14" t="n">
        <v>2.92</v>
      </c>
      <c r="Z62" s="19">
        <f>IF(OR(Y62="",F62="",F62=0),"",Y62/F62)</f>
        <v/>
      </c>
      <c r="AA62" s="22" t="n"/>
      <c r="AB62" s="20" t="n">
        <v>0.111</v>
      </c>
      <c r="AC62" s="20" t="n">
        <v>0.09879325074467273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2026-10-21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Valero Energy</t>
        </is>
      </c>
      <c r="C63" s="12" t="inlineStr">
        <is>
          <t>VLO</t>
        </is>
      </c>
      <c r="D63" s="11" t="inlineStr">
        <is>
          <t>Raffinazione</t>
        </is>
      </c>
      <c r="E63" s="13" t="inlineStr">
        <is>
          <t>Energia</t>
        </is>
      </c>
      <c r="F63" s="14" t="n">
        <v>437.23</v>
      </c>
      <c r="G63" s="15" t="inlineStr">
        <is>
          <t>USD</t>
        </is>
      </c>
      <c r="H63" s="14" t="n">
        <v>389.0472386793198</v>
      </c>
      <c r="I63" s="16" t="n">
        <v>112027.5951883533</v>
      </c>
      <c r="J63" s="16" t="n">
        <v>125902</v>
      </c>
      <c r="K63" s="14" t="n">
        <v>23.99</v>
      </c>
      <c r="L63" s="14" t="n">
        <v>49.13296</v>
      </c>
      <c r="M63" s="17">
        <f>IF(OR(F63="",K63="",K63&lt;=0),"",F63/K63)</f>
        <v/>
      </c>
      <c r="N63" s="18" t="n">
        <v>5.035932</v>
      </c>
      <c r="O63" s="19">
        <f>IF(OR(N63="",M63="",M63&lt;=0),"",N63/M63)</f>
        <v/>
      </c>
      <c r="P63" s="20" t="n">
        <v>0.27637</v>
      </c>
      <c r="Q63" s="20" t="n">
        <v>0.2591503425025153</v>
      </c>
      <c r="R63" s="20" t="n">
        <v>0.1626219038409605</v>
      </c>
      <c r="S63" s="21" t="n">
        <v>4</v>
      </c>
      <c r="T63" s="20" t="n"/>
      <c r="U63" s="20" t="n">
        <v>0.09896733403582719</v>
      </c>
      <c r="V63" s="20" t="n">
        <v>0.1130058746736292</v>
      </c>
      <c r="W63" s="20" t="n">
        <v>0.3353450239125484</v>
      </c>
      <c r="X63" s="20" t="n">
        <v>0.4892831373880565</v>
      </c>
      <c r="Y63" s="14" t="n">
        <v>4.8</v>
      </c>
      <c r="Z63" s="19">
        <f>IF(OR(Y63="",F63="",F63=0),"",Y63/F63)</f>
        <v/>
      </c>
      <c r="AA63" s="22" t="n">
        <v>40.148</v>
      </c>
      <c r="AB63" s="20" t="n">
        <v>0.517</v>
      </c>
      <c r="AC63" s="20" t="n">
        <v>0.05862886806263092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2026-10-21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Phillips 66</t>
        </is>
      </c>
      <c r="C64" s="12" t="inlineStr">
        <is>
          <t>PSX</t>
        </is>
      </c>
      <c r="D64" s="11" t="inlineStr">
        <is>
          <t>Raffinazione</t>
        </is>
      </c>
      <c r="E64" s="13" t="inlineStr">
        <is>
          <t>Energia</t>
        </is>
      </c>
      <c r="F64" s="14" t="n">
        <v>292.14</v>
      </c>
      <c r="G64" s="15" t="inlineStr">
        <is>
          <t>USD</t>
        </is>
      </c>
      <c r="H64" s="14" t="n">
        <v>259.9461617633202</v>
      </c>
      <c r="I64" s="16" t="n">
        <v>103723.9819153496</v>
      </c>
      <c r="J64" s="16" t="n">
        <v>116570</v>
      </c>
      <c r="K64" s="14" t="n">
        <v>17.5</v>
      </c>
      <c r="L64" s="14" t="n">
        <v>30.29348</v>
      </c>
      <c r="M64" s="17">
        <f>IF(OR(F64="",K64="",K64&lt;=0),"",F64/K64)</f>
        <v/>
      </c>
      <c r="N64" s="18" t="n">
        <v>3.6999419</v>
      </c>
      <c r="O64" s="19">
        <f>IF(OR(N64="",M64="",M64&lt;=0),"",N64/M64)</f>
        <v/>
      </c>
      <c r="P64" s="20" t="n">
        <v>0.23452999</v>
      </c>
      <c r="Q64" s="20" t="n">
        <v>0.2079323006455208</v>
      </c>
      <c r="R64" s="20" t="n">
        <v>0.1098238706639464</v>
      </c>
      <c r="S64" s="21" t="n">
        <v>4</v>
      </c>
      <c r="T64" s="20" t="n"/>
      <c r="U64" s="20" t="n">
        <v>0.151342247275977</v>
      </c>
      <c r="V64" s="20" t="n">
        <v>0.07724022183304145</v>
      </c>
      <c r="W64" s="20" t="n">
        <v>0.2293757970114116</v>
      </c>
      <c r="X64" s="20" t="n">
        <v>0.3737709364616532</v>
      </c>
      <c r="Y64" s="14" t="n">
        <v>5.32</v>
      </c>
      <c r="Z64" s="19">
        <f>IF(OR(Y64="",F64="",F64=0),"",Y64/F64)</f>
        <v/>
      </c>
      <c r="AA64" s="22" t="n">
        <v>62.884</v>
      </c>
      <c r="AB64" s="20" t="n">
        <v>0.531</v>
      </c>
      <c r="AC64" s="20" t="n">
        <v>0.05352178787695655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2026-10-21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American Tower</t>
        </is>
      </c>
      <c r="C65" s="12" t="inlineStr">
        <is>
          <t>AMT</t>
        </is>
      </c>
      <c r="D65" s="11" t="inlineStr">
        <is>
          <t>REIT / Torri</t>
        </is>
      </c>
      <c r="E65" s="13" t="inlineStr">
        <is>
          <t>Immobiliare</t>
        </is>
      </c>
      <c r="F65" s="14" t="n">
        <v>179.36</v>
      </c>
      <c r="G65" s="15" t="inlineStr">
        <is>
          <t>USD</t>
        </is>
      </c>
      <c r="H65" s="14" t="n">
        <v>159.5945217151678</v>
      </c>
      <c r="I65" s="16" t="n">
        <v>74364.67615151906</v>
      </c>
      <c r="J65" s="16" t="n">
        <v>83574.60000000001</v>
      </c>
      <c r="K65" s="14" t="n">
        <v>7.27</v>
      </c>
      <c r="L65" s="14" t="n">
        <v>6.9767</v>
      </c>
      <c r="M65" s="17">
        <f>IF(OR(F65="",K65="",K65&lt;=0),"",F65/K65)</f>
        <v/>
      </c>
      <c r="N65" s="18" t="n">
        <v>22.467745</v>
      </c>
      <c r="O65" s="19">
        <f>IF(OR(N65="",M65="",M65&lt;=0),"",N65/M65)</f>
        <v/>
      </c>
      <c r="P65" s="20" t="n">
        <v>0.33914003</v>
      </c>
      <c r="Q65" s="20" t="n">
        <v>0.5073666137979995</v>
      </c>
      <c r="R65" s="20" t="n">
        <v>0.172987839167374</v>
      </c>
      <c r="S65" s="21" t="n">
        <v>4</v>
      </c>
      <c r="T65" s="20" t="n"/>
      <c r="U65" s="20" t="n">
        <v>0.692539356605065</v>
      </c>
      <c r="V65" s="20" t="n">
        <v>0.6667257997752942</v>
      </c>
      <c r="W65" s="20" t="n">
        <v>0.353318088704683</v>
      </c>
      <c r="X65" s="20" t="n">
        <v>0.3168832101069557</v>
      </c>
      <c r="Y65" s="14" t="n">
        <v>7.16</v>
      </c>
      <c r="Z65" s="19">
        <f>IF(OR(Y65="",F65="",F65=0),"",Y65/F65)</f>
        <v/>
      </c>
      <c r="AA65" s="22" t="n">
        <v>438.721</v>
      </c>
      <c r="AB65" s="20" t="n">
        <v>0.047</v>
      </c>
      <c r="AC65" s="20" t="n">
        <v>0.3195047193882344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2026-10-21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954.96</v>
      </c>
      <c r="G66" s="15" t="inlineStr">
        <is>
          <t>USD</t>
        </is>
      </c>
      <c r="H66" s="14" t="n">
        <v>849.7233745378935</v>
      </c>
      <c r="I66" s="16" t="n">
        <v>107160.6563200134</v>
      </c>
      <c r="J66" s="16" t="n">
        <v>120432.3</v>
      </c>
      <c r="K66" s="14" t="n">
        <v>28.48</v>
      </c>
      <c r="L66" s="14" t="n">
        <v>39.74666</v>
      </c>
      <c r="M66" s="17">
        <f>IF(OR(F66="",K66="",K66&lt;=0),"",F66/K66)</f>
        <v/>
      </c>
      <c r="N66" s="18" t="n">
        <v>7.817481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2026-10-21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Morgan Stanley</t>
        </is>
      </c>
      <c r="C67" s="12" t="inlineStr">
        <is>
          <t>MS</t>
        </is>
      </c>
      <c r="D67" s="11" t="inlineStr">
        <is>
          <t>Banca d'investimento</t>
        </is>
      </c>
      <c r="E67" s="13" t="inlineStr">
        <is>
          <t>Finanziario</t>
        </is>
      </c>
      <c r="F67" s="14" t="n">
        <v>184.54</v>
      </c>
      <c r="G67" s="15" t="inlineStr">
        <is>
          <t>USD</t>
        </is>
      </c>
      <c r="H67" s="14" t="n">
        <v>164.2036855336589</v>
      </c>
      <c r="I67" s="16" t="n">
        <v>257892.7703841827</v>
      </c>
      <c r="J67" s="16" t="n">
        <v>289832.3</v>
      </c>
      <c r="K67" s="14" t="n">
        <v>12.61</v>
      </c>
      <c r="L67" s="14" t="n">
        <v>13.65112</v>
      </c>
      <c r="M67" s="17">
        <f>IF(OR(F67="",K67="",K67&lt;=0),"",F67/K67)</f>
        <v/>
      </c>
      <c r="N67" s="18" t="n">
        <v>2.7217886</v>
      </c>
      <c r="O67" s="19">
        <f>IF(OR(N67="",M67="",M67&lt;=0),"",N67/M67)</f>
        <v/>
      </c>
      <c r="P67" s="20" t="n">
        <v>0.1863907554150638</v>
      </c>
      <c r="Q67" s="20" t="n">
        <v>0.1202621939362582</v>
      </c>
      <c r="R67" s="20" t="n">
        <v>0.02193423207360017</v>
      </c>
      <c r="S67" s="21" t="n">
        <v>4</v>
      </c>
      <c r="T67" s="20" t="n"/>
      <c r="U67" s="20" t="n">
        <v>0.1510409201662606</v>
      </c>
      <c r="V67" s="20" t="n">
        <v>0.1281204849250318</v>
      </c>
      <c r="W67" s="20" t="n">
        <v>0.09175266059492317</v>
      </c>
      <c r="X67" s="20" t="n">
        <v>0.1101347100588171</v>
      </c>
      <c r="Y67" s="14" t="n">
        <v>4.6</v>
      </c>
      <c r="Z67" s="19">
        <f>IF(OR(Y67="",F67="",F67=0),"",Y67/F67)</f>
        <v/>
      </c>
      <c r="AA67" s="22" t="n">
        <v>517.282</v>
      </c>
      <c r="AB67" s="20" t="n">
        <v>0.108</v>
      </c>
      <c r="AC67" s="20" t="n">
        <v>0.300882264924355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2026-10-21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Boeing</t>
        </is>
      </c>
      <c r="C68" s="12" t="inlineStr">
        <is>
          <t>BA</t>
        </is>
      </c>
      <c r="D68" s="11" t="inlineStr">
        <is>
          <t>Aerospazio</t>
        </is>
      </c>
      <c r="E68" s="13" t="inlineStr">
        <is>
          <t>Industriale</t>
        </is>
      </c>
      <c r="F68" s="14" t="n">
        <v>192.45</v>
      </c>
      <c r="G68" s="15" t="inlineStr">
        <is>
          <t>USD</t>
        </is>
      </c>
      <c r="H68" s="14" t="n">
        <v>171.2420032564899</v>
      </c>
      <c r="I68" s="16" t="n">
        <v>135245.6795540251</v>
      </c>
      <c r="J68" s="16" t="n">
        <v>151995.6</v>
      </c>
      <c r="K68" s="14" t="n">
        <v>2.8</v>
      </c>
      <c r="L68" s="14" t="n">
        <v>3.75734</v>
      </c>
      <c r="M68" s="17">
        <f>IF(OR(F68="",K68="",K68&lt;=0),"",F68/K68)</f>
        <v/>
      </c>
      <c r="N68" s="18" t="n">
        <v>24.941679</v>
      </c>
      <c r="O68" s="19">
        <f>IF(OR(N68="",M68="",M68&lt;=0),"",N68/M68)</f>
        <v/>
      </c>
      <c r="P68" s="20" t="n">
        <v>1.73537</v>
      </c>
      <c r="Q68" s="20" t="n">
        <v>0.4097909790979098</v>
      </c>
      <c r="R68" s="20" t="n"/>
      <c r="S68" s="21" t="n">
        <v>1</v>
      </c>
      <c r="T68" s="20" t="n"/>
      <c r="U68" s="20" t="n">
        <v>0.4097909790979098</v>
      </c>
      <c r="V68" s="20" t="n"/>
      <c r="W68" s="20" t="n"/>
      <c r="X68" s="20" t="n"/>
      <c r="Y68" s="14" t="n"/>
      <c r="Z68" s="19">
        <f>IF(OR(Y68="",F68="",F68=0),"",Y68/F68)</f>
        <v/>
      </c>
      <c r="AA68" s="22" t="n">
        <v>790.875</v>
      </c>
      <c r="AB68" s="20" t="n">
        <v>0.08</v>
      </c>
      <c r="AC68" s="20" t="n">
        <v>0.02335043466013883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2026-10-21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Wells Fargo</t>
        </is>
      </c>
      <c r="C69" s="12" t="inlineStr">
        <is>
          <t>WFC</t>
        </is>
      </c>
      <c r="D69" s="11" t="inlineStr">
        <is>
          <t>Banca</t>
        </is>
      </c>
      <c r="E69" s="13" t="inlineStr">
        <is>
          <t>Finanziario</t>
        </is>
      </c>
      <c r="F69" s="14" t="n">
        <v>82.34999999999999</v>
      </c>
      <c r="G69" s="15" t="inlineStr">
        <is>
          <t>USD</t>
        </is>
      </c>
      <c r="H69" s="14" t="n">
        <v>73.27502711442943</v>
      </c>
      <c r="I69" s="16" t="n">
        <v>219945.2043385578</v>
      </c>
      <c r="J69" s="16" t="n">
        <v>247185</v>
      </c>
      <c r="K69" s="14" t="n">
        <v>6.88</v>
      </c>
      <c r="L69" s="14" t="n">
        <v>8.029909999999999</v>
      </c>
      <c r="M69" s="17">
        <f>IF(OR(F69="",K69="",K69&lt;=0),"",F69/K69)</f>
        <v/>
      </c>
      <c r="N69" s="18" t="n">
        <v>1.5129523</v>
      </c>
      <c r="O69" s="19">
        <f>IF(OR(N69="",M69="",M69&lt;=0),"",N69/M69)</f>
        <v/>
      </c>
      <c r="P69" s="20" t="n">
        <v>0.1291</v>
      </c>
      <c r="Q69" s="20" t="n">
        <v>0.1017166869476873</v>
      </c>
      <c r="R69" s="20" t="n">
        <v>0.01579883207450957</v>
      </c>
      <c r="S69" s="21" t="n">
        <v>4</v>
      </c>
      <c r="T69" s="20" t="n"/>
      <c r="U69" s="20" t="n">
        <v>0.1178133471733741</v>
      </c>
      <c r="V69" s="20" t="n">
        <v>0.1101049575703439</v>
      </c>
      <c r="W69" s="20" t="n">
        <v>0.1030608124478424</v>
      </c>
      <c r="X69" s="20" t="n">
        <v>0.07588763059918881</v>
      </c>
      <c r="Y69" s="14" t="n">
        <v>2</v>
      </c>
      <c r="Z69" s="19">
        <f>IF(OR(Y69="",F69="",F69=0),"",Y69/F69)</f>
        <v/>
      </c>
      <c r="AA69" s="22" t="n"/>
      <c r="AB69" s="20" t="n">
        <v>0.004</v>
      </c>
      <c r="AC69" s="20" t="n">
        <v>0.2625718340243013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2026-10-21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Citigroup</t>
        </is>
      </c>
      <c r="C70" s="12" t="inlineStr">
        <is>
          <t>C</t>
        </is>
      </c>
      <c r="D70" s="11" t="inlineStr">
        <is>
          <t>Banca</t>
        </is>
      </c>
      <c r="E70" s="13" t="inlineStr">
        <is>
          <t>Finanziario</t>
        </is>
      </c>
      <c r="F70" s="14" t="n">
        <v>123.65</v>
      </c>
      <c r="G70" s="15" t="inlineStr">
        <is>
          <t>USD</t>
        </is>
      </c>
      <c r="H70" s="14" t="n">
        <v>110.0237656672641</v>
      </c>
      <c r="I70" s="16" t="n">
        <v>184557.948712108</v>
      </c>
      <c r="J70" s="16" t="n">
        <v>207415.1</v>
      </c>
      <c r="K70" s="14" t="n">
        <v>10.26</v>
      </c>
      <c r="L70" s="14" t="n">
        <v>13.05007</v>
      </c>
      <c r="M70" s="17">
        <f>IF(OR(F70="",K70="",K70&lt;=0),"",F70/K70)</f>
        <v/>
      </c>
      <c r="N70" s="18" t="n">
        <v>1.0695349</v>
      </c>
      <c r="O70" s="19">
        <f>IF(OR(N70="",M70="",M70&lt;=0),"",N70/M70)</f>
        <v/>
      </c>
      <c r="P70" s="20" t="n">
        <v>0.09353</v>
      </c>
      <c r="Q70" s="20" t="n">
        <v>0.06172167956388333</v>
      </c>
      <c r="R70" s="20" t="n">
        <v>0.01073520173144264</v>
      </c>
      <c r="S70" s="21" t="n">
        <v>4</v>
      </c>
      <c r="T70" s="20" t="n"/>
      <c r="U70" s="20" t="n">
        <v>0.06738863164241536</v>
      </c>
      <c r="V70" s="20" t="n">
        <v>0.06079636429879481</v>
      </c>
      <c r="W70" s="20" t="n">
        <v>0.04491538210685656</v>
      </c>
      <c r="X70" s="20" t="n">
        <v>0.07378634020746661</v>
      </c>
      <c r="Y70" s="14" t="n">
        <v>2.68</v>
      </c>
      <c r="Z70" s="19">
        <f>IF(OR(Y70="",F70="",F70=0),"",Y70/F70)</f>
        <v/>
      </c>
      <c r="AA70" s="22" t="n"/>
      <c r="AB70" s="20" t="n">
        <v>0.08</v>
      </c>
      <c r="AC70" s="20" t="n">
        <v>0.2096041586142959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2026-10-21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ConocoPhillips</t>
        </is>
      </c>
      <c r="C71" s="12" t="inlineStr">
        <is>
          <t>COP</t>
        </is>
      </c>
      <c r="D71" s="11" t="inlineStr">
        <is>
          <t>Esplorazione e produzione</t>
        </is>
      </c>
      <c r="E71" s="13" t="inlineStr">
        <is>
          <t>Energia</t>
        </is>
      </c>
      <c r="F71" s="14" t="n">
        <v>145.65</v>
      </c>
      <c r="G71" s="15" t="inlineStr">
        <is>
          <t>USD</t>
        </is>
      </c>
      <c r="H71" s="14" t="n">
        <v>129.599364896377</v>
      </c>
      <c r="I71" s="16" t="n">
        <v>155692.5709088265</v>
      </c>
      <c r="J71" s="16" t="n">
        <v>174974.8</v>
      </c>
      <c r="K71" s="14" t="n">
        <v>7.55</v>
      </c>
      <c r="L71" s="14" t="n">
        <v>10.68245</v>
      </c>
      <c r="M71" s="17">
        <f>IF(OR(F71="",K71="",K71&lt;=0),"",F71/K71)</f>
        <v/>
      </c>
      <c r="N71" s="18" t="n">
        <v>2.6775372</v>
      </c>
      <c r="O71" s="19">
        <f>IF(OR(N71="",M71="",M71&lt;=0),"",N71/M71)</f>
        <v/>
      </c>
      <c r="P71" s="20" t="n">
        <v>0.1418</v>
      </c>
      <c r="Q71" s="20" t="n">
        <v>0.2195092664055975</v>
      </c>
      <c r="R71" s="20" t="n">
        <v>0.1046819831646029</v>
      </c>
      <c r="S71" s="21" t="n">
        <v>4</v>
      </c>
      <c r="T71" s="20" t="n"/>
      <c r="U71" s="20" t="n">
        <v>0.1238699272721634</v>
      </c>
      <c r="V71" s="20" t="n">
        <v>0.1426785604049633</v>
      </c>
      <c r="W71" s="20" t="n">
        <v>0.222346232675176</v>
      </c>
      <c r="X71" s="20" t="n">
        <v>0.3891423452700873</v>
      </c>
      <c r="Y71" s="14" t="n">
        <v>3.36</v>
      </c>
      <c r="Z71" s="19">
        <f>IF(OR(Y71="",F71="",F71=0),"",Y71/F71)</f>
        <v/>
      </c>
      <c r="AA71" s="22" t="n">
        <v>35.639</v>
      </c>
      <c r="AB71" s="20" t="n">
        <v>0.355</v>
      </c>
      <c r="AC71" s="20" t="n">
        <v>0.1569795092290988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2026-10-21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Qualcomm</t>
        </is>
      </c>
      <c r="C72" s="12" t="inlineStr">
        <is>
          <t>QCOM</t>
        </is>
      </c>
      <c r="D72" s="11" t="inlineStr">
        <is>
          <t>Semiconduttori</t>
        </is>
      </c>
      <c r="E72" s="13" t="inlineStr">
        <is>
          <t>Tecnologia</t>
        </is>
      </c>
      <c r="F72" s="14" t="n">
        <v>176.51</v>
      </c>
      <c r="G72" s="15" t="inlineStr">
        <is>
          <t>USD</t>
        </is>
      </c>
      <c r="H72" s="14" t="n">
        <v>157.0585918150327</v>
      </c>
      <c r="I72" s="16" t="n">
        <v>167713.3235354493</v>
      </c>
      <c r="J72" s="16" t="n">
        <v>188484.3</v>
      </c>
      <c r="K72" s="14" t="n">
        <v>8.640000000000001</v>
      </c>
      <c r="L72" s="14" t="n">
        <v>10.19254</v>
      </c>
      <c r="M72" s="17">
        <f>IF(OR(F72="",K72="",K72&lt;=0),"",F72/K72)</f>
        <v/>
      </c>
      <c r="N72" s="18" t="n">
        <v>6.745519</v>
      </c>
      <c r="O72" s="19">
        <f>IF(OR(N72="",M72="",M72&lt;=0),"",N72/M72)</f>
        <v/>
      </c>
      <c r="P72" s="20" t="n">
        <v>0.33754003</v>
      </c>
      <c r="Q72" s="20" t="n">
        <v>0.4251401367558992</v>
      </c>
      <c r="R72" s="20" t="n">
        <v>0.1748827626991776</v>
      </c>
      <c r="S72" s="21" t="n">
        <v>4</v>
      </c>
      <c r="T72" s="20" t="n"/>
      <c r="U72" s="20" t="n">
        <v>0.2612939734037537</v>
      </c>
      <c r="V72" s="20" t="n">
        <v>0.386008982263835</v>
      </c>
      <c r="W72" s="20" t="n">
        <v>0.3351095871368333</v>
      </c>
      <c r="X72" s="20" t="n">
        <v>0.718148004219175</v>
      </c>
      <c r="Y72" s="14" t="n">
        <v>3.68</v>
      </c>
      <c r="Z72" s="19">
        <f>IF(OR(Y72="",F72="",F72=0),"",Y72/F72)</f>
        <v/>
      </c>
      <c r="AA72" s="22" t="n">
        <v>55.21</v>
      </c>
      <c r="AB72" s="20" t="n">
        <v>-0.04</v>
      </c>
      <c r="AC72" s="20" t="n">
        <v>0.2091048743564267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2026-10-21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Eaton</t>
        </is>
      </c>
      <c r="C73" s="12" t="inlineStr">
        <is>
          <t>ETN</t>
        </is>
      </c>
      <c r="D73" s="11" t="inlineStr">
        <is>
          <t>Elettrificazione</t>
        </is>
      </c>
      <c r="E73" s="13" t="inlineStr">
        <is>
          <t>Industriale</t>
        </is>
      </c>
      <c r="F73" s="14" t="n">
        <v>394.98</v>
      </c>
      <c r="G73" s="15" t="inlineStr">
        <is>
          <t>USD</t>
        </is>
      </c>
      <c r="H73" s="14" t="n">
        <v>351.4531901597734</v>
      </c>
      <c r="I73" s="16" t="n">
        <v>136469.2434858412</v>
      </c>
      <c r="J73" s="16" t="n">
        <v>153370.7</v>
      </c>
      <c r="K73" s="14" t="n">
        <v>9.83</v>
      </c>
      <c r="L73" s="14" t="n">
        <v>16.29552</v>
      </c>
      <c r="M73" s="17">
        <f>IF(OR(F73="",K73="",K73&lt;=0),"",F73/K73)</f>
        <v/>
      </c>
      <c r="N73" s="18" t="n">
        <v>7.5743575</v>
      </c>
      <c r="O73" s="19">
        <f>IF(OR(N73="",M73="",M73&lt;=0),"",N73/M73)</f>
        <v/>
      </c>
      <c r="P73" s="20" t="n">
        <v>0.19684</v>
      </c>
      <c r="Q73" s="20" t="n">
        <v>0.182290452743209</v>
      </c>
      <c r="R73" s="20" t="n">
        <v>0.02701399831554398</v>
      </c>
      <c r="S73" s="21" t="n">
        <v>4</v>
      </c>
      <c r="T73" s="20" t="n"/>
      <c r="U73" s="20" t="n">
        <v>0.2103989703989704</v>
      </c>
      <c r="V73" s="20" t="n">
        <v>0.2052141929900476</v>
      </c>
      <c r="W73" s="20" t="n">
        <v>0.1690481193528052</v>
      </c>
      <c r="X73" s="20" t="n">
        <v>0.144500528231013</v>
      </c>
      <c r="Y73" s="14" t="n">
        <v>4.4</v>
      </c>
      <c r="Z73" s="19">
        <f>IF(OR(Y73="",F73="",F73=0),"",Y73/F73)</f>
        <v/>
      </c>
      <c r="AA73" s="22" t="n">
        <v>105.059</v>
      </c>
      <c r="AB73" s="20" t="n">
        <v>0.214</v>
      </c>
      <c r="AC73" s="20" t="n">
        <v>0.1395001433984261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2026-10-21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43.1599</v>
      </c>
      <c r="G74" s="15" t="inlineStr">
        <is>
          <t>USD</t>
        </is>
      </c>
      <c r="H74" s="14" t="n">
        <v>38.40367750766318</v>
      </c>
      <c r="I74" s="16" t="n">
        <v>39565.57830190752</v>
      </c>
      <c r="J74" s="16" t="n">
        <v>44465.7</v>
      </c>
      <c r="K74" s="14" t="n">
        <v>2.72</v>
      </c>
      <c r="L74" s="14" t="n">
        <v>3.03659</v>
      </c>
      <c r="M74" s="17">
        <f>IF(OR(F74="",K74="",K74&lt;=0),"",F74/K74)</f>
        <v/>
      </c>
      <c r="N74" s="18" t="n">
        <v>1.5001704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2026-10-21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NextEra Energy</t>
        </is>
      </c>
      <c r="C75" s="12" t="inlineStr">
        <is>
          <t>NEE</t>
        </is>
      </c>
      <c r="D75" s="11" t="inlineStr">
        <is>
          <t>Utility / Rinnovabili</t>
        </is>
      </c>
      <c r="E75" s="13" t="inlineStr">
        <is>
          <t>Utility</t>
        </is>
      </c>
      <c r="F75" s="14" t="n">
        <v>78.545</v>
      </c>
      <c r="G75" s="15" t="inlineStr">
        <is>
          <t>USD</t>
        </is>
      </c>
      <c r="H75" s="14" t="n">
        <v>69.88933824775786</v>
      </c>
      <c r="I75" s="16" t="n">
        <v>145761.6024799081</v>
      </c>
      <c r="J75" s="16" t="n">
        <v>163813.9</v>
      </c>
      <c r="K75" s="14" t="n">
        <v>4.45</v>
      </c>
      <c r="L75" s="14" t="n">
        <v>4.37661</v>
      </c>
      <c r="M75" s="17">
        <f>IF(OR(F75="",K75="",K75&lt;=0),"",F75/K75)</f>
        <v/>
      </c>
      <c r="N75" s="18" t="n">
        <v>2.8678617</v>
      </c>
      <c r="O75" s="19">
        <f>IF(OR(N75="",M75="",M75&lt;=0),"",N75/M75)</f>
        <v/>
      </c>
      <c r="P75" s="20" t="n">
        <v>0.11677</v>
      </c>
      <c r="Q75" s="20" t="n">
        <v>0.1308789630201321</v>
      </c>
      <c r="R75" s="20" t="n">
        <v>0.01775346387851813</v>
      </c>
      <c r="S75" s="21" t="n">
        <v>4</v>
      </c>
      <c r="T75" s="20" t="n"/>
      <c r="U75" s="20" t="n">
        <v>0.1251648110167008</v>
      </c>
      <c r="V75" s="20" t="n">
        <v>0.138639947306441</v>
      </c>
      <c r="W75" s="20" t="n">
        <v>0.1539984831886745</v>
      </c>
      <c r="X75" s="20" t="n">
        <v>0.1057126105687119</v>
      </c>
      <c r="Y75" s="14" t="n">
        <v>2.49</v>
      </c>
      <c r="Z75" s="19">
        <f>IF(OR(Y75="",F75="",F75=0),"",Y75/F75)</f>
        <v/>
      </c>
      <c r="AA75" s="22" t="n">
        <v>161.676</v>
      </c>
      <c r="AB75" s="20" t="n">
        <v>0.124</v>
      </c>
      <c r="AC75" s="20" t="n">
        <v>0.3392310053990953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2026-10-21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Deere &amp; Company</t>
        </is>
      </c>
      <c r="C76" s="12" t="inlineStr">
        <is>
          <t>DE</t>
        </is>
      </c>
      <c r="D76" s="11" t="inlineStr">
        <is>
          <t>Macchine agricole</t>
        </is>
      </c>
      <c r="E76" s="13" t="inlineStr">
        <is>
          <t>Industriale</t>
        </is>
      </c>
      <c r="F76" s="14" t="n">
        <v>631.6900000000001</v>
      </c>
      <c r="G76" s="15" t="inlineStr">
        <is>
          <t>USD</t>
        </is>
      </c>
      <c r="H76" s="14" t="n">
        <v>562.0777398653787</v>
      </c>
      <c r="I76" s="16" t="n">
        <v>151550.4630919428</v>
      </c>
      <c r="J76" s="16" t="n">
        <v>170319.7</v>
      </c>
      <c r="K76" s="14" t="n">
        <v>17.99</v>
      </c>
      <c r="L76" s="14" t="n">
        <v>22.77321</v>
      </c>
      <c r="M76" s="17">
        <f>IF(OR(F76="",K76="",K76&lt;=0),"",F76/K76)</f>
        <v/>
      </c>
      <c r="N76" s="18" t="n">
        <v>6.085001</v>
      </c>
      <c r="O76" s="19">
        <f>IF(OR(N76="",M76="",M76&lt;=0),"",N76/M76)</f>
        <v/>
      </c>
      <c r="P76" s="20" t="n">
        <v>0.18242</v>
      </c>
      <c r="Q76" s="20" t="n">
        <v>0.3308055602273648</v>
      </c>
      <c r="R76" s="20" t="n">
        <v>0.09758236298151571</v>
      </c>
      <c r="S76" s="21" t="n">
        <v>4</v>
      </c>
      <c r="T76" s="20" t="n"/>
      <c r="U76" s="20" t="n">
        <v>0.193718689788054</v>
      </c>
      <c r="V76" s="20" t="n">
        <v>0.3109125941495884</v>
      </c>
      <c r="W76" s="20" t="n">
        <v>0.4666513656185449</v>
      </c>
      <c r="X76" s="20" t="n">
        <v>0.3519395913532721</v>
      </c>
      <c r="Y76" s="14" t="n">
        <v>6.48</v>
      </c>
      <c r="Z76" s="19">
        <f>IF(OR(Y76="",F76="",F76=0),"",Y76/F76)</f>
        <v/>
      </c>
      <c r="AA76" s="22" t="n">
        <v>230.298</v>
      </c>
      <c r="AB76" s="20" t="n">
        <v>0.049</v>
      </c>
      <c r="AC76" s="20" t="n">
        <v>0.1091010844285235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2026-10-21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Intuit</t>
        </is>
      </c>
      <c r="C77" s="12" t="inlineStr">
        <is>
          <t>INTU</t>
        </is>
      </c>
      <c r="D77" s="11" t="inlineStr">
        <is>
          <t>Software</t>
        </is>
      </c>
      <c r="E77" s="13" t="inlineStr">
        <is>
          <t>Tecnologia</t>
        </is>
      </c>
      <c r="F77" s="14" t="n">
        <v>333.77</v>
      </c>
      <c r="G77" s="15" t="inlineStr">
        <is>
          <t>USD</t>
        </is>
      </c>
      <c r="H77" s="14" t="n">
        <v>296.9885343045915</v>
      </c>
      <c r="I77" s="16" t="n">
        <v>79366.0637945644</v>
      </c>
      <c r="J77" s="16" t="n">
        <v>89195.39999999999</v>
      </c>
      <c r="K77" s="14" t="n">
        <v>16.46</v>
      </c>
      <c r="L77" s="14" t="n">
        <v>26.94382</v>
      </c>
      <c r="M77" s="17">
        <f>IF(OR(F77="",K77="",K77&lt;=0),"",F77/K77)</f>
        <v/>
      </c>
      <c r="N77" s="18" t="n">
        <v>4.716664</v>
      </c>
      <c r="O77" s="19">
        <f>IF(OR(N77="",M77="",M77&lt;=0),"",N77/M77)</f>
        <v/>
      </c>
      <c r="P77" s="20" t="n">
        <v>0.23596</v>
      </c>
      <c r="Q77" s="20" t="n">
        <v>0.183870579164923</v>
      </c>
      <c r="R77" s="20" t="n">
        <v>0.03868908414297412</v>
      </c>
      <c r="S77" s="21" t="n">
        <v>4</v>
      </c>
      <c r="T77" s="20" t="n">
        <v>0.2404170176916597</v>
      </c>
      <c r="U77" s="20" t="n">
        <v>0.1962962962962963</v>
      </c>
      <c r="V77" s="20" t="n">
        <v>0.1607181601215014</v>
      </c>
      <c r="W77" s="20" t="n">
        <v>0.1380508425502345</v>
      </c>
      <c r="X77" s="20" t="n">
        <v>0.125661456115808</v>
      </c>
      <c r="Y77" s="14" t="n">
        <v>5.52</v>
      </c>
      <c r="Z77" s="19">
        <f>IF(OR(Y77="",F77="",F77=0),"",Y77/F77)</f>
        <v/>
      </c>
      <c r="AA77" s="22" t="n">
        <v>44.34</v>
      </c>
      <c r="AB77" s="20" t="n">
        <v>0.137</v>
      </c>
      <c r="AC77" s="20" t="n">
        <v>0.2128869884371503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2026-10-21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Williams Companies</t>
        </is>
      </c>
      <c r="C78" s="12" t="inlineStr">
        <is>
          <t>WMB</t>
        </is>
      </c>
      <c r="D78" s="11" t="inlineStr">
        <is>
          <t>Gasdotti</t>
        </is>
      </c>
      <c r="E78" s="13" t="inlineStr">
        <is>
          <t>Energia</t>
        </is>
      </c>
      <c r="F78" s="14" t="n">
        <v>72.655</v>
      </c>
      <c r="G78" s="15" t="inlineStr">
        <is>
          <t>USD</t>
        </is>
      </c>
      <c r="H78" s="14" t="n">
        <v>64.64841645414536</v>
      </c>
      <c r="I78" s="16" t="n">
        <v>79075.81104599456</v>
      </c>
      <c r="J78" s="16" t="n">
        <v>88869.2</v>
      </c>
      <c r="K78" s="14" t="n">
        <v>2.51</v>
      </c>
      <c r="L78" s="14" t="n">
        <v>2.64886</v>
      </c>
      <c r="M78" s="17">
        <f>IF(OR(F78="",K78="",K78&lt;=0),"",F78/K78)</f>
        <v/>
      </c>
      <c r="N78" s="18" t="n">
        <v>6.7548347</v>
      </c>
      <c r="O78" s="19">
        <f>IF(OR(N78="",M78="",M78&lt;=0),"",N78/M78)</f>
        <v/>
      </c>
      <c r="P78" s="20" t="n">
        <v>0.21503</v>
      </c>
      <c r="Q78" s="20" t="n">
        <v>0.2045179374667133</v>
      </c>
      <c r="R78" s="20" t="n">
        <v>0.03170850933970622</v>
      </c>
      <c r="S78" s="21" t="n">
        <v>4</v>
      </c>
      <c r="T78" s="20" t="n"/>
      <c r="U78" s="20" t="n">
        <v>0.2044194581088467</v>
      </c>
      <c r="V78" s="20" t="n">
        <v>0.1789160501769058</v>
      </c>
      <c r="W78" s="20" t="n">
        <v>0.2563296242541526</v>
      </c>
      <c r="X78" s="20" t="n">
        <v>0.1784066173269482</v>
      </c>
      <c r="Y78" s="14" t="n">
        <v>2.1</v>
      </c>
      <c r="Z78" s="19">
        <f>IF(OR(Y78="",F78="",F78=0),"",Y78/F78)</f>
        <v/>
      </c>
      <c r="AA78" s="22" t="n">
        <v>200.371</v>
      </c>
      <c r="AB78" s="20" t="n">
        <v>0.078</v>
      </c>
      <c r="AC78" s="20" t="n">
        <v>0.2569037764016737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2026-10-21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Regeneron</t>
        </is>
      </c>
      <c r="C79" s="12" t="inlineStr">
        <is>
          <t>REGN</t>
        </is>
      </c>
      <c r="D79" s="11" t="inlineStr">
        <is>
          <t>Biotecnologie</t>
        </is>
      </c>
      <c r="E79" s="13" t="inlineStr">
        <is>
          <t>Salute</t>
        </is>
      </c>
      <c r="F79" s="14" t="n">
        <v>805.26</v>
      </c>
      <c r="G79" s="15" t="inlineStr">
        <is>
          <t>USD</t>
        </is>
      </c>
      <c r="H79" s="14" t="n">
        <v>716.5203197834298</v>
      </c>
      <c r="I79" s="16" t="n">
        <v>73769.31099496453</v>
      </c>
      <c r="J79" s="16" t="n">
        <v>82905.5</v>
      </c>
      <c r="K79" s="14" t="n">
        <v>40.44</v>
      </c>
      <c r="L79" s="14" t="n">
        <v>62.01326</v>
      </c>
      <c r="M79" s="17">
        <f>IF(OR(F79="",K79="",K79&lt;=0),"",F79/K79)</f>
        <v/>
      </c>
      <c r="N79" s="18" t="n">
        <v>2.5473964</v>
      </c>
      <c r="O79" s="19">
        <f>IF(OR(N79="",M79="",M79&lt;=0),"",N79/M79)</f>
        <v/>
      </c>
      <c r="P79" s="20" t="n">
        <v>0.14043</v>
      </c>
      <c r="Q79" s="20" t="n">
        <v>0.1595230520456649</v>
      </c>
      <c r="R79" s="20" t="n">
        <v>0.01865889297829353</v>
      </c>
      <c r="S79" s="21" t="n">
        <v>4</v>
      </c>
      <c r="T79" s="20" t="n"/>
      <c r="U79" s="20" t="n">
        <v>0.1441249772050331</v>
      </c>
      <c r="V79" s="20" t="n">
        <v>0.1503256840728224</v>
      </c>
      <c r="W79" s="20" t="n">
        <v>0.1522190266082986</v>
      </c>
      <c r="X79" s="20" t="n">
        <v>0.1914225202965055</v>
      </c>
      <c r="Y79" s="14" t="n">
        <v>3.76</v>
      </c>
      <c r="Z79" s="19">
        <f>IF(OR(Y79="",F79="",F79=0),"",Y79/F79)</f>
        <v/>
      </c>
      <c r="AA79" s="22" t="n">
        <v>8.535</v>
      </c>
      <c r="AB79" s="20" t="n">
        <v>0.167</v>
      </c>
      <c r="AC79" s="20" t="n">
        <v>0.301800884339987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2026-10-21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Norfolk Southern</t>
        </is>
      </c>
      <c r="C80" s="12" t="inlineStr">
        <is>
          <t>NSC</t>
        </is>
      </c>
      <c r="D80" s="11" t="inlineStr">
        <is>
          <t>Ferrovie</t>
        </is>
      </c>
      <c r="E80" s="13" t="inlineStr">
        <is>
          <t>Industriale</t>
        </is>
      </c>
      <c r="F80" s="14" t="n">
        <v>325.33</v>
      </c>
      <c r="G80" s="15" t="inlineStr">
        <is>
          <t>USD</t>
        </is>
      </c>
      <c r="H80" s="14" t="n">
        <v>289.4786226003318</v>
      </c>
      <c r="I80" s="16" t="n">
        <v>65019.28507954055</v>
      </c>
      <c r="J80" s="16" t="n">
        <v>73071.8</v>
      </c>
      <c r="K80" s="14" t="n">
        <v>11.72</v>
      </c>
      <c r="L80" s="14" t="n">
        <v>14.31276</v>
      </c>
      <c r="M80" s="17">
        <f>IF(OR(F80="",K80="",K80&lt;=0),"",F80/K80)</f>
        <v/>
      </c>
      <c r="N80" s="18" t="n">
        <v>4.4958677</v>
      </c>
      <c r="O80" s="19">
        <f>IF(OR(N80="",M80="",M80&lt;=0),"",N80/M80)</f>
        <v/>
      </c>
      <c r="P80" s="20" t="n">
        <v>0.16985</v>
      </c>
      <c r="Q80" s="20" t="n">
        <v>0.1919584509394721</v>
      </c>
      <c r="R80" s="20" t="n">
        <v>0.04103328172323672</v>
      </c>
      <c r="S80" s="21" t="n">
        <v>4</v>
      </c>
      <c r="T80" s="20" t="n"/>
      <c r="U80" s="20" t="n">
        <v>0.1847944941146202</v>
      </c>
      <c r="V80" s="20" t="n">
        <v>0.1832797427652733</v>
      </c>
      <c r="W80" s="20" t="n">
        <v>0.1429465613019326</v>
      </c>
      <c r="X80" s="20" t="n">
        <v>0.2568130055760622</v>
      </c>
      <c r="Y80" s="14" t="n">
        <v>5.4</v>
      </c>
      <c r="Z80" s="19">
        <f>IF(OR(Y80="",F80="",F80=0),"",Y80/F80)</f>
        <v/>
      </c>
      <c r="AA80" s="22" t="n">
        <v>105.519</v>
      </c>
      <c r="AB80" s="20" t="n">
        <v>0.114</v>
      </c>
      <c r="AC80" s="20" t="n">
        <v>0.2161740505747126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2026-10-21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Ecolab</t>
        </is>
      </c>
      <c r="C81" s="12" t="inlineStr">
        <is>
          <t>ECL</t>
        </is>
      </c>
      <c r="D81" s="11" t="inlineStr">
        <is>
          <t>Chimica specialistica</t>
        </is>
      </c>
      <c r="E81" s="13" t="inlineStr">
        <is>
          <t>Materiali</t>
        </is>
      </c>
      <c r="F81" s="14" t="n">
        <v>289.03</v>
      </c>
      <c r="G81" s="15" t="inlineStr">
        <is>
          <t>USD</t>
        </is>
      </c>
      <c r="H81" s="14" t="n">
        <v>257.1788838722956</v>
      </c>
      <c r="I81" s="16" t="n">
        <v>72094.61848091392</v>
      </c>
      <c r="J81" s="16" t="n">
        <v>81023.39999999999</v>
      </c>
      <c r="K81" s="14" t="n">
        <v>7.45</v>
      </c>
      <c r="L81" s="14" t="n">
        <v>9.4063</v>
      </c>
      <c r="M81" s="17">
        <f>IF(OR(F81="",K81="",K81&lt;=0),"",F81/K81)</f>
        <v/>
      </c>
      <c r="N81" s="18" t="n">
        <v>8.057708999999999</v>
      </c>
      <c r="O81" s="19">
        <f>IF(OR(N81="",M81="",M81&lt;=0),"",N81/M81)</f>
        <v/>
      </c>
      <c r="P81" s="20" t="n">
        <v>0.21956</v>
      </c>
      <c r="Q81" s="20" t="n">
        <v>0.1937744228136611</v>
      </c>
      <c r="R81" s="20" t="n">
        <v>0.03527525358757358</v>
      </c>
      <c r="S81" s="21" t="n">
        <v>4</v>
      </c>
      <c r="T81" s="20" t="n"/>
      <c r="U81" s="20" t="n">
        <v>0.2124288696933721</v>
      </c>
      <c r="V81" s="20" t="n">
        <v>0.2412158998778162</v>
      </c>
      <c r="W81" s="20" t="n">
        <v>0.1705843598891195</v>
      </c>
      <c r="X81" s="20" t="n">
        <v>0.1508685617943367</v>
      </c>
      <c r="Y81" s="14" t="n">
        <v>2.92</v>
      </c>
      <c r="Z81" s="19">
        <f>IF(OR(Y81="",F81="",F81=0),"",Y81/F81)</f>
        <v/>
      </c>
      <c r="AA81" s="22" t="n">
        <v>138.023</v>
      </c>
      <c r="AB81" s="20" t="n">
        <v>0.097</v>
      </c>
      <c r="AC81" s="20" t="n">
        <v>0.1316070939979604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2026-10-21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Cummins</t>
        </is>
      </c>
      <c r="C82" s="12" t="inlineStr">
        <is>
          <t>CMI</t>
        </is>
      </c>
      <c r="D82" s="11" t="inlineStr">
        <is>
          <t>Motori</t>
        </is>
      </c>
      <c r="E82" s="13" t="inlineStr">
        <is>
          <t>Industriale</t>
        </is>
      </c>
      <c r="F82" s="14" t="n">
        <v>548.17</v>
      </c>
      <c r="G82" s="15" t="inlineStr">
        <is>
          <t>USD</t>
        </is>
      </c>
      <c r="H82" s="14" t="n">
        <v>487.7616467919463</v>
      </c>
      <c r="I82" s="16" t="n">
        <v>67305.80404949744</v>
      </c>
      <c r="J82" s="16" t="n">
        <v>75641.5</v>
      </c>
      <c r="K82" s="14" t="n">
        <v>19.57</v>
      </c>
      <c r="L82" s="14" t="n">
        <v>34.80721</v>
      </c>
      <c r="M82" s="17">
        <f>IF(OR(F82="",K82="",K82&lt;=0),"",F82/K82)</f>
        <v/>
      </c>
      <c r="N82" s="18" t="n">
        <v>5.8740263</v>
      </c>
      <c r="O82" s="19">
        <f>IF(OR(N82="",M82="",M82&lt;=0),"",N82/M82)</f>
        <v/>
      </c>
      <c r="P82" s="20" t="n">
        <v>0.21114</v>
      </c>
      <c r="Q82" s="20" t="n">
        <v>0.2342815370053821</v>
      </c>
      <c r="R82" s="20" t="n">
        <v>0.106522642649389</v>
      </c>
      <c r="S82" s="21" t="n">
        <v>4</v>
      </c>
      <c r="T82" s="20" t="n"/>
      <c r="U82" s="20" t="n">
        <v>0.2302210705320269</v>
      </c>
      <c r="V82" s="20" t="n">
        <v>0.3841884918703145</v>
      </c>
      <c r="W82" s="20" t="n">
        <v>0.08305084745762711</v>
      </c>
      <c r="X82" s="20" t="n">
        <v>0.2396657381615599</v>
      </c>
      <c r="Y82" s="14" t="n">
        <v>8.800000000000001</v>
      </c>
      <c r="Z82" s="19">
        <f>IF(OR(Y82="",F82="",F82=0),"",Y82/F82)</f>
        <v/>
      </c>
      <c r="AA82" s="22" t="n">
        <v>59.586</v>
      </c>
      <c r="AB82" s="20" t="n">
        <v>0.094</v>
      </c>
      <c r="AC82" s="20" t="n">
        <v>0.08063558253638253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2026-10-21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Johnson &amp; Johnson</t>
        </is>
      </c>
      <c r="C83" s="12" t="inlineStr">
        <is>
          <t>JNJ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256.585</v>
      </c>
      <c r="G83" s="15" t="inlineStr">
        <is>
          <t>USD</t>
        </is>
      </c>
      <c r="H83" s="14" t="n">
        <v>228.3093240091788</v>
      </c>
      <c r="I83" s="16" t="n">
        <v>550202.2915730338</v>
      </c>
      <c r="J83" s="16" t="n">
        <v>618343.8</v>
      </c>
      <c r="K83" s="14" t="n">
        <v>6.59</v>
      </c>
      <c r="L83" s="14" t="n">
        <v>11.6175</v>
      </c>
      <c r="M83" s="17">
        <f>IF(OR(F83="",K83="",K83&lt;=0),"",F83/K83)</f>
        <v/>
      </c>
      <c r="N83" s="18" t="n">
        <v>7.2719927</v>
      </c>
      <c r="O83" s="19">
        <f>IF(OR(N83="",M83="",M83&lt;=0),"",N83/M83)</f>
        <v/>
      </c>
      <c r="P83" s="20" t="n">
        <v>0.1892842099345645</v>
      </c>
      <c r="Q83" s="20" t="n">
        <v>0.3175483250119345</v>
      </c>
      <c r="R83" s="20" t="n">
        <v>0.1216970967224712</v>
      </c>
      <c r="S83" s="21" t="n">
        <v>4</v>
      </c>
      <c r="T83" s="20" t="n"/>
      <c r="U83" s="20" t="n">
        <v>0.3287059746885117</v>
      </c>
      <c r="V83" s="20" t="n">
        <v>0.1967547908798433</v>
      </c>
      <c r="W83" s="20" t="n">
        <v>0.5111379300316981</v>
      </c>
      <c r="X83" s="20" t="n">
        <v>0.233594604447685</v>
      </c>
      <c r="Y83" s="14" t="n">
        <v>5.36</v>
      </c>
      <c r="Z83" s="19">
        <f>IF(OR(Y83="",F83="",F83=0),"",Y83/F83)</f>
        <v/>
      </c>
      <c r="AA83" s="22" t="n">
        <v>57.709</v>
      </c>
      <c r="AB83" s="20" t="n">
        <v>0.059</v>
      </c>
      <c r="AC83" s="20" t="n">
        <v>0.1708725653923328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2026-10-21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212.87</v>
      </c>
      <c r="G84" s="15" t="inlineStr">
        <is>
          <t>USD</t>
        </is>
      </c>
      <c r="H84" s="14" t="n">
        <v>189.4117185409665</v>
      </c>
      <c r="I84" s="16" t="n">
        <v>72921.24264836145</v>
      </c>
      <c r="J84" s="16" t="n">
        <v>81952.39999999999</v>
      </c>
      <c r="K84" s="14" t="n">
        <v>4.42</v>
      </c>
      <c r="L84" s="14" t="n">
        <v>9.19448</v>
      </c>
      <c r="M84" s="17">
        <f>IF(OR(F84="",K84="",K84&lt;=0),"",F84/K84)</f>
        <v/>
      </c>
      <c r="N84" s="18" t="n">
        <v>17.223885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>
        <v>0.25</v>
      </c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2026-10-21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117.445</v>
      </c>
      <c r="G85" s="15" t="inlineStr">
        <is>
          <t>USD</t>
        </is>
      </c>
      <c r="H85" s="14" t="n">
        <v>104.5025568846893</v>
      </c>
      <c r="I85" s="16" t="n">
        <v>829096.7435901703</v>
      </c>
      <c r="J85" s="16" t="n">
        <v>931778.8</v>
      </c>
      <c r="K85" s="14" t="n">
        <v>2.76</v>
      </c>
      <c r="L85" s="14" t="n">
        <v>3.22354</v>
      </c>
      <c r="M85" s="17">
        <f>IF(OR(F85="",K85="",K85&lt;=0),"",F85/K85)</f>
        <v/>
      </c>
      <c r="N85" s="18" t="n">
        <v>9.495108999999999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2026-10-21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345.38</v>
      </c>
      <c r="G86" s="15" t="inlineStr">
        <is>
          <t>USD</t>
        </is>
      </c>
      <c r="H86" s="14" t="n">
        <v>307.3191118977734</v>
      </c>
      <c r="I86" s="16" t="n">
        <v>83147.35772565706</v>
      </c>
      <c r="J86" s="16" t="n">
        <v>93445</v>
      </c>
      <c r="K86" s="14" t="n">
        <v>16.39</v>
      </c>
      <c r="L86" s="14" t="n">
        <v>18.62244</v>
      </c>
      <c r="M86" s="17">
        <f>IF(OR(F86="",K86="",K86&lt;=0),"",F86/K86)</f>
        <v/>
      </c>
      <c r="N86" s="18" t="n">
        <v>3.478147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2026-10-21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430.1901</v>
      </c>
      <c r="G87" s="15" t="inlineStr">
        <is>
          <t>USD</t>
        </is>
      </c>
      <c r="H87" s="14" t="n">
        <v>382.7831359060001</v>
      </c>
      <c r="I87" s="16" t="n">
        <v>135228.8623346874</v>
      </c>
      <c r="J87" s="16" t="n">
        <v>151976.7</v>
      </c>
      <c r="K87" s="14" t="n">
        <v>8.720000000000001</v>
      </c>
      <c r="L87" s="14" t="n">
        <v>12.11697</v>
      </c>
      <c r="M87" s="17">
        <f>IF(OR(F87="",K87="",K87&lt;=0),"",F87/K87)</f>
        <v/>
      </c>
      <c r="N87" s="18" t="n">
        <v>8.379564</v>
      </c>
      <c r="O87" s="19">
        <f>IF(OR(N87="",M87="",M87&lt;=0),"",N87/M87)</f>
        <v/>
      </c>
      <c r="P87" s="20" t="n">
        <v>0.17932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0.217</v>
      </c>
      <c r="AC87" s="20" t="n">
        <v>0.2938189784096893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2026-10-21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177.96</v>
      </c>
      <c r="G88" s="15" t="inlineStr">
        <is>
          <t>USD</t>
        </is>
      </c>
      <c r="H88" s="14" t="n">
        <v>158.3488017642242</v>
      </c>
      <c r="I88" s="16" t="n">
        <v>651116.3741790372</v>
      </c>
      <c r="J88" s="16" t="n">
        <v>731755.9</v>
      </c>
      <c r="K88" s="14" t="n">
        <v>7.77</v>
      </c>
      <c r="L88" s="14" t="n">
        <v>12.22524</v>
      </c>
      <c r="M88" s="17">
        <f>IF(OR(F88="",K88="",K88&lt;=0),"",F88/K88)</f>
        <v/>
      </c>
      <c r="N88" s="18" t="n">
        <v>2.8211794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2026-10-21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106.57</v>
      </c>
      <c r="G89" s="15" t="inlineStr">
        <is>
          <t>USD</t>
        </is>
      </c>
      <c r="H89" s="14" t="n">
        <v>94.82598226575281</v>
      </c>
      <c r="I89" s="16" t="n">
        <v>31476.58478045209</v>
      </c>
      <c r="J89" s="16" t="n">
        <v>35374.9</v>
      </c>
      <c r="K89" s="14" t="n">
        <v>5.07</v>
      </c>
      <c r="L89" s="14" t="n">
        <v>7.40582</v>
      </c>
      <c r="M89" s="17">
        <f>IF(OR(F89="",K89="",K89&lt;=0),"",F89/K89)</f>
        <v/>
      </c>
      <c r="N89" s="18" t="n">
        <v>20.252756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2026-10-21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SLB (Schlumberger)</t>
        </is>
      </c>
      <c r="C90" s="12" t="inlineStr">
        <is>
          <t>SLB</t>
        </is>
      </c>
      <c r="D90" s="11" t="inlineStr">
        <is>
          <t>Oil service</t>
        </is>
      </c>
      <c r="E90" s="13" t="inlineStr">
        <is>
          <t>Energia</t>
        </is>
      </c>
      <c r="F90" s="14" t="n">
        <v>51.055</v>
      </c>
      <c r="G90" s="15" t="inlineStr">
        <is>
          <t>USD</t>
        </is>
      </c>
      <c r="H90" s="14" t="n">
        <v>45.42873721101633</v>
      </c>
      <c r="I90" s="16" t="n">
        <v>67422.72376489313</v>
      </c>
      <c r="J90" s="16" t="n">
        <v>75772.89999999999</v>
      </c>
      <c r="K90" s="14" t="n">
        <v>2.07</v>
      </c>
      <c r="L90" s="14" t="n">
        <v>3.15192</v>
      </c>
      <c r="M90" s="17">
        <f>IF(OR(F90="",K90="",K90&lt;=0),"",F90/K90)</f>
        <v/>
      </c>
      <c r="N90" s="18" t="n">
        <v>2.906136</v>
      </c>
      <c r="O90" s="19">
        <f>IF(OR(N90="",M90="",M90&lt;=0),"",N90/M90)</f>
        <v/>
      </c>
      <c r="P90" s="20" t="n">
        <v>0.12909001</v>
      </c>
      <c r="Q90" s="20" t="n">
        <v>0.1857758605281961</v>
      </c>
      <c r="R90" s="20" t="n">
        <v>0.03323988575793588</v>
      </c>
      <c r="S90" s="21" t="n">
        <v>4</v>
      </c>
      <c r="T90" s="20" t="n"/>
      <c r="U90" s="20" t="n">
        <v>0.1292274694549772</v>
      </c>
      <c r="V90" s="20" t="n">
        <v>0.2111216280170374</v>
      </c>
      <c r="W90" s="20" t="n">
        <v>0.2081826737332211</v>
      </c>
      <c r="X90" s="20" t="n">
        <v>0.1945716709075488</v>
      </c>
      <c r="Y90" s="14" t="n">
        <v>1.18</v>
      </c>
      <c r="Z90" s="19">
        <f>IF(OR(Y90="",F90="",F90=0),"",Y90/F90)</f>
        <v/>
      </c>
      <c r="AA90" s="22" t="n">
        <v>47.002</v>
      </c>
      <c r="AB90" s="20" t="n">
        <v>0.05</v>
      </c>
      <c r="AC90" s="20" t="n">
        <v>0.08684328262574213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2026-10-21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BlackRock</t>
        </is>
      </c>
      <c r="C91" s="12" t="inlineStr">
        <is>
          <t>BLK</t>
        </is>
      </c>
      <c r="D91" s="11" t="inlineStr">
        <is>
          <t>Risparmio gestito</t>
        </is>
      </c>
      <c r="E91" s="13" t="inlineStr">
        <is>
          <t>Finanziario</t>
        </is>
      </c>
      <c r="F91" s="14" t="n">
        <v>1140.15</v>
      </c>
      <c r="G91" s="15" t="inlineStr">
        <is>
          <t>USD</t>
        </is>
      </c>
      <c r="H91" s="14" t="n">
        <v>1014.505430048776</v>
      </c>
      <c r="I91" s="16" t="n">
        <v>164832.9520688784</v>
      </c>
      <c r="J91" s="16" t="n">
        <v>185247.2</v>
      </c>
      <c r="K91" s="14" t="n">
        <v>43.92</v>
      </c>
      <c r="L91" s="14" t="n">
        <v>64.82592</v>
      </c>
      <c r="M91" s="17">
        <f>IF(OR(F91="",K91="",K91&lt;=0),"",F91/K91)</f>
        <v/>
      </c>
      <c r="N91" s="18" t="n">
        <v>3.06736</v>
      </c>
      <c r="O91" s="19">
        <f>IF(OR(N91="",M91="",M91&lt;=0),"",N91/M91)</f>
        <v/>
      </c>
      <c r="P91" s="20" t="n">
        <v>0.1200718700030968</v>
      </c>
      <c r="Q91" s="20" t="n">
        <v>0.1276194741974955</v>
      </c>
      <c r="R91" s="20" t="n">
        <v>0.01644167432772636</v>
      </c>
      <c r="S91" s="21" t="n">
        <v>4</v>
      </c>
      <c r="T91" s="20" t="n"/>
      <c r="U91" s="20" t="n">
        <v>0.09935943315201833</v>
      </c>
      <c r="V91" s="20" t="n">
        <v>0.1340983261395936</v>
      </c>
      <c r="W91" s="20" t="n">
        <v>0.1398327699697563</v>
      </c>
      <c r="X91" s="20" t="n">
        <v>0.1371873675286138</v>
      </c>
      <c r="Y91" s="14" t="n">
        <v>22.92</v>
      </c>
      <c r="Z91" s="19">
        <f>IF(OR(Y91="",F91="",F91=0),"",Y91/F91)</f>
        <v/>
      </c>
      <c r="AA91" s="22" t="n">
        <v>23.192</v>
      </c>
      <c r="AB91" s="20" t="n">
        <v>0.191</v>
      </c>
      <c r="AC91" s="20" t="n">
        <v>0.2854311199207136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2026-10-21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Nucor</t>
        </is>
      </c>
      <c r="C92" s="12" t="inlineStr">
        <is>
          <t>NUE</t>
        </is>
      </c>
      <c r="D92" s="11" t="inlineStr">
        <is>
          <t>Acciaio</t>
        </is>
      </c>
      <c r="E92" s="13" t="inlineStr">
        <is>
          <t>Materiali</t>
        </is>
      </c>
      <c r="F92" s="14" t="n">
        <v>264.015</v>
      </c>
      <c r="G92" s="15" t="inlineStr">
        <is>
          <t>USD</t>
        </is>
      </c>
      <c r="H92" s="14" t="n">
        <v>234.9205377488292</v>
      </c>
      <c r="I92" s="16" t="n">
        <v>53297.77218113373</v>
      </c>
      <c r="J92" s="16" t="n">
        <v>59898.6</v>
      </c>
      <c r="K92" s="14" t="n">
        <v>12.54</v>
      </c>
      <c r="L92" s="14" t="n">
        <v>20.95428</v>
      </c>
      <c r="M92" s="17">
        <f>IF(OR(F92="",K92="",K92&lt;=0),"",F92/K92)</f>
        <v/>
      </c>
      <c r="N92" s="18" t="n">
        <v>2.7092357</v>
      </c>
      <c r="O92" s="19">
        <f>IF(OR(N92="",M92="",M92&lt;=0),"",N92/M92)</f>
        <v/>
      </c>
      <c r="P92" s="20" t="n">
        <v>0.14548999</v>
      </c>
      <c r="Q92" s="20" t="n">
        <v>0.2030927127527553</v>
      </c>
      <c r="R92" s="20" t="n">
        <v>0.1315978865605651</v>
      </c>
      <c r="S92" s="21" t="n">
        <v>4</v>
      </c>
      <c r="T92" s="20" t="n"/>
      <c r="U92" s="20" t="n">
        <v>0.08330149025601834</v>
      </c>
      <c r="V92" s="20" t="n">
        <v>0.09988173844486055</v>
      </c>
      <c r="W92" s="20" t="n">
        <v>0.2160936007640879</v>
      </c>
      <c r="X92" s="20" t="n">
        <v>0.4130940215460545</v>
      </c>
      <c r="Y92" s="14" t="n">
        <v>2.24</v>
      </c>
      <c r="Z92" s="19">
        <f>IF(OR(Y92="",F92="",F92=0),"",Y92/F92)</f>
        <v/>
      </c>
      <c r="AA92" s="22" t="n">
        <v>30.512</v>
      </c>
      <c r="AB92" s="20" t="n">
        <v>0.23</v>
      </c>
      <c r="AC92" s="20" t="n">
        <v>0.08841632104388503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2026-10-21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IBM</t>
        </is>
      </c>
      <c r="C93" s="12" t="inlineStr">
        <is>
          <t>IBM</t>
        </is>
      </c>
      <c r="D93" s="11" t="inlineStr">
        <is>
          <t>Servizi IT</t>
        </is>
      </c>
      <c r="E93" s="13" t="inlineStr">
        <is>
          <t>Tecnologia</t>
        </is>
      </c>
      <c r="F93" s="14" t="n">
        <v>246.14</v>
      </c>
      <c r="G93" s="15" t="inlineStr">
        <is>
          <t>USD</t>
        </is>
      </c>
      <c r="H93" s="14" t="n">
        <v>219.015363375175</v>
      </c>
      <c r="I93" s="16" t="n">
        <v>206341.9424742543</v>
      </c>
      <c r="J93" s="16" t="n">
        <v>231897</v>
      </c>
      <c r="K93" s="14" t="n">
        <v>11.25</v>
      </c>
      <c r="L93" s="14" t="n">
        <v>13.15008</v>
      </c>
      <c r="M93" s="17">
        <f>IF(OR(F93="",K93="",K93&lt;=0),"",F93/K93)</f>
        <v/>
      </c>
      <c r="N93" s="18" t="n">
        <v>6.7310214</v>
      </c>
      <c r="O93" s="19">
        <f>IF(OR(N93="",M93="",M93&lt;=0),"",N93/M93)</f>
        <v/>
      </c>
      <c r="P93" s="20" t="n">
        <v>0.34460998</v>
      </c>
      <c r="Q93" s="20" t="n">
        <v>0.23817417040765</v>
      </c>
      <c r="R93" s="20" t="n">
        <v>0.1042197094136844</v>
      </c>
      <c r="S93" s="21" t="n">
        <v>4</v>
      </c>
      <c r="T93" s="20" t="n"/>
      <c r="U93" s="20" t="n">
        <v>0.3244609164420485</v>
      </c>
      <c r="V93" s="20" t="n">
        <v>0.2205661551983008</v>
      </c>
      <c r="W93" s="20" t="n">
        <v>0.3329339191408157</v>
      </c>
      <c r="X93" s="20" t="n">
        <v>0.07473569084943492</v>
      </c>
      <c r="Y93" s="14" t="n">
        <v>6.76</v>
      </c>
      <c r="Z93" s="19">
        <f>IF(OR(Y93="",F93="",F93=0),"",Y93/F93)</f>
        <v/>
      </c>
      <c r="AA93" s="22" t="n">
        <v>188.97</v>
      </c>
      <c r="AB93" s="20" t="n">
        <v>0.011</v>
      </c>
      <c r="AC93" s="20" t="n">
        <v>0.158508061596778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2026-10-21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Thermo Fisher</t>
        </is>
      </c>
      <c r="C94" s="12" t="inlineStr">
        <is>
          <t>TMO</t>
        </is>
      </c>
      <c r="D94" s="11" t="inlineStr">
        <is>
          <t>Strumentazione life science</t>
        </is>
      </c>
      <c r="E94" s="13" t="inlineStr">
        <is>
          <t>Salute</t>
        </is>
      </c>
      <c r="F94" s="14" t="n">
        <v>696.37</v>
      </c>
      <c r="G94" s="15" t="inlineStr">
        <is>
          <t>USD</t>
        </is>
      </c>
      <c r="H94" s="14" t="n">
        <v>619.6300015989706</v>
      </c>
      <c r="I94" s="16" t="n">
        <v>229106.4957977862</v>
      </c>
      <c r="J94" s="16" t="n">
        <v>257480.9</v>
      </c>
      <c r="K94" s="14" t="n">
        <v>18.58</v>
      </c>
      <c r="L94" s="14" t="n">
        <v>27.58452</v>
      </c>
      <c r="M94" s="17">
        <f>IF(OR(F94="",K94="",K94&lt;=0),"",F94/K94)</f>
        <v/>
      </c>
      <c r="N94" s="18" t="n">
        <v>4.887733</v>
      </c>
      <c r="O94" s="19">
        <f>IF(OR(N94="",M94="",M94&lt;=0),"",N94/M94)</f>
        <v/>
      </c>
      <c r="P94" s="20" t="n">
        <v>0.13515</v>
      </c>
      <c r="Q94" s="20" t="n">
        <v>0.1348992605873013</v>
      </c>
      <c r="R94" s="20" t="n">
        <v>0.0133965212757604</v>
      </c>
      <c r="S94" s="21" t="n">
        <v>4</v>
      </c>
      <c r="T94" s="20" t="n"/>
      <c r="U94" s="20" t="n">
        <v>0.1255266163611512</v>
      </c>
      <c r="V94" s="20" t="n">
        <v>0.1277604114147424</v>
      </c>
      <c r="W94" s="20" t="n">
        <v>0.1282764523376485</v>
      </c>
      <c r="X94" s="20" t="n">
        <v>0.1580335622356633</v>
      </c>
      <c r="Y94" s="14" t="n">
        <v>1.88</v>
      </c>
      <c r="Z94" s="19">
        <f>IF(OR(Y94="",F94="",F94=0),"",Y94/F94)</f>
        <v/>
      </c>
      <c r="AA94" s="22" t="n">
        <v>80.575</v>
      </c>
      <c r="AB94" s="20" t="n">
        <v>0.105</v>
      </c>
      <c r="AC94" s="20" t="n">
        <v>0.1563615159009808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2026-10-21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Linde</t>
        </is>
      </c>
      <c r="C95" s="12" t="inlineStr">
        <is>
          <t>LIN</t>
        </is>
      </c>
      <c r="D95" s="11" t="inlineStr">
        <is>
          <t>Gas industriali</t>
        </is>
      </c>
      <c r="E95" s="13" t="inlineStr">
        <is>
          <t>Materiali</t>
        </is>
      </c>
      <c r="F95" s="14" t="n">
        <v>498.795</v>
      </c>
      <c r="G95" s="15" t="inlineStr">
        <is>
          <t>USD</t>
        </is>
      </c>
      <c r="H95" s="14" t="n">
        <v>443.8277735220623</v>
      </c>
      <c r="I95" s="16" t="n">
        <v>204595.7990230174</v>
      </c>
      <c r="J95" s="16" t="n">
        <v>229934.6</v>
      </c>
      <c r="K95" s="14" t="n">
        <v>15.49</v>
      </c>
      <c r="L95" s="14" t="n">
        <v>19.5749</v>
      </c>
      <c r="M95" s="17">
        <f>IF(OR(F95="",K95="",K95&lt;=0),"",F95/K95)</f>
        <v/>
      </c>
      <c r="N95" s="18" t="n">
        <v>5.883543</v>
      </c>
      <c r="O95" s="19">
        <f>IF(OR(N95="",M95="",M95&lt;=0),"",N95/M95)</f>
        <v/>
      </c>
      <c r="P95" s="20" t="n">
        <v>0.18400998</v>
      </c>
      <c r="Q95" s="20" t="n">
        <v>0.1530948240437311</v>
      </c>
      <c r="R95" s="20" t="n">
        <v>0.02988524127892265</v>
      </c>
      <c r="S95" s="21" t="n">
        <v>4</v>
      </c>
      <c r="T95" s="20" t="n"/>
      <c r="U95" s="20" t="n">
        <v>0.1803634462021179</v>
      </c>
      <c r="V95" s="20" t="n">
        <v>0.1723458994014491</v>
      </c>
      <c r="W95" s="20" t="n">
        <v>0.156067472306143</v>
      </c>
      <c r="X95" s="20" t="n">
        <v>0.1036024782652143</v>
      </c>
      <c r="Y95" s="14" t="n">
        <v>6.4</v>
      </c>
      <c r="Z95" s="19">
        <f>IF(OR(Y95="",F95="",F95=0),"",Y95/F95)</f>
        <v/>
      </c>
      <c r="AA95" s="22" t="n">
        <v>68.947</v>
      </c>
      <c r="AB95" s="20" t="n">
        <v>0.093</v>
      </c>
      <c r="AC95" s="20" t="n">
        <v>0.2131465973047726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2026-10-21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Oracle</t>
        </is>
      </c>
      <c r="C96" s="12" t="inlineStr">
        <is>
          <t>ORCL</t>
        </is>
      </c>
      <c r="D96" s="11" t="inlineStr">
        <is>
          <t>Software / Cloud</t>
        </is>
      </c>
      <c r="E96" s="13" t="inlineStr">
        <is>
          <t>Tecnologia</t>
        </is>
      </c>
      <c r="F96" s="14" t="n">
        <v>128</v>
      </c>
      <c r="G96" s="15" t="inlineStr">
        <is>
          <t>USD</t>
        </is>
      </c>
      <c r="H96" s="14" t="n">
        <v>113.8943955148387</v>
      </c>
      <c r="I96" s="16" t="n">
        <v>345270.94898323</v>
      </c>
      <c r="J96" s="16" t="n">
        <v>388032.1</v>
      </c>
      <c r="K96" s="14" t="n">
        <v>6.38</v>
      </c>
      <c r="L96" s="14" t="n">
        <v>10.99551</v>
      </c>
      <c r="M96" s="17">
        <f>IF(OR(F96="",K96="",K96&lt;=0),"",F96/K96)</f>
        <v/>
      </c>
      <c r="N96" s="18" t="n">
        <v>6.2616186</v>
      </c>
      <c r="O96" s="19">
        <f>IF(OR(N96="",M96="",M96&lt;=0),"",N96/M96)</f>
        <v/>
      </c>
      <c r="P96" s="20" t="n">
        <v>0.41192</v>
      </c>
      <c r="Q96" s="20" t="n">
        <v>2.534365642083217</v>
      </c>
      <c r="R96" s="20" t="n">
        <v>3.125849047166543</v>
      </c>
      <c r="S96" s="21" t="n">
        <v>4</v>
      </c>
      <c r="T96" s="20" t="n">
        <v>0.4019713936200245</v>
      </c>
      <c r="U96" s="20" t="n">
        <v>0.6084299056280866</v>
      </c>
      <c r="V96" s="20" t="n">
        <v>1.202550551470588</v>
      </c>
      <c r="W96" s="20" t="n">
        <v>7.924510717614166</v>
      </c>
      <c r="X96" s="20" t="n"/>
      <c r="Y96" s="14" t="n">
        <v>2</v>
      </c>
      <c r="Z96" s="19">
        <f>IF(OR(Y96="",F96="",F96=0),"",Y96/F96)</f>
        <v/>
      </c>
      <c r="AA96" s="22" t="n">
        <v>251.716</v>
      </c>
      <c r="AB96" s="20" t="n">
        <v>0.296</v>
      </c>
      <c r="AC96" s="20" t="n">
        <v>0.2781596719568865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2026-10-21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ServiceNow</t>
        </is>
      </c>
      <c r="C97" s="12" t="inlineStr">
        <is>
          <t>NOW</t>
        </is>
      </c>
      <c r="D97" s="11" t="inlineStr">
        <is>
          <t>Software</t>
        </is>
      </c>
      <c r="E97" s="13" t="inlineStr">
        <is>
          <t>Tecnologia</t>
        </is>
      </c>
      <c r="F97" s="14" t="n">
        <v>152.36</v>
      </c>
      <c r="G97" s="15" t="inlineStr">
        <is>
          <t>USD</t>
        </is>
      </c>
      <c r="H97" s="14" t="n">
        <v>135.5699226612565</v>
      </c>
      <c r="I97" s="16" t="n">
        <v>140160.5786404764</v>
      </c>
      <c r="J97" s="16" t="n">
        <v>157519.2</v>
      </c>
      <c r="K97" s="14" t="n">
        <v>1.6</v>
      </c>
      <c r="L97" s="14" t="n">
        <v>5.00666</v>
      </c>
      <c r="M97" s="17">
        <f>IF(OR(F97="",K97="",K97&lt;=0),"",F97/K97)</f>
        <v/>
      </c>
      <c r="N97" s="18" t="n">
        <v>12.585495</v>
      </c>
      <c r="O97" s="19">
        <f>IF(OR(N97="",M97="",M97&lt;=0),"",N97/M97)</f>
        <v/>
      </c>
      <c r="P97" s="20" t="n">
        <v>0.14244</v>
      </c>
      <c r="Q97" s="20" t="n">
        <v>0.1436617884474269</v>
      </c>
      <c r="R97" s="20" t="n">
        <v>0.05763116433316788</v>
      </c>
      <c r="S97" s="21" t="n">
        <v>4</v>
      </c>
      <c r="T97" s="20" t="n"/>
      <c r="U97" s="20" t="n">
        <v>0.134834927491515</v>
      </c>
      <c r="V97" s="20" t="n">
        <v>0.1482984701842023</v>
      </c>
      <c r="W97" s="20" t="n">
        <v>0.2269271106449921</v>
      </c>
      <c r="X97" s="20" t="n">
        <v>0.06458664546899841</v>
      </c>
      <c r="Y97" s="14" t="n"/>
      <c r="Z97" s="19">
        <f>IF(OR(Y97="",F97="",F97=0),"",Y97/F97)</f>
        <v/>
      </c>
      <c r="AA97" s="22" t="n">
        <v>67.538</v>
      </c>
      <c r="AB97" s="20" t="n">
        <v>0.24</v>
      </c>
      <c r="AC97" s="20" t="n">
        <v>0.125771953607471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2026-10-21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UnitedHealth Group</t>
        </is>
      </c>
      <c r="C98" s="12" t="inlineStr">
        <is>
          <t>UNH</t>
        </is>
      </c>
      <c r="D98" s="11" t="inlineStr">
        <is>
          <t>Assicurazione sanitaria</t>
        </is>
      </c>
      <c r="E98" s="13" t="inlineStr">
        <is>
          <t>Salute</t>
        </is>
      </c>
      <c r="F98" s="14" t="n">
        <v>417.24</v>
      </c>
      <c r="G98" s="15" t="inlineStr">
        <is>
          <t>USD</t>
        </is>
      </c>
      <c r="H98" s="14" t="n">
        <v>371.2601373797758</v>
      </c>
      <c r="I98" s="16" t="n">
        <v>333241.2093769612</v>
      </c>
      <c r="J98" s="16" t="n">
        <v>374512.5</v>
      </c>
      <c r="K98" s="14" t="n">
        <v>15.55</v>
      </c>
      <c r="L98" s="14" t="n">
        <v>23.25918</v>
      </c>
      <c r="M98" s="17">
        <f>IF(OR(F98="",K98="",K98&lt;=0),"",F98/K98)</f>
        <v/>
      </c>
      <c r="N98" s="18" t="n">
        <v>3.6142824</v>
      </c>
      <c r="O98" s="19">
        <f>IF(OR(N98="",M98="",M98&lt;=0),"",N98/M98)</f>
        <v/>
      </c>
      <c r="P98" s="20" t="n">
        <v>0.15773</v>
      </c>
      <c r="Q98" s="20" t="n">
        <v>0.1986094387672269</v>
      </c>
      <c r="R98" s="20" t="n">
        <v>0.05768840645771321</v>
      </c>
      <c r="S98" s="21" t="n">
        <v>4</v>
      </c>
      <c r="T98" s="20" t="n"/>
      <c r="U98" s="20" t="n">
        <v>0.1281054085644459</v>
      </c>
      <c r="V98" s="20" t="n">
        <v>0.1554641801031751</v>
      </c>
      <c r="W98" s="20" t="n">
        <v>0.2521632340348822</v>
      </c>
      <c r="X98" s="20" t="n">
        <v>0.2587049323664043</v>
      </c>
      <c r="Y98" s="14" t="n">
        <v>9.279999999999999</v>
      </c>
      <c r="Z98" s="19">
        <f>IF(OR(Y98="",F98="",F98=0),"",Y98/F98)</f>
        <v/>
      </c>
      <c r="AA98" s="22" t="n">
        <v>70.426</v>
      </c>
      <c r="AB98" s="20" t="n">
        <v>-0.004</v>
      </c>
      <c r="AC98" s="20" t="n">
        <v>0.03548965910355321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2026-10-21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Micron Technology</t>
        </is>
      </c>
      <c r="C99" s="12" t="inlineStr">
        <is>
          <t>MU</t>
        </is>
      </c>
      <c r="D99" s="11" t="inlineStr">
        <is>
          <t>Semiconduttori / Memorie</t>
        </is>
      </c>
      <c r="E99" s="13" t="inlineStr">
        <is>
          <t>Tecnologia</t>
        </is>
      </c>
      <c r="F99" s="14" t="n">
        <v>911.6849999999999</v>
      </c>
      <c r="G99" s="15" t="inlineStr">
        <is>
          <t>USD</t>
        </is>
      </c>
      <c r="H99" s="14" t="n">
        <v>811.2172810542635</v>
      </c>
      <c r="I99" s="16" t="n">
        <v>917553.1817867557</v>
      </c>
      <c r="J99" s="16" t="n">
        <v>1031190.4</v>
      </c>
      <c r="K99" s="14" t="n">
        <v>74.33</v>
      </c>
      <c r="L99" s="14" t="n">
        <v>206.89381</v>
      </c>
      <c r="M99" s="17">
        <f>IF(OR(F99="",K99="",K99&lt;=0),"",F99/K99)</f>
        <v/>
      </c>
      <c r="N99" s="18" t="n">
        <v>7.449203</v>
      </c>
      <c r="O99" s="19">
        <f>IF(OR(N99="",M99="",M99&lt;=0),"",N99/M99)</f>
        <v/>
      </c>
      <c r="P99" s="20" t="n">
        <v>0.8826000000000001</v>
      </c>
      <c r="Q99" s="20" t="n">
        <v>0.05418569393215231</v>
      </c>
      <c r="R99" s="20" t="n">
        <v>0.1236757150852483</v>
      </c>
      <c r="S99" s="21" t="n">
        <v>4</v>
      </c>
      <c r="T99" s="20" t="n"/>
      <c r="U99" s="20" t="n">
        <v>0.1576479276285424</v>
      </c>
      <c r="V99" s="20" t="n">
        <v>0.0172387051029226</v>
      </c>
      <c r="W99" s="20" t="n">
        <v>-0.132207615593835</v>
      </c>
      <c r="X99" s="20" t="n">
        <v>0.1740637585909792</v>
      </c>
      <c r="Y99" s="14" t="n">
        <v>0.6</v>
      </c>
      <c r="Z99" s="19">
        <f>IF(OR(Y99="",F99="",F99=0),"",Y99/F99)</f>
        <v/>
      </c>
      <c r="AA99" s="22" t="n">
        <v>3.743</v>
      </c>
      <c r="AB99" s="20" t="n">
        <v>3.793</v>
      </c>
      <c r="AC99" s="20" t="n">
        <v>2.273235509230028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2026-10-21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Home Depot</t>
        </is>
      </c>
      <c r="C100" s="12" t="inlineStr">
        <is>
          <t>HD</t>
        </is>
      </c>
      <c r="D100" s="11" t="inlineStr">
        <is>
          <t>Distribuzione specializzata</t>
        </is>
      </c>
      <c r="E100" s="13" t="inlineStr">
        <is>
          <t>Consumi</t>
        </is>
      </c>
      <c r="F100" s="14" t="n">
        <v>313.93</v>
      </c>
      <c r="G100" s="15" t="inlineStr">
        <is>
          <t>USD</t>
        </is>
      </c>
      <c r="H100" s="14" t="n">
        <v>279.3349029997916</v>
      </c>
      <c r="I100" s="16" t="n">
        <v>278689.5310852063</v>
      </c>
      <c r="J100" s="16" t="n">
        <v>313204.7</v>
      </c>
      <c r="K100" s="14" t="n">
        <v>14.29</v>
      </c>
      <c r="L100" s="14" t="n">
        <v>16.0248</v>
      </c>
      <c r="M100" s="17">
        <f>IF(OR(F100="",K100="",K100&lt;=0),"",F100/K100)</f>
        <v/>
      </c>
      <c r="N100" s="18" t="n">
        <v>18.854654</v>
      </c>
      <c r="O100" s="19">
        <f>IF(OR(N100="",M100="",M100&lt;=0),"",N100/M100)</f>
        <v/>
      </c>
      <c r="P100" s="20" t="n">
        <v>1.0429599</v>
      </c>
      <c r="Q100" s="20" t="n">
        <v>7.197532049082098</v>
      </c>
      <c r="R100" s="20" t="n">
        <v>5.685105003247476</v>
      </c>
      <c r="S100" s="21" t="n">
        <v>4</v>
      </c>
      <c r="T100" s="20" t="n">
        <v>1.104815421837197</v>
      </c>
      <c r="U100" s="20" t="n">
        <v>2.229819277108434</v>
      </c>
      <c r="V100" s="20" t="n">
        <v>14.50478927203065</v>
      </c>
      <c r="W100" s="20" t="n">
        <v>10.95070422535211</v>
      </c>
      <c r="X100" s="20" t="n"/>
      <c r="Y100" s="14" t="n">
        <v>9.32</v>
      </c>
      <c r="Z100" s="19">
        <f>IF(OR(Y100="",F100="",F100=0),"",Y100/F100)</f>
        <v/>
      </c>
      <c r="AA100" s="22" t="n">
        <v>380.261</v>
      </c>
      <c r="AB100" s="20" t="n">
        <v>0.057</v>
      </c>
      <c r="AC100" s="20" t="n">
        <v>0.086390218298185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2026-10-21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Chevron</t>
        </is>
      </c>
      <c r="C101" s="12" t="inlineStr">
        <is>
          <t>CVX</t>
        </is>
      </c>
      <c r="D101" s="11" t="inlineStr">
        <is>
          <t>Petrolio integrato</t>
        </is>
      </c>
      <c r="E101" s="13" t="inlineStr">
        <is>
          <t>Energia</t>
        </is>
      </c>
      <c r="F101" s="14" t="n">
        <v>226.18</v>
      </c>
      <c r="G101" s="15" t="inlineStr">
        <is>
          <t>USD</t>
        </is>
      </c>
      <c r="H101" s="14" t="n">
        <v>201.2549560745798</v>
      </c>
      <c r="I101" s="16" t="n">
        <v>394782.3553734709</v>
      </c>
      <c r="J101" s="16" t="n">
        <v>443675.4</v>
      </c>
      <c r="K101" s="14" t="n">
        <v>10.39</v>
      </c>
      <c r="L101" s="14" t="n">
        <v>15.18647</v>
      </c>
      <c r="M101" s="17">
        <f>IF(OR(F101="",K101="",K101&lt;=0),"",F101/K101)</f>
        <v/>
      </c>
      <c r="N101" s="18" t="n">
        <v>2.33657</v>
      </c>
      <c r="O101" s="19">
        <f>IF(OR(N101="",M101="",M101&lt;=0),"",N101/M101)</f>
        <v/>
      </c>
      <c r="P101" s="20" t="n">
        <v>0.12231</v>
      </c>
      <c r="Q101" s="20" t="n">
        <v>0.1343324653779517</v>
      </c>
      <c r="R101" s="20" t="n">
        <v>0.05660306595463921</v>
      </c>
      <c r="S101" s="21" t="n">
        <v>4</v>
      </c>
      <c r="T101" s="20" t="n"/>
      <c r="U101" s="20" t="n">
        <v>0.06596406543309198</v>
      </c>
      <c r="V101" s="20" t="n">
        <v>0.1159482136057459</v>
      </c>
      <c r="W101" s="20" t="n">
        <v>0.1327621662928608</v>
      </c>
      <c r="X101" s="20" t="n">
        <v>0.2226554161801082</v>
      </c>
      <c r="Y101" s="14" t="n">
        <v>7.12</v>
      </c>
      <c r="Z101" s="19">
        <f>IF(OR(Y101="",F101="",F101=0),"",Y101/F101)</f>
        <v/>
      </c>
      <c r="AA101" s="22" t="n">
        <v>18.959</v>
      </c>
      <c r="AB101" s="20" t="n">
        <v>0.535</v>
      </c>
      <c r="AC101" s="20" t="n">
        <v>0.1116454820855383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2026-10-21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Abbott Laboratories</t>
        </is>
      </c>
      <c r="C102" s="12" t="inlineStr">
        <is>
          <t>ABT</t>
        </is>
      </c>
      <c r="D102" s="11" t="inlineStr">
        <is>
          <t>Dispositivi medicali</t>
        </is>
      </c>
      <c r="E102" s="13" t="inlineStr">
        <is>
          <t>Salute</t>
        </is>
      </c>
      <c r="F102" s="14" t="n">
        <v>98.5501</v>
      </c>
      <c r="G102" s="15" t="inlineStr">
        <is>
          <t>USD</t>
        </is>
      </c>
      <c r="H102" s="14" t="n">
        <v>87.68987552677271</v>
      </c>
      <c r="I102" s="16" t="n">
        <v>152739.4138051219</v>
      </c>
      <c r="J102" s="16" t="n">
        <v>171655.9</v>
      </c>
      <c r="K102" s="14" t="n">
        <v>3.1</v>
      </c>
      <c r="L102" s="14" t="n">
        <v>6.06583</v>
      </c>
      <c r="M102" s="17">
        <f>IF(OR(F102="",K102="",K102&lt;=0),"",F102/K102)</f>
        <v/>
      </c>
      <c r="N102" s="18" t="n">
        <v>3.3364966</v>
      </c>
      <c r="O102" s="19">
        <f>IF(OR(N102="",M102="",M102&lt;=0),"",N102/M102)</f>
        <v/>
      </c>
      <c r="P102" s="20" t="n">
        <v>0.10576</v>
      </c>
      <c r="Q102" s="20" t="n">
        <v>0.1858900339052967</v>
      </c>
      <c r="R102" s="20" t="n">
        <v>0.05957173353356353</v>
      </c>
      <c r="S102" s="21" t="n">
        <v>4</v>
      </c>
      <c r="T102" s="20" t="n"/>
      <c r="U102" s="20" t="n">
        <v>0.1251486667945521</v>
      </c>
      <c r="V102" s="20" t="n">
        <v>0.2811765693185633</v>
      </c>
      <c r="W102" s="20" t="n">
        <v>0.1482527264720359</v>
      </c>
      <c r="X102" s="20" t="n">
        <v>0.1889821730360355</v>
      </c>
      <c r="Y102" s="14" t="n">
        <v>2.52</v>
      </c>
      <c r="Z102" s="19">
        <f>IF(OR(Y102="",F102="",F102=0),"",Y102/F102)</f>
        <v/>
      </c>
      <c r="AA102" s="22" t="n">
        <v>63.212</v>
      </c>
      <c r="AB102" s="20" t="n">
        <v>0.13</v>
      </c>
      <c r="AC102" s="20" t="n">
        <v>0.1218417238765566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2026-10-21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Merck &amp; Co.</t>
        </is>
      </c>
      <c r="C103" s="12" t="inlineStr">
        <is>
          <t>MRK</t>
        </is>
      </c>
      <c r="D103" s="11" t="inlineStr">
        <is>
          <t>Farmaceutica</t>
        </is>
      </c>
      <c r="E103" s="13" t="inlineStr">
        <is>
          <t>Salute</t>
        </is>
      </c>
      <c r="F103" s="14" t="n">
        <v>149.01</v>
      </c>
      <c r="G103" s="15" t="inlineStr">
        <is>
          <t>USD</t>
        </is>
      </c>
      <c r="H103" s="14" t="n">
        <v>132.5890927786415</v>
      </c>
      <c r="I103" s="16" t="n">
        <v>327120.0084780141</v>
      </c>
      <c r="J103" s="16" t="n">
        <v>367633.2</v>
      </c>
      <c r="K103" s="14" t="n">
        <v>1.26</v>
      </c>
      <c r="L103" s="14" t="n">
        <v>9.29148</v>
      </c>
      <c r="M103" s="17">
        <f>IF(OR(F103="",K103="",K103&lt;=0),"",F103/K103)</f>
        <v/>
      </c>
      <c r="N103" s="18" t="n">
        <v>8.772518</v>
      </c>
      <c r="O103" s="19">
        <f>IF(OR(N103="",M103="",M103&lt;=0),"",N103/M103)</f>
        <v/>
      </c>
      <c r="P103" s="20" t="n">
        <v>0.06961000000000001</v>
      </c>
      <c r="Q103" s="20" t="n">
        <v>0.2604982613071798</v>
      </c>
      <c r="R103" s="20" t="n">
        <v>0.1460508583775003</v>
      </c>
      <c r="S103" s="21" t="n">
        <v>4</v>
      </c>
      <c r="T103" s="20" t="n"/>
      <c r="U103" s="20" t="n">
        <v>0.3469946393947458</v>
      </c>
      <c r="V103" s="20" t="n">
        <v>0.3695938505387256</v>
      </c>
      <c r="W103" s="20" t="n">
        <v>0.009712354647295175</v>
      </c>
      <c r="X103" s="20" t="n">
        <v>0.3156922006479528</v>
      </c>
      <c r="Y103" s="14" t="n">
        <v>3.4</v>
      </c>
      <c r="Z103" s="19">
        <f>IF(OR(Y103="",F103="",F103=0),"",Y103/F103)</f>
        <v/>
      </c>
      <c r="AA103" s="22" t="n">
        <v>128.408</v>
      </c>
      <c r="AB103" s="20" t="n">
        <v>0.051</v>
      </c>
      <c r="AC103" s="20" t="n">
        <v>0.04880712396363692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2026-10-21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Berkshire Hathaway B</t>
        </is>
      </c>
      <c r="C104" s="12" t="inlineStr">
        <is>
          <t>BRK-B</t>
        </is>
      </c>
      <c r="D104" s="11" t="inlineStr">
        <is>
          <t>Conglomerata / Holding</t>
        </is>
      </c>
      <c r="E104" s="13" t="inlineStr">
        <is>
          <t>Finanziario</t>
        </is>
      </c>
      <c r="F104" s="14" t="n">
        <v>542.28</v>
      </c>
      <c r="G104" s="15" t="inlineStr">
        <is>
          <t>USD</t>
        </is>
      </c>
      <c r="H104" s="14" t="n">
        <v>482.5207249983338</v>
      </c>
      <c r="I104" s="16" t="n">
        <v>1032936.924482944</v>
      </c>
      <c r="J104" s="16" t="n">
        <v>1160864.2</v>
      </c>
      <c r="K104" s="14" t="n">
        <v>39.76</v>
      </c>
      <c r="L104" s="14" t="n">
        <v>22.21587</v>
      </c>
      <c r="M104" s="17">
        <f>IF(OR(F104="",K104="",K104&lt;=0),"",F104/K104)</f>
        <v/>
      </c>
      <c r="N104" s="18" t="n">
        <v>0.0010384013</v>
      </c>
      <c r="O104" s="19">
        <f>IF(OR(N104="",M104="",M104&lt;=0),"",N104/M104)</f>
        <v/>
      </c>
      <c r="P104" s="20" t="n">
        <v>0.121199995</v>
      </c>
      <c r="Q104" s="20" t="n">
        <v>0.08843956355337573</v>
      </c>
      <c r="R104" s="20" t="n">
        <v>0.08353327161790873</v>
      </c>
      <c r="S104" s="21" t="n">
        <v>4</v>
      </c>
      <c r="T104" s="20" t="n"/>
      <c r="U104" s="20" t="n">
        <v>0.09334572962243821</v>
      </c>
      <c r="V104" s="20" t="n">
        <v>0.137048638060391</v>
      </c>
      <c r="W104" s="20" t="n">
        <v>0.1714370725119505</v>
      </c>
      <c r="X104" s="20" t="n">
        <v>-0.04807318598127683</v>
      </c>
      <c r="Y104" s="14" t="n"/>
      <c r="Z104" s="19">
        <f>IF(OR(Y104="",F104="",F104=0),"",Y104/F104)</f>
        <v/>
      </c>
      <c r="AA104" s="22" t="n">
        <v>17.142</v>
      </c>
      <c r="AB104" s="20" t="n">
        <v>0.1</v>
      </c>
      <c r="AC104" s="20" t="n">
        <v>0.208924256395516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2026-10-21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Stryker</t>
        </is>
      </c>
      <c r="C105" s="12" t="inlineStr">
        <is>
          <t>SYK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296.28</v>
      </c>
      <c r="G105" s="15" t="inlineStr">
        <is>
          <t>USD</t>
        </is>
      </c>
      <c r="H105" s="14" t="n">
        <v>263.6299336182532</v>
      </c>
      <c r="I105" s="16" t="n">
        <v>101121.3170178425</v>
      </c>
      <c r="J105" s="16" t="n">
        <v>113645</v>
      </c>
      <c r="K105" s="14" t="n">
        <v>9.65</v>
      </c>
      <c r="L105" s="14" t="n">
        <v>16.66221</v>
      </c>
      <c r="M105" s="17">
        <f>IF(OR(F105="",K105="",K105&lt;=0),"",F105/K105)</f>
        <v/>
      </c>
      <c r="N105" s="18" t="n">
        <v>4.7376</v>
      </c>
      <c r="O105" s="19">
        <f>IF(OR(N105="",M105="",M105&lt;=0),"",N105/M105)</f>
        <v/>
      </c>
      <c r="P105" s="20" t="n">
        <v>0.16508</v>
      </c>
      <c r="Q105" s="20" t="n">
        <v>0.16508</v>
      </c>
      <c r="R105" s="20" t="n"/>
      <c r="S105" s="21" t="n">
        <v>0</v>
      </c>
      <c r="T105" s="20" t="n"/>
      <c r="U105" s="20" t="n">
        <v>0.1447814451382694</v>
      </c>
      <c r="V105" s="20" t="n">
        <v>0.1450518561597364</v>
      </c>
      <c r="W105" s="20" t="n">
        <v>0.1702253536277094</v>
      </c>
      <c r="X105" s="20" t="n">
        <v>0.141911410688493</v>
      </c>
      <c r="Y105" s="14" t="n">
        <v>3.52</v>
      </c>
      <c r="Z105" s="19">
        <f>IF(OR(Y105="",F105="",F105=0),"",Y105/F105)</f>
        <v/>
      </c>
      <c r="AA105" s="22" t="n">
        <v>64.39100000000001</v>
      </c>
      <c r="AB105" s="20" t="n">
        <v>0.094</v>
      </c>
      <c r="AC105" s="20" t="n">
        <v>0.14433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2026-10-21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Medtronic</t>
        </is>
      </c>
      <c r="C106" s="12" t="inlineStr">
        <is>
          <t>MDT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92.94499999999999</v>
      </c>
      <c r="G106" s="15" t="inlineStr">
        <is>
          <t>USD</t>
        </is>
      </c>
      <c r="H106" s="14" t="n">
        <v>82.70245774317721</v>
      </c>
      <c r="I106" s="16" t="n">
        <v>105787.8729340736</v>
      </c>
      <c r="J106" s="16" t="n">
        <v>118889.5</v>
      </c>
      <c r="K106" s="14" t="n">
        <v>4.07</v>
      </c>
      <c r="L106" s="14" t="n">
        <v>6.40607</v>
      </c>
      <c r="M106" s="17">
        <f>IF(OR(F106="",K106="",K106&lt;=0),"",F106/K106)</f>
        <v/>
      </c>
      <c r="N106" s="18" t="n">
        <v>2.368508</v>
      </c>
      <c r="O106" s="19">
        <f>IF(OR(N106="",M106="",M106&lt;=0),"",N106/M106)</f>
        <v/>
      </c>
      <c r="P106" s="20" t="n">
        <v>0.106479995</v>
      </c>
      <c r="Q106" s="20" t="n">
        <v>0.08508513928303943</v>
      </c>
      <c r="R106" s="20" t="n">
        <v>0.01198455172386248</v>
      </c>
      <c r="S106" s="21" t="n">
        <v>4</v>
      </c>
      <c r="T106" s="20" t="n">
        <v>0.09706245072074075</v>
      </c>
      <c r="U106" s="20" t="n">
        <v>0.09707646176911544</v>
      </c>
      <c r="V106" s="20" t="n">
        <v>0.07320667542916318</v>
      </c>
      <c r="W106" s="20" t="n">
        <v>0.07299496921313832</v>
      </c>
      <c r="X106" s="20" t="n"/>
      <c r="Y106" s="14" t="n">
        <v>2.88</v>
      </c>
      <c r="Z106" s="19">
        <f>IF(OR(Y106="",F106="",F106=0),"",Y106/F106)</f>
        <v/>
      </c>
      <c r="AA106" s="22" t="n">
        <v>55.365</v>
      </c>
      <c r="AB106" s="20" t="n">
        <v>0.137</v>
      </c>
      <c r="AC106" s="20" t="n">
        <v>0.1438510632493675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2026-10-21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MetLife</t>
        </is>
      </c>
      <c r="C107" s="12" t="inlineStr">
        <is>
          <t>MET</t>
        </is>
      </c>
      <c r="D107" s="11" t="inlineStr">
        <is>
          <t>Assicurazione vita</t>
        </is>
      </c>
      <c r="E107" s="13" t="inlineStr">
        <is>
          <t>Finanziario</t>
        </is>
      </c>
      <c r="F107" s="14" t="n">
        <v>102.16</v>
      </c>
      <c r="G107" s="15" t="inlineStr">
        <is>
          <t>USD</t>
        </is>
      </c>
      <c r="H107" s="14" t="n">
        <v>90.90196442028063</v>
      </c>
      <c r="I107" s="16" t="n">
        <v>57766.08066517175</v>
      </c>
      <c r="J107" s="16" t="n">
        <v>64920.3</v>
      </c>
      <c r="K107" s="14" t="n">
        <v>5.22</v>
      </c>
      <c r="L107" s="14" t="n">
        <v>11.16356</v>
      </c>
      <c r="M107" s="17">
        <f>IF(OR(F107="",K107="",K107&lt;=0),"",F107/K107)</f>
        <v/>
      </c>
      <c r="N107" s="18" t="n">
        <v>2.374268</v>
      </c>
      <c r="O107" s="19">
        <f>IF(OR(N107="",M107="",M107&lt;=0),"",N107/M107)</f>
        <v/>
      </c>
      <c r="P107" s="20" t="n">
        <v>0.13094</v>
      </c>
      <c r="Q107" s="20" t="n">
        <v>0.1274159335614763</v>
      </c>
      <c r="R107" s="20" t="n">
        <v>0.04811596554463902</v>
      </c>
      <c r="S107" s="21" t="n">
        <v>4</v>
      </c>
      <c r="T107" s="20" t="n"/>
      <c r="U107" s="20" t="n">
        <v>0.1189872526234242</v>
      </c>
      <c r="V107" s="20" t="n">
        <v>0.1612679905265076</v>
      </c>
      <c r="W107" s="20" t="n">
        <v>0.05257371314342828</v>
      </c>
      <c r="X107" s="20" t="n">
        <v>0.1768347779525451</v>
      </c>
      <c r="Y107" s="14" t="n">
        <v>2.37</v>
      </c>
      <c r="Z107" s="19">
        <f>IF(OR(Y107="",F107="",F107=0),"",Y107/F107)</f>
        <v/>
      </c>
      <c r="AA107" s="22" t="n">
        <v>179.933</v>
      </c>
      <c r="AB107" s="20" t="n">
        <v>0.105</v>
      </c>
      <c r="AC107" s="20" t="n">
        <v>0.04548338403785656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2026-10-21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Occidental Petroleum</t>
        </is>
      </c>
      <c r="C108" s="12" t="inlineStr">
        <is>
          <t>OXY</t>
        </is>
      </c>
      <c r="D108" s="11" t="inlineStr">
        <is>
          <t>Esplorazione e produzione</t>
        </is>
      </c>
      <c r="E108" s="13" t="inlineStr">
        <is>
          <t>Energia</t>
        </is>
      </c>
      <c r="F108" s="14" t="n">
        <v>63.12</v>
      </c>
      <c r="G108" s="15" t="inlineStr">
        <is>
          <t>USD</t>
        </is>
      </c>
      <c r="H108" s="14" t="n">
        <v>56.16417378825484</v>
      </c>
      <c r="I108" s="16" t="n">
        <v>56143.79736905726</v>
      </c>
      <c r="J108" s="16" t="n">
        <v>63097.1</v>
      </c>
      <c r="K108" s="14" t="n">
        <v>3.52</v>
      </c>
      <c r="L108" s="14" t="n">
        <v>4.95986</v>
      </c>
      <c r="M108" s="17">
        <f>IF(OR(F108="",K108="",K108&lt;=0),"",F108/K108)</f>
        <v/>
      </c>
      <c r="N108" s="18" t="n">
        <v>1.8859241</v>
      </c>
      <c r="O108" s="19">
        <f>IF(OR(N108="",M108="",M108&lt;=0),"",N108/M108)</f>
        <v/>
      </c>
      <c r="P108" s="20" t="n">
        <v>0.10629</v>
      </c>
      <c r="Q108" s="20" t="n">
        <v>0.1878668803897049</v>
      </c>
      <c r="R108" s="20" t="n">
        <v>0.1505382025614877</v>
      </c>
      <c r="S108" s="21" t="n">
        <v>4</v>
      </c>
      <c r="T108" s="20" t="n"/>
      <c r="U108" s="20" t="n">
        <v>0.06455014708331021</v>
      </c>
      <c r="V108" s="20" t="n">
        <v>0.08946397728270734</v>
      </c>
      <c r="W108" s="20" t="n">
        <v>0.1552396694214876</v>
      </c>
      <c r="X108" s="20" t="n">
        <v>0.4422137277713146</v>
      </c>
      <c r="Y108" s="14" t="n">
        <v>1.12</v>
      </c>
      <c r="Z108" s="19">
        <f>IF(OR(Y108="",F108="",F108=0),"",Y108/F108)</f>
        <v/>
      </c>
      <c r="AA108" s="22" t="n">
        <v>34.511</v>
      </c>
      <c r="AB108" s="20" t="n">
        <v>0.534</v>
      </c>
      <c r="AC108" s="20" t="n">
        <v>0.157412127263465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2026-10-21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Kinder Morgan</t>
        </is>
      </c>
      <c r="C109" s="12" t="inlineStr">
        <is>
          <t>KMI</t>
        </is>
      </c>
      <c r="D109" s="11" t="inlineStr">
        <is>
          <t>Gasdotti</t>
        </is>
      </c>
      <c r="E109" s="13" t="inlineStr">
        <is>
          <t>Energia</t>
        </is>
      </c>
      <c r="F109" s="14" t="n">
        <v>34.19</v>
      </c>
      <c r="G109" s="15" t="inlineStr">
        <is>
          <t>USD</t>
        </is>
      </c>
      <c r="H109" s="14" t="n">
        <v>30.42226080197137</v>
      </c>
      <c r="I109" s="16" t="n">
        <v>67684.23597459479</v>
      </c>
      <c r="J109" s="16" t="n">
        <v>76066.8</v>
      </c>
      <c r="K109" s="14" t="n">
        <v>1.55</v>
      </c>
      <c r="L109" s="14" t="n">
        <v>1.55201</v>
      </c>
      <c r="M109" s="17">
        <f>IF(OR(F109="",K109="",K109&lt;=0),"",F109/K109)</f>
        <v/>
      </c>
      <c r="N109" s="18" t="n">
        <v>2.4048674</v>
      </c>
      <c r="O109" s="19">
        <f>IF(OR(N109="",M109="",M109&lt;=0),"",N109/M109)</f>
        <v/>
      </c>
      <c r="P109" s="20" t="n">
        <v>0.109910004</v>
      </c>
      <c r="Q109" s="20" t="n">
        <v>0.08635798073446269</v>
      </c>
      <c r="R109" s="20" t="n">
        <v>0.007167473388274325</v>
      </c>
      <c r="S109" s="21" t="n">
        <v>4</v>
      </c>
      <c r="T109" s="20" t="n"/>
      <c r="U109" s="20" t="n">
        <v>0.0980681599383865</v>
      </c>
      <c r="V109" s="20" t="n">
        <v>0.08558514296944089</v>
      </c>
      <c r="W109" s="20" t="n">
        <v>0.07889526826371016</v>
      </c>
      <c r="X109" s="20" t="n">
        <v>0.08288335176631319</v>
      </c>
      <c r="Y109" s="14" t="n">
        <v>1.18</v>
      </c>
      <c r="Z109" s="19">
        <f>IF(OR(Y109="",F109="",F109=0),"",Y109/F109)</f>
        <v/>
      </c>
      <c r="AA109" s="22" t="n">
        <v>98.619</v>
      </c>
      <c r="AB109" s="20" t="n">
        <v>0.108</v>
      </c>
      <c r="AC109" s="20" t="n">
        <v>0.2036370039558363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2026-10-21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Colgate-Palmolive</t>
        </is>
      </c>
      <c r="C110" s="12" t="inlineStr">
        <is>
          <t>CL</t>
        </is>
      </c>
      <c r="D110" s="11" t="inlineStr">
        <is>
          <t>Cura della persona</t>
        </is>
      </c>
      <c r="E110" s="13" t="inlineStr">
        <is>
          <t>Consumi</t>
        </is>
      </c>
      <c r="F110" s="14" t="n">
        <v>93.47499999999999</v>
      </c>
      <c r="G110" s="15" t="inlineStr">
        <is>
          <t>USD</t>
        </is>
      </c>
      <c r="H110" s="14" t="n">
        <v>83.17405172460585</v>
      </c>
      <c r="I110" s="16" t="n">
        <v>66304.06724894582</v>
      </c>
      <c r="J110" s="16" t="n">
        <v>74515.7</v>
      </c>
      <c r="K110" s="14" t="n">
        <v>2.54</v>
      </c>
      <c r="L110" s="14" t="n">
        <v>4.08718</v>
      </c>
      <c r="M110" s="17">
        <f>IF(OR(F110="",K110="",K110&lt;=0),"",F110/K110)</f>
        <v/>
      </c>
      <c r="N110" s="18" t="n">
        <v>315.7939</v>
      </c>
      <c r="O110" s="19">
        <f>IF(OR(N110="",M110="",M110&lt;=0),"",N110/M110)</f>
        <v/>
      </c>
      <c r="P110" s="20" t="n">
        <v>2.67367</v>
      </c>
      <c r="Q110" s="20" t="n">
        <v>15.33422365753694</v>
      </c>
      <c r="R110" s="20" t="n">
        <v>14.47425872617575</v>
      </c>
      <c r="S110" s="21" t="n">
        <v>4</v>
      </c>
      <c r="T110" s="20" t="n"/>
      <c r="U110" s="20" t="n">
        <v>39.48148148148148</v>
      </c>
      <c r="V110" s="20" t="n">
        <v>13.62735849056604</v>
      </c>
      <c r="W110" s="20" t="n">
        <v>3.776683087027914</v>
      </c>
      <c r="X110" s="20" t="n">
        <v>4.451371571072319</v>
      </c>
      <c r="Y110" s="14" t="n">
        <v>2.12</v>
      </c>
      <c r="Z110" s="19">
        <f>IF(OR(Y110="",F110="",F110=0),"",Y110/F110)</f>
        <v/>
      </c>
      <c r="AA110" s="22" t="n">
        <v>1388.163</v>
      </c>
      <c r="AB110" s="20" t="n">
        <v>0.049</v>
      </c>
      <c r="AC110" s="20" t="n">
        <v>0.09999018742027278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2026-10-21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Palo Alto Networks</t>
        </is>
      </c>
      <c r="C111" s="12" t="inlineStr">
        <is>
          <t>PANW</t>
        </is>
      </c>
      <c r="D111" s="11" t="inlineStr">
        <is>
          <t>Cybersicurezza</t>
        </is>
      </c>
      <c r="E111" s="13" t="inlineStr">
        <is>
          <t>Tecnologia</t>
        </is>
      </c>
      <c r="F111" s="14" t="n">
        <v>347.46</v>
      </c>
      <c r="G111" s="15" t="inlineStr">
        <is>
          <t>USD</t>
        </is>
      </c>
      <c r="H111" s="14" t="n">
        <v>309.1698958248895</v>
      </c>
      <c r="I111" s="16" t="n">
        <v>252900.9925807589</v>
      </c>
      <c r="J111" s="16" t="n">
        <v>284222.3</v>
      </c>
      <c r="K111" s="14" t="n">
        <v>0.4</v>
      </c>
      <c r="L111" s="14" t="n">
        <v>4.87907</v>
      </c>
      <c r="M111" s="17">
        <f>IF(OR(F111="",K111="",K111&lt;=0),"",F111/K111)</f>
        <v/>
      </c>
      <c r="N111" s="18" t="n">
        <v>10.300299</v>
      </c>
      <c r="O111" s="19">
        <f>IF(OR(N111="",M111="",M111&lt;=0),"",N111/M111)</f>
        <v/>
      </c>
      <c r="P111" s="20" t="n">
        <v>0.01739</v>
      </c>
      <c r="Q111" s="20" t="n">
        <v>0.2265668951458051</v>
      </c>
      <c r="R111" s="20" t="n">
        <v>0.1786925818781736</v>
      </c>
      <c r="S111" s="21" t="n">
        <v>4</v>
      </c>
      <c r="T111" s="20" t="n">
        <v>0.01116688491197439</v>
      </c>
      <c r="U111" s="20" t="n">
        <v>0.1449386503067485</v>
      </c>
      <c r="V111" s="20" t="n">
        <v>0.4986749714683638</v>
      </c>
      <c r="W111" s="20" t="n">
        <v>0.2514870738961336</v>
      </c>
      <c r="X111" s="20" t="n">
        <v>-1.271428571428571</v>
      </c>
      <c r="Y111" s="14" t="n"/>
      <c r="Z111" s="19">
        <f>IF(OR(Y111="",F111="",F111=0),"",Y111/F111)</f>
        <v/>
      </c>
      <c r="AA111" s="22" t="n">
        <v>9.337</v>
      </c>
      <c r="AB111" s="20" t="n">
        <v>0.345</v>
      </c>
      <c r="AC111" s="20" t="n">
        <v>0.02674216027874565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2026-10-21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443.12</v>
      </c>
      <c r="G112" s="15" t="inlineStr">
        <is>
          <t>USD</t>
        </is>
      </c>
      <c r="H112" s="14" t="n">
        <v>394.2881604729322</v>
      </c>
      <c r="I112" s="16" t="n">
        <v>116236.1710626196</v>
      </c>
      <c r="J112" s="16" t="n">
        <v>130631.8</v>
      </c>
      <c r="K112" s="14" t="n">
        <v>16.43</v>
      </c>
      <c r="L112" s="14" t="n">
        <v>20.16706</v>
      </c>
      <c r="M112" s="17">
        <f>IF(OR(F112="",K112="",K112&lt;=0),"",F112/K112)</f>
        <v/>
      </c>
      <c r="N112" s="18" t="n">
        <v>4.146928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2026-10-21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American Electric Power</t>
        </is>
      </c>
      <c r="C113" s="12" t="inlineStr">
        <is>
          <t>AEP</t>
        </is>
      </c>
      <c r="D113" s="11" t="inlineStr">
        <is>
          <t>Utility</t>
        </is>
      </c>
      <c r="E113" s="13" t="inlineStr">
        <is>
          <t>Utility</t>
        </is>
      </c>
      <c r="F113" s="14" t="n">
        <v>127.73</v>
      </c>
      <c r="G113" s="15" t="inlineStr">
        <is>
          <t>USD</t>
        </is>
      </c>
      <c r="H113" s="14" t="n">
        <v>113.6541495242996</v>
      </c>
      <c r="I113" s="16" t="n">
        <v>61873.04138343962</v>
      </c>
      <c r="J113" s="16" t="n">
        <v>69535.89999999999</v>
      </c>
      <c r="K113" s="14" t="n">
        <v>5.77</v>
      </c>
      <c r="L113" s="14" t="n">
        <v>6.86621</v>
      </c>
      <c r="M113" s="17">
        <f>IF(OR(F113="",K113="",K113&lt;=0),"",F113/K113)</f>
        <v/>
      </c>
      <c r="N113" s="18" t="n">
        <v>2.1675236</v>
      </c>
      <c r="O113" s="19">
        <f>IF(OR(N113="",M113="",M113&lt;=0),"",N113/M113)</f>
        <v/>
      </c>
      <c r="P113" s="20" t="n">
        <v>0.10130999</v>
      </c>
      <c r="Q113" s="20" t="n">
        <v>0.1022771363241528</v>
      </c>
      <c r="R113" s="20" t="n">
        <v>0.01089640173381587</v>
      </c>
      <c r="S113" s="21" t="n">
        <v>4</v>
      </c>
      <c r="T113" s="20" t="n"/>
      <c r="U113" s="20" t="n">
        <v>0.1149720598625474</v>
      </c>
      <c r="V113" s="20" t="n">
        <v>0.1101172802850356</v>
      </c>
      <c r="W113" s="20" t="n">
        <v>0.08745697457489493</v>
      </c>
      <c r="X113" s="20" t="n">
        <v>0.09656223057413345</v>
      </c>
      <c r="Y113" s="14" t="n">
        <v>3.88</v>
      </c>
      <c r="Z113" s="19">
        <f>IF(OR(Y113="",F113="",F113=0),"",Y113/F113)</f>
        <v/>
      </c>
      <c r="AA113" s="22" t="n">
        <v>160.789</v>
      </c>
      <c r="AB113" s="20" t="n">
        <v>0.07000000000000001</v>
      </c>
      <c r="AC113" s="20" t="n">
        <v>0.1435820047540684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2026-10-21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109.7</v>
      </c>
      <c r="G114" s="15" t="inlineStr">
        <is>
          <t>USD</t>
        </is>
      </c>
      <c r="H114" s="14" t="n">
        <v>97.61105615607661</v>
      </c>
      <c r="I114" s="16" t="n">
        <v>51379.00753669468</v>
      </c>
      <c r="J114" s="16" t="n">
        <v>57742.2</v>
      </c>
      <c r="K114" s="14" t="n">
        <v>4.75</v>
      </c>
      <c r="L114" s="14" t="n">
        <v>7.15963</v>
      </c>
      <c r="M114" s="17">
        <f>IF(OR(F114="",K114="",K114&lt;=0),"",F114/K114)</f>
        <v/>
      </c>
      <c r="N114" s="18" t="n">
        <v>2.8414536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2026-10-21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Equinix</t>
        </is>
      </c>
      <c r="C115" s="12" t="inlineStr">
        <is>
          <t>EQIX</t>
        </is>
      </c>
      <c r="D115" s="11" t="inlineStr">
        <is>
          <t>REIT / Data center</t>
        </is>
      </c>
      <c r="E115" s="13" t="inlineStr">
        <is>
          <t>Immobiliare</t>
        </is>
      </c>
      <c r="F115" s="14" t="n">
        <v>993.48</v>
      </c>
      <c r="G115" s="15" t="inlineStr">
        <is>
          <t>USD</t>
        </is>
      </c>
      <c r="H115" s="14" t="n">
        <v>883.9984691881403</v>
      </c>
      <c r="I115" s="16" t="n">
        <v>87225.57790505675</v>
      </c>
      <c r="J115" s="16" t="n">
        <v>98028.3</v>
      </c>
      <c r="K115" s="14" t="n">
        <v>15.54</v>
      </c>
      <c r="L115" s="14" t="n">
        <v>18.5275</v>
      </c>
      <c r="M115" s="17">
        <f>IF(OR(F115="",K115="",K115&lt;=0),"",F115/K115)</f>
        <v/>
      </c>
      <c r="N115" s="18" t="n">
        <v>6.816002</v>
      </c>
      <c r="O115" s="19">
        <f>IF(OR(N115="",M115="",M115&lt;=0),"",N115/M115)</f>
        <v/>
      </c>
      <c r="P115" s="20" t="n">
        <v>0.10735</v>
      </c>
      <c r="Q115" s="20" t="n">
        <v>0.07361804446541069</v>
      </c>
      <c r="R115" s="20" t="n">
        <v>0.0143175686792554</v>
      </c>
      <c r="S115" s="21" t="n">
        <v>4</v>
      </c>
      <c r="T115" s="20" t="n"/>
      <c r="U115" s="20" t="n">
        <v>0.09536592257699915</v>
      </c>
      <c r="V115" s="20" t="n">
        <v>0.06024541691306919</v>
      </c>
      <c r="W115" s="20" t="n">
        <v>0.07758827768436224</v>
      </c>
      <c r="X115" s="20" t="n">
        <v>0.06127256068721218</v>
      </c>
      <c r="Y115" s="14" t="n">
        <v>20.64</v>
      </c>
      <c r="Z115" s="19">
        <f>IF(OR(Y115="",F115="",F115=0),"",Y115/F115)</f>
        <v/>
      </c>
      <c r="AA115" s="22" t="n">
        <v>162.217</v>
      </c>
      <c r="AB115" s="20" t="n">
        <v>0.167</v>
      </c>
      <c r="AC115" s="20" t="n">
        <v>0.1663230916784203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2026-10-21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Synopsys</t>
        </is>
      </c>
      <c r="C116" s="12" t="inlineStr">
        <is>
          <t>SNPS</t>
        </is>
      </c>
      <c r="D116" s="11" t="inlineStr">
        <is>
          <t>Software EDA</t>
        </is>
      </c>
      <c r="E116" s="13" t="inlineStr">
        <is>
          <t>Tecnologia</t>
        </is>
      </c>
      <c r="F116" s="14" t="n">
        <v>452.14</v>
      </c>
      <c r="G116" s="15" t="inlineStr">
        <is>
          <t>USD</t>
        </is>
      </c>
      <c r="H116" s="14" t="n">
        <v>402.3141561568685</v>
      </c>
      <c r="I116" s="16" t="n">
        <v>77098.14164387519</v>
      </c>
      <c r="J116" s="16" t="n">
        <v>86646.60000000001</v>
      </c>
      <c r="K116" s="14" t="n">
        <v>5.66</v>
      </c>
      <c r="L116" s="14" t="n">
        <v>18.73285</v>
      </c>
      <c r="M116" s="17">
        <f>IF(OR(F116="",K116="",K116&lt;=0),"",F116/K116)</f>
        <v/>
      </c>
      <c r="N116" s="18" t="n">
        <v>2.7809112</v>
      </c>
      <c r="O116" s="19">
        <f>IF(OR(N116="",M116="",M116&lt;=0),"",N116/M116)</f>
        <v/>
      </c>
      <c r="P116" s="20" t="n">
        <v>0.03661</v>
      </c>
      <c r="Q116" s="20" t="n">
        <v>0.1693379698100742</v>
      </c>
      <c r="R116" s="20" t="n">
        <v>0.07546384101190132</v>
      </c>
      <c r="S116" s="21" t="n">
        <v>4</v>
      </c>
      <c r="T116" s="20" t="n"/>
      <c r="U116" s="20" t="n">
        <v>0.04702904255714974</v>
      </c>
      <c r="V116" s="20" t="n">
        <v>0.2517467490302759</v>
      </c>
      <c r="W116" s="20" t="n">
        <v>0.2000693636954582</v>
      </c>
      <c r="X116" s="20" t="n">
        <v>0.1785067239574127</v>
      </c>
      <c r="Y116" s="14" t="n"/>
      <c r="Z116" s="19">
        <f>IF(OR(Y116="",F116="",F116=0),"",Y116/F116)</f>
        <v/>
      </c>
      <c r="AA116" s="22" t="n">
        <v>34.804</v>
      </c>
      <c r="AB116" s="20" t="n">
        <v>0.424</v>
      </c>
      <c r="AC116" s="20" t="n">
        <v>0.1526129587316906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2026-10-21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90.3999</v>
      </c>
      <c r="G117" s="15" t="inlineStr">
        <is>
          <t>USD</t>
        </is>
      </c>
      <c r="H117" s="14" t="n">
        <v>80.43782785235834</v>
      </c>
      <c r="I117" s="16" t="n">
        <v>92532.70081606224</v>
      </c>
      <c r="J117" s="16" t="n">
        <v>103992.7</v>
      </c>
      <c r="K117" s="14" t="n">
        <v>4.15</v>
      </c>
      <c r="L117" s="14" t="n">
        <v>4.92266</v>
      </c>
      <c r="M117" s="17">
        <f>IF(OR(F117="",K117="",K117&lt;=0),"",F117/K117)</f>
        <v/>
      </c>
      <c r="N117" s="18" t="n">
        <v>2.628057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2026-10-21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RTX Corporation</t>
        </is>
      </c>
      <c r="C118" s="12" t="inlineStr">
        <is>
          <t>RTX</t>
        </is>
      </c>
      <c r="D118" s="11" t="inlineStr">
        <is>
          <t>Difesa / Aerospazio</t>
        </is>
      </c>
      <c r="E118" s="13" t="inlineStr">
        <is>
          <t>Industriale</t>
        </is>
      </c>
      <c r="F118" s="14" t="n">
        <v>189.97</v>
      </c>
      <c r="G118" s="15" t="inlineStr">
        <is>
          <t>USD</t>
        </is>
      </c>
      <c r="H118" s="14" t="n">
        <v>169.0352993433899</v>
      </c>
      <c r="I118" s="16" t="n">
        <v>227818.6883085001</v>
      </c>
      <c r="J118" s="16" t="n">
        <v>256033.6</v>
      </c>
      <c r="K118" s="14" t="n">
        <v>5.68</v>
      </c>
      <c r="L118" s="14" t="n">
        <v>7.97386</v>
      </c>
      <c r="M118" s="17">
        <f>IF(OR(F118="",K118="",K118&lt;=0),"",F118/K118)</f>
        <v/>
      </c>
      <c r="N118" s="18" t="n">
        <v>3.908285</v>
      </c>
      <c r="O118" s="19">
        <f>IF(OR(N118="",M118="",M118&lt;=0),"",N118/M118)</f>
        <v/>
      </c>
      <c r="P118" s="20" t="n">
        <v>0.12274</v>
      </c>
      <c r="Q118" s="20" t="n">
        <v>0.07688075362298834</v>
      </c>
      <c r="R118" s="20" t="n">
        <v>0.01786161675583029</v>
      </c>
      <c r="S118" s="21" t="n">
        <v>4</v>
      </c>
      <c r="T118" s="20" t="n"/>
      <c r="U118" s="20" t="n">
        <v>0.1031803203310599</v>
      </c>
      <c r="V118" s="20" t="n">
        <v>0.07936032980916284</v>
      </c>
      <c r="W118" s="20" t="n">
        <v>0.05342988059801331</v>
      </c>
      <c r="X118" s="20" t="n">
        <v>0.07155248375371737</v>
      </c>
      <c r="Y118" s="14" t="n">
        <v>2.92</v>
      </c>
      <c r="Z118" s="19">
        <f>IF(OR(Y118="",F118="",F118=0),"",Y118/F118)</f>
        <v/>
      </c>
      <c r="AA118" s="22" t="n">
        <v>57.02</v>
      </c>
      <c r="AB118" s="20" t="n">
        <v>0.145</v>
      </c>
      <c r="AC118" s="20" t="n">
        <v>0.08733338455808494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2026-10-21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Mondelez International</t>
        </is>
      </c>
      <c r="C119" s="12" t="inlineStr">
        <is>
          <t>MDLZ</t>
        </is>
      </c>
      <c r="D119" s="11" t="inlineStr">
        <is>
          <t>Alimentare</t>
        </is>
      </c>
      <c r="E119" s="13" t="inlineStr">
        <is>
          <t>Consumi</t>
        </is>
      </c>
      <c r="F119" s="14" t="n">
        <v>62.4001</v>
      </c>
      <c r="G119" s="15" t="inlineStr">
        <is>
          <t>USD</t>
        </is>
      </c>
      <c r="H119" s="14" t="n">
        <v>55.52360679348037</v>
      </c>
      <c r="I119" s="16" t="n">
        <v>71272.88821327366</v>
      </c>
      <c r="J119" s="16" t="n">
        <v>80099.89999999999</v>
      </c>
      <c r="K119" s="14" t="n">
        <v>2.72</v>
      </c>
      <c r="L119" s="14" t="n">
        <v>3.35891</v>
      </c>
      <c r="M119" s="17">
        <f>IF(OR(F119="",K119="",K119&lt;=0),"",F119/K119)</f>
        <v/>
      </c>
      <c r="N119" s="18" t="n">
        <v>2.9995723</v>
      </c>
      <c r="O119" s="19">
        <f>IF(OR(N119="",M119="",M119&lt;=0),"",N119/M119)</f>
        <v/>
      </c>
      <c r="P119" s="20" t="n">
        <v>0.13340001</v>
      </c>
      <c r="Q119" s="20" t="n">
        <v>0.1355421523570761</v>
      </c>
      <c r="R119" s="20" t="n">
        <v>0.03766650206384878</v>
      </c>
      <c r="S119" s="21" t="n">
        <v>4</v>
      </c>
      <c r="T119" s="20" t="n"/>
      <c r="U119" s="20" t="n">
        <v>0.09486028330366128</v>
      </c>
      <c r="V119" s="20" t="n">
        <v>0.1712089707411258</v>
      </c>
      <c r="W119" s="20" t="n">
        <v>0.1750317662007624</v>
      </c>
      <c r="X119" s="20" t="n">
        <v>0.1010675891827549</v>
      </c>
      <c r="Y119" s="14" t="n">
        <v>2.08</v>
      </c>
      <c r="Z119" s="19">
        <f>IF(OR(Y119="",F119="",F119=0),"",Y119/F119)</f>
        <v/>
      </c>
      <c r="AA119" s="22" t="n">
        <v>82.643</v>
      </c>
      <c r="AB119" s="20" t="n">
        <v>0.041</v>
      </c>
      <c r="AC119" s="20" t="n">
        <v>0.09123699301969536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2026-10-21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Vertex Pharmaceuticals</t>
        </is>
      </c>
      <c r="C120" s="12" t="inlineStr">
        <is>
          <t>VRTX</t>
        </is>
      </c>
      <c r="D120" s="11" t="inlineStr">
        <is>
          <t>Biotecnologie</t>
        </is>
      </c>
      <c r="E120" s="13" t="inlineStr">
        <is>
          <t>Salute</t>
        </is>
      </c>
      <c r="F120" s="14" t="n">
        <v>526.49</v>
      </c>
      <c r="G120" s="15" t="inlineStr">
        <is>
          <t>USD</t>
        </is>
      </c>
      <c r="H120" s="14" t="n">
        <v>468.4707835516206</v>
      </c>
      <c r="I120" s="16" t="n">
        <v>118663.6343470261</v>
      </c>
      <c r="J120" s="16" t="n">
        <v>133359.9</v>
      </c>
      <c r="K120" s="14" t="n">
        <v>17.17</v>
      </c>
      <c r="L120" s="14" t="n">
        <v>20.10614</v>
      </c>
      <c r="M120" s="17">
        <f>IF(OR(F120="",K120="",K120&lt;=0),"",F120/K120)</f>
        <v/>
      </c>
      <c r="N120" s="18" t="n">
        <v>6.5876303</v>
      </c>
      <c r="O120" s="19">
        <f>IF(OR(N120="",M120="",M120&lt;=0),"",N120/M120)</f>
        <v/>
      </c>
      <c r="P120" s="20" t="n">
        <v>0.23542999</v>
      </c>
      <c r="Q120" s="20" t="n">
        <v>0.1559529985811414</v>
      </c>
      <c r="R120" s="20" t="n">
        <v>0.1095874808620584</v>
      </c>
      <c r="S120" s="21" t="n">
        <v>4</v>
      </c>
      <c r="T120" s="20" t="n"/>
      <c r="U120" s="20" t="n">
        <v>0.2117884044616357</v>
      </c>
      <c r="V120" s="20" t="n">
        <v>-0.03263943057722309</v>
      </c>
      <c r="W120" s="20" t="n">
        <v>0.2058883756911105</v>
      </c>
      <c r="X120" s="20" t="n">
        <v>0.2387746447490423</v>
      </c>
      <c r="Y120" s="14" t="n"/>
      <c r="Z120" s="19">
        <f>IF(OR(Y120="",F120="",F120=0),"",Y120/F120)</f>
        <v/>
      </c>
      <c r="AA120" s="22" t="n">
        <v>9.766999999999999</v>
      </c>
      <c r="AB120" s="20" t="n">
        <v>0.125</v>
      </c>
      <c r="AC120" s="20" t="n">
        <v>0.3670602244756818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2026-10-21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Boston Scientific</t>
        </is>
      </c>
      <c r="C121" s="12" t="inlineStr">
        <is>
          <t>BSX</t>
        </is>
      </c>
      <c r="D121" s="11" t="inlineStr">
        <is>
          <t>Dispositivi medicali</t>
        </is>
      </c>
      <c r="E121" s="13" t="inlineStr">
        <is>
          <t>Salute</t>
        </is>
      </c>
      <c r="F121" s="14" t="n">
        <v>44.45</v>
      </c>
      <c r="G121" s="15" t="inlineStr">
        <is>
          <t>USD</t>
        </is>
      </c>
      <c r="H121" s="14" t="n">
        <v>39.55160844245766</v>
      </c>
      <c r="I121" s="16" t="n">
        <v>57319.40108276199</v>
      </c>
      <c r="J121" s="16" t="n">
        <v>64418.3</v>
      </c>
      <c r="K121" s="14" t="n">
        <v>2.47</v>
      </c>
      <c r="L121" s="14" t="n">
        <v>3.37691</v>
      </c>
      <c r="M121" s="17">
        <f>IF(OR(F121="",K121="",K121&lt;=0),"",F121/K121)</f>
        <v/>
      </c>
      <c r="N121" s="18" t="n">
        <v>2.5795033</v>
      </c>
      <c r="O121" s="19">
        <f>IF(OR(N121="",M121="",M121&lt;=0),"",N121/M121)</f>
        <v/>
      </c>
      <c r="P121" s="20" t="n">
        <v>0.15338999</v>
      </c>
      <c r="Q121" s="20" t="n">
        <v>0.08177373868964678</v>
      </c>
      <c r="R121" s="20" t="n">
        <v>0.02833405857448824</v>
      </c>
      <c r="S121" s="21" t="n">
        <v>4</v>
      </c>
      <c r="T121" s="20" t="n"/>
      <c r="U121" s="20" t="n">
        <v>0.1195939253879168</v>
      </c>
      <c r="V121" s="20" t="n">
        <v>0.08516306844281121</v>
      </c>
      <c r="W121" s="20" t="n">
        <v>0.08262019604792283</v>
      </c>
      <c r="X121" s="20" t="n">
        <v>0.03971776487993627</v>
      </c>
      <c r="Y121" s="14" t="n"/>
      <c r="Z121" s="19">
        <f>IF(OR(Y121="",F121="",F121=0),"",Y121/F121)</f>
        <v/>
      </c>
      <c r="AA121" s="22" t="n">
        <v>50.151</v>
      </c>
      <c r="AB121" s="20" t="n">
        <v>0.075</v>
      </c>
      <c r="AC121" s="20" t="n">
        <v>0.183022809205938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2026-10-21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406.75</v>
      </c>
      <c r="G122" s="15" t="inlineStr">
        <is>
          <t>USD</t>
        </is>
      </c>
      <c r="H122" s="14" t="n">
        <v>361.9261357473488</v>
      </c>
      <c r="I122" s="16" t="n">
        <v>175376.9036936575</v>
      </c>
      <c r="J122" s="16" t="n">
        <v>197097</v>
      </c>
      <c r="K122" s="14" t="n">
        <v>8.42</v>
      </c>
      <c r="L122" s="14" t="n">
        <v>16.50078</v>
      </c>
      <c r="M122" s="17">
        <f>IF(OR(F122="",K122="",K122&lt;=0),"",F122/K122)</f>
        <v/>
      </c>
      <c r="N122" s="18" t="n">
        <v>5.8745794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2026-10-21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272.3085</v>
      </c>
      <c r="G123" s="15" t="inlineStr">
        <is>
          <t>USD</t>
        </is>
      </c>
      <c r="H123" s="14" t="n">
        <v>242.3000937582223</v>
      </c>
      <c r="I123" s="16" t="n">
        <v>85848.70143927813</v>
      </c>
      <c r="J123" s="16" t="n">
        <v>96480.89999999999</v>
      </c>
      <c r="K123" s="14" t="n">
        <v>10.23</v>
      </c>
      <c r="L123" s="14" t="n">
        <v>13.29021</v>
      </c>
      <c r="M123" s="17">
        <f>IF(OR(F123="",K123="",K123&lt;=0),"",F123/K123)</f>
        <v/>
      </c>
      <c r="N123" s="18" t="n">
        <v>3.0256836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>
        <v>1.71</v>
      </c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2026-10-21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Amazon</t>
        </is>
      </c>
      <c r="C124" s="12" t="inlineStr">
        <is>
          <t>AMZN</t>
        </is>
      </c>
      <c r="D124" s="11" t="inlineStr">
        <is>
          <t>E-commerce / Cloud</t>
        </is>
      </c>
      <c r="E124" s="13" t="inlineStr">
        <is>
          <t>Tecnologia</t>
        </is>
      </c>
      <c r="F124" s="14" t="n">
        <v>263.49</v>
      </c>
      <c r="G124" s="15" t="inlineStr">
        <is>
          <t>USD</t>
        </is>
      </c>
      <c r="H124" s="14" t="n">
        <v>234.4533927672254</v>
      </c>
      <c r="I124" s="16" t="n">
        <v>2528743.697658073</v>
      </c>
      <c r="J124" s="16" t="n">
        <v>2841923.8</v>
      </c>
      <c r="K124" s="14" t="n">
        <v>12.43</v>
      </c>
      <c r="L124" s="14" t="n">
        <v>10.44315</v>
      </c>
      <c r="M124" s="17">
        <f>IF(OR(F124="",K124="",K124&lt;=0),"",F124/K124)</f>
        <v/>
      </c>
      <c r="N124" s="18" t="n">
        <v>5.1504226</v>
      </c>
      <c r="O124" s="19">
        <f>IF(OR(N124="",M124="",M124&lt;=0),"",N124/M124)</f>
        <v/>
      </c>
      <c r="P124" s="20" t="n">
        <v>0.30558002</v>
      </c>
      <c r="Q124" s="20" t="n">
        <v>0.1320511298823096</v>
      </c>
      <c r="R124" s="20" t="n">
        <v>0.08935541595787762</v>
      </c>
      <c r="S124" s="21" t="n">
        <v>4</v>
      </c>
      <c r="T124" s="20" t="n"/>
      <c r="U124" s="20" t="n">
        <v>0.1889482198679041</v>
      </c>
      <c r="V124" s="20" t="n">
        <v>0.2071825715984194</v>
      </c>
      <c r="W124" s="20" t="n">
        <v>0.1507120743034056</v>
      </c>
      <c r="X124" s="20" t="n">
        <v>-0.01863834624049081</v>
      </c>
      <c r="Y124" s="14" t="n"/>
      <c r="Z124" s="19">
        <f>IF(OR(Y124="",F124="",F124=0),"",Y124/F124)</f>
        <v/>
      </c>
      <c r="AA124" s="22" t="n">
        <v>45.617</v>
      </c>
      <c r="AB124" s="20" t="n">
        <v>0.196</v>
      </c>
      <c r="AC124" s="20" t="n">
        <v>0.1886964314878564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2026-10-21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Dominion Energy</t>
        </is>
      </c>
      <c r="C125" s="12" t="inlineStr">
        <is>
          <t>D</t>
        </is>
      </c>
      <c r="D125" s="11" t="inlineStr">
        <is>
          <t>Utility</t>
        </is>
      </c>
      <c r="E125" s="13" t="inlineStr">
        <is>
          <t>Utility</t>
        </is>
      </c>
      <c r="F125" s="14" t="n">
        <v>62.675</v>
      </c>
      <c r="G125" s="15" t="inlineStr">
        <is>
          <t>USD</t>
        </is>
      </c>
      <c r="H125" s="14" t="n">
        <v>55.76821280384778</v>
      </c>
      <c r="I125" s="16" t="n">
        <v>49049.60020842675</v>
      </c>
      <c r="J125" s="16" t="n">
        <v>55124.3</v>
      </c>
      <c r="K125" s="14" t="n">
        <v>2.89</v>
      </c>
      <c r="L125" s="14" t="n">
        <v>3.81622</v>
      </c>
      <c r="M125" s="17">
        <f>IF(OR(F125="",K125="",K125&lt;=0),"",F125/K125)</f>
        <v/>
      </c>
      <c r="N125" s="18" t="n">
        <v>1.9746376</v>
      </c>
      <c r="O125" s="19">
        <f>IF(OR(N125="",M125="",M125&lt;=0),"",N125/M125)</f>
        <v/>
      </c>
      <c r="P125" s="20" t="n">
        <v>0.08280999999999999</v>
      </c>
      <c r="Q125" s="20" t="n">
        <v>0.07325849609060171</v>
      </c>
      <c r="R125" s="20" t="n">
        <v>0.02128332004749445</v>
      </c>
      <c r="S125" s="21" t="n">
        <v>4</v>
      </c>
      <c r="T125" s="20" t="n"/>
      <c r="U125" s="20" t="n">
        <v>0.1030842760375477</v>
      </c>
      <c r="V125" s="20" t="n">
        <v>0.07571752968767449</v>
      </c>
      <c r="W125" s="20" t="n">
        <v>0.07117205354227882</v>
      </c>
      <c r="X125" s="20" t="n">
        <v>0.04306012509490582</v>
      </c>
      <c r="Y125" s="14" t="n">
        <v>2.67</v>
      </c>
      <c r="Z125" s="19">
        <f>IF(OR(Y125="",F125="",F125=0),"",Y125/F125)</f>
        <v/>
      </c>
      <c r="AA125" s="22" t="n">
        <v>160.459</v>
      </c>
      <c r="AB125" s="20" t="n">
        <v>0.176</v>
      </c>
      <c r="AC125" s="20" t="n">
        <v>0.1518235715497395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2026-10-21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Bristol-Myers Squibb</t>
        </is>
      </c>
      <c r="C126" s="12" t="inlineStr">
        <is>
          <t>BMY</t>
        </is>
      </c>
      <c r="D126" s="11" t="inlineStr">
        <is>
          <t>Farmaceutica</t>
        </is>
      </c>
      <c r="E126" s="13" t="inlineStr">
        <is>
          <t>Salute</t>
        </is>
      </c>
      <c r="F126" s="14" t="n">
        <v>60.855</v>
      </c>
      <c r="G126" s="15" t="inlineStr">
        <is>
          <t>USD</t>
        </is>
      </c>
      <c r="H126" s="14" t="n">
        <v>54.14877686762117</v>
      </c>
      <c r="I126" s="16" t="n">
        <v>110609.4320042006</v>
      </c>
      <c r="J126" s="16" t="n">
        <v>124308.2</v>
      </c>
      <c r="K126" s="14" t="n">
        <v>4.54</v>
      </c>
      <c r="L126" s="14" t="n">
        <v>6.62418</v>
      </c>
      <c r="M126" s="17">
        <f>IF(OR(F126="",K126="",K126&lt;=0),"",F126/K126)</f>
        <v/>
      </c>
      <c r="N126" s="18" t="n">
        <v>5.5701966</v>
      </c>
      <c r="O126" s="19">
        <f>IF(OR(N126="",M126="",M126&lt;=0),"",N126/M126)</f>
        <v/>
      </c>
      <c r="P126" s="20" t="n">
        <v>0.46598998</v>
      </c>
      <c r="Q126" s="20" t="n">
        <v>0.07761266271412175</v>
      </c>
      <c r="R126" s="20" t="n">
        <v>0.3666158804610691</v>
      </c>
      <c r="S126" s="21" t="n">
        <v>4</v>
      </c>
      <c r="T126" s="20" t="n"/>
      <c r="U126" s="20" t="n">
        <v>0.3818545986033671</v>
      </c>
      <c r="V126" s="20" t="n">
        <v>-0.5477808386899296</v>
      </c>
      <c r="W126" s="20" t="n">
        <v>0.2726809378185525</v>
      </c>
      <c r="X126" s="20" t="n">
        <v>0.203695953124497</v>
      </c>
      <c r="Y126" s="14" t="n">
        <v>2.52</v>
      </c>
      <c r="Z126" s="19">
        <f>IF(OR(Y126="",F126="",F126=0),"",Y126/F126)</f>
        <v/>
      </c>
      <c r="AA126" s="22" t="n">
        <v>201.859</v>
      </c>
      <c r="AB126" s="20" t="n">
        <v>0.057</v>
      </c>
      <c r="AC126" s="20" t="n">
        <v>0.1925925899367154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2026-10-21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Prologis</t>
        </is>
      </c>
      <c r="C127" s="12" t="inlineStr">
        <is>
          <t>PLD</t>
        </is>
      </c>
      <c r="D127" s="11" t="inlineStr">
        <is>
          <t>REIT / Logistica</t>
        </is>
      </c>
      <c r="E127" s="13" t="inlineStr">
        <is>
          <t>Immobiliare</t>
        </is>
      </c>
      <c r="F127" s="14" t="n">
        <v>127.695</v>
      </c>
      <c r="G127" s="15" t="inlineStr">
        <is>
          <t>USD</t>
        </is>
      </c>
      <c r="H127" s="14" t="n">
        <v>113.623006525526</v>
      </c>
      <c r="I127" s="16" t="n">
        <v>110451.9374104027</v>
      </c>
      <c r="J127" s="16" t="n">
        <v>124131.2</v>
      </c>
      <c r="K127" s="14" t="n">
        <v>4.5</v>
      </c>
      <c r="L127" s="14" t="n">
        <v>3.21</v>
      </c>
      <c r="M127" s="17">
        <f>IF(OR(F127="",K127="",K127&lt;=0),"",F127/K127)</f>
        <v/>
      </c>
      <c r="N127" s="18" t="n">
        <v>2.17065</v>
      </c>
      <c r="O127" s="19">
        <f>IF(OR(N127="",M127="",M127&lt;=0),"",N127/M127)</f>
        <v/>
      </c>
      <c r="P127" s="20" t="n">
        <v>0.07709000000000001</v>
      </c>
      <c r="Q127" s="20" t="n">
        <v>0.06311608942280056</v>
      </c>
      <c r="R127" s="20" t="n">
        <v>0.004128986030073493</v>
      </c>
      <c r="S127" s="21" t="n">
        <v>4</v>
      </c>
      <c r="T127" s="20" t="n"/>
      <c r="U127" s="20" t="n">
        <v>0.06256875646722969</v>
      </c>
      <c r="V127" s="20" t="n">
        <v>0.06916693768350168</v>
      </c>
      <c r="W127" s="20" t="n">
        <v>0.05752378392246178</v>
      </c>
      <c r="X127" s="20" t="n">
        <v>0.06320487961800905</v>
      </c>
      <c r="Y127" s="14" t="n">
        <v>4.28</v>
      </c>
      <c r="Z127" s="19">
        <f>IF(OR(Y127="",F127="",F127=0),"",Y127/F127)</f>
        <v/>
      </c>
      <c r="AA127" s="22" t="n">
        <v>61.04</v>
      </c>
      <c r="AB127" s="20" t="n">
        <v>0.102</v>
      </c>
      <c r="AC127" s="20" t="n">
        <v>0.4840977719662071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2026-10-21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Uber Technologies</t>
        </is>
      </c>
      <c r="C128" s="12" t="inlineStr">
        <is>
          <t>UBER</t>
        </is>
      </c>
      <c r="D128" s="11" t="inlineStr">
        <is>
          <t>Piattaforme</t>
        </is>
      </c>
      <c r="E128" s="13" t="inlineStr">
        <is>
          <t>Tecnologia</t>
        </is>
      </c>
      <c r="F128" s="14" t="n">
        <v>67.685</v>
      </c>
      <c r="G128" s="15" t="inlineStr">
        <is>
          <t>USD</t>
        </is>
      </c>
      <c r="H128" s="14" t="n">
        <v>60.22611062829576</v>
      </c>
      <c r="I128" s="16" t="n">
        <v>123015.4680156509</v>
      </c>
      <c r="J128" s="16" t="n">
        <v>138250.7</v>
      </c>
      <c r="K128" s="14" t="n">
        <v>4.56</v>
      </c>
      <c r="L128" s="14" t="n">
        <v>4.41256</v>
      </c>
      <c r="M128" s="17">
        <f>IF(OR(F128="",K128="",K128&lt;=0),"",F128/K128)</f>
        <v/>
      </c>
      <c r="N128" s="18" t="n">
        <v>5.0548916</v>
      </c>
      <c r="O128" s="19">
        <f>IF(OR(N128="",M128="",M128&lt;=0),"",N128/M128)</f>
        <v/>
      </c>
      <c r="P128" s="20" t="n">
        <v>0.3716</v>
      </c>
      <c r="Q128" s="20" t="n">
        <v>-0.06216638498507329</v>
      </c>
      <c r="R128" s="20" t="n">
        <v>0.6911679096695134</v>
      </c>
      <c r="S128" s="21" t="n">
        <v>4</v>
      </c>
      <c r="T128" s="20" t="n"/>
      <c r="U128" s="20" t="n">
        <v>0.3717687955327096</v>
      </c>
      <c r="V128" s="20" t="n">
        <v>0.4571852676500603</v>
      </c>
      <c r="W128" s="20" t="n">
        <v>0.1677482442883812</v>
      </c>
      <c r="X128" s="20" t="n">
        <v>-1.245367847411444</v>
      </c>
      <c r="Y128" s="14" t="n"/>
      <c r="Z128" s="19">
        <f>IF(OR(Y128="",F128="",F128=0),"",Y128/F128)</f>
        <v/>
      </c>
      <c r="AA128" s="22" t="n">
        <v>51.872</v>
      </c>
      <c r="AB128" s="20" t="n">
        <v>0.122</v>
      </c>
      <c r="AC128" s="20" t="n">
        <v>0.1841513314493339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2026-10-21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Tesla</t>
        </is>
      </c>
      <c r="C129" s="12" t="inlineStr">
        <is>
          <t>TSLA</t>
        </is>
      </c>
      <c r="D129" s="11" t="inlineStr">
        <is>
          <t>Auto elettriche</t>
        </is>
      </c>
      <c r="E129" s="13" t="inlineStr">
        <is>
          <t>Consumi</t>
        </is>
      </c>
      <c r="F129" s="14" t="n">
        <v>386.3</v>
      </c>
      <c r="G129" s="15" t="inlineStr">
        <is>
          <t>USD</t>
        </is>
      </c>
      <c r="H129" s="14" t="n">
        <v>343.7297264639234</v>
      </c>
      <c r="I129" s="16" t="n">
        <v>1357805.205169631</v>
      </c>
      <c r="J129" s="16" t="n">
        <v>1525966.8</v>
      </c>
      <c r="K129" s="14" t="n">
        <v>1.08</v>
      </c>
      <c r="L129" s="14" t="n">
        <v>2.16847</v>
      </c>
      <c r="M129" s="17">
        <f>IF(OR(F129="",K129="",K129&lt;=0),"",F129/K129)</f>
        <v/>
      </c>
      <c r="N129" s="18" t="n">
        <v>17.566036</v>
      </c>
      <c r="O129" s="19">
        <f>IF(OR(N129="",M129="",M129&lt;=0),"",N129/M129)</f>
        <v/>
      </c>
      <c r="P129" s="20" t="n">
        <v>0.046669997</v>
      </c>
      <c r="Q129" s="20" t="n">
        <v>0.1662307907254467</v>
      </c>
      <c r="R129" s="20" t="n">
        <v>0.09713259207574809</v>
      </c>
      <c r="S129" s="21" t="n">
        <v>4</v>
      </c>
      <c r="T129" s="20" t="n"/>
      <c r="U129" s="20" t="n">
        <v>0.04619111971462313</v>
      </c>
      <c r="V129" s="20" t="n">
        <v>0.09778777447094482</v>
      </c>
      <c r="W129" s="20" t="n">
        <v>0.2394705750870134</v>
      </c>
      <c r="X129" s="20" t="n">
        <v>0.2814736936292054</v>
      </c>
      <c r="Y129" s="14" t="n"/>
      <c r="Z129" s="19">
        <f>IF(OR(Y129="",F129="",F129=0),"",Y129/F129)</f>
        <v/>
      </c>
      <c r="AA129" s="22" t="n">
        <v>18.373</v>
      </c>
      <c r="AB129" s="20" t="n">
        <v>0.255</v>
      </c>
      <c r="AC129" s="20" t="n">
        <v>0.04013624946481487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2026-10-21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Emerson Electric</t>
        </is>
      </c>
      <c r="C130" s="12" t="inlineStr">
        <is>
          <t>EMR</t>
        </is>
      </c>
      <c r="D130" s="11" t="inlineStr">
        <is>
          <t>Automazione</t>
        </is>
      </c>
      <c r="E130" s="13" t="inlineStr">
        <is>
          <t>Industriale</t>
        </is>
      </c>
      <c r="F130" s="14" t="n">
        <v>164.665</v>
      </c>
      <c r="G130" s="15" t="inlineStr">
        <is>
          <t>USD</t>
        </is>
      </c>
      <c r="H130" s="14" t="n">
        <v>146.5189112300853</v>
      </c>
      <c r="I130" s="16" t="n">
        <v>82065.27198826958</v>
      </c>
      <c r="J130" s="16" t="n">
        <v>92228.89999999999</v>
      </c>
      <c r="K130" s="14" t="n">
        <v>4.57</v>
      </c>
      <c r="L130" s="14" t="n">
        <v>7.2801</v>
      </c>
      <c r="M130" s="17">
        <f>IF(OR(F130="",K130="",K130&lt;=0),"",F130/K130)</f>
        <v/>
      </c>
      <c r="N130" s="18" t="n">
        <v>4.5070477</v>
      </c>
      <c r="O130" s="19">
        <f>IF(OR(N130="",M130="",M130&lt;=0),"",N130/M130)</f>
        <v/>
      </c>
      <c r="P130" s="20" t="n">
        <v>0.128</v>
      </c>
      <c r="Q130" s="20" t="n">
        <v>0.128</v>
      </c>
      <c r="R130" s="20" t="n"/>
      <c r="S130" s="21" t="n">
        <v>0</v>
      </c>
      <c r="T130" s="20" t="n"/>
      <c r="U130" s="20" t="n">
        <v>0.1130559116457943</v>
      </c>
      <c r="V130" s="20" t="n">
        <v>0.09095951192457016</v>
      </c>
      <c r="W130" s="20" t="n">
        <v>0.6389385663879357</v>
      </c>
      <c r="X130" s="20" t="n">
        <v>0.3117522192203782</v>
      </c>
      <c r="Y130" s="14" t="n">
        <v>2.22</v>
      </c>
      <c r="Z130" s="19">
        <f>IF(OR(Y130="",F130="",F130=0),"",Y130/F130)</f>
        <v/>
      </c>
      <c r="AA130" s="22" t="n">
        <v>67.67700000000001</v>
      </c>
      <c r="AB130" s="20" t="n">
        <v>0.07000000000000001</v>
      </c>
      <c r="AC130" s="20" t="n">
        <v>0.1429840142095915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2026-10-21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Freeport-McMoRan</t>
        </is>
      </c>
      <c r="C131" s="12" t="inlineStr">
        <is>
          <t>FCX</t>
        </is>
      </c>
      <c r="D131" s="11" t="inlineStr">
        <is>
          <t>Rame</t>
        </is>
      </c>
      <c r="E131" s="13" t="inlineStr">
        <is>
          <t>Materiali</t>
        </is>
      </c>
      <c r="F131" s="14" t="n">
        <v>68.73</v>
      </c>
      <c r="G131" s="15" t="inlineStr">
        <is>
          <t>USD</t>
        </is>
      </c>
      <c r="H131" s="14" t="n">
        <v>61.15595159167863</v>
      </c>
      <c r="I131" s="16" t="n">
        <v>87821.03204160776</v>
      </c>
      <c r="J131" s="16" t="n">
        <v>98697.5</v>
      </c>
      <c r="K131" s="14" t="n">
        <v>2.03</v>
      </c>
      <c r="L131" s="14" t="n">
        <v>4.32169</v>
      </c>
      <c r="M131" s="17">
        <f>IF(OR(F131="",K131="",K131&lt;=0),"",F131/K131)</f>
        <v/>
      </c>
      <c r="N131" s="18" t="n">
        <v>4.908234</v>
      </c>
      <c r="O131" s="19">
        <f>IF(OR(N131="",M131="",M131&lt;=0),"",N131/M131)</f>
        <v/>
      </c>
      <c r="P131" s="20" t="n">
        <v>0.14755</v>
      </c>
      <c r="Q131" s="20" t="n">
        <v>0.139430342603264</v>
      </c>
      <c r="R131" s="20" t="n">
        <v>0.04833258025963022</v>
      </c>
      <c r="S131" s="21" t="n">
        <v>4</v>
      </c>
      <c r="T131" s="20" t="n"/>
      <c r="U131" s="20" t="n">
        <v>0.1166199269802635</v>
      </c>
      <c r="V131" s="20" t="n">
        <v>0.1074455377964848</v>
      </c>
      <c r="W131" s="20" t="n">
        <v>0.1107050859641766</v>
      </c>
      <c r="X131" s="20" t="n">
        <v>0.2229508196721312</v>
      </c>
      <c r="Y131" s="14" t="n">
        <v>0.6</v>
      </c>
      <c r="Z131" s="19">
        <f>IF(OR(Y131="",F131="",F131=0),"",Y131/F131)</f>
        <v/>
      </c>
      <c r="AA131" s="22" t="n">
        <v>32.149</v>
      </c>
      <c r="AB131" s="20" t="n">
        <v>-0.073</v>
      </c>
      <c r="AC131" s="20" t="n">
        <v>0.1132934593864557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2026-10-21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76.86</v>
      </c>
      <c r="G132" s="15" t="inlineStr">
        <is>
          <t>USD</t>
        </is>
      </c>
      <c r="H132" s="14" t="n">
        <v>68.39002530680081</v>
      </c>
      <c r="I132" s="16" t="n">
        <v>42718.76243773514</v>
      </c>
      <c r="J132" s="16" t="n">
        <v>48009.4</v>
      </c>
      <c r="K132" s="14" t="n">
        <v>3.69</v>
      </c>
      <c r="L132" s="14" t="n">
        <v>4.54034</v>
      </c>
      <c r="M132" s="17">
        <f>IF(OR(F132="",K132="",K132&lt;=0),"",F132/K132)</f>
        <v/>
      </c>
      <c r="N132" s="18" t="n">
        <v>1.9949129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>
        <v>2.37</v>
      </c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2026-10-21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121.0831</v>
      </c>
      <c r="G133" s="15" t="inlineStr">
        <is>
          <t>USD</t>
        </is>
      </c>
      <c r="H133" s="14" t="n">
        <v>107.7397381372091</v>
      </c>
      <c r="I133" s="16" t="n">
        <v>84004.94693188519</v>
      </c>
      <c r="J133" s="16" t="n">
        <v>94408.8</v>
      </c>
      <c r="K133" s="14" t="n">
        <v>6.64</v>
      </c>
      <c r="L133" s="14" t="n">
        <v>7.16976</v>
      </c>
      <c r="M133" s="17">
        <f>IF(OR(F133="",K133="",K133&lt;=0),"",F133/K133)</f>
        <v/>
      </c>
      <c r="N133" s="18" t="n">
        <v>1.756202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2026-10-21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230.32</v>
      </c>
      <c r="G134" s="15" t="inlineStr">
        <is>
          <t>USD</t>
        </is>
      </c>
      <c r="H134" s="14" t="n">
        <v>204.9387279295129</v>
      </c>
      <c r="I134" s="16" t="n">
        <v>144069.1139665583</v>
      </c>
      <c r="J134" s="16" t="n">
        <v>161911.8</v>
      </c>
      <c r="K134" s="14" t="n">
        <v>5.61</v>
      </c>
      <c r="L134" s="14" t="n">
        <v>9.29846</v>
      </c>
      <c r="M134" s="17">
        <f>IF(OR(F134="",K134="",K134&lt;=0),"",F134/K134)</f>
        <v/>
      </c>
      <c r="N134" s="18" t="n">
        <v>3.0788975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2026-10-21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General Motors</t>
        </is>
      </c>
      <c r="C135" s="12" t="inlineStr">
        <is>
          <t>GM</t>
        </is>
      </c>
      <c r="D135" s="11" t="inlineStr">
        <is>
          <t>Auto</t>
        </is>
      </c>
      <c r="E135" s="13" t="inlineStr">
        <is>
          <t>Consumi</t>
        </is>
      </c>
      <c r="F135" s="14" t="n">
        <v>76.16</v>
      </c>
      <c r="G135" s="15" t="inlineStr">
        <is>
          <t>USD</t>
        </is>
      </c>
      <c r="H135" s="14" t="n">
        <v>67.76716533132902</v>
      </c>
      <c r="I135" s="16" t="n">
        <v>59462.39531837087</v>
      </c>
      <c r="J135" s="16" t="n">
        <v>66826.7</v>
      </c>
      <c r="K135" s="14" t="n">
        <v>4.57</v>
      </c>
      <c r="L135" s="14" t="n">
        <v>14.80757</v>
      </c>
      <c r="M135" s="17">
        <f>IF(OR(F135="",K135="",K135&lt;=0),"",F135/K135)</f>
        <v/>
      </c>
      <c r="N135" s="18" t="n">
        <v>1.1264607</v>
      </c>
      <c r="O135" s="19">
        <f>IF(OR(N135="",M135="",M135&lt;=0),"",N135/M135)</f>
        <v/>
      </c>
      <c r="P135" s="20" t="n">
        <v>0.03164</v>
      </c>
      <c r="Q135" s="20" t="n">
        <v>0.1108625303622402</v>
      </c>
      <c r="R135" s="20" t="n">
        <v>0.04513231830896564</v>
      </c>
      <c r="S135" s="21" t="n">
        <v>4</v>
      </c>
      <c r="T135" s="20" t="n"/>
      <c r="U135" s="20" t="n">
        <v>0.04412703087419624</v>
      </c>
      <c r="V135" s="20" t="n">
        <v>0.09525621511922881</v>
      </c>
      <c r="W135" s="20" t="n">
        <v>0.1575304109759512</v>
      </c>
      <c r="X135" s="20" t="n">
        <v>0.1465364644795846</v>
      </c>
      <c r="Y135" s="14" t="n">
        <v>0.72</v>
      </c>
      <c r="Z135" s="19">
        <f>IF(OR(Y135="",F135="",F135=0),"",Y135/F135)</f>
        <v/>
      </c>
      <c r="AA135" s="22" t="n">
        <v>202.341</v>
      </c>
      <c r="AB135" s="20" t="n">
        <v>0.019</v>
      </c>
      <c r="AC135" s="20" t="n">
        <v>0.01003680668471887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2026-10-21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81.40000000000001</v>
      </c>
      <c r="G136" s="15" t="inlineStr">
        <is>
          <t>USD</t>
        </is>
      </c>
      <c r="H136" s="14" t="n">
        <v>72.42971714771774</v>
      </c>
      <c r="I136" s="16" t="n">
        <v>37873.00080856123</v>
      </c>
      <c r="J136" s="16" t="n">
        <v>42563.5</v>
      </c>
      <c r="K136" s="14" t="n">
        <v>5.46</v>
      </c>
      <c r="L136" s="14" t="n">
        <v>8.81019</v>
      </c>
      <c r="M136" s="17">
        <f>IF(OR(F136="",K136="",K136&lt;=0),"",F136/K136)</f>
        <v/>
      </c>
      <c r="N136" s="18" t="n">
        <v>1.0518699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2026-10-21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176.37</v>
      </c>
      <c r="G137" s="15" t="inlineStr">
        <is>
          <t>USD</t>
        </is>
      </c>
      <c r="H137" s="14" t="n">
        <v>156.9340198199383</v>
      </c>
      <c r="I137" s="16" t="n">
        <v>59268.24096601667</v>
      </c>
      <c r="J137" s="16" t="n">
        <v>66608.5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2.4438808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2026-10-21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55.41</v>
      </c>
      <c r="G138" s="15" t="inlineStr">
        <is>
          <t>USD</t>
        </is>
      </c>
      <c r="H138" s="14" t="n">
        <v>49.30381605841572</v>
      </c>
      <c r="I138" s="16" t="n">
        <v>46652.12318283939</v>
      </c>
      <c r="J138" s="16" t="n">
        <v>52429.9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1.3256615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2026-10-21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Elevance Health</t>
        </is>
      </c>
      <c r="C139" s="12" t="inlineStr">
        <is>
          <t>ELV</t>
        </is>
      </c>
      <c r="D139" s="11" t="inlineStr">
        <is>
          <t>Assicurazione sanitaria</t>
        </is>
      </c>
      <c r="E139" s="13" t="inlineStr">
        <is>
          <t>Salute</t>
        </is>
      </c>
      <c r="F139" s="14" t="n">
        <v>441</v>
      </c>
      <c r="G139" s="15" t="inlineStr">
        <is>
          <t>USD</t>
        </is>
      </c>
      <c r="H139" s="14" t="n">
        <v>392.4017845472177</v>
      </c>
      <c r="I139" s="16" t="n">
        <v>85099.93476876456</v>
      </c>
      <c r="J139" s="16" t="n">
        <v>95639.39999999999</v>
      </c>
      <c r="K139" s="14" t="n">
        <v>22.59</v>
      </c>
      <c r="L139" s="14" t="n">
        <v>29.65851</v>
      </c>
      <c r="M139" s="17">
        <f>IF(OR(F139="",K139="",K139&lt;=0),"",F139/K139)</f>
        <v/>
      </c>
      <c r="N139" s="18" t="n">
        <v>2.130579</v>
      </c>
      <c r="O139" s="19">
        <f>IF(OR(N139="",M139="",M139&lt;=0),"",N139/M139)</f>
        <v/>
      </c>
      <c r="P139" s="20" t="n">
        <v>0.11133</v>
      </c>
      <c r="Q139" s="20" t="n">
        <v>0.11133</v>
      </c>
      <c r="R139" s="20" t="n"/>
      <c r="S139" s="21" t="n">
        <v>0</v>
      </c>
      <c r="T139" s="20" t="n"/>
      <c r="U139" s="20" t="n">
        <v>0.1290278474089604</v>
      </c>
      <c r="V139" s="20" t="n">
        <v>0.1447416192666102</v>
      </c>
      <c r="W139" s="20" t="n">
        <v>0.1523177123085534</v>
      </c>
      <c r="X139" s="20" t="n">
        <v>0.1626245068013134</v>
      </c>
      <c r="Y139" s="14" t="n">
        <v>6.88</v>
      </c>
      <c r="Z139" s="19">
        <f>IF(OR(Y139="",F139="",F139=0),"",Y139/F139)</f>
        <v/>
      </c>
      <c r="AA139" s="22" t="n">
        <v>68.953</v>
      </c>
      <c r="AB139" s="20" t="n">
        <v>0.014</v>
      </c>
      <c r="AC139" s="20" t="n">
        <v>0.02492404172253609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2026-10-21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Sempra</t>
        </is>
      </c>
      <c r="C140" s="12" t="inlineStr">
        <is>
          <t>SRE</t>
        </is>
      </c>
      <c r="D140" s="11" t="inlineStr">
        <is>
          <t>Utility</t>
        </is>
      </c>
      <c r="E140" s="13" t="inlineStr">
        <is>
          <t>Utility</t>
        </is>
      </c>
      <c r="F140" s="14" t="n">
        <v>83.67</v>
      </c>
      <c r="G140" s="15" t="inlineStr">
        <is>
          <t>USD</t>
        </is>
      </c>
      <c r="H140" s="14" t="n">
        <v>74.4495630681762</v>
      </c>
      <c r="I140" s="16" t="n">
        <v>48682.55772288088</v>
      </c>
      <c r="J140" s="16" t="n">
        <v>54711.8</v>
      </c>
      <c r="K140" s="14" t="n">
        <v>3.46</v>
      </c>
      <c r="L140" s="14" t="n">
        <v>5.54016</v>
      </c>
      <c r="M140" s="17">
        <f>IF(OR(F140="",K140="",K140&lt;=0),"",F140/K140)</f>
        <v/>
      </c>
      <c r="N140" s="18" t="n">
        <v>1.6735339</v>
      </c>
      <c r="O140" s="19">
        <f>IF(OR(N140="",M140="",M140&lt;=0),"",N140/M140)</f>
        <v/>
      </c>
      <c r="P140" s="20" t="n">
        <v>0.06679</v>
      </c>
      <c r="Q140" s="20" t="n">
        <v>0.0839260568573944</v>
      </c>
      <c r="R140" s="20" t="n">
        <v>0.01796868981652871</v>
      </c>
      <c r="S140" s="21" t="n">
        <v>4</v>
      </c>
      <c r="T140" s="20" t="n"/>
      <c r="U140" s="20" t="n">
        <v>0.058107167710508</v>
      </c>
      <c r="V140" s="20" t="n">
        <v>0.09160745150758594</v>
      </c>
      <c r="W140" s="20" t="n">
        <v>0.1071615263983272</v>
      </c>
      <c r="X140" s="20" t="n">
        <v>0.07882808181315644</v>
      </c>
      <c r="Y140" s="14" t="n">
        <v>2.63</v>
      </c>
      <c r="Z140" s="19">
        <f>IF(OR(Y140="",F140="",F140=0),"",Y140/F140)</f>
        <v/>
      </c>
      <c r="AA140" s="22" t="n">
        <v>84.663</v>
      </c>
      <c r="AB140" s="20" t="n">
        <v>-0.001</v>
      </c>
      <c r="AC140" s="20" t="n">
        <v>0.1650853983360094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2026-10-21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172.78</v>
      </c>
      <c r="G141" s="15" t="inlineStr">
        <is>
          <t>USD</t>
        </is>
      </c>
      <c r="H141" s="14" t="n">
        <v>153.7396379457331</v>
      </c>
      <c r="I141" s="16" t="n">
        <v>79286.96057767949</v>
      </c>
      <c r="J141" s="16" t="n">
        <v>89106.5</v>
      </c>
      <c r="K141" s="14" t="n">
        <v>6.7</v>
      </c>
      <c r="L141" s="14" t="n">
        <v>9.885400000000001</v>
      </c>
      <c r="M141" s="17">
        <f>IF(OR(F141="",K141="",K141&lt;=0),"",F141/K141)</f>
        <v/>
      </c>
      <c r="N141" s="18" t="n">
        <v>30.185184</v>
      </c>
      <c r="O141" s="19">
        <f>IF(OR(N141="",M141="",M141&lt;=0),"",N141/M141)</f>
        <v/>
      </c>
      <c r="P141" s="20" t="n">
        <v>0.81891996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437.937</v>
      </c>
      <c r="AB141" s="20" t="n">
        <v>0.025</v>
      </c>
      <c r="AC141" s="20" t="n">
        <v>0.1201298675645342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2026-10-21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Salesforce</t>
        </is>
      </c>
      <c r="C142" s="12" t="inlineStr">
        <is>
          <t>CRM</t>
        </is>
      </c>
      <c r="D142" s="11" t="inlineStr">
        <is>
          <t>Software</t>
        </is>
      </c>
      <c r="E142" s="13" t="inlineStr">
        <is>
          <t>Tecnologia</t>
        </is>
      </c>
      <c r="F142" s="14" t="n">
        <v>242.34</v>
      </c>
      <c r="G142" s="15" t="inlineStr">
        <is>
          <t>USD</t>
        </is>
      </c>
      <c r="H142" s="14" t="n">
        <v>215.6341235083282</v>
      </c>
      <c r="I142" s="16" t="n">
        <v>177466.8658513548</v>
      </c>
      <c r="J142" s="16" t="n">
        <v>199445.8</v>
      </c>
      <c r="K142" s="14" t="n">
        <v>10.93</v>
      </c>
      <c r="L142" s="14" t="n">
        <v>16.02297</v>
      </c>
      <c r="M142" s="17">
        <f>IF(OR(F142="",K142="",K142&lt;=0),"",F142/K142)</f>
        <v/>
      </c>
      <c r="N142" s="18" t="n">
        <v>5.1968603</v>
      </c>
      <c r="O142" s="19">
        <f>IF(OR(N142="",M142="",M142&lt;=0),"",N142/M142)</f>
        <v/>
      </c>
      <c r="P142" s="20" t="n">
        <v>0.19381</v>
      </c>
      <c r="Q142" s="20" t="n">
        <v>0.07507395766191549</v>
      </c>
      <c r="R142" s="20" t="n">
        <v>0.04592582275632811</v>
      </c>
      <c r="S142" s="21" t="n">
        <v>4</v>
      </c>
      <c r="T142" s="20" t="n">
        <v>0.1260863684014744</v>
      </c>
      <c r="U142" s="20" t="n">
        <v>0.1013028623739231</v>
      </c>
      <c r="V142" s="20" t="n">
        <v>0.06934245381081715</v>
      </c>
      <c r="W142" s="20" t="n">
        <v>0.003564146061447249</v>
      </c>
      <c r="X142" s="20" t="n"/>
      <c r="Y142" s="14" t="n">
        <v>1.76</v>
      </c>
      <c r="Z142" s="19">
        <f>IF(OR(Y142="",F142="",F142=0),"",Y142/F142)</f>
        <v/>
      </c>
      <c r="AA142" s="22" t="n">
        <v>110.417</v>
      </c>
      <c r="AB142" s="20" t="n">
        <v>0.108</v>
      </c>
      <c r="AC142" s="20" t="n">
        <v>0.2326791120529801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2026-10-21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KKR &amp; Co.</t>
        </is>
      </c>
      <c r="C143" s="12" t="inlineStr">
        <is>
          <t>KKR</t>
        </is>
      </c>
      <c r="D143" s="11" t="inlineStr">
        <is>
          <t>Private equity</t>
        </is>
      </c>
      <c r="E143" s="13" t="inlineStr">
        <is>
          <t>Finanziario</t>
        </is>
      </c>
      <c r="F143" s="14" t="n">
        <v>89.77</v>
      </c>
      <c r="G143" s="15" t="inlineStr">
        <is>
          <t>USD</t>
        </is>
      </c>
      <c r="H143" s="14" t="n">
        <v>79.87734285443024</v>
      </c>
      <c r="I143" s="16" t="n">
        <v>73773.93795478232</v>
      </c>
      <c r="J143" s="16" t="n">
        <v>82910.7</v>
      </c>
      <c r="K143" s="14" t="n">
        <v>3.13</v>
      </c>
      <c r="L143" s="14" t="n">
        <v>7.27252</v>
      </c>
      <c r="M143" s="17">
        <f>IF(OR(F143="",K143="",K143&lt;=0),"",F143/K143)</f>
        <v/>
      </c>
      <c r="N143" s="18" t="n">
        <v>2.8274014</v>
      </c>
      <c r="O143" s="19">
        <f>IF(OR(N143="",M143="",M143&lt;=0),"",N143/M143)</f>
        <v/>
      </c>
      <c r="P143" s="20" t="n">
        <v>0.0728</v>
      </c>
      <c r="Q143" s="20" t="n">
        <v>0.0728</v>
      </c>
      <c r="R143" s="20" t="n"/>
      <c r="S143" s="21" t="n">
        <v>0</v>
      </c>
      <c r="T143" s="20" t="n"/>
      <c r="U143" s="20" t="n">
        <v>0.07670765539464512</v>
      </c>
      <c r="V143" s="20" t="n">
        <v>0.130065161007507</v>
      </c>
      <c r="W143" s="20" t="n">
        <v>0.1632753384773426</v>
      </c>
      <c r="X143" s="20" t="n">
        <v>-0.02773662604391048</v>
      </c>
      <c r="Y143" s="14" t="n">
        <v>0.78</v>
      </c>
      <c r="Z143" s="19">
        <f>IF(OR(Y143="",F143="",F143=0),"",Y143/F143)</f>
        <v/>
      </c>
      <c r="AA143" s="22" t="n">
        <v>69.812</v>
      </c>
      <c r="AB143" s="20" t="n">
        <v>0.078</v>
      </c>
      <c r="AC143" s="20" t="n">
        <v>0.12201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2026-10-21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CVS Health</t>
        </is>
      </c>
      <c r="C144" s="12" t="inlineStr">
        <is>
          <t>CVS</t>
        </is>
      </c>
      <c r="D144" s="11" t="inlineStr">
        <is>
          <t>Distribuzione farmaceutica</t>
        </is>
      </c>
      <c r="E144" s="13" t="inlineStr">
        <is>
          <t>Salute</t>
        </is>
      </c>
      <c r="F144" s="14" t="n">
        <v>94.2</v>
      </c>
      <c r="G144" s="15" t="inlineStr">
        <is>
          <t>USD</t>
        </is>
      </c>
      <c r="H144" s="14" t="n">
        <v>83.81915669920161</v>
      </c>
      <c r="I144" s="16" t="n">
        <v>107202.209978377</v>
      </c>
      <c r="J144" s="16" t="n">
        <v>120479</v>
      </c>
      <c r="K144" s="14" t="n">
        <v>3.8</v>
      </c>
      <c r="L144" s="14" t="n">
        <v>8.53519</v>
      </c>
      <c r="M144" s="17">
        <f>IF(OR(F144="",K144="",K144&lt;=0),"",F144/K144)</f>
        <v/>
      </c>
      <c r="N144" s="18" t="n">
        <v>1.5104625</v>
      </c>
      <c r="O144" s="19">
        <f>IF(OR(N144="",M144="",M144&lt;=0),"",N144/M144)</f>
        <v/>
      </c>
      <c r="P144" s="20" t="n">
        <v>0.06205</v>
      </c>
      <c r="Q144" s="20" t="n">
        <v>0.06350442630364242</v>
      </c>
      <c r="R144" s="20" t="n">
        <v>0.03040319688724718</v>
      </c>
      <c r="S144" s="21" t="n">
        <v>4</v>
      </c>
      <c r="T144" s="20" t="n"/>
      <c r="U144" s="20" t="n">
        <v>0.02350626213204988</v>
      </c>
      <c r="V144" s="20" t="n">
        <v>0.06106405505558497</v>
      </c>
      <c r="W144" s="20" t="n">
        <v>0.1091275290671061</v>
      </c>
      <c r="X144" s="20" t="n">
        <v>0.06031985895982873</v>
      </c>
      <c r="Y144" s="14" t="n">
        <v>2.66</v>
      </c>
      <c r="Z144" s="19">
        <f>IF(OR(Y144="",F144="",F144=0),"",Y144/F144)</f>
        <v/>
      </c>
      <c r="AA144" s="22" t="n">
        <v>95.503</v>
      </c>
      <c r="AB144" s="20" t="n">
        <v>0.07099999999999999</v>
      </c>
      <c r="AC144" s="20" t="n">
        <v>0.01216215176077619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2026-10-21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Vistra</t>
        </is>
      </c>
      <c r="C145" s="12" t="inlineStr">
        <is>
          <t>VST</t>
        </is>
      </c>
      <c r="D145" s="11" t="inlineStr">
        <is>
          <t>Utility / Generazione</t>
        </is>
      </c>
      <c r="E145" s="13" t="inlineStr">
        <is>
          <t>Utility</t>
        </is>
      </c>
      <c r="F145" s="14" t="n">
        <v>156.675</v>
      </c>
      <c r="G145" s="15" t="inlineStr">
        <is>
          <t>USD</t>
        </is>
      </c>
      <c r="H145" s="14" t="n">
        <v>139.4094095100575</v>
      </c>
      <c r="I145" s="16" t="n">
        <v>46790.66503738361</v>
      </c>
      <c r="J145" s="16" t="n">
        <v>52585.6</v>
      </c>
      <c r="K145" s="14" t="n">
        <v>5.93</v>
      </c>
      <c r="L145" s="14" t="n">
        <v>10.36629</v>
      </c>
      <c r="M145" s="17">
        <f>IF(OR(F145="",K145="",K145&lt;=0),"",F145/K145)</f>
        <v/>
      </c>
      <c r="N145" s="18" t="n">
        <v>17.511457</v>
      </c>
      <c r="O145" s="19">
        <f>IF(OR(N145="",M145="",M145&lt;=0),"",N145/M145)</f>
        <v/>
      </c>
      <c r="P145" s="20" t="n">
        <v>0.42962003</v>
      </c>
      <c r="Q145" s="20" t="n">
        <v>0.1734015879673228</v>
      </c>
      <c r="R145" s="20" t="n">
        <v>0.2663256640903746</v>
      </c>
      <c r="S145" s="21" t="n">
        <v>4</v>
      </c>
      <c r="T145" s="20" t="n"/>
      <c r="U145" s="20" t="n">
        <v>0.1852069845006867</v>
      </c>
      <c r="V145" s="20" t="n">
        <v>0.4773788150807899</v>
      </c>
      <c r="W145" s="20" t="n">
        <v>0.2813265498398342</v>
      </c>
      <c r="X145" s="20" t="n">
        <v>-0.2503059975520196</v>
      </c>
      <c r="Y145" s="14" t="n">
        <v>0.92</v>
      </c>
      <c r="Z145" s="19">
        <f>IF(OR(Y145="",F145="",F145=0),"",Y145/F145)</f>
        <v/>
      </c>
      <c r="AA145" s="22" t="n">
        <v>373.28</v>
      </c>
      <c r="AB145" s="20" t="n">
        <v>-0.055</v>
      </c>
      <c r="AC145" s="20" t="n">
        <v>0.114274442665464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2026-10-21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Advanced Micro Devices</t>
        </is>
      </c>
      <c r="C146" s="12" t="inlineStr">
        <is>
          <t>AMD</t>
        </is>
      </c>
      <c r="D146" s="11" t="inlineStr">
        <is>
          <t>Semiconduttori</t>
        </is>
      </c>
      <c r="E146" s="13" t="inlineStr">
        <is>
          <t>Tecnologia</t>
        </is>
      </c>
      <c r="F146" s="14" t="n">
        <v>554.26</v>
      </c>
      <c r="G146" s="15" t="inlineStr">
        <is>
          <t>USD</t>
        </is>
      </c>
      <c r="H146" s="14" t="n">
        <v>493.1805285785508</v>
      </c>
      <c r="I146" s="16" t="n">
        <v>804995.9776592584</v>
      </c>
      <c r="J146" s="16" t="n">
        <v>904693.2</v>
      </c>
      <c r="K146" s="14" t="n">
        <v>3.92</v>
      </c>
      <c r="L146" s="14" t="n">
        <v>15.76289</v>
      </c>
      <c r="M146" s="17">
        <f>IF(OR(F146="",K146="",K146&lt;=0),"",F146/K146)</f>
        <v/>
      </c>
      <c r="N146" s="18" t="n">
        <v>13.454031</v>
      </c>
      <c r="O146" s="19">
        <f>IF(OR(N146="",M146="",M146&lt;=0),"",N146/M146)</f>
        <v/>
      </c>
      <c r="P146" s="20" t="n">
        <v>0.10196</v>
      </c>
      <c r="Q146" s="20" t="n">
        <v>0.03417627307619231</v>
      </c>
      <c r="R146" s="20" t="n">
        <v>0.02055555689875465</v>
      </c>
      <c r="S146" s="21" t="n">
        <v>4</v>
      </c>
      <c r="T146" s="20" t="n"/>
      <c r="U146" s="20" t="n">
        <v>0.06881061604152447</v>
      </c>
      <c r="V146" s="20" t="n">
        <v>0.02850541967759867</v>
      </c>
      <c r="W146" s="20" t="n">
        <v>0.0152794675445502</v>
      </c>
      <c r="X146" s="20" t="n">
        <v>0.02410958904109589</v>
      </c>
      <c r="Y146" s="14" t="n"/>
      <c r="Z146" s="19">
        <f>IF(OR(Y146="",F146="",F146=0),"",Y146/F146)</f>
        <v/>
      </c>
      <c r="AA146" s="22" t="n">
        <v>6.361</v>
      </c>
      <c r="AB146" s="20" t="n">
        <v>0.501</v>
      </c>
      <c r="AC146" s="20" t="n">
        <v>0.1867548194809319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2026-10-21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CrowdStrike</t>
        </is>
      </c>
      <c r="C147" s="12" t="inlineStr">
        <is>
          <t>CRWD</t>
        </is>
      </c>
      <c r="D147" s="11" t="inlineStr">
        <is>
          <t>Cybersicurezza</t>
        </is>
      </c>
      <c r="E147" s="13" t="inlineStr">
        <is>
          <t>Tecnologia</t>
        </is>
      </c>
      <c r="F147" s="14" t="n">
        <v>240.975</v>
      </c>
      <c r="G147" s="15" t="inlineStr">
        <is>
          <t>USD</t>
        </is>
      </c>
      <c r="H147" s="14" t="n">
        <v>214.4195465561583</v>
      </c>
      <c r="I147" s="16" t="n">
        <v>219551.6458140562</v>
      </c>
      <c r="J147" s="16" t="n">
        <v>246742.7</v>
      </c>
      <c r="K147" s="14" t="n">
        <v>0.06</v>
      </c>
      <c r="L147" s="14" t="n">
        <v>1.61123</v>
      </c>
      <c r="M147" s="17">
        <f>IF(OR(F147="",K147="",K147&lt;=0),"",F147/K147)</f>
        <v/>
      </c>
      <c r="N147" s="18" t="n">
        <v>48.359425</v>
      </c>
      <c r="O147" s="19">
        <f>IF(OR(N147="",M147="",M147&lt;=0),"",N147/M147)</f>
        <v/>
      </c>
      <c r="P147" s="20" t="n">
        <v>0.01461</v>
      </c>
      <c r="Q147" s="20" t="n">
        <v>-0.03380291957831719</v>
      </c>
      <c r="R147" s="20" t="n">
        <v>0.05799500312740814</v>
      </c>
      <c r="S147" s="21" t="n">
        <v>4</v>
      </c>
      <c r="T147" s="20" t="n">
        <v>-0.0366955033319107</v>
      </c>
      <c r="U147" s="20" t="n">
        <v>-0.004647363282262447</v>
      </c>
      <c r="V147" s="20" t="n">
        <v>0.03132923891577508</v>
      </c>
      <c r="W147" s="20" t="n">
        <v>-0.1251980506148707</v>
      </c>
      <c r="X147" s="20" t="n"/>
      <c r="Y147" s="14" t="n"/>
      <c r="Z147" s="19">
        <f>IF(OR(Y147="",F147="",F147=0),"",Y147/F147)</f>
        <v/>
      </c>
      <c r="AA147" s="22" t="n">
        <v>15.958</v>
      </c>
      <c r="AB147" s="20" t="n">
        <v>0.258</v>
      </c>
      <c r="AC147" s="20" t="n">
        <v>0.00935057216274713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2026-10-21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924.535</v>
      </c>
      <c r="G148" s="15" t="inlineStr">
        <is>
          <t>USD</t>
        </is>
      </c>
      <c r="H148" s="14" t="n">
        <v>822.6512106039953</v>
      </c>
      <c r="I148" s="16" t="n">
        <v>219099.6274318567</v>
      </c>
      <c r="J148" s="16" t="n">
        <v>246234.7</v>
      </c>
      <c r="K148" s="14" t="n">
        <v>34.88</v>
      </c>
      <c r="L148" s="14" t="n">
        <v>25.2703</v>
      </c>
      <c r="M148" s="17">
        <f>IF(OR(F148="",K148="",K148&lt;=0),"",F148/K148)</f>
        <v/>
      </c>
      <c r="N148" s="18" t="n">
        <v>20.593273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2026-10-21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240.95</v>
      </c>
      <c r="G149" s="15" t="inlineStr">
        <is>
          <t>USD</t>
        </is>
      </c>
      <c r="H149" s="14" t="n">
        <v>214.3973015570343</v>
      </c>
      <c r="I149" s="16" t="n">
        <v>31678.03549251896</v>
      </c>
      <c r="J149" s="16" t="n">
        <v>35601.3</v>
      </c>
      <c r="K149" s="14" t="n">
        <v>5.63</v>
      </c>
      <c r="L149" s="14" t="n">
        <v>16.45872</v>
      </c>
      <c r="M149" s="17">
        <f>IF(OR(F149="",K149="",K149&lt;=0),"",F149/K149)</f>
        <v/>
      </c>
      <c r="N149" s="18" t="n">
        <v>1.8881749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2026-10-21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111.34</v>
      </c>
      <c r="G150" s="15" t="inlineStr">
        <is>
          <t>USD</t>
        </is>
      </c>
      <c r="H150" s="14" t="n">
        <v>99.07032809861049</v>
      </c>
      <c r="I150" s="16" t="n">
        <v>171063.4204035225</v>
      </c>
      <c r="J150" s="16" t="n">
        <v>192249.3</v>
      </c>
      <c r="K150" s="14" t="n">
        <v>4.85</v>
      </c>
      <c r="L150" s="14" t="n">
        <v>7.49624</v>
      </c>
      <c r="M150" s="17">
        <f>IF(OR(F150="",K150="",K150&lt;=0),"",F150/K150)</f>
        <v/>
      </c>
      <c r="N150" s="18" t="n">
        <v>1.7505738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2026-10-21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199.435</v>
      </c>
      <c r="G151" s="15" t="inlineStr">
        <is>
          <t>USD</t>
        </is>
      </c>
      <c r="H151" s="14" t="n">
        <v>177.4572560117333</v>
      </c>
      <c r="I151" s="16" t="n">
        <v>426440.1924067852</v>
      </c>
      <c r="J151" s="16" t="n">
        <v>479254</v>
      </c>
      <c r="K151" s="14" t="n">
        <v>1.16</v>
      </c>
      <c r="L151" s="14" t="n">
        <v>2.3505</v>
      </c>
      <c r="M151" s="17">
        <f>IF(OR(F151="",K151="",K151&lt;=0),"",F151/K151)</f>
        <v/>
      </c>
      <c r="N151" s="18" t="n">
        <v>49.025322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2026-10-21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29.775</v>
      </c>
      <c r="G152" s="15" t="inlineStr">
        <is>
          <t>USD</t>
        </is>
      </c>
      <c r="H152" s="14" t="n">
        <v>26.49379395667439</v>
      </c>
      <c r="I152" s="16" t="n">
        <v>151005.9944933839</v>
      </c>
      <c r="J152" s="16" t="n">
        <v>169707.8</v>
      </c>
      <c r="K152" s="14" t="n">
        <v>0.76</v>
      </c>
      <c r="L152" s="14" t="n">
        <v>2.88608</v>
      </c>
      <c r="M152" s="17">
        <f>IF(OR(F152="",K152="",K152&lt;=0),"",F152/K152)</f>
        <v/>
      </c>
      <c r="N152" s="18" t="n">
        <v>1.9919052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2026-10-21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243.655</v>
      </c>
      <c r="G153" s="15" t="inlineStr">
        <is>
          <t>USD</t>
        </is>
      </c>
      <c r="H153" s="14" t="n">
        <v>216.8042104622502</v>
      </c>
      <c r="I153" s="16" t="n">
        <v>194842.9685470839</v>
      </c>
      <c r="J153" s="16" t="n">
        <v>218973.9</v>
      </c>
      <c r="K153" s="14" t="n">
        <v>3.04</v>
      </c>
      <c r="L153" s="14" t="n">
        <v>7.32904</v>
      </c>
      <c r="M153" s="17">
        <f>IF(OR(F153="",K153="",K153&lt;=0),"",F153/K153)</f>
        <v/>
      </c>
      <c r="N153" s="18" t="n">
        <v>11.528507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2026-10-21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104.255</v>
      </c>
      <c r="G154" s="15" t="inlineStr">
        <is>
          <t>USD</t>
        </is>
      </c>
      <c r="H154" s="14" t="n">
        <v>92.76609534687117</v>
      </c>
      <c r="I154" s="16" t="n">
        <v>33611.30387638685</v>
      </c>
      <c r="J154" s="16" t="n">
        <v>37774</v>
      </c>
      <c r="K154" s="14" t="n">
        <v>0.5</v>
      </c>
      <c r="L154" s="14" t="n">
        <v>3.93156</v>
      </c>
      <c r="M154" s="17">
        <f>IF(OR(F154="",K154="",K154&lt;=0),"",F154/K154)</f>
        <v/>
      </c>
      <c r="N154" s="18" t="n">
        <v>9.910171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2026-10-21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302.8</v>
      </c>
      <c r="G155" s="15" t="inlineStr">
        <is>
          <t>USD</t>
        </is>
      </c>
      <c r="H155" s="14" t="n">
        <v>269.4314293897903</v>
      </c>
      <c r="I155" s="16" t="n">
        <v>59998.49979725908</v>
      </c>
      <c r="J155" s="16" t="n">
        <v>67429.2</v>
      </c>
      <c r="K155" s="14" t="n">
        <v>-0.21</v>
      </c>
      <c r="L155" s="14" t="n">
        <v>14.44851</v>
      </c>
      <c r="M155" s="17">
        <f>IF(OR(F155="",K155="",K155&lt;=0),"",F155/K155)</f>
        <v/>
      </c>
      <c r="N155" s="18" t="n">
        <v>4.856689</v>
      </c>
      <c r="O155" s="19">
        <f>IF(OR(N155="",M155="",M155&lt;=0),"",N155/M155)</f>
        <v/>
      </c>
      <c r="P155" s="20" t="n">
        <v>0.00023</v>
      </c>
      <c r="Q155" s="20" t="n">
        <v>0.00023</v>
      </c>
      <c r="R155" s="20" t="n"/>
      <c r="S155" s="21" t="n">
        <v>0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2026-10-21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73.70999999999999</v>
      </c>
      <c r="G156" s="15" t="inlineStr">
        <is>
          <t>USD</t>
        </is>
      </c>
      <c r="H156" s="14" t="n">
        <v>65.58715541717781</v>
      </c>
      <c r="I156" s="16" t="n">
        <v>109513.7323273492</v>
      </c>
      <c r="J156" s="16" t="n">
        <v>123076.8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-46.126408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2026-10-21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484.08</v>
      </c>
      <c r="G157" s="15" t="inlineStr">
        <is>
          <t>USD</t>
        </is>
      </c>
      <c r="H157" s="14" t="n">
        <v>430.7343670376806</v>
      </c>
      <c r="I157" s="16" t="n">
        <v>273866.3703751424</v>
      </c>
      <c r="J157" s="16" t="n">
        <v>307784.2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-217.07623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2026-10-21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30.295</v>
      </c>
      <c r="G158" s="15" t="inlineStr">
        <is>
          <t>USD</t>
        </is>
      </c>
      <c r="H158" s="14" t="n">
        <v>26.95648993845343</v>
      </c>
      <c r="I158" s="16" t="n">
        <v>19471.75957320211</v>
      </c>
      <c r="J158" s="16" t="n">
        <v>21883.3</v>
      </c>
      <c r="K158" s="14" t="n">
        <v>-1.84</v>
      </c>
      <c r="L158" s="14" t="n">
        <v>1.727</v>
      </c>
      <c r="M158" s="17">
        <f>IF(OR(F158="",K158="",K158&lt;=0),"",F158/K158)</f>
        <v/>
      </c>
      <c r="N158" s="18" t="n">
        <v>1.3798051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2026-10-21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11.975</v>
      </c>
      <c r="G159" s="15" t="inlineStr">
        <is>
          <t>USD</t>
        </is>
      </c>
      <c r="H159" s="14" t="n">
        <v>10.65535458039214</v>
      </c>
      <c r="I159" s="16" t="n">
        <v>42489.28302677203</v>
      </c>
      <c r="J159" s="16" t="n">
        <v>47751.5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1.3367939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2026-10-21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153.74</v>
      </c>
      <c r="G160" s="15" t="inlineStr">
        <is>
          <t>USD</t>
        </is>
      </c>
      <c r="H160" s="14" t="n">
        <v>136.7978466129008</v>
      </c>
      <c r="I160" s="16" t="n">
        <v>169623.1901802388</v>
      </c>
      <c r="J160" s="16" t="n">
        <v>190630.7</v>
      </c>
      <c r="K160" s="14" t="n">
        <v>-2.65</v>
      </c>
      <c r="L160" s="14" t="n">
        <v>9.97852</v>
      </c>
      <c r="M160" s="17">
        <f>IF(OR(F160="",K160="",K160&lt;=0),"",F160/K160)</f>
        <v/>
      </c>
      <c r="N160" s="18" t="n">
        <v>16.12883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2026-10-21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92.42</v>
      </c>
      <c r="G161" s="15" t="inlineStr">
        <is>
          <t>USD</t>
        </is>
      </c>
      <c r="H161" s="14" t="n">
        <v>82.23531276157338</v>
      </c>
      <c r="I161" s="16" t="n">
        <v>434704.4765213377</v>
      </c>
      <c r="J161" s="16" t="n">
        <v>488541.8</v>
      </c>
      <c r="K161" s="14" t="n">
        <v>-2.12</v>
      </c>
      <c r="L161" s="14" t="n">
        <v>2.11231</v>
      </c>
      <c r="M161" s="17">
        <f>IF(OR(F161="",K161="",K161&lt;=0),"",F161/K161)</f>
        <v/>
      </c>
      <c r="N161" s="18" t="n">
        <v>5.3240395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2026-10-21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195.1</v>
      </c>
      <c r="G162" s="15" t="inlineStr">
        <is>
          <t>USD</t>
        </is>
      </c>
      <c r="H162" s="14" t="n">
        <v>173.5999731636331</v>
      </c>
      <c r="I162" s="16" t="n">
        <v>97398.92784443023</v>
      </c>
      <c r="J162" s="16" t="n">
        <v>109461.6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-14.716754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2026-10-21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245.3645</v>
      </c>
      <c r="G163" s="15" t="inlineStr">
        <is>
          <t>USD</t>
        </is>
      </c>
      <c r="H163" s="14" t="n">
        <v>218.3253235023488</v>
      </c>
      <c r="I163" s="16" t="n">
        <v>154496.0568959453</v>
      </c>
      <c r="J163" s="16" t="n">
        <v>173630.1</v>
      </c>
      <c r="K163" s="14" t="n">
        <v>12.31</v>
      </c>
      <c r="L163" s="14" t="n">
        <v>13.74928</v>
      </c>
      <c r="M163" s="17">
        <f>IF(OR(F163="",K163="",K163&lt;=0),"",F163/K163)</f>
        <v/>
      </c>
      <c r="N163" s="18" t="n">
        <v>-169.685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2026-10-21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1010.88</v>
      </c>
      <c r="G164" s="15" t="inlineStr">
        <is>
          <t>USD</t>
        </is>
      </c>
      <c r="H164" s="14" t="n">
        <v>899.4809885784387</v>
      </c>
      <c r="I164" s="16" t="n">
        <v>104870.8450901861</v>
      </c>
      <c r="J164" s="16" t="n">
        <v>117858.9</v>
      </c>
      <c r="K164" s="14" t="n">
        <v>37.31</v>
      </c>
      <c r="L164" s="14" t="n">
        <v>50.57678</v>
      </c>
      <c r="M164" s="17">
        <f>IF(OR(F164="",K164="",K164&lt;=0),"",F164/K164)</f>
        <v/>
      </c>
      <c r="N164" s="18" t="n">
        <v>-27.655943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2026-10-21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252.35</v>
      </c>
      <c r="G165" s="15" t="inlineStr">
        <is>
          <t>USD</t>
        </is>
      </c>
      <c r="H165" s="14" t="n">
        <v>224.5410211575746</v>
      </c>
      <c r="I165" s="16" t="n">
        <v>89676.79884852767</v>
      </c>
      <c r="J165" s="16" t="n">
        <v>100783.1</v>
      </c>
      <c r="K165" s="14" t="n">
        <v>-7.98</v>
      </c>
      <c r="L165" s="14" t="n">
        <v>-4.45279</v>
      </c>
      <c r="M165" s="17">
        <f>IF(OR(F165="",K165="",K165&lt;=0),"",F165/K165)</f>
        <v/>
      </c>
      <c r="N165" s="18" t="n">
        <v>14.897611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2026-10-21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196.64</v>
      </c>
      <c r="G166" s="15" t="inlineStr">
        <is>
          <t>USD</t>
        </is>
      </c>
      <c r="H166" s="14" t="n">
        <v>174.9702651096709</v>
      </c>
      <c r="I166" s="16" t="n">
        <v>272710.9651206422</v>
      </c>
      <c r="J166" s="16" t="n">
        <v>306485.7</v>
      </c>
      <c r="K166" s="14" t="n">
        <v>6.96</v>
      </c>
      <c r="L166" s="14" t="n">
        <v>9.178979999999999</v>
      </c>
      <c r="M166" s="17">
        <f>IF(OR(F166="",K166="",K166&lt;=0),"",F166/K166)</f>
        <v/>
      </c>
      <c r="N166" s="18" t="n">
        <v>-35.707283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2026-10-21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99.02</v>
      </c>
      <c r="G167" s="15" t="inlineStr">
        <is>
          <t>USD</t>
        </is>
      </c>
      <c r="H167" s="14" t="n">
        <v>88.10799253030726</v>
      </c>
      <c r="I167" s="16" t="n">
        <v>100443.1114845503</v>
      </c>
      <c r="J167" s="16" t="n">
        <v>112882.8</v>
      </c>
      <c r="K167" s="14" t="n">
        <v>1.73</v>
      </c>
      <c r="L167" s="14" t="n">
        <v>3.13141</v>
      </c>
      <c r="M167" s="17">
        <f>IF(OR(F167="",K167="",K167&lt;=0),"",F167/K167)</f>
        <v/>
      </c>
      <c r="N167" s="18" t="n">
        <v>-14.706669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2026-10-21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2026-10-21T20:07:33Z</dcterms:created>
  <dcterms:modified xsi:type="dcterms:W3CDTF">2026-10-21T20:07:34Z</dcterms:modified>
</cp:coreProperties>
</file>
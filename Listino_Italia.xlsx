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IG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BGN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HER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PST/" TargetMode="External" Id="rId19" /><Relationship Type="http://schemas.openxmlformats.org/officeDocument/2006/relationships/hyperlink" Target="https://www.tradingview.com/symbols/MIL-MFEB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MPS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G/" TargetMode="External" Id="rId31" /><Relationship Type="http://schemas.openxmlformats.org/officeDocument/2006/relationships/hyperlink" Target="https://www.tradingview.com/symbols/MIL-TEN/" TargetMode="External" Id="rId32" /><Relationship Type="http://schemas.openxmlformats.org/officeDocument/2006/relationships/hyperlink" Target="https://www.tradingview.com/symbols/MIL-SRG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BAMI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MONC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DAN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VOW3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DG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MC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CA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LOG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BAER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EOG/" TargetMode="External" Id="rId2" /><Relationship Type="http://schemas.openxmlformats.org/officeDocument/2006/relationships/hyperlink" Target="https://www.tradingview.com/symbols/SP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GOOGL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LRCX/" TargetMode="External" Id="rId13" /><Relationship Type="http://schemas.openxmlformats.org/officeDocument/2006/relationships/hyperlink" Target="https://www.tradingview.com/symbols/AXP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PEP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TRV/" TargetMode="External" Id="rId21" /><Relationship Type="http://schemas.openxmlformats.org/officeDocument/2006/relationships/hyperlink" Target="https://www.tradingview.com/symbols/KLAC/" TargetMode="External" Id="rId22" /><Relationship Type="http://schemas.openxmlformats.org/officeDocument/2006/relationships/hyperlink" Target="https://www.tradingview.com/symbols/AMAT/" TargetMode="External" Id="rId23" /><Relationship Type="http://schemas.openxmlformats.org/officeDocument/2006/relationships/hyperlink" Target="https://www.tradingview.com/symbols/LLY/" TargetMode="External" Id="rId24" /><Relationship Type="http://schemas.openxmlformats.org/officeDocument/2006/relationships/hyperlink" Target="https://www.tradingview.com/symbols/URI/" TargetMode="External" Id="rId25" /><Relationship Type="http://schemas.openxmlformats.org/officeDocument/2006/relationships/hyperlink" Target="https://www.tradingview.com/symbols/TGT/" TargetMode="External" Id="rId26" /><Relationship Type="http://schemas.openxmlformats.org/officeDocument/2006/relationships/hyperlink" Target="https://www.tradingview.com/symbols/COST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UPS/" TargetMode="External" Id="rId29" /><Relationship Type="http://schemas.openxmlformats.org/officeDocument/2006/relationships/hyperlink" Target="https://www.tradingview.com/symbols/VLO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NFLX/" TargetMode="External" Id="rId32" /><Relationship Type="http://schemas.openxmlformats.org/officeDocument/2006/relationships/hyperlink" Target="https://www.tradingview.com/symbols/KO/" TargetMode="External" Id="rId33" /><Relationship Type="http://schemas.openxmlformats.org/officeDocument/2006/relationships/hyperlink" Target="https://www.tradingview.com/symbols/LMT/" TargetMode="External" Id="rId34" /><Relationship Type="http://schemas.openxmlformats.org/officeDocument/2006/relationships/hyperlink" Target="https://www.tradingview.com/symbols/SHW/" TargetMode="External" Id="rId35" /><Relationship Type="http://schemas.openxmlformats.org/officeDocument/2006/relationships/hyperlink" Target="https://www.tradingview.com/symbols/TXN/" TargetMode="External" Id="rId36" /><Relationship Type="http://schemas.openxmlformats.org/officeDocument/2006/relationships/hyperlink" Target="https://www.tradingview.com/symbols/CMG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ITW/" TargetMode="External" Id="rId39" /><Relationship Type="http://schemas.openxmlformats.org/officeDocument/2006/relationships/hyperlink" Target="https://www.tradingview.com/symbols/BX/" TargetMode="External" Id="rId40" /><Relationship Type="http://schemas.openxmlformats.org/officeDocument/2006/relationships/hyperlink" Target="https://www.tradingview.com/symbols/PSX/" TargetMode="External" Id="rId41" /><Relationship Type="http://schemas.openxmlformats.org/officeDocument/2006/relationships/hyperlink" Target="https://www.tradingview.com/symbols/JPM/" TargetMode="External" Id="rId42" /><Relationship Type="http://schemas.openxmlformats.org/officeDocument/2006/relationships/hyperlink" Target="https://www.tradingview.com/symbols/TJX/" TargetMode="External" Id="rId43" /><Relationship Type="http://schemas.openxmlformats.org/officeDocument/2006/relationships/hyperlink" Target="https://www.tradingview.com/symbols/CI/" TargetMode="External" Id="rId44" /><Relationship Type="http://schemas.openxmlformats.org/officeDocument/2006/relationships/hyperlink" Target="https://www.tradingview.com/symbols/NOC/" TargetMode="External" Id="rId45" /><Relationship Type="http://schemas.openxmlformats.org/officeDocument/2006/relationships/hyperlink" Target="https://www.tradingview.com/symbols/NVDA/" TargetMode="External" Id="rId46" /><Relationship Type="http://schemas.openxmlformats.org/officeDocument/2006/relationships/hyperlink" Target="https://www.tradingview.com/symbols/CSX/" TargetMode="External" Id="rId47" /><Relationship Type="http://schemas.openxmlformats.org/officeDocument/2006/relationships/hyperlink" Target="https://www.tradingview.com/symbols/CDNS/" TargetMode="External" Id="rId48" /><Relationship Type="http://schemas.openxmlformats.org/officeDocument/2006/relationships/hyperlink" Target="https://www.tradingview.com/symbols/META/" TargetMode="External" Id="rId49" /><Relationship Type="http://schemas.openxmlformats.org/officeDocument/2006/relationships/hyperlink" Target="https://www.tradingview.com/symbols/WM/" TargetMode="External" Id="rId50" /><Relationship Type="http://schemas.openxmlformats.org/officeDocument/2006/relationships/hyperlink" Target="https://www.tradingview.com/symbols/CSCO/" TargetMode="External" Id="rId51" /><Relationship Type="http://schemas.openxmlformats.org/officeDocument/2006/relationships/hyperlink" Target="https://www.tradingview.com/symbols/PG/" TargetMode="External" Id="rId52" /><Relationship Type="http://schemas.openxmlformats.org/officeDocument/2006/relationships/hyperlink" Target="https://www.tradingview.com/symbols/NKE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AMGN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WF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T/" TargetMode="External" Id="rId62" /><Relationship Type="http://schemas.openxmlformats.org/officeDocument/2006/relationships/hyperlink" Target="https://www.tradingview.com/symbols/COP/" TargetMode="External" Id="rId63" /><Relationship Type="http://schemas.openxmlformats.org/officeDocument/2006/relationships/hyperlink" Target="https://www.tradingview.com/symbols/FDX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BKNG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QCOM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WMB/" TargetMode="External" Id="rId74" /><Relationship Type="http://schemas.openxmlformats.org/officeDocument/2006/relationships/hyperlink" Target="https://www.tradingview.com/symbols/INTU/" TargetMode="External" Id="rId75" /><Relationship Type="http://schemas.openxmlformats.org/officeDocument/2006/relationships/hyperlink" Target="https://www.tradingview.com/symbols/NSC/" TargetMode="External" Id="rId76" /><Relationship Type="http://schemas.openxmlformats.org/officeDocument/2006/relationships/hyperlink" Target="https://www.tradingview.com/symbols/REGN/" TargetMode="External" Id="rId77" /><Relationship Type="http://schemas.openxmlformats.org/officeDocument/2006/relationships/hyperlink" Target="https://www.tradingview.com/symbols/ECL/" TargetMode="External" Id="rId78" /><Relationship Type="http://schemas.openxmlformats.org/officeDocument/2006/relationships/hyperlink" Target="https://www.tradingview.com/symbols/CMI/" TargetMode="External" Id="rId79" /><Relationship Type="http://schemas.openxmlformats.org/officeDocument/2006/relationships/hyperlink" Target="https://www.tradingview.com/symbols/VRT/" TargetMode="External" Id="rId80" /><Relationship Type="http://schemas.openxmlformats.org/officeDocument/2006/relationships/hyperlink" Target="https://www.tradingview.com/symbols/SCHW/" TargetMode="External" Id="rId81" /><Relationship Type="http://schemas.openxmlformats.org/officeDocument/2006/relationships/hyperlink" Target="https://www.tradingview.com/symbols/WMT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NEE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ELV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KMB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BRK.B/" TargetMode="External" Id="rId98" /><Relationship Type="http://schemas.openxmlformats.org/officeDocument/2006/relationships/hyperlink" Target="https://www.tradingview.com/symbols/MET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MDT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KMI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PLD/" TargetMode="External" Id="rId117" /><Relationship Type="http://schemas.openxmlformats.org/officeDocument/2006/relationships/hyperlink" Target="https://www.tradingview.com/symbols/RTX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AMZN/" TargetMode="External" Id="rId123" /><Relationship Type="http://schemas.openxmlformats.org/officeDocument/2006/relationships/hyperlink" Target="https://www.tradingview.com/symbols/BSX/" TargetMode="External" Id="rId124" /><Relationship Type="http://schemas.openxmlformats.org/officeDocument/2006/relationships/hyperlink" Target="https://www.tradingview.com/symbols/D/" TargetMode="External" Id="rId125" /><Relationship Type="http://schemas.openxmlformats.org/officeDocument/2006/relationships/hyperlink" Target="https://www.tradingview.com/symbols/TSLA/" TargetMode="External" Id="rId126" /><Relationship Type="http://schemas.openxmlformats.org/officeDocument/2006/relationships/hyperlink" Target="https://www.tradingview.com/symbols/FCX/" TargetMode="External" Id="rId127" /><Relationship Type="http://schemas.openxmlformats.org/officeDocument/2006/relationships/hyperlink" Target="https://www.tradingview.com/symbols/XEL/" TargetMode="External" Id="rId128" /><Relationship Type="http://schemas.openxmlformats.org/officeDocument/2006/relationships/hyperlink" Target="https://www.tradingview.com/symbols/AIG/" TargetMode="External" Id="rId129" /><Relationship Type="http://schemas.openxmlformats.org/officeDocument/2006/relationships/hyperlink" Target="https://www.tradingview.com/symbols/BMY/" TargetMode="External" Id="rId130" /><Relationship Type="http://schemas.openxmlformats.org/officeDocument/2006/relationships/hyperlink" Target="https://www.tradingview.com/symbols/DUK/" TargetMode="External" Id="rId131" /><Relationship Type="http://schemas.openxmlformats.org/officeDocument/2006/relationships/hyperlink" Target="https://www.tradingview.com/symbols/DHR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MMM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39.1</v>
      </c>
      <c r="G2" s="15" t="inlineStr">
        <is>
          <t>EUR</t>
        </is>
      </c>
      <c r="H2" s="14" t="n">
        <v>39.1</v>
      </c>
      <c r="I2" s="16" t="n">
        <v>5514.9</v>
      </c>
      <c r="J2" s="16" t="n">
        <v>5514.9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2.8083026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80.3</v>
      </c>
      <c r="G3" s="15" t="inlineStr">
        <is>
          <t>EUR</t>
        </is>
      </c>
      <c r="H3" s="14" t="n">
        <v>80.3</v>
      </c>
      <c r="I3" s="16" t="n">
        <v>5460.4</v>
      </c>
      <c r="J3" s="16" t="n">
        <v>5460.4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9.965253000000001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23.68</v>
      </c>
      <c r="G4" s="15" t="inlineStr">
        <is>
          <t>EUR</t>
        </is>
      </c>
      <c r="H4" s="14" t="n">
        <v>23.68</v>
      </c>
      <c r="I4" s="16" t="n">
        <v>17543.7</v>
      </c>
      <c r="J4" s="16" t="n">
        <v>17543.7</v>
      </c>
      <c r="K4" s="14" t="n">
        <v>1.78</v>
      </c>
      <c r="L4" s="14" t="n">
        <v>1.58719</v>
      </c>
      <c r="M4" s="17">
        <f>IF(OR(F4="",K4="",K4&lt;=0),"",F4/K4)</f>
        <v/>
      </c>
      <c r="N4" s="18" t="n">
        <v>3.8310952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Italgas</t>
        </is>
      </c>
      <c r="C5" s="12" t="inlineStr">
        <is>
          <t>IG.MI</t>
        </is>
      </c>
      <c r="D5" s="11" t="inlineStr">
        <is>
          <t>Utility / Reti</t>
        </is>
      </c>
      <c r="E5" s="13" t="inlineStr">
        <is>
          <t>Utility</t>
        </is>
      </c>
      <c r="F5" s="14" t="n">
        <v>8.401999999999999</v>
      </c>
      <c r="G5" s="15" t="inlineStr">
        <is>
          <t>EUR</t>
        </is>
      </c>
      <c r="H5" s="14" t="n">
        <v>8.401999999999999</v>
      </c>
      <c r="I5" s="16" t="n">
        <v>8549.799999999999</v>
      </c>
      <c r="J5" s="16" t="n">
        <v>8549.799999999999</v>
      </c>
      <c r="K5" s="14" t="n">
        <v>0.7</v>
      </c>
      <c r="L5" s="14" t="n">
        <v>0.7991</v>
      </c>
      <c r="M5" s="17">
        <f>IF(OR(F5="",K5="",K5&lt;=0),"",F5/K5)</f>
        <v/>
      </c>
      <c r="N5" s="18" t="n">
        <v>2.2653008</v>
      </c>
      <c r="O5" s="19">
        <f>IF(OR(N5="",M5="",M5&lt;=0),"",N5/M5)</f>
        <v/>
      </c>
      <c r="P5" s="20" t="n">
        <v>0.19063</v>
      </c>
      <c r="Q5" s="20" t="n">
        <v>0.1892111669010866</v>
      </c>
      <c r="R5" s="20" t="n">
        <v>0.007636666953879905</v>
      </c>
      <c r="S5" s="21" t="n">
        <v>4</v>
      </c>
      <c r="T5" s="20" t="n"/>
      <c r="U5" s="20" t="n">
        <v>0.1760500959304389</v>
      </c>
      <c r="V5" s="20" t="n">
        <v>0.194821061899161</v>
      </c>
      <c r="W5" s="20" t="n">
        <v>0.1927868944489472</v>
      </c>
      <c r="X5" s="20" t="n">
        <v>0.1931866153257992</v>
      </c>
      <c r="Y5" s="14" t="n">
        <v>0.43</v>
      </c>
      <c r="Z5" s="19">
        <f>IF(OR(Y5="",F5="",F5=0),"",Y5/F5)</f>
        <v/>
      </c>
      <c r="AA5" s="22" t="n">
        <v>294.061</v>
      </c>
      <c r="AB5" s="20" t="n">
        <v>0.306</v>
      </c>
      <c r="AC5" s="20" t="n">
        <v>0.2063045888567778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2.08</v>
      </c>
      <c r="G6" s="15" t="inlineStr">
        <is>
          <t>EUR</t>
        </is>
      </c>
      <c r="H6" s="14" t="n">
        <v>2.08</v>
      </c>
      <c r="I6" s="16" t="n">
        <v>539</v>
      </c>
      <c r="J6" s="16" t="n">
        <v>539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1.8637991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Banca Generali</t>
        </is>
      </c>
      <c r="C7" s="12" t="inlineStr">
        <is>
          <t>BGN.MI</t>
        </is>
      </c>
      <c r="D7" s="11" t="inlineStr">
        <is>
          <t>Risparmio gestito</t>
        </is>
      </c>
      <c r="E7" s="13" t="inlineStr">
        <is>
          <t>Finanziario</t>
        </is>
      </c>
      <c r="F7" s="14" t="n">
        <v>67.15000000000001</v>
      </c>
      <c r="G7" s="15" t="inlineStr">
        <is>
          <t>EUR</t>
        </is>
      </c>
      <c r="H7" s="14" t="n">
        <v>67.15000000000001</v>
      </c>
      <c r="I7" s="16" t="n">
        <v>7674.6</v>
      </c>
      <c r="J7" s="16" t="n">
        <v>7674.6</v>
      </c>
      <c r="K7" s="14" t="n">
        <v>4.6</v>
      </c>
      <c r="L7" s="14" t="n">
        <v>3.84504</v>
      </c>
      <c r="M7" s="17">
        <f>IF(OR(F7="",K7="",K7&lt;=0),"",F7/K7)</f>
        <v/>
      </c>
      <c r="N7" s="18" t="n">
        <v>5.4500446</v>
      </c>
      <c r="O7" s="19">
        <f>IF(OR(N7="",M7="",M7&lt;=0),"",N7/M7)</f>
        <v/>
      </c>
      <c r="P7" s="20" t="n">
        <v>0.36488</v>
      </c>
      <c r="Q7" s="20" t="n">
        <v>0.2618840820075273</v>
      </c>
      <c r="R7" s="20" t="n">
        <v>0.03724667157956014</v>
      </c>
      <c r="S7" s="21" t="n">
        <v>4</v>
      </c>
      <c r="T7" s="20" t="n"/>
      <c r="U7" s="20" t="n">
        <v>0.2838222375004775</v>
      </c>
      <c r="V7" s="20" t="n">
        <v>0.2953751670464812</v>
      </c>
      <c r="W7" s="20" t="n">
        <v>0.2688834530025302</v>
      </c>
      <c r="X7" s="20" t="n">
        <v>0.1994554704806203</v>
      </c>
      <c r="Y7" s="14" t="n">
        <v>2.9</v>
      </c>
      <c r="Z7" s="19">
        <f>IF(OR(Y7="",F7="",F7=0),"",Y7/F7)</f>
        <v/>
      </c>
      <c r="AA7" s="22" t="n"/>
      <c r="AB7" s="20" t="n">
        <v>0.464</v>
      </c>
      <c r="AC7" s="20" t="n">
        <v>0.4480063973207802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2.338</v>
      </c>
      <c r="G8" s="15" t="inlineStr">
        <is>
          <t>EUR</t>
        </is>
      </c>
      <c r="H8" s="14" t="n">
        <v>2.338</v>
      </c>
      <c r="I8" s="16" t="n">
        <v>7314.3</v>
      </c>
      <c r="J8" s="16" t="n">
        <v>7314.3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1.406739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12.67</v>
      </c>
      <c r="G9" s="15" t="inlineStr">
        <is>
          <t>EUR</t>
        </is>
      </c>
      <c r="H9" s="14" t="n">
        <v>12.67</v>
      </c>
      <c r="I9" s="16" t="n">
        <v>4136.9</v>
      </c>
      <c r="J9" s="16" t="n">
        <v>4136.9</v>
      </c>
      <c r="K9" s="14" t="n">
        <v>0.83</v>
      </c>
      <c r="L9" s="14" t="n">
        <v>1.02172</v>
      </c>
      <c r="M9" s="17">
        <f>IF(OR(F9="",K9="",K9&lt;=0),"",F9/K9)</f>
        <v/>
      </c>
      <c r="N9" s="18" t="n">
        <v>7.1420517</v>
      </c>
      <c r="O9" s="19">
        <f>IF(OR(N9="",M9="",M9&lt;=0),"",N9/M9)</f>
        <v/>
      </c>
      <c r="P9" s="20" t="n">
        <v>0.48770002</v>
      </c>
      <c r="Q9" s="20" t="n">
        <v>0.2798475537626282</v>
      </c>
      <c r="R9" s="20" t="n">
        <v>0.07298807403400039</v>
      </c>
      <c r="S9" s="21" t="n">
        <v>4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20.38</v>
      </c>
      <c r="G10" s="15" t="inlineStr">
        <is>
          <t>EUR</t>
        </is>
      </c>
      <c r="H10" s="14" t="n">
        <v>20.38</v>
      </c>
      <c r="I10" s="16" t="n">
        <v>4331.7</v>
      </c>
      <c r="J10" s="16" t="n">
        <v>4331.7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1.5577466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20.7</v>
      </c>
      <c r="G11" s="15" t="inlineStr">
        <is>
          <t>EUR</t>
        </is>
      </c>
      <c r="H11" s="14" t="n">
        <v>20.7</v>
      </c>
      <c r="I11" s="16" t="n">
        <v>7039.8</v>
      </c>
      <c r="J11" s="16" t="n">
        <v>7039.8</v>
      </c>
      <c r="K11" s="14" t="n">
        <v>1.66</v>
      </c>
      <c r="L11" s="14" t="n">
        <v>1.70789</v>
      </c>
      <c r="M11" s="17">
        <f>IF(OR(F11="",K11="",K11&lt;=0),"",F11/K11)</f>
        <v/>
      </c>
      <c r="N11" s="18" t="n">
        <v>1.4904954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0.924</v>
      </c>
      <c r="G12" s="15" t="inlineStr">
        <is>
          <t>EUR</t>
        </is>
      </c>
      <c r="H12" s="14" t="n">
        <v>0.924</v>
      </c>
      <c r="I12" s="16" t="n">
        <v>478.1</v>
      </c>
      <c r="J12" s="16" t="n">
        <v>478.1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1.0393701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Hera</t>
        </is>
      </c>
      <c r="C13" s="12" t="inlineStr">
        <is>
          <t>HER.MI</t>
        </is>
      </c>
      <c r="D13" s="11" t="inlineStr">
        <is>
          <t>Utility</t>
        </is>
      </c>
      <c r="E13" s="13" t="inlineStr">
        <is>
          <t>Utility</t>
        </is>
      </c>
      <c r="F13" s="14" t="n">
        <v>3.71</v>
      </c>
      <c r="G13" s="15" t="inlineStr">
        <is>
          <t>EUR</t>
        </is>
      </c>
      <c r="H13" s="14" t="n">
        <v>3.71</v>
      </c>
      <c r="I13" s="16" t="n">
        <v>5469.5</v>
      </c>
      <c r="J13" s="16" t="n">
        <v>5469.5</v>
      </c>
      <c r="K13" s="14" t="n">
        <v>0.32</v>
      </c>
      <c r="L13" s="14" t="n">
        <v>0.33202</v>
      </c>
      <c r="M13" s="17">
        <f>IF(OR(F13="",K13="",K13&lt;=0),"",F13/K13)</f>
        <v/>
      </c>
      <c r="N13" s="18" t="n">
        <v>1.3432295</v>
      </c>
      <c r="O13" s="19">
        <f>IF(OR(N13="",M13="",M13&lt;=0),"",N13/M13)</f>
        <v/>
      </c>
      <c r="P13" s="20" t="n">
        <v>0.121079996</v>
      </c>
      <c r="Q13" s="20" t="n">
        <v>0.1129016561358004</v>
      </c>
      <c r="R13" s="20" t="n">
        <v>0.02307978086200269</v>
      </c>
      <c r="S13" s="21" t="n">
        <v>4</v>
      </c>
      <c r="T13" s="20" t="n"/>
      <c r="U13" s="20" t="n">
        <v>0.1137599843191062</v>
      </c>
      <c r="V13" s="20" t="n">
        <v>0.1343713486046575</v>
      </c>
      <c r="W13" s="20" t="n">
        <v>0.1283811296608691</v>
      </c>
      <c r="X13" s="20" t="n">
        <v>0.07509416195856874</v>
      </c>
      <c r="Y13" s="14" t="n">
        <v>0.16</v>
      </c>
      <c r="Z13" s="19">
        <f>IF(OR(Y13="",F13="",F13=0),"",Y13/F13)</f>
        <v/>
      </c>
      <c r="AA13" s="22" t="n">
        <v>133.318</v>
      </c>
      <c r="AB13" s="20" t="n">
        <v>0.217</v>
      </c>
      <c r="AC13" s="20" t="n">
        <v>0.03629365073242979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28.1</v>
      </c>
      <c r="G14" s="15" t="inlineStr">
        <is>
          <t>EUR</t>
        </is>
      </c>
      <c r="H14" s="14" t="n">
        <v>28.1</v>
      </c>
      <c r="I14" s="16" t="n">
        <v>20153.5</v>
      </c>
      <c r="J14" s="16" t="n">
        <v>20153.5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2.0065696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14.41</v>
      </c>
      <c r="G15" s="15" t="inlineStr">
        <is>
          <t>EUR</t>
        </is>
      </c>
      <c r="H15" s="14" t="n">
        <v>14.41</v>
      </c>
      <c r="I15" s="16" t="n">
        <v>30057.2</v>
      </c>
      <c r="J15" s="16" t="n">
        <v>30057.2</v>
      </c>
      <c r="K15" s="14" t="n">
        <v>1.1</v>
      </c>
      <c r="L15" s="14" t="n">
        <v>1.30137</v>
      </c>
      <c r="M15" s="17">
        <f>IF(OR(F15="",K15="",K15&lt;=0),"",F15/K15)</f>
        <v/>
      </c>
      <c r="N15" s="18" t="n">
        <v>1.6685966</v>
      </c>
      <c r="O15" s="19">
        <f>IF(OR(N15="",M15="",M15&lt;=0),"",N15/M15)</f>
        <v/>
      </c>
      <c r="P15" s="20" t="n">
        <v>0.15279001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0.54</v>
      </c>
      <c r="AC15" s="20" t="n">
        <v>0.3142613117453214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2.47</v>
      </c>
      <c r="G16" s="15" t="inlineStr">
        <is>
          <t>EUR</t>
        </is>
      </c>
      <c r="H16" s="14" t="n">
        <v>2.47</v>
      </c>
      <c r="I16" s="16" t="n">
        <v>1728.1</v>
      </c>
      <c r="J16" s="16" t="n">
        <v>1728.1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0.49608356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348.3</v>
      </c>
      <c r="G17" s="15" t="inlineStr">
        <is>
          <t>EUR</t>
        </is>
      </c>
      <c r="H17" s="14" t="n">
        <v>348.3</v>
      </c>
      <c r="I17" s="16" t="n">
        <v>61218.9</v>
      </c>
      <c r="J17" s="16" t="n">
        <v>61218.9</v>
      </c>
      <c r="K17" s="14" t="n">
        <v>9.300000000000001</v>
      </c>
      <c r="L17" s="14" t="n">
        <v>11.01595</v>
      </c>
      <c r="M17" s="17">
        <f>IF(OR(F17="",K17="",K17&lt;=0),"",F17/K17)</f>
        <v/>
      </c>
      <c r="N17" s="18" t="n">
        <v>16.748413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40.3</v>
      </c>
      <c r="G18" s="15" t="inlineStr">
        <is>
          <t>EUR</t>
        </is>
      </c>
      <c r="H18" s="14" t="n">
        <v>40.3</v>
      </c>
      <c r="I18" s="16" t="n">
        <v>7113.4</v>
      </c>
      <c r="J18" s="16" t="n">
        <v>7113.4</v>
      </c>
      <c r="K18" s="14" t="n">
        <v>4.76</v>
      </c>
      <c r="L18" s="14" t="n">
        <v>4.89089</v>
      </c>
      <c r="M18" s="17">
        <f>IF(OR(F18="",K18="",K18&lt;=0),"",F18/K18)</f>
        <v/>
      </c>
      <c r="N18" s="18" t="n">
        <v>0.97696966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23.21</v>
      </c>
      <c r="G19" s="15" t="inlineStr">
        <is>
          <t>EUR</t>
        </is>
      </c>
      <c r="H19" s="14" t="n">
        <v>23.21</v>
      </c>
      <c r="I19" s="16" t="n">
        <v>14200.3</v>
      </c>
      <c r="J19" s="16" t="n">
        <v>14200.3</v>
      </c>
      <c r="K19" s="14" t="n">
        <v>1.1</v>
      </c>
      <c r="L19" s="14" t="n">
        <v>1.27127</v>
      </c>
      <c r="M19" s="17">
        <f>IF(OR(F19="",K19="",K19&lt;=0),"",F19/K19)</f>
        <v/>
      </c>
      <c r="N19" s="18" t="n">
        <v>5.9254527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Poste Italiane</t>
        </is>
      </c>
      <c r="C20" s="12" t="inlineStr">
        <is>
          <t>PST.MI</t>
        </is>
      </c>
      <c r="D20" s="11" t="inlineStr">
        <is>
          <t>Servizi finanziari</t>
        </is>
      </c>
      <c r="E20" s="13" t="inlineStr">
        <is>
          <t>Finanziario</t>
        </is>
      </c>
      <c r="F20" s="14" t="n">
        <v>26.39</v>
      </c>
      <c r="G20" s="15" t="inlineStr">
        <is>
          <t>EUR</t>
        </is>
      </c>
      <c r="H20" s="14" t="n">
        <v>26.39</v>
      </c>
      <c r="I20" s="16" t="n">
        <v>34079.4</v>
      </c>
      <c r="J20" s="16" t="n">
        <v>34079.4</v>
      </c>
      <c r="K20" s="14" t="n">
        <v>1.85</v>
      </c>
      <c r="L20" s="14" t="n">
        <v>1.97359</v>
      </c>
      <c r="M20" s="17">
        <f>IF(OR(F20="",K20="",K20&lt;=0),"",F20/K20)</f>
        <v/>
      </c>
      <c r="N20" s="18" t="n">
        <v>2.661087</v>
      </c>
      <c r="O20" s="19">
        <f>IF(OR(N20="",M20="",M20&lt;=0),"",N20/M20)</f>
        <v/>
      </c>
      <c r="P20" s="20" t="n">
        <v>0.18174</v>
      </c>
      <c r="Q20" s="20" t="n">
        <v>0.1799413465174911</v>
      </c>
      <c r="R20" s="20" t="n">
        <v>0.01549228779776163</v>
      </c>
      <c r="S20" s="21" t="n">
        <v>4</v>
      </c>
      <c r="T20" s="20" t="n"/>
      <c r="U20" s="20" t="n">
        <v>0.1599826577064817</v>
      </c>
      <c r="V20" s="20" t="n">
        <v>0.1721488388155055</v>
      </c>
      <c r="W20" s="20" t="n">
        <v>0.1862042239875993</v>
      </c>
      <c r="X20" s="20" t="n">
        <v>0.2014296655603778</v>
      </c>
      <c r="Y20" s="14" t="n">
        <v>1.25</v>
      </c>
      <c r="Z20" s="19">
        <f>IF(OR(Y20="",F20="",F20=0),"",Y20/F20)</f>
        <v/>
      </c>
      <c r="AA20" s="22" t="n">
        <v>631.496</v>
      </c>
      <c r="AB20" s="20" t="n">
        <v>0.034</v>
      </c>
      <c r="AC20" s="20" t="n">
        <v>0.1031947370684095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B</t>
        </is>
      </c>
      <c r="C21" s="12" t="inlineStr">
        <is>
          <t>MFEB.MI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3.482</v>
      </c>
      <c r="G21" s="15" t="inlineStr">
        <is>
          <t>EUR</t>
        </is>
      </c>
      <c r="H21" s="14" t="n">
        <v>3.482</v>
      </c>
      <c r="I21" s="16" t="n">
        <v>2436.1</v>
      </c>
      <c r="J21" s="16" t="n">
        <v>2436.1</v>
      </c>
      <c r="K21" s="14" t="n">
        <v>0.3</v>
      </c>
      <c r="L21" s="14" t="n">
        <v>0.5317</v>
      </c>
      <c r="M21" s="17">
        <f>IF(OR(F21="",K21="",K21&lt;=0),"",F21/K21)</f>
        <v/>
      </c>
      <c r="N21" s="18" t="n">
        <v>0.69933724</v>
      </c>
      <c r="O21" s="19">
        <f>IF(OR(N21="",M21="",M21&lt;=0),"",N21/M21)</f>
        <v/>
      </c>
      <c r="P21" s="20" t="n">
        <v>0.07248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77.363</v>
      </c>
      <c r="AB21" s="20" t="n">
        <v>1.178</v>
      </c>
      <c r="AC21" s="20" t="n">
        <v>0.05589782118707739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>
        <is>
          <t>Stessa societa' di MFEA, voto multiplo</t>
        </is>
      </c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2.488</v>
      </c>
      <c r="G22" s="15" t="inlineStr">
        <is>
          <t>EUR</t>
        </is>
      </c>
      <c r="H22" s="14" t="n">
        <v>2.488</v>
      </c>
      <c r="I22" s="16" t="n">
        <v>3192.3</v>
      </c>
      <c r="J22" s="16" t="n">
        <v>3192.3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1.0826805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2026-09-08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84.43000000000001</v>
      </c>
      <c r="G23" s="15" t="inlineStr">
        <is>
          <t>EUR</t>
        </is>
      </c>
      <c r="H23" s="14" t="n">
        <v>84.43000000000001</v>
      </c>
      <c r="I23" s="16" t="n"/>
      <c r="J23" s="16" t="n"/>
      <c r="K23" s="14" t="n">
        <v>7.05</v>
      </c>
      <c r="L23" s="14" t="n">
        <v>8.351380000000001</v>
      </c>
      <c r="M23" s="17">
        <f>IF(OR(F23="",K23="",K23&lt;=0),"",F23/K23)</f>
        <v/>
      </c>
      <c r="N23" s="18" t="n">
        <v>1.7963448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2026-09-08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14.91</v>
      </c>
      <c r="G24" s="15" t="inlineStr">
        <is>
          <t>EUR</t>
        </is>
      </c>
      <c r="H24" s="14" t="n">
        <v>14.91</v>
      </c>
      <c r="I24" s="16" t="n">
        <v>910.7</v>
      </c>
      <c r="J24" s="16" t="n">
        <v>910.7</v>
      </c>
      <c r="K24" s="14" t="n">
        <v>4.22</v>
      </c>
      <c r="L24" s="14" t="n">
        <v>2.06451</v>
      </c>
      <c r="M24" s="17">
        <f>IF(OR(F24="",K24="",K24&lt;=0),"",F24/K24)</f>
        <v/>
      </c>
      <c r="N24" s="18" t="n">
        <v>0.44426566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2026-09-08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Monte dei Paschi</t>
        </is>
      </c>
      <c r="C25" s="12" t="inlineStr">
        <is>
          <t>BMPS.MI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11.646</v>
      </c>
      <c r="G25" s="15" t="inlineStr">
        <is>
          <t>EUR</t>
        </is>
      </c>
      <c r="H25" s="14" t="n">
        <v>11.646</v>
      </c>
      <c r="I25" s="16" t="n">
        <v>35385.4</v>
      </c>
      <c r="J25" s="16" t="n">
        <v>35385.4</v>
      </c>
      <c r="K25" s="14" t="n">
        <v>1.2</v>
      </c>
      <c r="L25" s="14" t="n">
        <v>0.89188</v>
      </c>
      <c r="M25" s="17">
        <f>IF(OR(F25="",K25="",K25&lt;=0),"",F25/K25)</f>
        <v/>
      </c>
      <c r="N25" s="18" t="n">
        <v>1.3401612</v>
      </c>
      <c r="O25" s="19">
        <f>IF(OR(N25="",M25="",M25&lt;=0),"",N25/M25)</f>
        <v/>
      </c>
      <c r="P25" s="20" t="n">
        <v>0.15022</v>
      </c>
      <c r="Q25" s="20" t="n">
        <v>0.1118793043818977</v>
      </c>
      <c r="R25" s="20" t="n">
        <v>0.08689710531060152</v>
      </c>
      <c r="S25" s="21" t="n">
        <v>4</v>
      </c>
      <c r="T25" s="20" t="n"/>
      <c r="U25" s="20" t="n">
        <v>0.09712411852409344</v>
      </c>
      <c r="V25" s="20" t="n">
        <v>0.1674643066481196</v>
      </c>
      <c r="W25" s="20" t="n">
        <v>0.2056210488634617</v>
      </c>
      <c r="X25" s="20" t="n">
        <v>-0.02269225650808385</v>
      </c>
      <c r="Y25" s="14" t="n">
        <v>0.86</v>
      </c>
      <c r="Z25" s="19">
        <f>IF(OR(Y25="",F25="",F25=0),"",Y25/F25)</f>
        <v/>
      </c>
      <c r="AA25" s="22" t="n"/>
      <c r="AB25" s="20" t="n">
        <v>0.995</v>
      </c>
      <c r="AC25" s="20" t="n">
        <v>0.5880412296273519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2026-09-08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6.687</v>
      </c>
      <c r="G26" s="15" t="inlineStr">
        <is>
          <t>EUR</t>
        </is>
      </c>
      <c r="H26" s="14" t="n">
        <v>6.687</v>
      </c>
      <c r="I26" s="16" t="n">
        <v>116884.9</v>
      </c>
      <c r="J26" s="16" t="n">
        <v>116884.9</v>
      </c>
      <c r="K26" s="14" t="n">
        <v>0.5600000000000001</v>
      </c>
      <c r="L26" s="14" t="n">
        <v>0.65249</v>
      </c>
      <c r="M26" s="17">
        <f>IF(OR(F26="",K26="",K26&lt;=0),"",F26/K26)</f>
        <v/>
      </c>
      <c r="N26" s="18" t="n">
        <v>1.7102301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2026-09-08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9.975</v>
      </c>
      <c r="G27" s="15" t="inlineStr">
        <is>
          <t>EUR</t>
        </is>
      </c>
      <c r="H27" s="14" t="n">
        <v>9.975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1.3543789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2026-09-08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51.95</v>
      </c>
      <c r="G28" s="15" t="inlineStr">
        <is>
          <t>EUR</t>
        </is>
      </c>
      <c r="H28" s="14" t="n">
        <v>51.95</v>
      </c>
      <c r="I28" s="16" t="n">
        <v>10640</v>
      </c>
      <c r="J28" s="16" t="n">
        <v>10640</v>
      </c>
      <c r="K28" s="14" t="n">
        <v>2.38</v>
      </c>
      <c r="L28" s="14" t="n">
        <v>3.7615</v>
      </c>
      <c r="M28" s="17">
        <f>IF(OR(F28="",K28="",K28&lt;=0),"",F28/K28)</f>
        <v/>
      </c>
      <c r="N28" s="18" t="n">
        <v>4.993752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2026-09-08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23.5</v>
      </c>
      <c r="G29" s="15" t="inlineStr">
        <is>
          <t>EUR</t>
        </is>
      </c>
      <c r="H29" s="14" t="n">
        <v>23.5</v>
      </c>
      <c r="I29" s="16" t="n">
        <v>67712.10000000001</v>
      </c>
      <c r="J29" s="16" t="n">
        <v>67712.10000000001</v>
      </c>
      <c r="K29" s="14" t="n">
        <v>1.92</v>
      </c>
      <c r="L29" s="14" t="n">
        <v>2.34418</v>
      </c>
      <c r="M29" s="17">
        <f>IF(OR(F29="",K29="",K29&lt;=0),"",F29/K29)</f>
        <v/>
      </c>
      <c r="N29" s="18" t="n">
        <v>1.4888494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2026-09-08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9.342000000000001</v>
      </c>
      <c r="G30" s="15" t="inlineStr">
        <is>
          <t>EUR</t>
        </is>
      </c>
      <c r="H30" s="14" t="n">
        <v>9.342000000000001</v>
      </c>
      <c r="I30" s="16" t="n">
        <v>18747.1</v>
      </c>
      <c r="J30" s="16" t="n">
        <v>18747.1</v>
      </c>
      <c r="K30" s="14" t="n">
        <v>0.53</v>
      </c>
      <c r="L30" s="14" t="n">
        <v>0.56177</v>
      </c>
      <c r="M30" s="17">
        <f>IF(OR(F30="",K30="",K30&lt;=0),"",F30/K30)</f>
        <v/>
      </c>
      <c r="N30" s="18" t="n">
        <v>3.1518219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2026-09-08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6.505</v>
      </c>
      <c r="G31" s="15" t="inlineStr">
        <is>
          <t>EUR</t>
        </is>
      </c>
      <c r="H31" s="14" t="n">
        <v>6.505</v>
      </c>
      <c r="I31" s="16" t="n">
        <v>7057.2</v>
      </c>
      <c r="J31" s="16" t="n">
        <v>7057.2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1.1032904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2026-09-08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Assicurazioni Generali</t>
        </is>
      </c>
      <c r="C32" s="12" t="inlineStr">
        <is>
          <t>G.MI</t>
        </is>
      </c>
      <c r="D32" s="11" t="inlineStr">
        <is>
          <t>Assicurazione</t>
        </is>
      </c>
      <c r="E32" s="13" t="inlineStr">
        <is>
          <t>Finanziario</t>
        </is>
      </c>
      <c r="F32" s="14" t="n">
        <v>44.47</v>
      </c>
      <c r="G32" s="15" t="inlineStr">
        <is>
          <t>EUR</t>
        </is>
      </c>
      <c r="H32" s="14" t="n">
        <v>44.47</v>
      </c>
      <c r="I32" s="16" t="n">
        <v>67094.60000000001</v>
      </c>
      <c r="J32" s="16" t="n">
        <v>67094.60000000001</v>
      </c>
      <c r="K32" s="14" t="n">
        <v>2.95</v>
      </c>
      <c r="L32" s="14" t="n">
        <v>3.39681</v>
      </c>
      <c r="M32" s="17">
        <f>IF(OR(F32="",K32="",K32&lt;=0),"",F32/K32)</f>
        <v/>
      </c>
      <c r="N32" s="18" t="n">
        <v>2.0945787</v>
      </c>
      <c r="O32" s="19">
        <f>IF(OR(N32="",M32="",M32&lt;=0),"",N32/M32)</f>
        <v/>
      </c>
      <c r="P32" s="20" t="n">
        <v>0.1514</v>
      </c>
      <c r="Q32" s="20" t="n">
        <v>0.1164672974509258</v>
      </c>
      <c r="R32" s="20" t="n">
        <v>0.01905215662104418</v>
      </c>
      <c r="S32" s="21" t="n">
        <v>4</v>
      </c>
      <c r="T32" s="20" t="n"/>
      <c r="U32" s="20" t="n">
        <v>0.1301147704590818</v>
      </c>
      <c r="V32" s="20" t="n">
        <v>0.1225443417025898</v>
      </c>
      <c r="W32" s="20" t="n">
        <v>0.1293451620697988</v>
      </c>
      <c r="X32" s="20" t="n">
        <v>0.08386491557223265</v>
      </c>
      <c r="Y32" s="14" t="n">
        <v>1.64</v>
      </c>
      <c r="Z32" s="19">
        <f>IF(OR(Y32="",F32="",F32=0),"",Y32/F32)</f>
        <v/>
      </c>
      <c r="AA32" s="22" t="n">
        <v>118.93</v>
      </c>
      <c r="AB32" s="20" t="n">
        <v>0.054</v>
      </c>
      <c r="AC32" s="20" t="n">
        <v>0.06105243451634225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2026-09-08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Tenaris</t>
        </is>
      </c>
      <c r="C33" s="12" t="inlineStr">
        <is>
          <t>TEN.MI</t>
        </is>
      </c>
      <c r="D33" s="11" t="inlineStr">
        <is>
          <t>Oil service</t>
        </is>
      </c>
      <c r="E33" s="13" t="inlineStr">
        <is>
          <t>Energia</t>
        </is>
      </c>
      <c r="F33" s="14" t="n">
        <v>24.76</v>
      </c>
      <c r="G33" s="15" t="inlineStr">
        <is>
          <t>EUR</t>
        </is>
      </c>
      <c r="H33" s="14" t="n">
        <v>24.76</v>
      </c>
      <c r="I33" s="16" t="n">
        <v>24998.7</v>
      </c>
      <c r="J33" s="16" t="n">
        <v>24998.7</v>
      </c>
      <c r="K33" s="14" t="n">
        <v>1.61</v>
      </c>
      <c r="L33" s="14" t="n">
        <v>1.820621</v>
      </c>
      <c r="M33" s="17">
        <f>IF(OR(F33="",K33="",K33&lt;=0),"",F33/K33)</f>
        <v/>
      </c>
      <c r="N33" s="18" t="n">
        <v>1.7195239</v>
      </c>
      <c r="O33" s="19">
        <f>IF(OR(N33="",M33="",M33&lt;=0),"",N33/M33)</f>
        <v/>
      </c>
      <c r="P33" s="20" t="n">
        <v>0.115839995</v>
      </c>
      <c r="Q33" s="20" t="n">
        <v>0.163851096927405</v>
      </c>
      <c r="R33" s="20" t="n">
        <v>0.04758970868898593</v>
      </c>
      <c r="S33" s="21" t="n">
        <v>4</v>
      </c>
      <c r="T33" s="20" t="n"/>
      <c r="U33" s="20" t="n">
        <v>0.1164401927780697</v>
      </c>
      <c r="V33" s="20" t="n">
        <v>0.1227272620438531</v>
      </c>
      <c r="W33" s="20" t="n">
        <v>0.2326231380067603</v>
      </c>
      <c r="X33" s="20" t="n">
        <v>0.183613794880937</v>
      </c>
      <c r="Y33" s="14" t="n">
        <v>1.03</v>
      </c>
      <c r="Z33" s="19">
        <f>IF(OR(Y33="",F33="",F33=0),"",Y33/F33)</f>
        <v/>
      </c>
      <c r="AA33" s="22" t="n">
        <v>2.596</v>
      </c>
      <c r="AB33" s="20" t="n">
        <v>-0.039</v>
      </c>
      <c r="AC33" s="20" t="n">
        <v>0.1596170600218326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2026-09-08</t>
        </is>
      </c>
      <c r="AI33" s="11" t="inlineStr">
        <is>
          <t>yahoo</t>
        </is>
      </c>
      <c r="AJ33" s="23" t="inlineStr">
        <is>
          <t>Bilancio in USD</t>
        </is>
      </c>
    </row>
    <row r="34">
      <c r="A34" s="10">
        <f>IF(AD34="","",RANK(AD34,AD$2:AD$67))</f>
        <v/>
      </c>
      <c r="B34" s="11" t="inlineStr">
        <is>
          <t>Snam</t>
        </is>
      </c>
      <c r="C34" s="12" t="inlineStr">
        <is>
          <t>SRG.MI</t>
        </is>
      </c>
      <c r="D34" s="11" t="inlineStr">
        <is>
          <t>Utility / Reti</t>
        </is>
      </c>
      <c r="E34" s="13" t="inlineStr">
        <is>
          <t>Utility</t>
        </is>
      </c>
      <c r="F34" s="14" t="n">
        <v>5.538</v>
      </c>
      <c r="G34" s="15" t="inlineStr">
        <is>
          <t>EUR</t>
        </is>
      </c>
      <c r="H34" s="14" t="n">
        <v>5.538</v>
      </c>
      <c r="I34" s="16" t="n">
        <v>18584.4</v>
      </c>
      <c r="J34" s="16" t="n">
        <v>18584.4</v>
      </c>
      <c r="K34" s="14" t="n">
        <v>0.33</v>
      </c>
      <c r="L34" s="14" t="n">
        <v>0.43696</v>
      </c>
      <c r="M34" s="17">
        <f>IF(OR(F34="",K34="",K34&lt;=0),"",F34/K34)</f>
        <v/>
      </c>
      <c r="N34" s="18" t="n">
        <v>2.2466533</v>
      </c>
      <c r="O34" s="19">
        <f>IF(OR(N34="",M34="",M34&lt;=0),"",N34/M34)</f>
        <v/>
      </c>
      <c r="P34" s="20" t="n">
        <v>0.1238</v>
      </c>
      <c r="Q34" s="20" t="n">
        <v>0.1292498210780141</v>
      </c>
      <c r="R34" s="20" t="n">
        <v>0.02310306594021611</v>
      </c>
      <c r="S34" s="21" t="n">
        <v>4</v>
      </c>
      <c r="T34" s="20" t="n"/>
      <c r="U34" s="20" t="n">
        <v>0.1374905272274548</v>
      </c>
      <c r="V34" s="20" t="n">
        <v>0.1410012319408668</v>
      </c>
      <c r="W34" s="20" t="n">
        <v>0.1486574983628029</v>
      </c>
      <c r="X34" s="20" t="n">
        <v>0.08985002678093197</v>
      </c>
      <c r="Y34" s="14" t="n">
        <v>0.3</v>
      </c>
      <c r="Z34" s="19">
        <f>IF(OR(Y34="",F34="",F34=0),"",Y34/F34)</f>
        <v/>
      </c>
      <c r="AA34" s="22" t="n">
        <v>234.16</v>
      </c>
      <c r="AB34" s="20" t="n">
        <v>0.097</v>
      </c>
      <c r="AC34" s="20" t="n">
        <v>0.2889407933541018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2026-09-08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2.186</v>
      </c>
      <c r="G35" s="15" t="inlineStr">
        <is>
          <t>EUR</t>
        </is>
      </c>
      <c r="H35" s="14" t="n">
        <v>2.186</v>
      </c>
      <c r="I35" s="16" t="n">
        <v>2161.5</v>
      </c>
      <c r="J35" s="16" t="n">
        <v>2161.5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1.230856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2026-09-08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Banco BPM</t>
        </is>
      </c>
      <c r="C36" s="12" t="inlineStr">
        <is>
          <t>BAMI.MI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16.11</v>
      </c>
      <c r="G36" s="15" t="inlineStr">
        <is>
          <t>EUR</t>
        </is>
      </c>
      <c r="H36" s="14" t="n">
        <v>16.11</v>
      </c>
      <c r="I36" s="16" t="n">
        <v>24259.1</v>
      </c>
      <c r="J36" s="16" t="n">
        <v>24259.1</v>
      </c>
      <c r="K36" s="14" t="n">
        <v>1.27</v>
      </c>
      <c r="L36" s="14" t="n">
        <v>1.42718</v>
      </c>
      <c r="M36" s="17">
        <f>IF(OR(F36="",K36="",K36&lt;=0),"",F36/K36)</f>
        <v/>
      </c>
      <c r="N36" s="18" t="n">
        <v>1.5527711</v>
      </c>
      <c r="O36" s="19">
        <f>IF(OR(N36="",M36="",M36&lt;=0),"",N36/M36)</f>
        <v/>
      </c>
      <c r="P36" s="20" t="n">
        <v>0.12613</v>
      </c>
      <c r="Q36" s="20" t="n">
        <v>0.1021211334100729</v>
      </c>
      <c r="R36" s="20" t="n">
        <v>0.03350975211730548</v>
      </c>
      <c r="S36" s="21" t="n">
        <v>4</v>
      </c>
      <c r="T36" s="20" t="n"/>
      <c r="U36" s="20" t="n">
        <v>0.1342812323198498</v>
      </c>
      <c r="V36" s="20" t="n">
        <v>0.1314982535880892</v>
      </c>
      <c r="W36" s="20" t="n">
        <v>0.09007299567491081</v>
      </c>
      <c r="X36" s="20" t="n">
        <v>0.05263205205744168</v>
      </c>
      <c r="Y36" s="14" t="n">
        <v>1</v>
      </c>
      <c r="Z36" s="19">
        <f>IF(OR(Y36="",F36="",F36=0),"",Y36/F36)</f>
        <v/>
      </c>
      <c r="AA36" s="22" t="n"/>
      <c r="AB36" s="20" t="n">
        <v>-0.055</v>
      </c>
      <c r="AC36" s="20" t="n">
        <v>0.2903556501009414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2026-09-08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1.673</v>
      </c>
      <c r="G37" s="15" t="inlineStr">
        <is>
          <t>EUR</t>
        </is>
      </c>
      <c r="H37" s="14" t="n">
        <v>1.673</v>
      </c>
      <c r="I37" s="16" t="n">
        <v>110.6</v>
      </c>
      <c r="J37" s="16" t="n">
        <v>110.6</v>
      </c>
      <c r="K37" s="14" t="n">
        <v>0.13</v>
      </c>
      <c r="L37" s="14" t="n">
        <v>0.158</v>
      </c>
      <c r="M37" s="17">
        <f>IF(OR(F37="",K37="",K37&lt;=0),"",F37/K37)</f>
        <v/>
      </c>
      <c r="N37" s="18" t="n">
        <v>0.6848137399999999</v>
      </c>
      <c r="O37" s="19">
        <f>IF(OR(N37="",M37="",M37&lt;=0),"",N37/M37)</f>
        <v/>
      </c>
      <c r="P37" s="20" t="n">
        <v>0.05441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-0.28</v>
      </c>
      <c r="AC37" s="20" t="n">
        <v>0.127950402243708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2026-09-08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Moncler</t>
        </is>
      </c>
      <c r="C38" s="12" t="inlineStr">
        <is>
          <t>MONC.MI</t>
        </is>
      </c>
      <c r="D38" s="11" t="inlineStr">
        <is>
          <t>Lusso</t>
        </is>
      </c>
      <c r="E38" s="13" t="inlineStr">
        <is>
          <t>Consumi</t>
        </is>
      </c>
      <c r="F38" s="14" t="n">
        <v>45.96</v>
      </c>
      <c r="G38" s="15" t="inlineStr">
        <is>
          <t>EUR</t>
        </is>
      </c>
      <c r="H38" s="14" t="n">
        <v>45.96</v>
      </c>
      <c r="I38" s="16" t="n">
        <v>12500.6</v>
      </c>
      <c r="J38" s="16" t="n">
        <v>12500.6</v>
      </c>
      <c r="K38" s="14" t="n">
        <v>2.35</v>
      </c>
      <c r="L38" s="14" t="n">
        <v>2.59903</v>
      </c>
      <c r="M38" s="17">
        <f>IF(OR(F38="",K38="",K38&lt;=0),"",F38/K38)</f>
        <v/>
      </c>
      <c r="N38" s="18" t="n">
        <v>3.4260156</v>
      </c>
      <c r="O38" s="19">
        <f>IF(OR(N38="",M38="",M38&lt;=0),"",N38/M38)</f>
        <v/>
      </c>
      <c r="P38" s="20" t="n">
        <v>0.18122</v>
      </c>
      <c r="Q38" s="20" t="n">
        <v>0.1851349369556408</v>
      </c>
      <c r="R38" s="20" t="n">
        <v>0.01692053914808814</v>
      </c>
      <c r="S38" s="21" t="n">
        <v>4</v>
      </c>
      <c r="T38" s="20" t="n"/>
      <c r="U38" s="20" t="n">
        <v>0.1627843667574618</v>
      </c>
      <c r="V38" s="20" t="n">
        <v>0.1783303314020599</v>
      </c>
      <c r="W38" s="20" t="n">
        <v>0.1903756142405816</v>
      </c>
      <c r="X38" s="20" t="n">
        <v>0.2090494354224597</v>
      </c>
      <c r="Y38" s="14" t="n">
        <v>1.4</v>
      </c>
      <c r="Z38" s="19">
        <f>IF(OR(Y38="",F38="",F38=0),"",Y38/F38)</f>
        <v/>
      </c>
      <c r="AA38" s="22" t="n">
        <v>33.88</v>
      </c>
      <c r="AB38" s="20" t="n">
        <v>0.052</v>
      </c>
      <c r="AC38" s="20" t="n">
        <v>0.2036704706831905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2026-09-08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128.5</v>
      </c>
      <c r="G39" s="15" t="inlineStr">
        <is>
          <t>EUR</t>
        </is>
      </c>
      <c r="H39" s="14" t="n">
        <v>128.5</v>
      </c>
      <c r="I39" s="16" t="n">
        <v>37554</v>
      </c>
      <c r="J39" s="16" t="n">
        <v>37554</v>
      </c>
      <c r="K39" s="14" t="n">
        <v>4.82</v>
      </c>
      <c r="L39" s="14" t="n">
        <v>6.08371</v>
      </c>
      <c r="M39" s="17">
        <f>IF(OR(F39="",K39="",K39&lt;=0),"",F39/K39)</f>
        <v/>
      </c>
      <c r="N39" s="18" t="n">
        <v>5.2946024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2026-09-08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26.13</v>
      </c>
      <c r="G40" s="15" t="inlineStr">
        <is>
          <t>EUR</t>
        </is>
      </c>
      <c r="H40" s="14" t="n">
        <v>26.13</v>
      </c>
      <c r="I40" s="16" t="n">
        <v>6074.3</v>
      </c>
      <c r="J40" s="16" t="n">
        <v>6074.3</v>
      </c>
      <c r="K40" s="14" t="n">
        <v>0.91</v>
      </c>
      <c r="L40" s="14" t="n">
        <v>2.24915</v>
      </c>
      <c r="M40" s="17">
        <f>IF(OR(F40="",K40="",K40&lt;=0),"",F40/K40)</f>
        <v/>
      </c>
      <c r="N40" s="18" t="n">
        <v>27.133955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2026-09-08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28.11</v>
      </c>
      <c r="G41" s="15" t="inlineStr">
        <is>
          <t>EUR</t>
        </is>
      </c>
      <c r="H41" s="14" t="n">
        <v>28.11</v>
      </c>
      <c r="I41" s="16" t="n">
        <v>22671.7</v>
      </c>
      <c r="J41" s="16" t="n">
        <v>22671.7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1.9582028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2026-09-08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50.67</v>
      </c>
      <c r="G42" s="15" t="inlineStr">
        <is>
          <t>EUR</t>
        </is>
      </c>
      <c r="H42" s="14" t="n">
        <v>50.67</v>
      </c>
      <c r="I42" s="16" t="n">
        <v>29230.8</v>
      </c>
      <c r="J42" s="16" t="n">
        <v>29230.8</v>
      </c>
      <c r="K42" s="14" t="n">
        <v>1.95</v>
      </c>
      <c r="L42" s="14" t="n">
        <v>2.85482</v>
      </c>
      <c r="M42" s="17">
        <f>IF(OR(F42="",K42="",K42&lt;=0),"",F42/K42)</f>
        <v/>
      </c>
      <c r="N42" s="18" t="n">
        <v>3.0274243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2026-09-08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17.3</v>
      </c>
      <c r="G43" s="15" t="inlineStr">
        <is>
          <t>EUR</t>
        </is>
      </c>
      <c r="H43" s="14" t="n">
        <v>17.3</v>
      </c>
      <c r="I43" s="16" t="n">
        <v>2274.5</v>
      </c>
      <c r="J43" s="16" t="n">
        <v>2274.5</v>
      </c>
      <c r="K43" s="14" t="n">
        <v>1.02</v>
      </c>
      <c r="L43" s="14" t="n"/>
      <c r="M43" s="17">
        <f>IF(OR(F43="",K43="",K43&lt;=0),"",F43/K43)</f>
        <v/>
      </c>
      <c r="N43" s="18" t="n">
        <v>1.5195432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>
        <v>0.51</v>
      </c>
      <c r="Z43" s="19">
        <f>IF(OR(Y43="",F43="",F43=0),"",Y43/F43)</f>
        <v/>
      </c>
      <c r="AA43" s="22" t="n"/>
      <c r="AB43" s="20" t="n">
        <v>0.079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2026-09-08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53.9</v>
      </c>
      <c r="G44" s="15" t="inlineStr">
        <is>
          <t>CHF</t>
        </is>
      </c>
      <c r="H44" s="14" t="n">
        <v>57.30872283417684</v>
      </c>
      <c r="I44" s="16" t="n">
        <v>3160.485688767916</v>
      </c>
      <c r="J44" s="16" t="n">
        <v>2972.5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0.9637046500000001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2026-09-08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37.06</v>
      </c>
      <c r="G45" s="15" t="inlineStr">
        <is>
          <t>EUR</t>
        </is>
      </c>
      <c r="H45" s="14" t="n">
        <v>37.06</v>
      </c>
      <c r="I45" s="16" t="n">
        <v>3894.8</v>
      </c>
      <c r="J45" s="16" t="n">
        <v>3894.8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1.807893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2026-09-08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Danieli &amp; C. ord.</t>
        </is>
      </c>
      <c r="C46" s="12" t="inlineStr">
        <is>
          <t>DAN.MI</t>
        </is>
      </c>
      <c r="D46" s="11" t="inlineStr">
        <is>
          <t>Impiantistica</t>
        </is>
      </c>
      <c r="E46" s="13" t="inlineStr">
        <is>
          <t>Industriale</t>
        </is>
      </c>
      <c r="F46" s="14" t="n">
        <v>57.35</v>
      </c>
      <c r="G46" s="15" t="inlineStr">
        <is>
          <t>EUR</t>
        </is>
      </c>
      <c r="H46" s="14" t="n">
        <v>57.35</v>
      </c>
      <c r="I46" s="16" t="n">
        <v>4104.7</v>
      </c>
      <c r="J46" s="16" t="n">
        <v>4104.7</v>
      </c>
      <c r="K46" s="14" t="n">
        <v>3.19</v>
      </c>
      <c r="L46" s="14" t="n">
        <v>4.44146</v>
      </c>
      <c r="M46" s="17">
        <f>IF(OR(F46="",K46="",K46&lt;=0),"",F46/K46)</f>
        <v/>
      </c>
      <c r="N46" s="18" t="n">
        <v>1.4380641</v>
      </c>
      <c r="O46" s="19">
        <f>IF(OR(N46="",M46="",M46&lt;=0),"",N46/M46)</f>
        <v/>
      </c>
      <c r="P46" s="20" t="n">
        <v>0.08031000000000001</v>
      </c>
      <c r="Q46" s="20" t="n">
        <v>0.0968440934016148</v>
      </c>
      <c r="R46" s="20" t="n">
        <v>0.00397470844110338</v>
      </c>
      <c r="S46" s="21" t="n">
        <v>3</v>
      </c>
      <c r="T46" s="20" t="n"/>
      <c r="U46" s="20" t="n"/>
      <c r="V46" s="20" t="n">
        <v>0.09166035137508417</v>
      </c>
      <c r="W46" s="20" t="n">
        <v>0.1013185357254691</v>
      </c>
      <c r="X46" s="20" t="n">
        <v>0.09755339310429112</v>
      </c>
      <c r="Y46" s="14" t="n">
        <v>0.31</v>
      </c>
      <c r="Z46" s="19">
        <f>IF(OR(Y46="",F46="",F46=0),"",Y46/F46)</f>
        <v/>
      </c>
      <c r="AA46" s="22" t="n">
        <v>20.972</v>
      </c>
      <c r="AB46" s="20" t="n">
        <v>-0.162</v>
      </c>
      <c r="AC46" s="20" t="n">
        <v>0.0522529807088036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2026-09-08</t>
        </is>
      </c>
      <c r="AI46" s="11" t="inlineStr">
        <is>
          <t>yahoo</t>
        </is>
      </c>
      <c r="AJ46" s="23" t="inlineStr">
        <is>
          <t>Verificare se posizione e' su risparmio (DANR.MI)</t>
        </is>
      </c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6.27</v>
      </c>
      <c r="G47" s="15" t="inlineStr">
        <is>
          <t>EUR</t>
        </is>
      </c>
      <c r="H47" s="14" t="n">
        <v>6.27</v>
      </c>
      <c r="I47" s="16" t="n">
        <v>5658.6</v>
      </c>
      <c r="J47" s="16" t="n">
        <v>5658.6</v>
      </c>
      <c r="K47" s="14" t="n">
        <v>0.37</v>
      </c>
      <c r="L47" s="14" t="n">
        <v>0.35646</v>
      </c>
      <c r="M47" s="17">
        <f>IF(OR(F47="",K47="",K47&lt;=0),"",F47/K47)</f>
        <v/>
      </c>
      <c r="N47" s="18" t="n">
        <v>1.8638525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2026-09-08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8.949999999999999</v>
      </c>
      <c r="G48" s="15" t="inlineStr">
        <is>
          <t>EUR</t>
        </is>
      </c>
      <c r="H48" s="14" t="n">
        <v>8.949999999999999</v>
      </c>
      <c r="I48" s="16" t="n">
        <v>88789.89999999999</v>
      </c>
      <c r="J48" s="16" t="n">
        <v>88789.89999999999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3.597267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2026-09-08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73.62</v>
      </c>
      <c r="G49" s="15" t="inlineStr">
        <is>
          <t>EUR</t>
        </is>
      </c>
      <c r="H49" s="14" t="n">
        <v>73.62</v>
      </c>
      <c r="I49" s="16" t="n">
        <v>3640</v>
      </c>
      <c r="J49" s="16" t="n">
        <v>3640</v>
      </c>
      <c r="K49" s="14" t="n">
        <v>2.72</v>
      </c>
      <c r="L49" s="14" t="n">
        <v>4.27556</v>
      </c>
      <c r="M49" s="17">
        <f>IF(OR(F49="",K49="",K49&lt;=0),"",F49/K49)</f>
        <v/>
      </c>
      <c r="N49" s="18" t="n">
        <v>2.5599835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2026-09-08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13.65</v>
      </c>
      <c r="G50" s="15" t="inlineStr">
        <is>
          <t>USD</t>
        </is>
      </c>
      <c r="H50" s="14" t="n">
        <v>11.738999976522</v>
      </c>
      <c r="I50" s="16" t="n">
        <v>18878.2039622436</v>
      </c>
      <c r="J50" s="16" t="n">
        <v>21951.4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2.1784232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2026-09-08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11.55</v>
      </c>
      <c r="G51" s="15" t="inlineStr">
        <is>
          <t>EUR</t>
        </is>
      </c>
      <c r="H51" s="14" t="n">
        <v>11.55</v>
      </c>
      <c r="I51" s="16" t="n"/>
      <c r="J51" s="16" t="n"/>
      <c r="K51" s="14" t="n">
        <v>0.31</v>
      </c>
      <c r="L51" s="14" t="n">
        <v>0.88037</v>
      </c>
      <c r="M51" s="17">
        <f>IF(OR(F51="",K51="",K51&lt;=0),"",F51/K51)</f>
        <v/>
      </c>
      <c r="N51" s="18" t="n">
        <v>2.0277388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2026-09-08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5.768</v>
      </c>
      <c r="G52" s="15" t="inlineStr">
        <is>
          <t>EUR</t>
        </is>
      </c>
      <c r="H52" s="14" t="n">
        <v>5.768</v>
      </c>
      <c r="I52" s="16" t="n">
        <v>6917.9</v>
      </c>
      <c r="J52" s="16" t="n">
        <v>6917.9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1.7331731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2026-09-08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14.035</v>
      </c>
      <c r="G53" s="15" t="inlineStr">
        <is>
          <t>EUR</t>
        </is>
      </c>
      <c r="H53" s="14" t="n">
        <v>14.035</v>
      </c>
      <c r="I53" s="16" t="n">
        <v>3738.2</v>
      </c>
      <c r="J53" s="16" t="n">
        <v>3738.2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1.5146773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2026-09-08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7.61</v>
      </c>
      <c r="G54" s="15" t="inlineStr">
        <is>
          <t>EUR</t>
        </is>
      </c>
      <c r="H54" s="14" t="n">
        <v>7.61</v>
      </c>
      <c r="I54" s="16" t="n">
        <v>376.3</v>
      </c>
      <c r="J54" s="16" t="n">
        <v>376.3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0.91598463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2026-09-08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22.54</v>
      </c>
      <c r="G55" s="15" t="inlineStr">
        <is>
          <t>EUR</t>
        </is>
      </c>
      <c r="H55" s="14" t="n">
        <v>22.54</v>
      </c>
      <c r="I55" s="16" t="n">
        <v>3276.3</v>
      </c>
      <c r="J55" s="16" t="n">
        <v>3276.3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1.7339797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2026-09-08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7.69</v>
      </c>
      <c r="G56" s="15" t="inlineStr">
        <is>
          <t>EUR</t>
        </is>
      </c>
      <c r="H56" s="14" t="n">
        <v>7.69</v>
      </c>
      <c r="I56" s="16" t="n">
        <v>16404.8</v>
      </c>
      <c r="J56" s="16" t="n">
        <v>16404.8</v>
      </c>
      <c r="K56" s="14" t="n">
        <v>0.15</v>
      </c>
      <c r="L56" s="14" t="n">
        <v>0.28575</v>
      </c>
      <c r="M56" s="17">
        <f>IF(OR(F56="",K56="",K56&lt;=0),"",F56/K56)</f>
        <v/>
      </c>
      <c r="N56" s="18" t="n">
        <v>1.419081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2026-09-08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12.59</v>
      </c>
      <c r="G57" s="15" t="inlineStr">
        <is>
          <t>EUR</t>
        </is>
      </c>
      <c r="H57" s="14" t="n">
        <v>12.59</v>
      </c>
      <c r="I57" s="16" t="n">
        <v>4522.4</v>
      </c>
      <c r="J57" s="16" t="n">
        <v>4522.4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2.7928128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2026-09-08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9.045</v>
      </c>
      <c r="G58" s="15" t="inlineStr">
        <is>
          <t>EUR</t>
        </is>
      </c>
      <c r="H58" s="14" t="n">
        <v>9.045</v>
      </c>
      <c r="I58" s="16" t="n">
        <v>1495.5</v>
      </c>
      <c r="J58" s="16" t="n">
        <v>1495.5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2.556529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2026-09-08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4.363</v>
      </c>
      <c r="G59" s="15" t="inlineStr">
        <is>
          <t>EUR</t>
        </is>
      </c>
      <c r="H59" s="14" t="n">
        <v>4.363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3.6602347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2026-09-08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72.40000000000001</v>
      </c>
      <c r="G60" s="15" t="inlineStr">
        <is>
          <t>EUR</t>
        </is>
      </c>
      <c r="H60" s="14" t="n">
        <v>72.40000000000001</v>
      </c>
      <c r="I60" s="16" t="n">
        <v>23796.2</v>
      </c>
      <c r="J60" s="16" t="n">
        <v>23796.2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0.440467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2026-09-08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9.880000000000001</v>
      </c>
      <c r="G61" s="15" t="inlineStr">
        <is>
          <t>EUR</t>
        </is>
      </c>
      <c r="H61" s="14" t="n">
        <v>9.880000000000001</v>
      </c>
      <c r="I61" s="16" t="n">
        <v>1828.4</v>
      </c>
      <c r="J61" s="16" t="n">
        <v>1828.4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0.95311594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2026-09-08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</v>
      </c>
      <c r="G62" s="15" t="inlineStr">
        <is>
          <t>EUR</t>
        </is>
      </c>
      <c r="H62" s="14" t="n">
        <v>0.28</v>
      </c>
      <c r="I62" s="16" t="n">
        <v>102.5</v>
      </c>
      <c r="J62" s="16" t="n">
        <v>102.5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1.352657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2026-09-08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2.01</v>
      </c>
      <c r="G63" s="15" t="inlineStr">
        <is>
          <t>EUR</t>
        </is>
      </c>
      <c r="H63" s="14" t="n">
        <v>2.01</v>
      </c>
      <c r="I63" s="16" t="n">
        <v>838.2</v>
      </c>
      <c r="J63" s="16" t="n">
        <v>838.2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10.748663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2026-09-08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4.155</v>
      </c>
      <c r="G64" s="15" t="inlineStr">
        <is>
          <t>EUR</t>
        </is>
      </c>
      <c r="H64" s="14" t="n">
        <v>4.155</v>
      </c>
      <c r="I64" s="16" t="n">
        <v>4881</v>
      </c>
      <c r="J64" s="16" t="n">
        <v>4881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0.7177406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2026-09-08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0.0395</v>
      </c>
      <c r="G65" s="15" t="inlineStr">
        <is>
          <t>EUR</t>
        </is>
      </c>
      <c r="H65" s="14" t="n">
        <v>0.0395</v>
      </c>
      <c r="I65" s="16" t="n">
        <v>71.09999999999999</v>
      </c>
      <c r="J65" s="16" t="n">
        <v>71.09999999999999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2026-09-08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4.6715</v>
      </c>
      <c r="G66" s="15" t="inlineStr">
        <is>
          <t>EUR</t>
        </is>
      </c>
      <c r="H66" s="14" t="n">
        <v>4.6715</v>
      </c>
      <c r="I66" s="16" t="n">
        <v>17599.1</v>
      </c>
      <c r="J66" s="16" t="n">
        <v>17599.1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0.24107236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2026-09-08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45.02</v>
      </c>
      <c r="G67" s="15" t="inlineStr">
        <is>
          <t>EUR</t>
        </is>
      </c>
      <c r="H67" s="14" t="n">
        <v>45.02</v>
      </c>
      <c r="I67" s="16" t="n">
        <v>40154.6</v>
      </c>
      <c r="J67" s="16" t="n">
        <v>40154.6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2.6448567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2026-09-08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502.4</v>
      </c>
      <c r="G2" s="15" t="inlineStr">
        <is>
          <t>EUR</t>
        </is>
      </c>
      <c r="H2" s="14" t="n">
        <v>502.4</v>
      </c>
      <c r="I2" s="16" t="n">
        <v>63209.2</v>
      </c>
      <c r="J2" s="16" t="n">
        <v>63209.2</v>
      </c>
      <c r="K2" s="14" t="n">
        <v>53.76</v>
      </c>
      <c r="L2" s="14" t="n">
        <v>51.53383</v>
      </c>
      <c r="M2" s="17">
        <f>IF(OR(F2="",K2="",K2&lt;=0),"",F2/K2)</f>
        <v/>
      </c>
      <c r="N2" s="18" t="n">
        <v>1.8834114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247.4</v>
      </c>
      <c r="G3" s="15" t="inlineStr">
        <is>
          <t>EUR</t>
        </is>
      </c>
      <c r="H3" s="14" t="n">
        <v>247.4</v>
      </c>
      <c r="I3" s="16" t="n">
        <v>29835.7</v>
      </c>
      <c r="J3" s="16" t="n">
        <v>29835.7</v>
      </c>
      <c r="K3" s="14" t="n">
        <v>22.67</v>
      </c>
      <c r="L3" s="14" t="n">
        <v>23.51502</v>
      </c>
      <c r="M3" s="17">
        <f>IF(OR(F3="",K3="",K3&lt;=0),"",F3/K3)</f>
        <v/>
      </c>
      <c r="N3" s="18" t="n">
        <v>2.2490296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445.4</v>
      </c>
      <c r="G4" s="15" t="inlineStr">
        <is>
          <t>EUR</t>
        </is>
      </c>
      <c r="H4" s="14" t="n">
        <v>445.4</v>
      </c>
      <c r="I4" s="16" t="n"/>
      <c r="J4" s="16" t="n"/>
      <c r="K4" s="14" t="n">
        <v>30.47</v>
      </c>
      <c r="L4" s="14" t="n">
        <v>33.5185</v>
      </c>
      <c r="M4" s="17">
        <f>IF(OR(F4="",K4="",K4&lt;=0),"",F4/K4)</f>
        <v/>
      </c>
      <c r="N4" s="18" t="n">
        <v>2.677809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35.75</v>
      </c>
      <c r="G5" s="15" t="inlineStr">
        <is>
          <t>EUR</t>
        </is>
      </c>
      <c r="H5" s="14" t="n">
        <v>35.75</v>
      </c>
      <c r="I5" s="16" t="n">
        <v>67174.3</v>
      </c>
      <c r="J5" s="16" t="n">
        <v>67174.3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0.852205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55.12</v>
      </c>
      <c r="G6" s="15" t="inlineStr">
        <is>
          <t>EUR</t>
        </is>
      </c>
      <c r="H6" s="14" t="n">
        <v>55.12</v>
      </c>
      <c r="I6" s="16" t="n">
        <v>61183.2</v>
      </c>
      <c r="J6" s="16" t="n">
        <v>61183.2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2.7451565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28.25</v>
      </c>
      <c r="G7" s="15" t="inlineStr">
        <is>
          <t>EUR</t>
        </is>
      </c>
      <c r="H7" s="14" t="n">
        <v>28.25</v>
      </c>
      <c r="I7" s="16" t="n">
        <v>135108.7</v>
      </c>
      <c r="J7" s="16" t="n">
        <v>135108.7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2.2574716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280.1</v>
      </c>
      <c r="G8" s="15" t="inlineStr">
        <is>
          <t>EUR</t>
        </is>
      </c>
      <c r="H8" s="14" t="n">
        <v>280.1</v>
      </c>
      <c r="I8" s="16" t="n">
        <v>50498.6</v>
      </c>
      <c r="J8" s="16" t="n">
        <v>50498.6</v>
      </c>
      <c r="K8" s="14" t="n">
        <v>11.61</v>
      </c>
      <c r="L8" s="14" t="n">
        <v>13.6261</v>
      </c>
      <c r="M8" s="17">
        <f>IF(OR(F8="",K8="",K8&lt;=0),"",F8/K8)</f>
        <v/>
      </c>
      <c r="N8" s="18" t="n">
        <v>4.876223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161.95</v>
      </c>
      <c r="G9" s="15" t="inlineStr">
        <is>
          <t>EUR</t>
        </is>
      </c>
      <c r="H9" s="14" t="n">
        <v>161.95</v>
      </c>
      <c r="I9" s="16" t="n">
        <v>28471.1</v>
      </c>
      <c r="J9" s="16" t="n">
        <v>28471.1</v>
      </c>
      <c r="K9" s="14" t="n">
        <v>11.49</v>
      </c>
      <c r="L9" s="14" t="n">
        <v>14.53478</v>
      </c>
      <c r="M9" s="17">
        <f>IF(OR(F9="",K9="",K9&lt;=0),"",F9/K9)</f>
        <v/>
      </c>
      <c r="N9" s="18" t="n">
        <v>1.5279166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47.77</v>
      </c>
      <c r="G10" s="15" t="inlineStr">
        <is>
          <t>EUR</t>
        </is>
      </c>
      <c r="H10" s="14" t="n">
        <v>47.77</v>
      </c>
      <c r="I10" s="16" t="n">
        <v>45731.7</v>
      </c>
      <c r="J10" s="16" t="n">
        <v>45731.7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0.4814214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1051.8</v>
      </c>
      <c r="G11" s="15" t="inlineStr">
        <is>
          <t>EUR</t>
        </is>
      </c>
      <c r="H11" s="14" t="n">
        <v>1051.8</v>
      </c>
      <c r="I11" s="16" t="n">
        <v>49085.5</v>
      </c>
      <c r="J11" s="16" t="n">
        <v>49085.5</v>
      </c>
      <c r="K11" s="14" t="n">
        <v>26.03</v>
      </c>
      <c r="L11" s="14" t="n">
        <v>53.67878</v>
      </c>
      <c r="M11" s="17">
        <f>IF(OR(F11="",K11="",K11&lt;=0),"",F11/K11)</f>
        <v/>
      </c>
      <c r="N11" s="18" t="n">
        <v>9.871793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63.7</v>
      </c>
      <c r="G12" s="15" t="inlineStr">
        <is>
          <t>EUR</t>
        </is>
      </c>
      <c r="H12" s="14" t="n">
        <v>63.7</v>
      </c>
      <c r="I12" s="16" t="n">
        <v>38129.3</v>
      </c>
      <c r="J12" s="16" t="n">
        <v>38129.3</v>
      </c>
      <c r="K12" s="14" t="n">
        <v>10.39</v>
      </c>
      <c r="L12" s="14" t="n">
        <v>9.16574</v>
      </c>
      <c r="M12" s="17">
        <f>IF(OR(F12="",K12="",K12&lt;=0),"",F12/K12)</f>
        <v/>
      </c>
      <c r="N12" s="18" t="n">
        <v>0.40008795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65</v>
      </c>
      <c r="G13" s="15" t="inlineStr">
        <is>
          <t>EUR</t>
        </is>
      </c>
      <c r="H13" s="14" t="n">
        <v>65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4.2284675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Volkswagen VZ</t>
        </is>
      </c>
      <c r="C14" s="12" t="inlineStr">
        <is>
          <t>VOW3.DE</t>
        </is>
      </c>
      <c r="D14" s="11" t="inlineStr">
        <is>
          <t>Auto</t>
        </is>
      </c>
      <c r="E14" s="13" t="inlineStr">
        <is>
          <t>Consumi</t>
        </is>
      </c>
      <c r="F14" s="14" t="n">
        <v>83.09999999999999</v>
      </c>
      <c r="G14" s="15" t="inlineStr">
        <is>
          <t>EUR</t>
        </is>
      </c>
      <c r="H14" s="14" t="n">
        <v>83.09999999999999</v>
      </c>
      <c r="I14" s="16" t="n">
        <v>41657.6</v>
      </c>
      <c r="J14" s="16" t="n">
        <v>41657.6</v>
      </c>
      <c r="K14" s="14" t="n">
        <v>10.43</v>
      </c>
      <c r="L14" s="14" t="n">
        <v>22.957</v>
      </c>
      <c r="M14" s="17">
        <f>IF(OR(F14="",K14="",K14&lt;=0),"",F14/K14)</f>
        <v/>
      </c>
      <c r="N14" s="18" t="n">
        <v>0.2375779</v>
      </c>
      <c r="O14" s="19">
        <f>IF(OR(N14="",M14="",M14&lt;=0),"",N14/M14)</f>
        <v/>
      </c>
      <c r="P14" s="20" t="n">
        <v>0.027609998</v>
      </c>
      <c r="Q14" s="20" t="n">
        <v>0.07227850342214182</v>
      </c>
      <c r="R14" s="20" t="n">
        <v>0.02322045052510603</v>
      </c>
      <c r="S14" s="21" t="n">
        <v>4</v>
      </c>
      <c r="T14" s="20" t="n"/>
      <c r="U14" s="20" t="n">
        <v>0.03889481986647333</v>
      </c>
      <c r="V14" s="20" t="n">
        <v>0.0622675458325562</v>
      </c>
      <c r="W14" s="20" t="n">
        <v>0.09448584884093092</v>
      </c>
      <c r="X14" s="20" t="n">
        <v>0.09346579914860681</v>
      </c>
      <c r="Y14" s="14" t="n">
        <v>5.26</v>
      </c>
      <c r="Z14" s="19">
        <f>IF(OR(Y14="",F14="",F14=0),"",Y14/F14)</f>
        <v/>
      </c>
      <c r="AA14" s="22" t="n">
        <v>138.745</v>
      </c>
      <c r="AB14" s="20" t="n">
        <v>0.02</v>
      </c>
      <c r="AC14" s="20" t="n">
        <v>0.01628390239598898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38.79</v>
      </c>
      <c r="G15" s="15" t="inlineStr">
        <is>
          <t>EUR</t>
        </is>
      </c>
      <c r="H15" s="14" t="n">
        <v>38.79</v>
      </c>
      <c r="I15" s="16" t="n">
        <v>10322.4</v>
      </c>
      <c r="J15" s="16" t="n">
        <v>10322.4</v>
      </c>
      <c r="K15" s="14" t="n">
        <v>3.32</v>
      </c>
      <c r="L15" s="14" t="n">
        <v>4.33603</v>
      </c>
      <c r="M15" s="17">
        <f>IF(OR(F15="",K15="",K15&lt;=0),"",F15/K15)</f>
        <v/>
      </c>
      <c r="N15" s="18" t="n">
        <v>0.8220659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59.26</v>
      </c>
      <c r="G16" s="15" t="inlineStr">
        <is>
          <t>EUR</t>
        </is>
      </c>
      <c r="H16" s="14" t="n">
        <v>59.26</v>
      </c>
      <c r="I16" s="16" t="n">
        <v>46221.9</v>
      </c>
      <c r="J16" s="16" t="n">
        <v>46221.9</v>
      </c>
      <c r="K16" s="14" t="n">
        <v>4.51</v>
      </c>
      <c r="L16" s="14" t="n">
        <v>3.31573</v>
      </c>
      <c r="M16" s="17">
        <f>IF(OR(F16="",K16="",K16&lt;=0),"",F16/K16)</f>
        <v/>
      </c>
      <c r="N16" s="18" t="n">
        <v>1.0628452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42.65</v>
      </c>
      <c r="G17" s="15" t="inlineStr">
        <is>
          <t>EUR</t>
        </is>
      </c>
      <c r="H17" s="14" t="n">
        <v>42.65</v>
      </c>
      <c r="I17" s="16" t="n">
        <v>46098.1</v>
      </c>
      <c r="J17" s="16" t="n">
        <v>46098.1</v>
      </c>
      <c r="K17" s="14" t="n">
        <v>2.61</v>
      </c>
      <c r="L17" s="14" t="n">
        <v>3.83817</v>
      </c>
      <c r="M17" s="17">
        <f>IF(OR(F17="",K17="",K17&lt;=0),"",F17/K17)</f>
        <v/>
      </c>
      <c r="N17" s="18" t="n">
        <v>1.3651932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17.65</v>
      </c>
      <c r="G18" s="15" t="inlineStr">
        <is>
          <t>EUR</t>
        </is>
      </c>
      <c r="H18" s="14" t="n">
        <v>17.65</v>
      </c>
      <c r="I18" s="16" t="n">
        <v>46120.8</v>
      </c>
      <c r="J18" s="16" t="n">
        <v>46120.8</v>
      </c>
      <c r="K18" s="14" t="n">
        <v>1.29</v>
      </c>
      <c r="L18" s="14" t="n">
        <v>1.24859</v>
      </c>
      <c r="M18" s="17">
        <f>IF(OR(F18="",K18="",K18&lt;=0),"",F18/K18)</f>
        <v/>
      </c>
      <c r="N18" s="18" t="n">
        <v>2.1741807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18.755</v>
      </c>
      <c r="G19" s="15" t="inlineStr">
        <is>
          <t>EUR</t>
        </is>
      </c>
      <c r="H19" s="14" t="n">
        <v>18.755</v>
      </c>
      <c r="I19" s="16" t="n">
        <v>15912.4</v>
      </c>
      <c r="J19" s="16" t="n">
        <v>15912.4</v>
      </c>
      <c r="K19" s="14" t="n">
        <v>4.41</v>
      </c>
      <c r="L19" s="14" t="n">
        <v>1.87161</v>
      </c>
      <c r="M19" s="17">
        <f>IF(OR(F19="",K19="",K19&lt;=0),"",F19/K19)</f>
        <v/>
      </c>
      <c r="N19" s="18" t="n">
        <v>0.5755716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76.44</v>
      </c>
      <c r="G20" s="15" t="inlineStr">
        <is>
          <t>EUR</t>
        </is>
      </c>
      <c r="H20" s="14" t="n">
        <v>76.44</v>
      </c>
      <c r="I20" s="16" t="n">
        <v>16669.5</v>
      </c>
      <c r="J20" s="16" t="n">
        <v>16669.5</v>
      </c>
      <c r="K20" s="14" t="n">
        <v>4.3</v>
      </c>
      <c r="L20" s="14" t="n">
        <v>4.06886</v>
      </c>
      <c r="M20" s="17">
        <f>IF(OR(F20="",K20="",K20&lt;=0),"",F20/K20)</f>
        <v/>
      </c>
      <c r="N20" s="18" t="n">
        <v>1.852148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75.94</v>
      </c>
      <c r="G21" s="15" t="inlineStr">
        <is>
          <t>EUR</t>
        </is>
      </c>
      <c r="H21" s="14" t="n">
        <v>75.94</v>
      </c>
      <c r="I21" s="16" t="n">
        <v>30744.4</v>
      </c>
      <c r="J21" s="16" t="n">
        <v>30744.4</v>
      </c>
      <c r="K21" s="14" t="n">
        <v>4.7</v>
      </c>
      <c r="L21" s="14" t="n">
        <v>5.93113</v>
      </c>
      <c r="M21" s="17">
        <f>IF(OR(F21="",K21="",K21&lt;=0),"",F21/K21)</f>
        <v/>
      </c>
      <c r="N21" s="18" t="n">
        <v>1.4677517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31.879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272.5</v>
      </c>
      <c r="G22" s="15" t="inlineStr">
        <is>
          <t>EUR</t>
        </is>
      </c>
      <c r="H22" s="14" t="n">
        <v>272.5</v>
      </c>
      <c r="I22" s="16" t="n">
        <v>212622</v>
      </c>
      <c r="J22" s="16" t="n">
        <v>212622</v>
      </c>
      <c r="K22" s="14" t="n">
        <v>10</v>
      </c>
      <c r="L22" s="14" t="n">
        <v>13.03699</v>
      </c>
      <c r="M22" s="17">
        <f>IF(OR(F22="",K22="",K22&lt;=0),"",F22/K22)</f>
        <v/>
      </c>
      <c r="N22" s="18" t="n">
        <v>3.0900598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2026-09-08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61.8</v>
      </c>
      <c r="G23" s="15" t="inlineStr">
        <is>
          <t>EUR</t>
        </is>
      </c>
      <c r="H23" s="14" t="n">
        <v>61.8</v>
      </c>
      <c r="I23" s="16" t="n">
        <v>8923</v>
      </c>
      <c r="J23" s="16" t="n">
        <v>8923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2.0124393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2026-09-08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58.45</v>
      </c>
      <c r="G24" s="15" t="inlineStr">
        <is>
          <t>EUR</t>
        </is>
      </c>
      <c r="H24" s="14" t="n">
        <v>58.45</v>
      </c>
      <c r="I24" s="16" t="n">
        <v>75955.8</v>
      </c>
      <c r="J24" s="16" t="n">
        <v>75955.8</v>
      </c>
      <c r="K24" s="14" t="n">
        <v>0.82</v>
      </c>
      <c r="L24" s="14" t="n">
        <v>2.81013</v>
      </c>
      <c r="M24" s="17">
        <f>IF(OR(F24="",K24="",K24&lt;=0),"",F24/K24)</f>
        <v/>
      </c>
      <c r="N24" s="18" t="n">
        <v>4.374345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2026-09-08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134.6</v>
      </c>
      <c r="G25" s="15" t="inlineStr">
        <is>
          <t>EUR</t>
        </is>
      </c>
      <c r="H25" s="14" t="n">
        <v>134.6</v>
      </c>
      <c r="I25" s="16" t="n">
        <v>58521.1</v>
      </c>
      <c r="J25" s="16" t="n">
        <v>58521.1</v>
      </c>
      <c r="K25" s="14" t="n">
        <v>5.44</v>
      </c>
      <c r="L25" s="14" t="n">
        <v>8.914849999999999</v>
      </c>
      <c r="M25" s="17">
        <f>IF(OR(F25="",K25="",K25&lt;=0),"",F25/K25)</f>
        <v/>
      </c>
      <c r="N25" s="18" t="n">
        <v>1.934464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2026-09-08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39</v>
      </c>
      <c r="G26" s="15" t="inlineStr">
        <is>
          <t>EUR</t>
        </is>
      </c>
      <c r="H26" s="14" t="n">
        <v>39</v>
      </c>
      <c r="I26" s="16" t="n">
        <v>43648.8</v>
      </c>
      <c r="J26" s="16" t="n">
        <v>43648.8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2.2764418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2026-09-08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147.85</v>
      </c>
      <c r="G27" s="15" t="inlineStr">
        <is>
          <t>EUR</t>
        </is>
      </c>
      <c r="H27" s="14" t="n">
        <v>147.85</v>
      </c>
      <c r="I27" s="16" t="n">
        <v>25883</v>
      </c>
      <c r="J27" s="16" t="n">
        <v>25883</v>
      </c>
      <c r="K27" s="14" t="n">
        <v>7.79</v>
      </c>
      <c r="L27" s="14" t="n">
        <v>11.66834</v>
      </c>
      <c r="M27" s="17">
        <f>IF(OR(F27="",K27="",K27&lt;=0),"",F27/K27)</f>
        <v/>
      </c>
      <c r="N27" s="18" t="n">
        <v>4.345718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2026-09-08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181.7</v>
      </c>
      <c r="G28" s="15" t="inlineStr">
        <is>
          <t>EUR</t>
        </is>
      </c>
      <c r="H28" s="14" t="n">
        <v>181.7</v>
      </c>
      <c r="I28" s="16" t="n">
        <v>209718.9</v>
      </c>
      <c r="J28" s="16" t="n">
        <v>209718.9</v>
      </c>
      <c r="K28" s="14" t="n">
        <v>6.67</v>
      </c>
      <c r="L28" s="14" t="n">
        <v>8.365489999999999</v>
      </c>
      <c r="M28" s="17">
        <f>IF(OR(F28="",K28="",K28&lt;=0),"",F28/K28)</f>
        <v/>
      </c>
      <c r="N28" s="18" t="n">
        <v>4.6872177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2026-09-08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355</v>
      </c>
      <c r="G29" s="15" t="inlineStr">
        <is>
          <t>EUR</t>
        </is>
      </c>
      <c r="H29" s="14" t="n">
        <v>355</v>
      </c>
      <c r="I29" s="16" t="n">
        <v>19124.1</v>
      </c>
      <c r="J29" s="16" t="n">
        <v>19124.1</v>
      </c>
      <c r="K29" s="14" t="n">
        <v>17.26</v>
      </c>
      <c r="L29" s="14" t="n">
        <v>20.74015</v>
      </c>
      <c r="M29" s="17">
        <f>IF(OR(F29="",K29="",K29&lt;=0),"",F29/K29)</f>
        <v/>
      </c>
      <c r="N29" s="18" t="n">
        <v>4.209553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2026-09-08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45</v>
      </c>
      <c r="G30" s="15" t="inlineStr">
        <is>
          <t>EUR</t>
        </is>
      </c>
      <c r="H30" s="14" t="n">
        <v>45</v>
      </c>
      <c r="I30" s="16" t="n">
        <v>34209.6</v>
      </c>
      <c r="J30" s="16" t="n">
        <v>34209.6</v>
      </c>
      <c r="K30" s="14" t="n">
        <v>1.45</v>
      </c>
      <c r="L30" s="14" t="n">
        <v>4.7852</v>
      </c>
      <c r="M30" s="17">
        <f>IF(OR(F30="",K30="",K30&lt;=0),"",F30/K30)</f>
        <v/>
      </c>
      <c r="N30" s="18" t="n">
        <v>1.5156618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2026-09-08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90.5</v>
      </c>
      <c r="G31" s="15" t="inlineStr">
        <is>
          <t>EUR</t>
        </is>
      </c>
      <c r="H31" s="14" t="n">
        <v>90.5</v>
      </c>
      <c r="I31" s="16" t="n">
        <v>12414.8</v>
      </c>
      <c r="J31" s="16" t="n">
        <v>12414.8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3.3250055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2026-09-08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23.37</v>
      </c>
      <c r="G32" s="15" t="inlineStr">
        <is>
          <t>EUR</t>
        </is>
      </c>
      <c r="H32" s="14" t="n">
        <v>23.37</v>
      </c>
      <c r="I32" s="16" t="n">
        <v>5707.5</v>
      </c>
      <c r="J32" s="16" t="n">
        <v>5707.5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2.2318788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2026-09-08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44.86</v>
      </c>
      <c r="G33" s="15" t="inlineStr">
        <is>
          <t>EUR</t>
        </is>
      </c>
      <c r="H33" s="14" t="n">
        <v>44.86</v>
      </c>
      <c r="I33" s="16" t="n">
        <v>40867.5</v>
      </c>
      <c r="J33" s="16" t="n">
        <v>40867.5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1.7881771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2026-09-08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36.47</v>
      </c>
      <c r="G34" s="15" t="inlineStr">
        <is>
          <t>EUR</t>
        </is>
      </c>
      <c r="H34" s="14" t="n">
        <v>36.47</v>
      </c>
      <c r="I34" s="16" t="n">
        <v>7530.9</v>
      </c>
      <c r="J34" s="16" t="n">
        <v>7530.9</v>
      </c>
      <c r="K34" s="14" t="n">
        <v>1.69</v>
      </c>
      <c r="L34" s="14" t="n">
        <v>2.2389</v>
      </c>
      <c r="M34" s="17">
        <f>IF(OR(F34="",K34="",K34&lt;=0),"",F34/K34)</f>
        <v/>
      </c>
      <c r="N34" s="18" t="n">
        <v>2.6046412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2026-09-08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148.86</v>
      </c>
      <c r="G35" s="15" t="inlineStr">
        <is>
          <t>EUR</t>
        </is>
      </c>
      <c r="H35" s="14" t="n">
        <v>148.86</v>
      </c>
      <c r="I35" s="16" t="n">
        <v>126657.3</v>
      </c>
      <c r="J35" s="16" t="n">
        <v>126657.3</v>
      </c>
      <c r="K35" s="14" t="n">
        <v>3.09</v>
      </c>
      <c r="L35" s="14" t="n">
        <v>6.2094</v>
      </c>
      <c r="M35" s="17">
        <f>IF(OR(F35="",K35="",K35&lt;=0),"",F35/K35)</f>
        <v/>
      </c>
      <c r="N35" s="18" t="n">
        <v>11.807726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2026-09-08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44.685</v>
      </c>
      <c r="G36" s="15" t="inlineStr">
        <is>
          <t>EUR</t>
        </is>
      </c>
      <c r="H36" s="14" t="n">
        <v>44.685</v>
      </c>
      <c r="I36" s="16" t="n"/>
      <c r="J36" s="16" t="n"/>
      <c r="K36" s="14" t="n">
        <v>2.77</v>
      </c>
      <c r="L36" s="14" t="n">
        <v>3.95467</v>
      </c>
      <c r="M36" s="17">
        <f>IF(OR(F36="",K36="",K36&lt;=0),"",F36/K36)</f>
        <v/>
      </c>
      <c r="N36" s="18" t="n">
        <v>1.277627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2026-09-08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29.35</v>
      </c>
      <c r="G37" s="15" t="inlineStr">
        <is>
          <t>EUR</t>
        </is>
      </c>
      <c r="H37" s="14" t="n">
        <v>29.35</v>
      </c>
      <c r="I37" s="16" t="n">
        <v>8988.4</v>
      </c>
      <c r="J37" s="16" t="n">
        <v>8988.4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0.25159442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2026-09-08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238.1</v>
      </c>
      <c r="G38" s="15" t="inlineStr">
        <is>
          <t>EUR</t>
        </is>
      </c>
      <c r="H38" s="14" t="n">
        <v>238.1</v>
      </c>
      <c r="I38" s="16" t="n">
        <v>16441.4</v>
      </c>
      <c r="J38" s="16" t="n">
        <v>16441.4</v>
      </c>
      <c r="K38" s="14" t="n">
        <v>2.83</v>
      </c>
      <c r="L38" s="14" t="n">
        <v>6.31695</v>
      </c>
      <c r="M38" s="17">
        <f>IF(OR(F38="",K38="",K38&lt;=0),"",F38/K38)</f>
        <v/>
      </c>
      <c r="N38" s="18" t="n">
        <v>6.0741343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2026-09-08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53.67</v>
      </c>
      <c r="G39" s="15" t="inlineStr">
        <is>
          <t>EUR</t>
        </is>
      </c>
      <c r="H39" s="14" t="n">
        <v>53.67</v>
      </c>
      <c r="I39" s="16" t="n">
        <v>46205.7</v>
      </c>
      <c r="J39" s="16" t="n">
        <v>46205.7</v>
      </c>
      <c r="K39" s="14" t="n">
        <v>2.38</v>
      </c>
      <c r="L39" s="14" t="n">
        <v>2.97635</v>
      </c>
      <c r="M39" s="17">
        <f>IF(OR(F39="",K39="",K39&lt;=0),"",F39/K39)</f>
        <v/>
      </c>
      <c r="N39" s="18" t="n">
        <v>1.2814574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2026-09-08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49.41</v>
      </c>
      <c r="G40" s="15" t="inlineStr">
        <is>
          <t>EUR</t>
        </is>
      </c>
      <c r="H40" s="14" t="n">
        <v>49.41</v>
      </c>
      <c r="I40" s="16" t="n">
        <v>48541.6</v>
      </c>
      <c r="J40" s="16" t="n">
        <v>48541.6</v>
      </c>
      <c r="K40" s="14" t="n">
        <v>-1.76</v>
      </c>
      <c r="L40" s="14" t="n">
        <v>4.83139</v>
      </c>
      <c r="M40" s="17">
        <f>IF(OR(F40="",K40="",K40&lt;=0),"",F40/K40)</f>
        <v/>
      </c>
      <c r="N40" s="18" t="n">
        <v>1.6408195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2026-09-08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71.18000000000001</v>
      </c>
      <c r="G41" s="15" t="inlineStr">
        <is>
          <t>EUR</t>
        </is>
      </c>
      <c r="H41" s="14" t="n">
        <v>71.18000000000001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3.3879106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2026-09-08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2026-09-08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404.6</v>
      </c>
      <c r="G43" s="15" t="inlineStr">
        <is>
          <t>EUR</t>
        </is>
      </c>
      <c r="H43" s="14" t="n">
        <v>404.6</v>
      </c>
      <c r="I43" s="16" t="n">
        <v>186512.6</v>
      </c>
      <c r="J43" s="16" t="n">
        <v>186512.6</v>
      </c>
      <c r="K43" s="14" t="n"/>
      <c r="L43" s="14" t="n"/>
      <c r="M43" s="17">
        <f>IF(OR(F43="",K43="",K43&lt;=0),"",F43/K43)</f>
        <v/>
      </c>
      <c r="N43" s="18" t="n">
        <v>5.542263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2026-09-08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23.13</v>
      </c>
      <c r="G44" s="15" t="inlineStr">
        <is>
          <t>EUR</t>
        </is>
      </c>
      <c r="H44" s="14" t="n">
        <v>23.13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1.8626187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2026-09-08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77.75</v>
      </c>
      <c r="G2" s="15" t="inlineStr">
        <is>
          <t>EUR</t>
        </is>
      </c>
      <c r="H2" s="14" t="n">
        <v>77.75</v>
      </c>
      <c r="I2" s="16" t="n">
        <v>172034.9</v>
      </c>
      <c r="J2" s="16" t="n">
        <v>172034.9</v>
      </c>
      <c r="K2" s="14" t="n">
        <v>6.88</v>
      </c>
      <c r="L2" s="14" t="n">
        <v>8.557494</v>
      </c>
      <c r="M2" s="17">
        <f>IF(OR(F2="",K2="",K2&lt;=0),"",F2/K2)</f>
        <v/>
      </c>
      <c r="N2" s="18" t="n">
        <v>1.5545287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103.88</v>
      </c>
      <c r="G3" s="15" t="inlineStr">
        <is>
          <t>EUR</t>
        </is>
      </c>
      <c r="H3" s="14" t="n">
        <v>103.88</v>
      </c>
      <c r="I3" s="16" t="n">
        <v>113852.5</v>
      </c>
      <c r="J3" s="16" t="n">
        <v>113852.5</v>
      </c>
      <c r="K3" s="14" t="n">
        <v>11.56</v>
      </c>
      <c r="L3" s="14" t="n">
        <v>13.22553</v>
      </c>
      <c r="M3" s="17">
        <f>IF(OR(F3="",K3="",K3&lt;=0),"",F3/K3)</f>
        <v/>
      </c>
      <c r="N3" s="18" t="n">
        <v>0.94798315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69</v>
      </c>
      <c r="G4" s="15" t="inlineStr">
        <is>
          <t>EUR</t>
        </is>
      </c>
      <c r="H4" s="14" t="n">
        <v>69</v>
      </c>
      <c r="I4" s="16" t="n">
        <v>4120.3</v>
      </c>
      <c r="J4" s="16" t="n">
        <v>4120.3</v>
      </c>
      <c r="K4" s="14" t="n">
        <v>7.91</v>
      </c>
      <c r="L4" s="14" t="n">
        <v>14.15291</v>
      </c>
      <c r="M4" s="17">
        <f>IF(OR(F4="",K4="",K4&lt;=0),"",F4/K4)</f>
        <v/>
      </c>
      <c r="N4" s="18" t="n">
        <v>0.9566459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Vinci</t>
        </is>
      </c>
      <c r="C5" s="12" t="inlineStr">
        <is>
          <t>DG.PA</t>
        </is>
      </c>
      <c r="D5" s="11" t="inlineStr">
        <is>
          <t>Costruzioni / Concessioni</t>
        </is>
      </c>
      <c r="E5" s="13" t="inlineStr">
        <is>
          <t>Industriale</t>
        </is>
      </c>
      <c r="F5" s="14" t="n">
        <v>114.5</v>
      </c>
      <c r="G5" s="15" t="inlineStr">
        <is>
          <t>EUR</t>
        </is>
      </c>
      <c r="H5" s="14" t="n">
        <v>114.5</v>
      </c>
      <c r="I5" s="16" t="n">
        <v>63359.3</v>
      </c>
      <c r="J5" s="16" t="n">
        <v>63359.3</v>
      </c>
      <c r="K5" s="14" t="n">
        <v>9.01</v>
      </c>
      <c r="L5" s="14" t="n">
        <v>10.03255</v>
      </c>
      <c r="M5" s="17">
        <f>IF(OR(F5="",K5="",K5&lt;=0),"",F5/K5)</f>
        <v/>
      </c>
      <c r="N5" s="18" t="n">
        <v>2.0742002</v>
      </c>
      <c r="O5" s="19">
        <f>IF(OR(N5="",M5="",M5&lt;=0),"",N5/M5)</f>
        <v/>
      </c>
      <c r="P5" s="20" t="n">
        <v>0.16318001</v>
      </c>
      <c r="Q5" s="20" t="n">
        <v>0.1633175414973906</v>
      </c>
      <c r="R5" s="20" t="n">
        <v>0.002836595861090376</v>
      </c>
      <c r="S5" s="21" t="n">
        <v>4</v>
      </c>
      <c r="T5" s="20" t="n"/>
      <c r="U5" s="20" t="n">
        <v>0.1594367845993757</v>
      </c>
      <c r="V5" s="20" t="n">
        <v>0.162386883494173</v>
      </c>
      <c r="W5" s="20" t="n">
        <v>0.1672535837512894</v>
      </c>
      <c r="X5" s="20" t="n">
        <v>0.1641929141447242</v>
      </c>
      <c r="Y5" s="14" t="n">
        <v>5.05</v>
      </c>
      <c r="Z5" s="19">
        <f>IF(OR(Y5="",F5="",F5=0),"",Y5/F5)</f>
        <v/>
      </c>
      <c r="AA5" s="22" t="n">
        <v>120.742</v>
      </c>
      <c r="AB5" s="20" t="n">
        <v>0.023</v>
      </c>
      <c r="AC5" s="20" t="n">
        <v>0.0671712793849568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105.55</v>
      </c>
      <c r="G6" s="15" t="inlineStr">
        <is>
          <t>EUR</t>
        </is>
      </c>
      <c r="H6" s="14" t="n">
        <v>105.55</v>
      </c>
      <c r="I6" s="16" t="n">
        <v>17521.5</v>
      </c>
      <c r="J6" s="16" t="n">
        <v>17521.5</v>
      </c>
      <c r="K6" s="14" t="n">
        <v>7.87</v>
      </c>
      <c r="L6" s="14" t="n">
        <v>13.72048</v>
      </c>
      <c r="M6" s="17">
        <f>IF(OR(F6="",K6="",K6&lt;=0),"",F6/K6)</f>
        <v/>
      </c>
      <c r="N6" s="18" t="n">
        <v>1.5297545</v>
      </c>
      <c r="O6" s="19">
        <f>IF(OR(N6="",M6="",M6&lt;=0),"",N6/M6)</f>
        <v/>
      </c>
      <c r="P6" s="20" t="n">
        <v>0.12202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>
        <v>87.509</v>
      </c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43.66</v>
      </c>
      <c r="G7" s="15" t="inlineStr">
        <is>
          <t>EUR</t>
        </is>
      </c>
      <c r="H7" s="14" t="n">
        <v>43.66</v>
      </c>
      <c r="I7" s="16" t="n">
        <v>91288.8</v>
      </c>
      <c r="J7" s="16" t="n">
        <v>91288.8</v>
      </c>
      <c r="K7" s="14" t="n">
        <v>3.71</v>
      </c>
      <c r="L7" s="14" t="n">
        <v>4.47586</v>
      </c>
      <c r="M7" s="17">
        <f>IF(OR(F7="",K7="",K7&lt;=0),"",F7/K7)</f>
        <v/>
      </c>
      <c r="N7" s="18" t="n">
        <v>1.9763705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18.675</v>
      </c>
      <c r="G8" s="15" t="inlineStr">
        <is>
          <t>EUR</t>
        </is>
      </c>
      <c r="H8" s="14" t="n">
        <v>18.675</v>
      </c>
      <c r="I8" s="16" t="n">
        <v>56335.5</v>
      </c>
      <c r="J8" s="16" t="n">
        <v>56335.5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0.8049568499999999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60.72</v>
      </c>
      <c r="G9" s="15" t="inlineStr">
        <is>
          <t>EUR</t>
        </is>
      </c>
      <c r="H9" s="14" t="n">
        <v>60.72</v>
      </c>
      <c r="I9" s="16" t="n">
        <v>15290.5</v>
      </c>
      <c r="J9" s="16" t="n">
        <v>15290.5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0.9875098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200.7</v>
      </c>
      <c r="G10" s="15" t="inlineStr">
        <is>
          <t>EUR</t>
        </is>
      </c>
      <c r="H10" s="14" t="n">
        <v>200.7</v>
      </c>
      <c r="I10" s="16" t="n">
        <v>158850.1</v>
      </c>
      <c r="J10" s="16" t="n">
        <v>158850.1</v>
      </c>
      <c r="K10" s="14" t="n">
        <v>7.51</v>
      </c>
      <c r="L10" s="14" t="n">
        <v>8.71189</v>
      </c>
      <c r="M10" s="17">
        <f>IF(OR(F10="",K10="",K10&lt;=0),"",F10/K10)</f>
        <v/>
      </c>
      <c r="N10" s="18" t="n">
        <v>6.139304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1442.5</v>
      </c>
      <c r="G11" s="15" t="inlineStr">
        <is>
          <t>EUR</t>
        </is>
      </c>
      <c r="H11" s="14" t="n">
        <v>1442.5</v>
      </c>
      <c r="I11" s="16" t="n">
        <v>151089.9</v>
      </c>
      <c r="J11" s="16" t="n">
        <v>151089.9</v>
      </c>
      <c r="K11" s="14" t="n">
        <v>43.07</v>
      </c>
      <c r="L11" s="14" t="n">
        <v>50.81459</v>
      </c>
      <c r="M11" s="17">
        <f>IF(OR(F11="",K11="",K11&lt;=0),"",F11/K11)</f>
        <v/>
      </c>
      <c r="N11" s="18" t="n">
        <v>7.942495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74.40000000000001</v>
      </c>
      <c r="G12" s="15" t="inlineStr">
        <is>
          <t>EUR</t>
        </is>
      </c>
      <c r="H12" s="14" t="n">
        <v>74.40000000000001</v>
      </c>
      <c r="I12" s="16" t="n">
        <v>36424.7</v>
      </c>
      <c r="J12" s="16" t="n">
        <v>36424.7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1.4334155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98.94</v>
      </c>
      <c r="G13" s="15" t="inlineStr">
        <is>
          <t>EUR</t>
        </is>
      </c>
      <c r="H13" s="14" t="n">
        <v>98.94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2.3488355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15.37</v>
      </c>
      <c r="G14" s="15" t="inlineStr">
        <is>
          <t>EUR</t>
        </is>
      </c>
      <c r="H14" s="14" t="n">
        <v>15.37</v>
      </c>
      <c r="I14" s="16" t="n">
        <v>40850</v>
      </c>
      <c r="J14" s="16" t="n">
        <v>40850</v>
      </c>
      <c r="K14" s="14" t="n">
        <v>1.48</v>
      </c>
      <c r="L14" s="14" t="n">
        <v>1.1709</v>
      </c>
      <c r="M14" s="17">
        <f>IF(OR(F14="",K14="",K14&lt;=0),"",F14/K14)</f>
        <v/>
      </c>
      <c r="N14" s="18" t="n">
        <v>1.2836145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74.34</v>
      </c>
      <c r="G15" s="15" t="inlineStr">
        <is>
          <t>EUR</t>
        </is>
      </c>
      <c r="H15" s="14" t="n">
        <v>74.34</v>
      </c>
      <c r="I15" s="16" t="n">
        <v>54308.8</v>
      </c>
      <c r="J15" s="16" t="n">
        <v>54308.8</v>
      </c>
      <c r="K15" s="14" t="n">
        <v>7.61</v>
      </c>
      <c r="L15" s="14" t="n">
        <v>9.01362</v>
      </c>
      <c r="M15" s="17">
        <f>IF(OR(F15="",K15="",K15&lt;=0),"",F15/K15)</f>
        <v/>
      </c>
      <c r="N15" s="18" t="n">
        <v>0.7587417400000001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146.15</v>
      </c>
      <c r="G16" s="15" t="inlineStr">
        <is>
          <t>EUR</t>
        </is>
      </c>
      <c r="H16" s="14" t="n">
        <v>146.15</v>
      </c>
      <c r="I16" s="16" t="n">
        <v>38309.6</v>
      </c>
      <c r="J16" s="16" t="n">
        <v>38309.6</v>
      </c>
      <c r="K16" s="14" t="n">
        <v>4.97</v>
      </c>
      <c r="L16" s="14" t="n">
        <v>6.8088</v>
      </c>
      <c r="M16" s="17">
        <f>IF(OR(F16="",K16="",K16&lt;=0),"",F16/K16)</f>
        <v/>
      </c>
      <c r="N16" s="18" t="n">
        <v>5.1122847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388.2</v>
      </c>
      <c r="G17" s="15" t="inlineStr">
        <is>
          <t>EUR</t>
        </is>
      </c>
      <c r="H17" s="14" t="n">
        <v>388.2</v>
      </c>
      <c r="I17" s="16" t="n">
        <v>206774.7</v>
      </c>
      <c r="J17" s="16" t="n">
        <v>206774.7</v>
      </c>
      <c r="K17" s="14" t="n">
        <v>11.77</v>
      </c>
      <c r="L17" s="14" t="n">
        <v>14.90476</v>
      </c>
      <c r="M17" s="17">
        <f>IF(OR(F17="",K17="",K17&lt;=0),"",F17/K17)</f>
        <v/>
      </c>
      <c r="N17" s="18" t="n">
        <v>6.107327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LVMH</t>
        </is>
      </c>
      <c r="C18" s="12" t="inlineStr">
        <is>
          <t>MC.PA</t>
        </is>
      </c>
      <c r="D18" s="11" t="inlineStr">
        <is>
          <t>Lusso</t>
        </is>
      </c>
      <c r="E18" s="13" t="inlineStr">
        <is>
          <t>Consumi</t>
        </is>
      </c>
      <c r="F18" s="14" t="n">
        <v>426.55</v>
      </c>
      <c r="G18" s="15" t="inlineStr">
        <is>
          <t>EUR</t>
        </is>
      </c>
      <c r="H18" s="14" t="n">
        <v>426.55</v>
      </c>
      <c r="I18" s="16" t="n">
        <v>210274.3</v>
      </c>
      <c r="J18" s="16" t="n">
        <v>210274.3</v>
      </c>
      <c r="K18" s="14" t="n">
        <v>21.95</v>
      </c>
      <c r="L18" s="14" t="n">
        <v>25.384</v>
      </c>
      <c r="M18" s="17">
        <f>IF(OR(F18="",K18="",K18&lt;=0),"",F18/K18)</f>
        <v/>
      </c>
      <c r="N18" s="18" t="n">
        <v>3.0887933</v>
      </c>
      <c r="O18" s="19">
        <f>IF(OR(N18="",M18="",M18&lt;=0),"",N18/M18)</f>
        <v/>
      </c>
      <c r="P18" s="20" t="n">
        <v>0.16586</v>
      </c>
      <c r="Q18" s="20" t="n">
        <v>0.2128358261370027</v>
      </c>
      <c r="R18" s="20" t="n">
        <v>0.04031392768938293</v>
      </c>
      <c r="S18" s="21" t="n">
        <v>4</v>
      </c>
      <c r="T18" s="20" t="n"/>
      <c r="U18" s="20" t="n">
        <v>0.1612224330092483</v>
      </c>
      <c r="V18" s="20" t="n">
        <v>0.1858791119273664</v>
      </c>
      <c r="W18" s="20" t="n">
        <v>0.2486847927626727</v>
      </c>
      <c r="X18" s="20" t="n">
        <v>0.2555569668487235</v>
      </c>
      <c r="Y18" s="14" t="n">
        <v>13</v>
      </c>
      <c r="Z18" s="19">
        <f>IF(OR(Y18="",F18="",F18=0),"",Y18/F18)</f>
        <v/>
      </c>
      <c r="AA18" s="22" t="n">
        <v>53.306</v>
      </c>
      <c r="AB18" s="20" t="n">
        <v>-0.029</v>
      </c>
      <c r="AC18" s="20" t="n">
        <v>0.1346046713774797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29.58</v>
      </c>
      <c r="G19" s="15" t="inlineStr">
        <is>
          <t>EUR</t>
        </is>
      </c>
      <c r="H19" s="14" t="n">
        <v>29.58</v>
      </c>
      <c r="I19" s="16" t="n">
        <v>8559.700000000001</v>
      </c>
      <c r="J19" s="16" t="n">
        <v>8559.700000000001</v>
      </c>
      <c r="K19" s="14" t="n">
        <v>3.27</v>
      </c>
      <c r="L19" s="14" t="n">
        <v>6.7476</v>
      </c>
      <c r="M19" s="17">
        <f>IF(OR(F19="",K19="",K19&lt;=0),"",F19/K19)</f>
        <v/>
      </c>
      <c r="N19" s="18" t="n">
        <v>0.41723084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232.7</v>
      </c>
      <c r="G20" s="15" t="inlineStr">
        <is>
          <t>EUR</t>
        </is>
      </c>
      <c r="H20" s="14" t="n">
        <v>232.7</v>
      </c>
      <c r="I20" s="16" t="n">
        <v>47870.7</v>
      </c>
      <c r="J20" s="16" t="n">
        <v>47870.7</v>
      </c>
      <c r="K20" s="14" t="n">
        <v>7.27</v>
      </c>
      <c r="L20" s="14" t="n">
        <v>12.46356</v>
      </c>
      <c r="M20" s="17">
        <f>IF(OR(F20="",K20="",K20&lt;=0),"",F20/K20)</f>
        <v/>
      </c>
      <c r="N20" s="18" t="n">
        <v>5.9712596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Carrefour</t>
        </is>
      </c>
      <c r="C21" s="12" t="inlineStr">
        <is>
          <t>CA.PA</t>
        </is>
      </c>
      <c r="D21" s="11" t="inlineStr">
        <is>
          <t>Grande distribuzione</t>
        </is>
      </c>
      <c r="E21" s="13" t="inlineStr">
        <is>
          <t>Consumi</t>
        </is>
      </c>
      <c r="F21" s="14" t="n">
        <v>16.655</v>
      </c>
      <c r="G21" s="15" t="inlineStr">
        <is>
          <t>EUR</t>
        </is>
      </c>
      <c r="H21" s="14" t="n">
        <v>16.655</v>
      </c>
      <c r="I21" s="16" t="n">
        <v>11785.3</v>
      </c>
      <c r="J21" s="16" t="n">
        <v>11785.3</v>
      </c>
      <c r="K21" s="14" t="n">
        <v>1.3</v>
      </c>
      <c r="L21" s="14" t="n">
        <v>1.87133</v>
      </c>
      <c r="M21" s="17">
        <f>IF(OR(F21="",K21="",K21&lt;=0),"",F21/K21)</f>
        <v/>
      </c>
      <c r="N21" s="18" t="n">
        <v>1.0648978</v>
      </c>
      <c r="O21" s="19">
        <f>IF(OR(N21="",M21="",M21&lt;=0),"",N21/M21)</f>
        <v/>
      </c>
      <c r="P21" s="20" t="n">
        <v>0.08428001</v>
      </c>
      <c r="Q21" s="20" t="n">
        <v>0.09015483917042293</v>
      </c>
      <c r="R21" s="20" t="n">
        <v>0.0450018363392368</v>
      </c>
      <c r="S21" s="21" t="n">
        <v>4</v>
      </c>
      <c r="T21" s="20" t="n"/>
      <c r="U21" s="20" t="n">
        <v>0.0290634110787172</v>
      </c>
      <c r="V21" s="20" t="n">
        <v>0.06682070240295748</v>
      </c>
      <c r="W21" s="20" t="n">
        <v>0.1437732905797729</v>
      </c>
      <c r="X21" s="20" t="n">
        <v>0.1209619526202441</v>
      </c>
      <c r="Y21" s="14" t="n">
        <v>0.97</v>
      </c>
      <c r="Z21" s="19">
        <f>IF(OR(Y21="",F21="",F21=0),"",Y21/F21)</f>
        <v/>
      </c>
      <c r="AA21" s="22" t="n">
        <v>185.209</v>
      </c>
      <c r="AB21" s="20" t="n">
        <v>0.02</v>
      </c>
      <c r="AC21" s="20" t="n">
        <v>0.01084214034085499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299.6</v>
      </c>
      <c r="G22" s="15" t="inlineStr">
        <is>
          <t>EUR</t>
        </is>
      </c>
      <c r="H22" s="14" t="n">
        <v>299.6</v>
      </c>
      <c r="I22" s="16" t="n">
        <v>168400.4</v>
      </c>
      <c r="J22" s="16" t="n">
        <v>168400.4</v>
      </c>
      <c r="K22" s="14" t="n">
        <v>8.48</v>
      </c>
      <c r="L22" s="14" t="n">
        <v>12.14414</v>
      </c>
      <c r="M22" s="17">
        <f>IF(OR(F22="",K22="",K22&lt;=0),"",F22/K22)</f>
        <v/>
      </c>
      <c r="N22" s="18" t="n">
        <v>6.886882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2026-09-08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94.81999999999999</v>
      </c>
      <c r="G23" s="15" t="inlineStr">
        <is>
          <t>EUR</t>
        </is>
      </c>
      <c r="H23" s="14" t="n">
        <v>94.81999999999999</v>
      </c>
      <c r="I23" s="16" t="n">
        <v>13703.6</v>
      </c>
      <c r="J23" s="16" t="n">
        <v>13703.6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0.8344113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2026-09-08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20.46</v>
      </c>
      <c r="G24" s="15" t="inlineStr">
        <is>
          <t>EUR</t>
        </is>
      </c>
      <c r="H24" s="14" t="n">
        <v>20.46</v>
      </c>
      <c r="I24" s="16" t="n">
        <v>26884.7</v>
      </c>
      <c r="J24" s="16" t="n">
        <v>26884.7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2.9070756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2026-09-08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74.7</v>
      </c>
      <c r="G25" s="15" t="inlineStr">
        <is>
          <t>EUR</t>
        </is>
      </c>
      <c r="H25" s="14" t="n">
        <v>74.7</v>
      </c>
      <c r="I25" s="16" t="n">
        <v>89495.7</v>
      </c>
      <c r="J25" s="16" t="n">
        <v>89495.7</v>
      </c>
      <c r="K25" s="14" t="n">
        <v>3.24</v>
      </c>
      <c r="L25" s="14" t="n">
        <v>9.08719</v>
      </c>
      <c r="M25" s="17">
        <f>IF(OR(F25="",K25="",K25&lt;=0),"",F25/K25)</f>
        <v/>
      </c>
      <c r="N25" s="18" t="n">
        <v>1.2931706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2026-09-08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173.16</v>
      </c>
      <c r="G26" s="15" t="inlineStr">
        <is>
          <t>EUR</t>
        </is>
      </c>
      <c r="H26" s="14" t="n">
        <v>173.16</v>
      </c>
      <c r="I26" s="16" t="n">
        <v>110504.5</v>
      </c>
      <c r="J26" s="16" t="n">
        <v>110504.5</v>
      </c>
      <c r="K26" s="14" t="n">
        <v>5.55</v>
      </c>
      <c r="L26" s="14" t="n">
        <v>7.18014</v>
      </c>
      <c r="M26" s="17">
        <f>IF(OR(F26="",K26="",K26&lt;=0),"",F26/K26)</f>
        <v/>
      </c>
      <c r="N26" s="18" t="n">
        <v>4.156206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2026-09-08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24.12</v>
      </c>
      <c r="G27" s="15" t="inlineStr">
        <is>
          <t>EUR</t>
        </is>
      </c>
      <c r="H27" s="14" t="n">
        <v>24.12</v>
      </c>
      <c r="I27" s="16" t="n">
        <v>61282.3</v>
      </c>
      <c r="J27" s="16" t="n">
        <v>61282.3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1.7979873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2026-09-08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149.6</v>
      </c>
      <c r="G28" s="15" t="inlineStr">
        <is>
          <t>EUR</t>
        </is>
      </c>
      <c r="H28" s="14" t="n">
        <v>149.6</v>
      </c>
      <c r="I28" s="16" t="n">
        <v>68689.3</v>
      </c>
      <c r="J28" s="16" t="n">
        <v>68689.3</v>
      </c>
      <c r="K28" s="14" t="n">
        <v>5.35</v>
      </c>
      <c r="L28" s="14" t="n">
        <v>8.11444</v>
      </c>
      <c r="M28" s="17">
        <f>IF(OR(F28="",K28="",K28&lt;=0),"",F28/K28)</f>
        <v/>
      </c>
      <c r="N28" s="18" t="n">
        <v>1.7531935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2026-09-08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31.95</v>
      </c>
      <c r="G29" s="15" t="inlineStr">
        <is>
          <t>EUR</t>
        </is>
      </c>
      <c r="H29" s="14" t="n">
        <v>31.95</v>
      </c>
      <c r="I29" s="16" t="n">
        <v>23395.3</v>
      </c>
      <c r="J29" s="16" t="n">
        <v>23395.3</v>
      </c>
      <c r="K29" s="14" t="n">
        <v>1.72</v>
      </c>
      <c r="L29" s="14" t="n">
        <v>2.6143</v>
      </c>
      <c r="M29" s="17">
        <f>IF(OR(F29="",K29="",K29&lt;=0),"",F29/K29)</f>
        <v/>
      </c>
      <c r="N29" s="18" t="n">
        <v>2.3855746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2026-09-08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71.2</v>
      </c>
      <c r="G30" s="15" t="inlineStr">
        <is>
          <t>EUR</t>
        </is>
      </c>
      <c r="H30" s="14" t="n">
        <v>71.2</v>
      </c>
      <c r="I30" s="16" t="n">
        <v>12275.8</v>
      </c>
      <c r="J30" s="16" t="n">
        <v>12275.8</v>
      </c>
      <c r="K30" s="14" t="n">
        <v>2.88</v>
      </c>
      <c r="L30" s="14" t="n">
        <v>4.67418</v>
      </c>
      <c r="M30" s="17">
        <f>IF(OR(F30="",K30="",K30&lt;=0),"",F30/K30)</f>
        <v/>
      </c>
      <c r="N30" s="18" t="n">
        <v>3.414213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2026-09-08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333.6</v>
      </c>
      <c r="G31" s="15" t="inlineStr">
        <is>
          <t>EUR</t>
        </is>
      </c>
      <c r="H31" s="14" t="n">
        <v>333.6</v>
      </c>
      <c r="I31" s="16" t="n">
        <v>138236</v>
      </c>
      <c r="J31" s="16" t="n">
        <v>138236</v>
      </c>
      <c r="K31" s="14" t="n">
        <v>9.289999999999999</v>
      </c>
      <c r="L31" s="14" t="n">
        <v>13.06715</v>
      </c>
      <c r="M31" s="17">
        <f>IF(OR(F31="",K31="",K31&lt;=0),"",F31/K31)</f>
        <v/>
      </c>
      <c r="N31" s="18" t="n">
        <v>9.530067000000001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2026-09-08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64.92</v>
      </c>
      <c r="G32" s="15" t="inlineStr">
        <is>
          <t>EUR</t>
        </is>
      </c>
      <c r="H32" s="14" t="n">
        <v>64.92</v>
      </c>
      <c r="I32" s="16" t="n">
        <v>41814.6</v>
      </c>
      <c r="J32" s="16" t="n">
        <v>41814.6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2.37168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2026-09-08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28.61</v>
      </c>
      <c r="G33" s="15" t="inlineStr">
        <is>
          <t>EUR</t>
        </is>
      </c>
      <c r="H33" s="14" t="n">
        <v>28.61</v>
      </c>
      <c r="I33" s="16" t="n">
        <v>6576.8</v>
      </c>
      <c r="J33" s="16" t="n">
        <v>6576.8</v>
      </c>
      <c r="K33" s="14" t="n">
        <v>2.06</v>
      </c>
      <c r="L33" s="14" t="n">
        <v>2.46637</v>
      </c>
      <c r="M33" s="17">
        <f>IF(OR(F33="",K33="",K33&lt;=0),"",F33/K33)</f>
        <v/>
      </c>
      <c r="N33" s="18" t="n">
        <v>-6.71754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2026-09-08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244.4</v>
      </c>
      <c r="G34" s="15" t="inlineStr">
        <is>
          <t>EUR</t>
        </is>
      </c>
      <c r="H34" s="14" t="n">
        <v>244.4</v>
      </c>
      <c r="I34" s="16" t="n">
        <v>29967.9</v>
      </c>
      <c r="J34" s="16" t="n">
        <v>29967.9</v>
      </c>
      <c r="K34" s="14" t="n">
        <v>-2.63</v>
      </c>
      <c r="L34" s="14" t="n">
        <v>9.93946</v>
      </c>
      <c r="M34" s="17">
        <f>IF(OR(F34="",K34="",K34&lt;=0),"",F34/K34)</f>
        <v/>
      </c>
      <c r="N34" s="18" t="n">
        <v>2.0693274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2026-09-08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34.66</v>
      </c>
      <c r="G35" s="15" t="inlineStr">
        <is>
          <t>EUR</t>
        </is>
      </c>
      <c r="H35" s="14" t="n">
        <v>34.66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0.4132389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2026-09-08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14.198</v>
      </c>
      <c r="G36" s="15" t="inlineStr">
        <is>
          <t>EUR</t>
        </is>
      </c>
      <c r="H36" s="14" t="n">
        <v>14.198</v>
      </c>
      <c r="I36" s="16" t="n">
        <v>803</v>
      </c>
      <c r="J36" s="16" t="n">
        <v>803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0.2154313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2026-09-08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36.23</v>
      </c>
      <c r="G2" s="15" t="inlineStr">
        <is>
          <t>EUR</t>
        </is>
      </c>
      <c r="H2" s="14" t="n">
        <v>36.23</v>
      </c>
      <c r="I2" s="16" t="n">
        <v>75864.39999999999</v>
      </c>
      <c r="J2" s="16" t="n">
        <v>75864.39999999999</v>
      </c>
      <c r="K2" s="14" t="n">
        <v>4.5</v>
      </c>
      <c r="L2" s="14" t="n">
        <v>4.3575</v>
      </c>
      <c r="M2" s="17">
        <f>IF(OR(F2="",K2="",K2&lt;=0),"",F2/K2)</f>
        <v/>
      </c>
      <c r="N2" s="18" t="n">
        <v>1.6892582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67.26000000000001</v>
      </c>
      <c r="G3" s="15" t="inlineStr">
        <is>
          <t>EUR</t>
        </is>
      </c>
      <c r="H3" s="14" t="n">
        <v>67.26000000000001</v>
      </c>
      <c r="I3" s="16" t="n">
        <v>14971.2</v>
      </c>
      <c r="J3" s="16" t="n">
        <v>14971.2</v>
      </c>
      <c r="K3" s="14" t="n">
        <v>5.85</v>
      </c>
      <c r="L3" s="14" t="n">
        <v>6.20333</v>
      </c>
      <c r="M3" s="17">
        <f>IF(OR(F3="",K3="",K3&lt;=0),"",F3/K3)</f>
        <v/>
      </c>
      <c r="N3" s="18" t="n">
        <v>19.064627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195.2</v>
      </c>
      <c r="G4" s="15" t="inlineStr">
        <is>
          <t>EUR</t>
        </is>
      </c>
      <c r="H4" s="14" t="n">
        <v>195.2</v>
      </c>
      <c r="I4" s="16" t="n">
        <v>15449.2</v>
      </c>
      <c r="J4" s="16" t="n">
        <v>15449.2</v>
      </c>
      <c r="K4" s="14" t="n">
        <v>2.61</v>
      </c>
      <c r="L4" s="14" t="n">
        <v>6.49562</v>
      </c>
      <c r="M4" s="17">
        <f>IF(OR(F4="",K4="",K4&lt;=0),"",F4/K4)</f>
        <v/>
      </c>
      <c r="N4" s="18" t="n">
        <v>27.52009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1518</v>
      </c>
      <c r="G5" s="15" t="inlineStr">
        <is>
          <t>EUR</t>
        </is>
      </c>
      <c r="H5" s="14" t="n">
        <v>1518</v>
      </c>
      <c r="I5" s="16" t="n">
        <v>583063.8</v>
      </c>
      <c r="J5" s="16" t="n">
        <v>583063.8</v>
      </c>
      <c r="K5" s="14" t="n">
        <v>25.36</v>
      </c>
      <c r="L5" s="14" t="n">
        <v>51.71021</v>
      </c>
      <c r="M5" s="17">
        <f>IF(OR(F5="",K5="",K5&lt;=0),"",F5/K5)</f>
        <v/>
      </c>
      <c r="N5" s="18" t="n">
        <v>26.715006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31.27</v>
      </c>
      <c r="G6" s="15" t="inlineStr">
        <is>
          <t>EUR</t>
        </is>
      </c>
      <c r="H6" s="14" t="n">
        <v>31.27</v>
      </c>
      <c r="I6" s="16" t="n">
        <v>27322.5</v>
      </c>
      <c r="J6" s="16" t="n">
        <v>27322.5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1.8914833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989.6</v>
      </c>
      <c r="G7" s="15" t="inlineStr">
        <is>
          <t>EUR</t>
        </is>
      </c>
      <c r="H7" s="14" t="n">
        <v>989.6</v>
      </c>
      <c r="I7" s="16" t="n">
        <v>31238.4</v>
      </c>
      <c r="J7" s="16" t="n">
        <v>31238.4</v>
      </c>
      <c r="K7" s="14" t="n">
        <v>35.61</v>
      </c>
      <c r="L7" s="14" t="n">
        <v>46.73082</v>
      </c>
      <c r="M7" s="17">
        <f>IF(OR(F7="",K7="",K7&lt;=0),"",F7/K7)</f>
        <v/>
      </c>
      <c r="N7" s="18" t="n">
        <v>5.2867765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32.245</v>
      </c>
      <c r="G8" s="15" t="inlineStr">
        <is>
          <t>EUR</t>
        </is>
      </c>
      <c r="H8" s="14" t="n">
        <v>32.245</v>
      </c>
      <c r="I8" s="16" t="n">
        <v>91989.8</v>
      </c>
      <c r="J8" s="16" t="n">
        <v>91989.8</v>
      </c>
      <c r="K8" s="14" t="n">
        <v>2.31</v>
      </c>
      <c r="L8" s="14" t="n">
        <v>2.88437</v>
      </c>
      <c r="M8" s="17">
        <f>IF(OR(F8="",K8="",K8&lt;=0),"",F8/K8)</f>
        <v/>
      </c>
      <c r="N8" s="18" t="n">
        <v>1.8352305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4.104</v>
      </c>
      <c r="G9" s="15" t="inlineStr">
        <is>
          <t>EUR</t>
        </is>
      </c>
      <c r="H9" s="14" t="n">
        <v>4.104</v>
      </c>
      <c r="I9" s="16" t="n">
        <v>15480.8</v>
      </c>
      <c r="J9" s="16" t="n">
        <v>15480.8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6.7500005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14.215</v>
      </c>
      <c r="G10" s="15" t="inlineStr">
        <is>
          <t>EUR</t>
        </is>
      </c>
      <c r="H10" s="14" t="n">
        <v>14.215</v>
      </c>
      <c r="I10" s="16" t="n">
        <v>25561.6</v>
      </c>
      <c r="J10" s="16" t="n">
        <v>25561.6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7.1075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841.2</v>
      </c>
      <c r="G11" s="15" t="inlineStr">
        <is>
          <t>EUR</t>
        </is>
      </c>
      <c r="H11" s="14" t="n">
        <v>841.2</v>
      </c>
      <c r="I11" s="16" t="n">
        <v>41162.9</v>
      </c>
      <c r="J11" s="16" t="n">
        <v>41162.9</v>
      </c>
      <c r="K11" s="14" t="n">
        <v>21.81</v>
      </c>
      <c r="L11" s="14" t="n">
        <v>30.42575</v>
      </c>
      <c r="M11" s="17">
        <f>IF(OR(F11="",K11="",K11&lt;=0),"",F11/K11)</f>
        <v/>
      </c>
      <c r="N11" s="18" t="n">
        <v>9.264215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43.3</v>
      </c>
      <c r="G12" s="15" t="inlineStr">
        <is>
          <t>EUR</t>
        </is>
      </c>
      <c r="H12" s="14" t="n">
        <v>43.3</v>
      </c>
      <c r="I12" s="16" t="n">
        <v>35286.7</v>
      </c>
      <c r="J12" s="16" t="n">
        <v>35286.7</v>
      </c>
      <c r="K12" s="14" t="n">
        <v>2.78</v>
      </c>
      <c r="L12" s="14" t="n">
        <v>3.70303</v>
      </c>
      <c r="M12" s="17">
        <f>IF(OR(F12="",K12="",K12&lt;=0),"",F12/K12)</f>
        <v/>
      </c>
      <c r="N12" s="18" t="n">
        <v>1.2908419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79.3</v>
      </c>
      <c r="G13" s="15" t="inlineStr">
        <is>
          <t>EUR</t>
        </is>
      </c>
      <c r="H13" s="14" t="n">
        <v>79.3</v>
      </c>
      <c r="I13" s="16" t="n">
        <v>20621</v>
      </c>
      <c r="J13" s="16" t="n">
        <v>20621</v>
      </c>
      <c r="K13" s="14" t="n">
        <v>6.78</v>
      </c>
      <c r="L13" s="14" t="n">
        <v>8.9068</v>
      </c>
      <c r="M13" s="17">
        <f>IF(OR(F13="",K13="",K13&lt;=0),"",F13/K13)</f>
        <v/>
      </c>
      <c r="N13" s="18" t="n">
        <v>0.9876574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60.9</v>
      </c>
      <c r="G14" s="15" t="inlineStr">
        <is>
          <t>EUR</t>
        </is>
      </c>
      <c r="H14" s="14" t="n">
        <v>60.9</v>
      </c>
      <c r="I14" s="16" t="n">
        <v>10438.3</v>
      </c>
      <c r="J14" s="16" t="n">
        <v>10438.3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2.1508796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99.72</v>
      </c>
      <c r="G15" s="15" t="inlineStr">
        <is>
          <t>EUR</t>
        </is>
      </c>
      <c r="H15" s="14" t="n">
        <v>99.72</v>
      </c>
      <c r="I15" s="16" t="n">
        <v>5888</v>
      </c>
      <c r="J15" s="16" t="n">
        <v>5888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2.7734668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73.22</v>
      </c>
      <c r="G16" s="15" t="inlineStr">
        <is>
          <t>EUR</t>
        </is>
      </c>
      <c r="H16" s="14" t="n">
        <v>73.22</v>
      </c>
      <c r="I16" s="16" t="n">
        <v>40626.2</v>
      </c>
      <c r="J16" s="16" t="n">
        <v>40626.2</v>
      </c>
      <c r="K16" s="14" t="n">
        <v>4.1</v>
      </c>
      <c r="L16" s="14" t="n">
        <v>5.71708</v>
      </c>
      <c r="M16" s="17">
        <f>IF(OR(F16="",K16="",K16&lt;=0),"",F16/K16)</f>
        <v/>
      </c>
      <c r="N16" s="18" t="n">
        <v>2.0999799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7.948</v>
      </c>
      <c r="G17" s="15" t="inlineStr">
        <is>
          <t>EUR</t>
        </is>
      </c>
      <c r="H17" s="14" t="n">
        <v>7.948</v>
      </c>
      <c r="I17" s="16" t="n">
        <v>11801.9</v>
      </c>
      <c r="J17" s="16" t="n">
        <v>11801.9</v>
      </c>
      <c r="K17" s="14" t="n">
        <v>0.65</v>
      </c>
      <c r="L17" s="14" t="n">
        <v>0.94402</v>
      </c>
      <c r="M17" s="17">
        <f>IF(OR(F17="",K17="",K17&lt;=0),"",F17/K17)</f>
        <v/>
      </c>
      <c r="N17" s="18" t="n">
        <v>1.3237841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37.11</v>
      </c>
      <c r="G18" s="15" t="inlineStr">
        <is>
          <t>EUR</t>
        </is>
      </c>
      <c r="H18" s="14" t="n">
        <v>37.11</v>
      </c>
      <c r="I18" s="16" t="n">
        <v>6511</v>
      </c>
      <c r="J18" s="16" t="n">
        <v>6511</v>
      </c>
      <c r="K18" s="14" t="n">
        <v>1.78</v>
      </c>
      <c r="L18" s="14" t="n">
        <v>2.91435</v>
      </c>
      <c r="M18" s="17">
        <f>IF(OR(F18="",K18="",K18&lt;=0),"",F18/K18)</f>
        <v/>
      </c>
      <c r="N18" s="18" t="n">
        <v>1.66839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21.86</v>
      </c>
      <c r="G19" s="15" t="inlineStr">
        <is>
          <t>EUR</t>
        </is>
      </c>
      <c r="H19" s="14" t="n">
        <v>21.86</v>
      </c>
      <c r="I19" s="16" t="n">
        <v>21366.6</v>
      </c>
      <c r="J19" s="16" t="n">
        <v>21366.6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1.8666211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66.88</v>
      </c>
      <c r="G20" s="15" t="inlineStr">
        <is>
          <t>EUR</t>
        </is>
      </c>
      <c r="H20" s="14" t="n">
        <v>66.88</v>
      </c>
      <c r="I20" s="16" t="n">
        <v>50430.3</v>
      </c>
      <c r="J20" s="16" t="n">
        <v>50430.3</v>
      </c>
      <c r="K20" s="14" t="n">
        <v>2.05</v>
      </c>
      <c r="L20" s="14" t="n">
        <v>6.6006336</v>
      </c>
      <c r="M20" s="17">
        <f>IF(OR(F20="",K20="",K20&lt;=0),"",F20/K20)</f>
        <v/>
      </c>
      <c r="N20" s="18" t="n">
        <v>1.073353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92.92</v>
      </c>
      <c r="G21" s="15" t="inlineStr">
        <is>
          <t>EUR</t>
        </is>
      </c>
      <c r="H21" s="14" t="n">
        <v>92.92</v>
      </c>
      <c r="I21" s="16" t="n">
        <v>22853.5</v>
      </c>
      <c r="J21" s="16" t="n">
        <v>22853.5</v>
      </c>
      <c r="K21" s="14" t="n">
        <v>1.4</v>
      </c>
      <c r="L21" s="14" t="n">
        <v>4.09605</v>
      </c>
      <c r="M21" s="17">
        <f>IF(OR(F21="",K21="",K21&lt;=0),"",F21/K21)</f>
        <v/>
      </c>
      <c r="N21" s="18" t="n">
        <v>1.3041952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671.2</v>
      </c>
      <c r="G2" s="15" t="inlineStr">
        <is>
          <t>CHF</t>
        </is>
      </c>
      <c r="H2" s="14" t="n">
        <v>713.6477693191001</v>
      </c>
      <c r="I2" s="16" t="n">
        <v>18383.44745459958</v>
      </c>
      <c r="J2" s="16" t="n">
        <v>17290</v>
      </c>
      <c r="K2" s="14" t="n">
        <v>45.82</v>
      </c>
      <c r="L2" s="14" t="n">
        <v>46.48728</v>
      </c>
      <c r="M2" s="17">
        <f>IF(OR(F2="",K2="",K2&lt;=0),"",F2/K2)</f>
        <v/>
      </c>
      <c r="N2" s="18" t="n">
        <v>11.808586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590.8</v>
      </c>
      <c r="G3" s="15" t="inlineStr">
        <is>
          <t>CHF</t>
        </is>
      </c>
      <c r="H3" s="14" t="n">
        <v>628.1631437927955</v>
      </c>
      <c r="I3" s="16" t="n">
        <v>93828.30774465189</v>
      </c>
      <c r="J3" s="16" t="n">
        <v>88247.39999999999</v>
      </c>
      <c r="K3" s="14" t="n">
        <v>40</v>
      </c>
      <c r="L3" s="14" t="n">
        <v>43.02891</v>
      </c>
      <c r="M3" s="17">
        <f>IF(OR(F3="",K3="",K3&lt;=0),"",F3/K3)</f>
        <v/>
      </c>
      <c r="N3" s="18" t="n">
        <v>3.6714928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568</v>
      </c>
      <c r="G4" s="15" t="inlineStr">
        <is>
          <t>CHF</t>
        </is>
      </c>
      <c r="H4" s="14" t="n">
        <v>603.9212350614554</v>
      </c>
      <c r="I4" s="16" t="n">
        <v>19541.955513971</v>
      </c>
      <c r="J4" s="16" t="n">
        <v>18379.6</v>
      </c>
      <c r="K4" s="14" t="n">
        <v>18.87</v>
      </c>
      <c r="L4" s="14" t="n">
        <v>20.97583</v>
      </c>
      <c r="M4" s="17">
        <f>IF(OR(F4="",K4="",K4&lt;=0),"",F4/K4)</f>
        <v/>
      </c>
      <c r="N4" s="18" t="n">
        <v>16.582005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80.98</v>
      </c>
      <c r="G5" s="15" t="inlineStr">
        <is>
          <t>CHF</t>
        </is>
      </c>
      <c r="H5" s="14" t="n">
        <v>86.10130566069834</v>
      </c>
      <c r="I5" s="16" t="n">
        <v>155952.2391868328</v>
      </c>
      <c r="J5" s="16" t="n">
        <v>146676.2</v>
      </c>
      <c r="K5" s="14" t="n">
        <v>2.2</v>
      </c>
      <c r="L5" s="14" t="n">
        <v>2.9079752</v>
      </c>
      <c r="M5" s="17">
        <f>IF(OR(F5="",K5="",K5&lt;=0),"",F5/K5)</f>
        <v/>
      </c>
      <c r="N5" s="18" t="n">
        <v>11.369463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Logitech International</t>
        </is>
      </c>
      <c r="C6" s="12" t="inlineStr">
        <is>
          <t>LOGN.SW</t>
        </is>
      </c>
      <c r="D6" s="11" t="inlineStr">
        <is>
          <t>Periferiche</t>
        </is>
      </c>
      <c r="E6" s="13" t="inlineStr">
        <is>
          <t>Tecnologia</t>
        </is>
      </c>
      <c r="F6" s="14" t="n">
        <v>79.44</v>
      </c>
      <c r="G6" s="15" t="inlineStr">
        <is>
          <t>CHF</t>
        </is>
      </c>
      <c r="H6" s="14" t="n">
        <v>84.46391357972186</v>
      </c>
      <c r="I6" s="16" t="n">
        <v>12094.26700123336</v>
      </c>
      <c r="J6" s="16" t="n">
        <v>11374.9</v>
      </c>
      <c r="K6" s="14" t="n">
        <v>4.41</v>
      </c>
      <c r="L6" s="14" t="n">
        <v>4.8703504</v>
      </c>
      <c r="M6" s="17">
        <f>IF(OR(F6="",K6="",K6&lt;=0),"",F6/K6)</f>
        <v/>
      </c>
      <c r="N6" s="18" t="n">
        <v>5.9816413</v>
      </c>
      <c r="O6" s="19">
        <f>IF(OR(N6="",M6="",M6&lt;=0),"",N6/M6)</f>
        <v/>
      </c>
      <c r="P6" s="20" t="n">
        <v>0.35287997</v>
      </c>
      <c r="Q6" s="20" t="n">
        <v>0.2634996625637651</v>
      </c>
      <c r="R6" s="20" t="n">
        <v>0.06124827333549866</v>
      </c>
      <c r="S6" s="21" t="n">
        <v>4</v>
      </c>
      <c r="T6" s="20" t="n">
        <v>0.3216012162464039</v>
      </c>
      <c r="U6" s="20" t="n">
        <v>0.2968520555414539</v>
      </c>
      <c r="V6" s="20" t="n">
        <v>0.2740546539681857</v>
      </c>
      <c r="W6" s="20" t="n">
        <v>0.1614907244990166</v>
      </c>
      <c r="X6" s="20" t="n"/>
      <c r="Y6" s="14" t="n">
        <v>1.36</v>
      </c>
      <c r="Z6" s="19">
        <f>IF(OR(Y6="",F6="",F6=0),"",Y6/F6)</f>
        <v/>
      </c>
      <c r="AA6" s="22" t="n">
        <v>3.588</v>
      </c>
      <c r="AB6" s="20" t="n">
        <v>0.06900000000000001</v>
      </c>
      <c r="AC6" s="20" t="n">
        <v>0.1654427871981285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92.8</v>
      </c>
      <c r="G7" s="15" t="inlineStr">
        <is>
          <t>CHF</t>
        </is>
      </c>
      <c r="H7" s="14" t="n">
        <v>98.66882150299834</v>
      </c>
      <c r="I7" s="16" t="n">
        <v>19496.98039382469</v>
      </c>
      <c r="J7" s="16" t="n">
        <v>18337.3</v>
      </c>
      <c r="K7" s="14" t="n">
        <v>3.4</v>
      </c>
      <c r="L7" s="14" t="n">
        <v>4.46304</v>
      </c>
      <c r="M7" s="17">
        <f>IF(OR(F7="",K7="",K7&lt;=0),"",F7/K7)</f>
        <v/>
      </c>
      <c r="N7" s="18" t="n">
        <v>18.210361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212.1</v>
      </c>
      <c r="G8" s="15" t="inlineStr">
        <is>
          <t>CHF</t>
        </is>
      </c>
      <c r="H8" s="14" t="n">
        <v>225.5135456981245</v>
      </c>
      <c r="I8" s="16" t="n">
        <v>26781.9929400757</v>
      </c>
      <c r="J8" s="16" t="n">
        <v>25189</v>
      </c>
      <c r="K8" s="14" t="n">
        <v>7.28</v>
      </c>
      <c r="L8" s="14" t="n">
        <v>9.3574</v>
      </c>
      <c r="M8" s="17">
        <f>IF(OR(F8="",K8="",K8&lt;=0),"",F8/K8)</f>
        <v/>
      </c>
      <c r="N8" s="18" t="n">
        <v>12.281413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Julius Baer Gruppe</t>
        </is>
      </c>
      <c r="C9" s="12" t="inlineStr">
        <is>
          <t>BAER.SW</t>
        </is>
      </c>
      <c r="D9" s="11" t="inlineStr">
        <is>
          <t>Gestione patrimoni</t>
        </is>
      </c>
      <c r="E9" s="13" t="inlineStr">
        <is>
          <t>Finanziario</t>
        </is>
      </c>
      <c r="F9" s="14" t="n">
        <v>75.66</v>
      </c>
      <c r="G9" s="15" t="inlineStr">
        <is>
          <t>CHF</t>
        </is>
      </c>
      <c r="H9" s="14" t="n">
        <v>80.44486029005232</v>
      </c>
      <c r="I9" s="16" t="n">
        <v>16552.6517245779</v>
      </c>
      <c r="J9" s="16" t="n">
        <v>15568.1</v>
      </c>
      <c r="K9" s="14" t="n">
        <v>5.54</v>
      </c>
      <c r="L9" s="14" t="n">
        <v>6.2127</v>
      </c>
      <c r="M9" s="17">
        <f>IF(OR(F9="",K9="",K9&lt;=0),"",F9/K9)</f>
        <v/>
      </c>
      <c r="N9" s="18" t="n">
        <v>2.1110492</v>
      </c>
      <c r="O9" s="19">
        <f>IF(OR(N9="",M9="",M9&lt;=0),"",N9/M9)</f>
        <v/>
      </c>
      <c r="P9" s="20" t="n">
        <v>0.16169001</v>
      </c>
      <c r="Q9" s="20" t="n">
        <v>0.1200210000885957</v>
      </c>
      <c r="R9" s="20" t="n">
        <v>0.03239015609690895</v>
      </c>
      <c r="S9" s="21" t="n">
        <v>4</v>
      </c>
      <c r="T9" s="20" t="n"/>
      <c r="U9" s="20" t="n">
        <v>0.1056556265736975</v>
      </c>
      <c r="V9" s="20" t="n">
        <v>0.1497055980314615</v>
      </c>
      <c r="W9" s="20" t="n">
        <v>0.07368574813756837</v>
      </c>
      <c r="X9" s="20" t="n">
        <v>0.1510370276116554</v>
      </c>
      <c r="Y9" s="14" t="n">
        <v>2.6</v>
      </c>
      <c r="Z9" s="19">
        <f>IF(OR(Y9="",F9="",F9=0),"",Y9/F9)</f>
        <v/>
      </c>
      <c r="AA9" s="22" t="n"/>
      <c r="AB9" s="20" t="n">
        <v>0.257</v>
      </c>
      <c r="AC9" s="20" t="n">
        <v>0.2798606497202866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135.55</v>
      </c>
      <c r="G10" s="15" t="inlineStr">
        <is>
          <t>CHF</t>
        </is>
      </c>
      <c r="H10" s="14" t="n">
        <v>144.1224003742611</v>
      </c>
      <c r="I10" s="16" t="n">
        <v>42504.4656147663</v>
      </c>
      <c r="J10" s="16" t="n">
        <v>39976.3</v>
      </c>
      <c r="K10" s="14" t="n">
        <v>13.3</v>
      </c>
      <c r="L10" s="14" t="n">
        <v>12.71389</v>
      </c>
      <c r="M10" s="17">
        <f>IF(OR(F10="",K10="",K10&lt;=0),"",F10/K10)</f>
        <v/>
      </c>
      <c r="N10" s="18" t="n">
        <v>2.0041306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80.39</v>
      </c>
      <c r="G11" s="15" t="inlineStr">
        <is>
          <t>CHF</t>
        </is>
      </c>
      <c r="H11" s="14" t="n">
        <v>85.47399311019437</v>
      </c>
      <c r="I11" s="16" t="n">
        <v>219857.9509207672</v>
      </c>
      <c r="J11" s="16" t="n">
        <v>206780.8</v>
      </c>
      <c r="K11" s="14" t="n">
        <v>2.89</v>
      </c>
      <c r="L11" s="14" t="n">
        <v>4.81661</v>
      </c>
      <c r="M11" s="17">
        <f>IF(OR(F11="",K11="",K11&lt;=0),"",F11/K11)</f>
        <v/>
      </c>
      <c r="N11" s="18" t="n">
        <v>7.076585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231.2</v>
      </c>
      <c r="G12" s="15" t="inlineStr">
        <is>
          <t>CHF</t>
        </is>
      </c>
      <c r="H12" s="14" t="n">
        <v>245.8214604686769</v>
      </c>
      <c r="I12" s="16" t="n">
        <v>14602.87925828265</v>
      </c>
      <c r="J12" s="16" t="n">
        <v>13734.3</v>
      </c>
      <c r="K12" s="14" t="n">
        <v>9</v>
      </c>
      <c r="L12" s="14" t="n">
        <v>11.88346</v>
      </c>
      <c r="M12" s="17">
        <f>IF(OR(F12="",K12="",K12&lt;=0),"",F12/K12)</f>
        <v/>
      </c>
      <c r="N12" s="18" t="n">
        <v>5.254307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3237</v>
      </c>
      <c r="G13" s="15" t="inlineStr">
        <is>
          <t>CHF</t>
        </is>
      </c>
      <c r="H13" s="14" t="n">
        <v>3441.713094883682</v>
      </c>
      <c r="I13" s="16" t="n">
        <v>31771.57317228767</v>
      </c>
      <c r="J13" s="16" t="n">
        <v>29881.8</v>
      </c>
      <c r="K13" s="14" t="n">
        <v>102.75</v>
      </c>
      <c r="L13" s="14" t="n">
        <v>131.47668</v>
      </c>
      <c r="M13" s="17">
        <f>IF(OR(F13="",K13="",K13&lt;=0),"",F13/K13)</f>
        <v/>
      </c>
      <c r="N13" s="18" t="n">
        <v>6.788227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111.8</v>
      </c>
      <c r="G14" s="15" t="inlineStr">
        <is>
          <t>CHF</t>
        </is>
      </c>
      <c r="H14" s="14" t="n">
        <v>118.8704121124484</v>
      </c>
      <c r="I14" s="16" t="n">
        <v>225938.7360183728</v>
      </c>
      <c r="J14" s="16" t="n">
        <v>212499.9</v>
      </c>
      <c r="K14" s="14" t="n">
        <v>5.36</v>
      </c>
      <c r="L14" s="14" t="n">
        <v>7.9649267</v>
      </c>
      <c r="M14" s="17">
        <f>IF(OR(F14="",K14="",K14&lt;=0),"",F14/K14)</f>
        <v/>
      </c>
      <c r="N14" s="18" t="n">
        <v>6.3141217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193.95</v>
      </c>
      <c r="G15" s="15" t="inlineStr">
        <is>
          <t>CHF</t>
        </is>
      </c>
      <c r="H15" s="14" t="n">
        <v>206.2157104580445</v>
      </c>
      <c r="I15" s="16" t="n">
        <v>33085.10185854634</v>
      </c>
      <c r="J15" s="16" t="n">
        <v>31117.2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4.5664306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93.58</v>
      </c>
      <c r="G16" s="15" t="inlineStr">
        <is>
          <t>CHF</t>
        </is>
      </c>
      <c r="H16" s="14" t="n">
        <v>99.49814995959682</v>
      </c>
      <c r="I16" s="16" t="n">
        <v>15865.05337472887</v>
      </c>
      <c r="J16" s="16" t="n">
        <v>14921.4</v>
      </c>
      <c r="K16" s="14" t="n">
        <v>2.31</v>
      </c>
      <c r="L16" s="14" t="n">
        <v>3.80325</v>
      </c>
      <c r="M16" s="17">
        <f>IF(OR(F16="",K16="",K16&lt;=0),"",F16/K16)</f>
        <v/>
      </c>
      <c r="N16" s="18" t="n">
        <v>6.906273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924</v>
      </c>
      <c r="G17" s="15" t="inlineStr">
        <is>
          <t>CHF</t>
        </is>
      </c>
      <c r="H17" s="14" t="n">
        <v>982.4352485858888</v>
      </c>
      <c r="I17" s="16" t="n">
        <v>27454.59958320929</v>
      </c>
      <c r="J17" s="16" t="n">
        <v>25821.6</v>
      </c>
      <c r="K17" s="14" t="n">
        <v>45.89</v>
      </c>
      <c r="L17" s="14" t="n">
        <v>51.22457</v>
      </c>
      <c r="M17" s="17">
        <f>IF(OR(F17="",K17="",K17&lt;=0),"",F17/K17)</f>
        <v/>
      </c>
      <c r="N17" s="18" t="n">
        <v>4.0895815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45</v>
      </c>
      <c r="G18" s="15" t="inlineStr">
        <is>
          <t>CHF</t>
        </is>
      </c>
      <c r="H18" s="14" t="n">
        <v>47.84587249606601</v>
      </c>
      <c r="I18" s="16" t="n">
        <v>146491.7279802662</v>
      </c>
      <c r="J18" s="16" t="n">
        <v>137778.4</v>
      </c>
      <c r="K18" s="14" t="n">
        <v>2.38</v>
      </c>
      <c r="L18" s="14" t="n">
        <v>3.48469</v>
      </c>
      <c r="M18" s="17">
        <f>IF(OR(F18="",K18="",K18&lt;=0),"",F18/K18)</f>
        <v/>
      </c>
      <c r="N18" s="18" t="n">
        <v>1.905956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649.5</v>
      </c>
      <c r="G19" s="15" t="inlineStr">
        <is>
          <t>CHF</t>
        </is>
      </c>
      <c r="H19" s="14" t="n">
        <v>690.575426359886</v>
      </c>
      <c r="I19" s="16" t="n">
        <v>35773.18929953643</v>
      </c>
      <c r="J19" s="16" t="n">
        <v>33645.4</v>
      </c>
      <c r="K19" s="14" t="n">
        <v>25.36</v>
      </c>
      <c r="L19" s="14" t="n">
        <v>31.04163</v>
      </c>
      <c r="M19" s="17">
        <f>IF(OR(F19="",K19="",K19&lt;=0),"",F19/K19)</f>
        <v/>
      </c>
      <c r="N19" s="18" t="n">
        <v>2.9211097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73.54000000000001</v>
      </c>
      <c r="G20" s="15" t="inlineStr">
        <is>
          <t>CHF</t>
        </is>
      </c>
      <c r="H20" s="14" t="n">
        <v>78.1907880746821</v>
      </c>
      <c r="I20" s="16" t="n">
        <v>43249.2663632884</v>
      </c>
      <c r="J20" s="16" t="n">
        <v>40676.8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2.5776374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183.65</v>
      </c>
      <c r="G21" s="15" t="inlineStr">
        <is>
          <t>CHF</t>
        </is>
      </c>
      <c r="H21" s="14" t="n">
        <v>195.2643218645005</v>
      </c>
      <c r="I21" s="16" t="n">
        <v>114803.725598605</v>
      </c>
      <c r="J21" s="16" t="n">
        <v>107975.2</v>
      </c>
      <c r="K21" s="14" t="n">
        <v>5.52</v>
      </c>
      <c r="L21" s="14" t="n">
        <v>8.026655999999999</v>
      </c>
      <c r="M21" s="17">
        <f>IF(OR(F21="",K21="",K21&lt;=0),"",F21/K21)</f>
        <v/>
      </c>
      <c r="N21" s="18" t="n">
        <v>4.7707524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55.82</v>
      </c>
      <c r="G22" s="15" t="inlineStr">
        <is>
          <t>CHF</t>
        </is>
      </c>
      <c r="H22" s="14" t="n">
        <v>59.35014672734233</v>
      </c>
      <c r="I22" s="16" t="n">
        <v>28689.87368689662</v>
      </c>
      <c r="J22" s="16" t="n">
        <v>26983.4</v>
      </c>
      <c r="K22" s="14" t="n">
        <v>1.06</v>
      </c>
      <c r="L22" s="14" t="n">
        <v>3.5444207</v>
      </c>
      <c r="M22" s="17">
        <f>IF(OR(F22="",K22="",K22&lt;=0),"",F22/K22)</f>
        <v/>
      </c>
      <c r="N22" s="18" t="n">
        <v>1.547211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2026-09-08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556</v>
      </c>
      <c r="G23" s="15" t="inlineStr">
        <is>
          <t>CHF</t>
        </is>
      </c>
      <c r="H23" s="14" t="n">
        <v>591.1623357291711</v>
      </c>
      <c r="I23" s="16" t="n">
        <v>41289.28677752733</v>
      </c>
      <c r="J23" s="16" t="n">
        <v>38833.4</v>
      </c>
      <c r="K23" s="14" t="n">
        <v>15.47</v>
      </c>
      <c r="L23" s="14" t="n">
        <v>22.0563</v>
      </c>
      <c r="M23" s="17">
        <f>IF(OR(F23="",K23="",K23&lt;=0),"",F23/K23)</f>
        <v/>
      </c>
      <c r="N23" s="18" t="n">
        <v>4.7777405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2026-09-08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208.32</v>
      </c>
      <c r="G2" s="15" t="inlineStr">
        <is>
          <t>USD</t>
        </is>
      </c>
      <c r="H2" s="14" t="n">
        <v>179.1551996416896</v>
      </c>
      <c r="I2" s="16" t="n">
        <v>56781.41388643717</v>
      </c>
      <c r="J2" s="16" t="n">
        <v>66024.89999999999</v>
      </c>
      <c r="K2" s="14" t="n">
        <v>26.01</v>
      </c>
      <c r="L2" s="14" t="n">
        <v>9.951180000000001</v>
      </c>
      <c r="M2" s="17">
        <f>IF(OR(F2="",K2="",K2&lt;=0),"",F2/K2)</f>
        <v/>
      </c>
      <c r="N2" s="18" t="n">
        <v>3.5618174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2026-09-08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EOG Resources</t>
        </is>
      </c>
      <c r="C3" s="12" t="inlineStr">
        <is>
          <t>EOG</t>
        </is>
      </c>
      <c r="D3" s="11" t="inlineStr">
        <is>
          <t>Esplorazione e produzione</t>
        </is>
      </c>
      <c r="E3" s="13" t="inlineStr">
        <is>
          <t>Energia</t>
        </is>
      </c>
      <c r="F3" s="14" t="n">
        <v>145.655</v>
      </c>
      <c r="G3" s="15" t="inlineStr">
        <is>
          <t>USD</t>
        </is>
      </c>
      <c r="H3" s="14" t="n">
        <v>125.2632997494734</v>
      </c>
      <c r="I3" s="16" t="n">
        <v>65704.25786859149</v>
      </c>
      <c r="J3" s="16" t="n">
        <v>76400.3</v>
      </c>
      <c r="K3" s="14" t="n">
        <v>12.85</v>
      </c>
      <c r="L3" s="14" t="n">
        <v>14.35556</v>
      </c>
      <c r="M3" s="17">
        <f>IF(OR(F3="",K3="",K3&lt;=0),"",F3/K3)</f>
        <v/>
      </c>
      <c r="N3" s="18" t="n">
        <v>2.4021208</v>
      </c>
      <c r="O3" s="19">
        <f>IF(OR(N3="",M3="",M3&lt;=0),"",N3/M3)</f>
        <v/>
      </c>
      <c r="P3" s="20" t="n">
        <v>0.22507</v>
      </c>
      <c r="Q3" s="20" t="n">
        <v>0.242138828379117</v>
      </c>
      <c r="R3" s="20" t="n">
        <v>0.05492470394983165</v>
      </c>
      <c r="S3" s="21" t="n">
        <v>4</v>
      </c>
      <c r="T3" s="20" t="n"/>
      <c r="U3" s="20" t="n">
        <v>0.1669292394328428</v>
      </c>
      <c r="V3" s="20" t="n">
        <v>0.2181527034854008</v>
      </c>
      <c r="W3" s="20" t="n">
        <v>0.2703453186187255</v>
      </c>
      <c r="X3" s="20" t="n">
        <v>0.3131280519794988</v>
      </c>
      <c r="Y3" s="14" t="n">
        <v>4.08</v>
      </c>
      <c r="Z3" s="19">
        <f>IF(OR(Y3="",F3="",F3=0),"",Y3/F3)</f>
        <v/>
      </c>
      <c r="AA3" s="22" t="n">
        <v>25.891</v>
      </c>
      <c r="AB3" s="20" t="n">
        <v>0.587</v>
      </c>
      <c r="AC3" s="20" t="n">
        <v>0.3044903133469135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2026-09-08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Simon Property Group</t>
        </is>
      </c>
      <c r="C4" s="12" t="inlineStr">
        <is>
          <t>SPG</t>
        </is>
      </c>
      <c r="D4" s="11" t="inlineStr">
        <is>
          <t>REIT / Centri commerciali</t>
        </is>
      </c>
      <c r="E4" s="13" t="inlineStr">
        <is>
          <t>Immobiliare</t>
        </is>
      </c>
      <c r="F4" s="14" t="n">
        <v>210.64</v>
      </c>
      <c r="G4" s="15" t="inlineStr">
        <is>
          <t>USD</t>
        </is>
      </c>
      <c r="H4" s="14" t="n">
        <v>181.1503996376992</v>
      </c>
      <c r="I4" s="16" t="n">
        <v>68768.95386246209</v>
      </c>
      <c r="J4" s="16" t="n">
        <v>79963.89999999999</v>
      </c>
      <c r="K4" s="14" t="n">
        <v>14.18</v>
      </c>
      <c r="L4" s="14" t="n">
        <v>6.69239</v>
      </c>
      <c r="M4" s="17">
        <f>IF(OR(F4="",K4="",K4&lt;=0),"",F4/K4)</f>
        <v/>
      </c>
      <c r="N4" s="18" t="n">
        <v>15.509903</v>
      </c>
      <c r="O4" s="19">
        <f>IF(OR(N4="",M4="",M4&lt;=0),"",N4/M4)</f>
        <v/>
      </c>
      <c r="P4" s="20" t="n">
        <v>1.20508</v>
      </c>
      <c r="Q4" s="20" t="n">
        <v>0.7828516039546615</v>
      </c>
      <c r="R4" s="20" t="n">
        <v>0.07530997649584731</v>
      </c>
      <c r="S4" s="21" t="n">
        <v>4</v>
      </c>
      <c r="T4" s="20" t="n"/>
      <c r="U4" s="20" t="n">
        <v>0.8885126495026754</v>
      </c>
      <c r="V4" s="20" t="n">
        <v>0.8058995385674346</v>
      </c>
      <c r="W4" s="20" t="n">
        <v>0.7552932116020926</v>
      </c>
      <c r="X4" s="20" t="n">
        <v>0.6817010161464434</v>
      </c>
      <c r="Y4" s="14" t="n">
        <v>8.9</v>
      </c>
      <c r="Z4" s="19">
        <f>IF(OR(Y4="",F4="",F4=0),"",Y4/F4)</f>
        <v/>
      </c>
      <c r="AA4" s="22" t="n">
        <v>503.504</v>
      </c>
      <c r="AB4" s="20" t="n">
        <v>0.195</v>
      </c>
      <c r="AC4" s="20" t="n">
        <v>0.725453271856963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2026-09-08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397.1</v>
      </c>
      <c r="G5" s="15" t="inlineStr">
        <is>
          <t>USD</t>
        </is>
      </c>
      <c r="H5" s="14" t="n">
        <v>341.505999316988</v>
      </c>
      <c r="I5" s="16" t="n">
        <v>95903.32980819335</v>
      </c>
      <c r="J5" s="16" t="n">
        <v>111515.5</v>
      </c>
      <c r="K5" s="14" t="n">
        <v>28.86</v>
      </c>
      <c r="L5" s="14" t="n">
        <v>31.77638</v>
      </c>
      <c r="M5" s="17">
        <f>IF(OR(F5="",K5="",K5&lt;=0),"",F5/K5)</f>
        <v/>
      </c>
      <c r="N5" s="18" t="n">
        <v>5.890817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2026-09-08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74.435</v>
      </c>
      <c r="G6" s="15" t="inlineStr">
        <is>
          <t>USD</t>
        </is>
      </c>
      <c r="H6" s="14" t="n">
        <v>64.01409987197181</v>
      </c>
      <c r="I6" s="16" t="n">
        <v>26452.13794709573</v>
      </c>
      <c r="J6" s="16" t="n">
        <v>30758.3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2026-09-08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257.63</v>
      </c>
      <c r="G7" s="15" t="inlineStr">
        <is>
          <t>USD</t>
        </is>
      </c>
      <c r="H7" s="14" t="n">
        <v>221.5617995568764</v>
      </c>
      <c r="I7" s="16" t="n">
        <v>88070.79382385842</v>
      </c>
      <c r="J7" s="16" t="n">
        <v>102407.9</v>
      </c>
      <c r="K7" s="14" t="n">
        <v>17.48</v>
      </c>
      <c r="L7" s="14" t="n">
        <v>27.49816</v>
      </c>
      <c r="M7" s="17">
        <f>IF(OR(F7="",K7="",K7&lt;=0),"",F7/K7)</f>
        <v/>
      </c>
      <c r="N7" s="18" t="n">
        <v>8.924723999999999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2026-09-08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177.875</v>
      </c>
      <c r="G8" s="15" t="inlineStr">
        <is>
          <t>USD</t>
        </is>
      </c>
      <c r="H8" s="14" t="n">
        <v>152.972499694055</v>
      </c>
      <c r="I8" s="16" t="n">
        <v>93610.31181277939</v>
      </c>
      <c r="J8" s="16" t="n">
        <v>108849.2</v>
      </c>
      <c r="K8" s="14" t="n">
        <v>12.53</v>
      </c>
      <c r="L8" s="14" t="n">
        <v>14.65516</v>
      </c>
      <c r="M8" s="17">
        <f>IF(OR(F8="",K8="",K8&lt;=0),"",F8/K8)</f>
        <v/>
      </c>
      <c r="N8" s="18" t="n">
        <v>3.4127321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2026-09-08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53.3</v>
      </c>
      <c r="G9" s="15" t="inlineStr">
        <is>
          <t>USD</t>
        </is>
      </c>
      <c r="H9" s="14" t="n">
        <v>45.837999908324</v>
      </c>
      <c r="I9" s="16" t="n">
        <v>39212.64592157471</v>
      </c>
      <c r="J9" s="16" t="n">
        <v>45596.1</v>
      </c>
      <c r="K9" s="14" t="n">
        <v>5.29</v>
      </c>
      <c r="L9" s="14" t="n">
        <v>5.78777</v>
      </c>
      <c r="M9" s="17">
        <f>IF(OR(F9="",K9="",K9&lt;=0),"",F9/K9)</f>
        <v/>
      </c>
      <c r="N9" s="18" t="n">
        <v>2.3180969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2026-09-08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Alphabet</t>
        </is>
      </c>
      <c r="C10" s="12" t="inlineStr">
        <is>
          <t>GOOGL</t>
        </is>
      </c>
      <c r="D10" s="11" t="inlineStr">
        <is>
          <t>Internet / Cloud</t>
        </is>
      </c>
      <c r="E10" s="13" t="inlineStr">
        <is>
          <t>Tecnologia</t>
        </is>
      </c>
      <c r="F10" s="14" t="n">
        <v>338.715</v>
      </c>
      <c r="G10" s="15" t="inlineStr">
        <is>
          <t>USD</t>
        </is>
      </c>
      <c r="H10" s="14" t="n">
        <v>291.2948994174102</v>
      </c>
      <c r="I10" s="16" t="n">
        <v>3562675.724874649</v>
      </c>
      <c r="J10" s="16" t="n">
        <v>4142646.2</v>
      </c>
      <c r="K10" s="14" t="n">
        <v>19.94</v>
      </c>
      <c r="L10" s="14" t="n">
        <v>14.85403</v>
      </c>
      <c r="M10" s="17">
        <f>IF(OR(F10="",K10="",K10&lt;=0),"",F10/K10)</f>
        <v/>
      </c>
      <c r="N10" s="18" t="n">
        <v>6.6553364</v>
      </c>
      <c r="O10" s="19">
        <f>IF(OR(N10="",M10="",M10&lt;=0),"",N10/M10)</f>
        <v/>
      </c>
      <c r="P10" s="20" t="n">
        <v>0.48676</v>
      </c>
      <c r="Q10" s="20" t="n">
        <v>0.280199841988681</v>
      </c>
      <c r="R10" s="20" t="n">
        <v>0.03440628523217517</v>
      </c>
      <c r="S10" s="21" t="n">
        <v>4</v>
      </c>
      <c r="T10" s="20" t="n"/>
      <c r="U10" s="20" t="n">
        <v>0.3182786895115167</v>
      </c>
      <c r="V10" s="20" t="n">
        <v>0.3079757847202569</v>
      </c>
      <c r="W10" s="20" t="n">
        <v>0.2604109690555758</v>
      </c>
      <c r="X10" s="20" t="n">
        <v>0.2341339246673746</v>
      </c>
      <c r="Y10" s="14" t="n">
        <v>0.88</v>
      </c>
      <c r="Z10" s="19">
        <f>IF(OR(Y10="",F10="",F10=0),"",Y10/F10)</f>
        <v/>
      </c>
      <c r="AA10" s="22" t="n">
        <v>18.859</v>
      </c>
      <c r="AB10" s="20" t="n">
        <v>0.242</v>
      </c>
      <c r="AC10" s="20" t="n">
        <v>0.6060009406905044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2026-09-08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215.32</v>
      </c>
      <c r="G11" s="15" t="inlineStr">
        <is>
          <t>USD</t>
        </is>
      </c>
      <c r="H11" s="14" t="n">
        <v>185.1751996296496</v>
      </c>
      <c r="I11" s="16" t="n">
        <v>107605.3497847893</v>
      </c>
      <c r="J11" s="16" t="n">
        <v>125122.5</v>
      </c>
      <c r="K11" s="14" t="n">
        <v>19.92</v>
      </c>
      <c r="L11" s="14" t="n">
        <v>16.29414</v>
      </c>
      <c r="M11" s="17">
        <f>IF(OR(F11="",K11="",K11&lt;=0),"",F11/K11)</f>
        <v/>
      </c>
      <c r="N11" s="18" t="n">
        <v>3.6437483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2026-09-08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491.7101</v>
      </c>
      <c r="G12" s="15" t="inlineStr">
        <is>
          <t>USD</t>
        </is>
      </c>
      <c r="H12" s="14" t="n">
        <v>422.8706851542587</v>
      </c>
      <c r="I12" s="16" t="n">
        <v>3140045.581719909</v>
      </c>
      <c r="J12" s="16" t="n">
        <v>3651215.8</v>
      </c>
      <c r="K12" s="14" t="n">
        <v>17.94</v>
      </c>
      <c r="L12" s="14" t="n">
        <v>23.57328</v>
      </c>
      <c r="M12" s="17">
        <f>IF(OR(F12="",K12="",K12&lt;=0),"",F12/K12)</f>
        <v/>
      </c>
      <c r="N12" s="18" t="n">
        <v>8.255017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2026-09-08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482.28</v>
      </c>
      <c r="G13" s="15" t="inlineStr">
        <is>
          <t>USD</t>
        </is>
      </c>
      <c r="H13" s="14" t="n">
        <v>414.7607991704784</v>
      </c>
      <c r="I13" s="16" t="n">
        <v>71828.66185634267</v>
      </c>
      <c r="J13" s="16" t="n">
        <v>83521.7</v>
      </c>
      <c r="K13" s="14" t="n">
        <v>15.74</v>
      </c>
      <c r="L13" s="14" t="n">
        <v>18.92998</v>
      </c>
      <c r="M13" s="17">
        <f>IF(OR(F13="",K13="",K13&lt;=0),"",F13/K13)</f>
        <v/>
      </c>
      <c r="N13" s="18" t="n">
        <v>27.610926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2026-09-08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Lam Research</t>
        </is>
      </c>
      <c r="C14" s="12" t="inlineStr">
        <is>
          <t>LRCX</t>
        </is>
      </c>
      <c r="D14" s="11" t="inlineStr">
        <is>
          <t>Apparecchiature semicond.</t>
        </is>
      </c>
      <c r="E14" s="13" t="inlineStr">
        <is>
          <t>Tecnologia</t>
        </is>
      </c>
      <c r="F14" s="14" t="n">
        <v>319.26</v>
      </c>
      <c r="G14" s="15" t="inlineStr">
        <is>
          <t>USD</t>
        </is>
      </c>
      <c r="H14" s="14" t="n">
        <v>274.5635994508728</v>
      </c>
      <c r="I14" s="16" t="n">
        <v>343567.1613128657</v>
      </c>
      <c r="J14" s="16" t="n">
        <v>399496.7</v>
      </c>
      <c r="K14" s="14" t="n">
        <v>5.75</v>
      </c>
      <c r="L14" s="14" t="n">
        <v>11.57261</v>
      </c>
      <c r="M14" s="17">
        <f>IF(OR(F14="",K14="",K14&lt;=0),"",F14/K14)</f>
        <v/>
      </c>
      <c r="N14" s="18" t="n">
        <v>32.031704</v>
      </c>
      <c r="O14" s="19">
        <f>IF(OR(N14="",M14="",M14&lt;=0),"",N14/M14)</f>
        <v/>
      </c>
      <c r="P14" s="20" t="n">
        <v>0.65066004</v>
      </c>
      <c r="Q14" s="20" t="n">
        <v>0.5309012392377671</v>
      </c>
      <c r="R14" s="20" t="n">
        <v>0.05000376314785111</v>
      </c>
      <c r="S14" s="21" t="n">
        <v>4</v>
      </c>
      <c r="T14" s="20" t="n">
        <v>0.5825869637054072</v>
      </c>
      <c r="U14" s="20" t="n">
        <v>0.5433405001754783</v>
      </c>
      <c r="V14" s="20" t="n">
        <v>0.4482455201468384</v>
      </c>
      <c r="W14" s="20" t="n">
        <v>0.5494319729233443</v>
      </c>
      <c r="X14" s="20" t="n">
        <v>0.7335166506699354</v>
      </c>
      <c r="Y14" s="14" t="n">
        <v>1.32</v>
      </c>
      <c r="Z14" s="19">
        <f>IF(OR(Y14="",F14="",F14=0),"",Y14/F14)</f>
        <v/>
      </c>
      <c r="AA14" s="22" t="n">
        <v>33.049</v>
      </c>
      <c r="AB14" s="20" t="n">
        <v>0.3</v>
      </c>
      <c r="AC14" s="20" t="n">
        <v>0.3127229874801411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2026-09-08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American Express</t>
        </is>
      </c>
      <c r="C15" s="12" t="inlineStr">
        <is>
          <t>AXP</t>
        </is>
      </c>
      <c r="D15" s="11" t="inlineStr">
        <is>
          <t>Pagamenti / Credito</t>
        </is>
      </c>
      <c r="E15" s="13" t="inlineStr">
        <is>
          <t>Finanziario</t>
        </is>
      </c>
      <c r="F15" s="14" t="n">
        <v>327.32</v>
      </c>
      <c r="G15" s="15" t="inlineStr">
        <is>
          <t>USD</t>
        </is>
      </c>
      <c r="H15" s="14" t="n">
        <v>281.4951994370096</v>
      </c>
      <c r="I15" s="16" t="n">
        <v>190096.4636198071</v>
      </c>
      <c r="J15" s="16" t="n">
        <v>221042.4</v>
      </c>
      <c r="K15" s="14" t="n">
        <v>16.47</v>
      </c>
      <c r="L15" s="14" t="n">
        <v>20.11369</v>
      </c>
      <c r="M15" s="17">
        <f>IF(OR(F15="",K15="",K15&lt;=0),"",F15/K15)</f>
        <v/>
      </c>
      <c r="N15" s="18" t="n">
        <v>6.4452105</v>
      </c>
      <c r="O15" s="19">
        <f>IF(OR(N15="",M15="",M15&lt;=0),"",N15/M15)</f>
        <v/>
      </c>
      <c r="P15" s="20" t="n">
        <v>0.34377</v>
      </c>
      <c r="Q15" s="20" t="n">
        <v>0.3152128333482085</v>
      </c>
      <c r="R15" s="20" t="n">
        <v>0.01461690524528727</v>
      </c>
      <c r="S15" s="21" t="n">
        <v>4</v>
      </c>
      <c r="T15" s="20" t="n"/>
      <c r="U15" s="20" t="n">
        <v>0.3236243054310808</v>
      </c>
      <c r="V15" s="20" t="n">
        <v>0.3346880782447793</v>
      </c>
      <c r="W15" s="20" t="n">
        <v>0.2984638414655879</v>
      </c>
      <c r="X15" s="20" t="n">
        <v>0.304075108251386</v>
      </c>
      <c r="Y15" s="14" t="n">
        <v>3.8</v>
      </c>
      <c r="Z15" s="19">
        <f>IF(OR(Y15="",F15="",F15=0),"",Y15/F15)</f>
        <v/>
      </c>
      <c r="AA15" s="22" t="n">
        <v>172.38</v>
      </c>
      <c r="AB15" s="20" t="n">
        <v>0.128</v>
      </c>
      <c r="AC15" s="20" t="n">
        <v>0.1565969756610827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2026-09-08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315.96</v>
      </c>
      <c r="G16" s="15" t="inlineStr">
        <is>
          <t>USD</t>
        </is>
      </c>
      <c r="H16" s="14" t="n">
        <v>271.7255994565488</v>
      </c>
      <c r="I16" s="16" t="n">
        <v>3965612.126068776</v>
      </c>
      <c r="J16" s="16" t="n">
        <v>4611176.9</v>
      </c>
      <c r="K16" s="14" t="n">
        <v>8.74</v>
      </c>
      <c r="L16" s="14" t="n">
        <v>9.574350000000001</v>
      </c>
      <c r="M16" s="17">
        <f>IF(OR(F16="",K16="",K16&lt;=0),"",F16/K16)</f>
        <v/>
      </c>
      <c r="N16" s="18" t="n">
        <v>42.929344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2026-09-08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368.66</v>
      </c>
      <c r="G17" s="15" t="inlineStr">
        <is>
          <t>USD</t>
        </is>
      </c>
      <c r="H17" s="14" t="n">
        <v>317.0475993659048</v>
      </c>
      <c r="I17" s="16" t="n">
        <v>591942.9008161142</v>
      </c>
      <c r="J17" s="16" t="n">
        <v>688305.7</v>
      </c>
      <c r="K17" s="14" t="n">
        <v>11.74</v>
      </c>
      <c r="L17" s="14" t="n">
        <v>15.0043</v>
      </c>
      <c r="M17" s="17">
        <f>IF(OR(F17="",K17="",K17&lt;=0),"",F17/K17)</f>
        <v/>
      </c>
      <c r="N17" s="18" t="n">
        <v>19.53683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2026-09-08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PepsiCo</t>
        </is>
      </c>
      <c r="C18" s="12" t="inlineStr">
        <is>
          <t>PEP</t>
        </is>
      </c>
      <c r="D18" s="11" t="inlineStr">
        <is>
          <t>Bevande e snack</t>
        </is>
      </c>
      <c r="E18" s="13" t="inlineStr">
        <is>
          <t>Consumi</t>
        </is>
      </c>
      <c r="F18" s="14" t="n">
        <v>138.41</v>
      </c>
      <c r="G18" s="15" t="inlineStr">
        <is>
          <t>USD</t>
        </is>
      </c>
      <c r="H18" s="14" t="n">
        <v>119.0325997619348</v>
      </c>
      <c r="I18" s="16" t="n">
        <v>162598.5656748029</v>
      </c>
      <c r="J18" s="16" t="n">
        <v>189068.1</v>
      </c>
      <c r="K18" s="14" t="n">
        <v>7.62</v>
      </c>
      <c r="L18" s="14" t="n">
        <v>8.975390000000001</v>
      </c>
      <c r="M18" s="17">
        <f>IF(OR(F18="",K18="",K18&lt;=0),"",F18/K18)</f>
        <v/>
      </c>
      <c r="N18" s="18" t="n">
        <v>8.555975</v>
      </c>
      <c r="O18" s="19">
        <f>IF(OR(N18="",M18="",M18&lt;=0),"",N18/M18)</f>
        <v/>
      </c>
      <c r="P18" s="20" t="n">
        <v>0.51508</v>
      </c>
      <c r="Q18" s="20" t="n">
        <v>0.486168855450935</v>
      </c>
      <c r="R18" s="20" t="n">
        <v>0.04979556056471136</v>
      </c>
      <c r="S18" s="21" t="n">
        <v>4</v>
      </c>
      <c r="T18" s="20" t="n"/>
      <c r="U18" s="20" t="n">
        <v>0.4038028030971283</v>
      </c>
      <c r="V18" s="20" t="n">
        <v>0.5309018347098277</v>
      </c>
      <c r="W18" s="20" t="n">
        <v>0.490406961033346</v>
      </c>
      <c r="X18" s="20" t="n">
        <v>0.5195638229634381</v>
      </c>
      <c r="Y18" s="14" t="n">
        <v>5.92</v>
      </c>
      <c r="Z18" s="19">
        <f>IF(OR(Y18="",F18="",F18=0),"",Y18/F18)</f>
        <v/>
      </c>
      <c r="AA18" s="22" t="n">
        <v>238.949</v>
      </c>
      <c r="AB18" s="20" t="n">
        <v>0.064</v>
      </c>
      <c r="AC18" s="20" t="n">
        <v>0.1112696334309289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2026-09-08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197.945</v>
      </c>
      <c r="G19" s="15" t="inlineStr">
        <is>
          <t>USD</t>
        </is>
      </c>
      <c r="H19" s="14" t="n">
        <v>170.2326996595346</v>
      </c>
      <c r="I19" s="16" t="n">
        <v>214701.6655705967</v>
      </c>
      <c r="J19" s="16" t="n">
        <v>249653.1</v>
      </c>
      <c r="K19" s="14" t="n">
        <v>3.16</v>
      </c>
      <c r="L19" s="14" t="n">
        <v>5.16028</v>
      </c>
      <c r="M19" s="17">
        <f>IF(OR(F19="",K19="",K19&lt;=0),"",F19/K19)</f>
        <v/>
      </c>
      <c r="N19" s="18" t="n">
        <v>16.870792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2026-09-08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824.97</v>
      </c>
      <c r="G20" s="15" t="inlineStr">
        <is>
          <t>USD</t>
        </is>
      </c>
      <c r="H20" s="14" t="n">
        <v>709.4741985810517</v>
      </c>
      <c r="I20" s="16" t="n">
        <v>326127.4793477451</v>
      </c>
      <c r="J20" s="16" t="n">
        <v>379218</v>
      </c>
      <c r="K20" s="14" t="n">
        <v>23.2</v>
      </c>
      <c r="L20" s="14" t="n">
        <v>32.37734</v>
      </c>
      <c r="M20" s="17">
        <f>IF(OR(F20="",K20="",K20&lt;=0),"",F20/K20)</f>
        <v/>
      </c>
      <c r="N20" s="18" t="n">
        <v>19.552294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2026-09-08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568.55</v>
      </c>
      <c r="G21" s="15" t="inlineStr">
        <is>
          <t>USD</t>
        </is>
      </c>
      <c r="H21" s="14" t="n">
        <v>488.952999022094</v>
      </c>
      <c r="I21" s="16" t="n">
        <v>428327.6431433448</v>
      </c>
      <c r="J21" s="16" t="n">
        <v>498055.4</v>
      </c>
      <c r="K21" s="14" t="n">
        <v>18.19</v>
      </c>
      <c r="L21" s="14" t="n">
        <v>23.02581</v>
      </c>
      <c r="M21" s="17">
        <f>IF(OR(F21="",K21="",K21&lt;=0),"",F21/K21)</f>
        <v/>
      </c>
      <c r="N21" s="18" t="n">
        <v>88.89149500000001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2026-09-08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Travelers</t>
        </is>
      </c>
      <c r="C22" s="12" t="inlineStr">
        <is>
          <t>TRV</t>
        </is>
      </c>
      <c r="D22" s="11" t="inlineStr">
        <is>
          <t>Assicurazione</t>
        </is>
      </c>
      <c r="E22" s="13" t="inlineStr">
        <is>
          <t>Finanziario</t>
        </is>
      </c>
      <c r="F22" s="14" t="n">
        <v>365.98</v>
      </c>
      <c r="G22" s="15" t="inlineStr">
        <is>
          <t>USD</t>
        </is>
      </c>
      <c r="H22" s="14" t="n">
        <v>314.7427993705144</v>
      </c>
      <c r="I22" s="16" t="n">
        <v>65647.49786870502</v>
      </c>
      <c r="J22" s="16" t="n">
        <v>76334.3</v>
      </c>
      <c r="K22" s="14" t="n">
        <v>37.19</v>
      </c>
      <c r="L22" s="14" t="n">
        <v>30.20864</v>
      </c>
      <c r="M22" s="17">
        <f>IF(OR(F22="",K22="",K22&lt;=0),"",F22/K22)</f>
        <v/>
      </c>
      <c r="N22" s="18" t="n">
        <v>2.3049793</v>
      </c>
      <c r="O22" s="19">
        <f>IF(OR(N22="",M22="",M22&lt;=0),"",N22/M22)</f>
        <v/>
      </c>
      <c r="P22" s="20" t="n">
        <v>0.26511</v>
      </c>
      <c r="Q22" s="20" t="n">
        <v>0.1556010112383756</v>
      </c>
      <c r="R22" s="20" t="n">
        <v>0.03026061633724604</v>
      </c>
      <c r="S22" s="21" t="n">
        <v>4</v>
      </c>
      <c r="T22" s="20" t="n"/>
      <c r="U22" s="20" t="n">
        <v>0.1911594819723962</v>
      </c>
      <c r="V22" s="20" t="n">
        <v>0.1794071202985932</v>
      </c>
      <c r="W22" s="20" t="n">
        <v>0.1200192608643313</v>
      </c>
      <c r="X22" s="20" t="n">
        <v>0.1318181818181818</v>
      </c>
      <c r="Y22" s="14" t="n">
        <v>5</v>
      </c>
      <c r="Z22" s="19">
        <f>IF(OR(Y22="",F22="",F22=0),"",Y22/F22)</f>
        <v/>
      </c>
      <c r="AA22" s="22" t="n">
        <v>27.378</v>
      </c>
      <c r="AB22" s="20" t="n">
        <v>0.003</v>
      </c>
      <c r="AC22" s="20" t="n">
        <v>0.1688170682395347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2026-09-08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KLA Corporation</t>
        </is>
      </c>
      <c r="C23" s="12" t="inlineStr">
        <is>
          <t>KLAC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188.02</v>
      </c>
      <c r="G23" s="15" t="inlineStr">
        <is>
          <t>USD</t>
        </is>
      </c>
      <c r="H23" s="14" t="n">
        <v>161.6971996766056</v>
      </c>
      <c r="I23" s="16" t="n">
        <v>211264.9335774701</v>
      </c>
      <c r="J23" s="16" t="n">
        <v>245656.9</v>
      </c>
      <c r="K23" s="14" t="n">
        <v>3.66</v>
      </c>
      <c r="L23" s="14" t="n">
        <v>6.68948</v>
      </c>
      <c r="M23" s="17">
        <f>IF(OR(F23="",K23="",K23&lt;=0),"",F23/K23)</f>
        <v/>
      </c>
      <c r="N23" s="18" t="n">
        <v>38.70317</v>
      </c>
      <c r="O23" s="19">
        <f>IF(OR(N23="",M23="",M23&lt;=0),"",N23/M23)</f>
        <v/>
      </c>
      <c r="P23" s="20" t="n">
        <v>0.87496</v>
      </c>
      <c r="Q23" s="20" t="n">
        <v>0.9016067947009443</v>
      </c>
      <c r="R23" s="20" t="n">
        <v>0.1538102798939616</v>
      </c>
      <c r="S23" s="21" t="n">
        <v>4</v>
      </c>
      <c r="T23" s="20" t="n">
        <v>0.7607729037988479</v>
      </c>
      <c r="U23" s="20" t="n">
        <v>0.8655692449130551</v>
      </c>
      <c r="V23" s="20" t="n">
        <v>0.8199605264095421</v>
      </c>
      <c r="W23" s="20" t="n">
        <v>1.160124503682332</v>
      </c>
      <c r="X23" s="20" t="n">
        <v>2.370431819008942</v>
      </c>
      <c r="Y23" s="14" t="n">
        <v>0.92</v>
      </c>
      <c r="Z23" s="19">
        <f>IF(OR(Y23="",F23="",F23=0),"",Y23/F23)</f>
        <v/>
      </c>
      <c r="AA23" s="22" t="n">
        <v>96.88</v>
      </c>
      <c r="AB23" s="20" t="n">
        <v>0.152</v>
      </c>
      <c r="AC23" s="20" t="n">
        <v>0.3557406191520203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2026-09-08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Applied Materials</t>
        </is>
      </c>
      <c r="C24" s="12" t="inlineStr">
        <is>
          <t>AMAT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468.38</v>
      </c>
      <c r="G24" s="15" t="inlineStr">
        <is>
          <t>USD</t>
        </is>
      </c>
      <c r="H24" s="14" t="n">
        <v>402.8067991943864</v>
      </c>
      <c r="I24" s="16" t="n">
        <v>319666.4713606671</v>
      </c>
      <c r="J24" s="16" t="n">
        <v>371705.2</v>
      </c>
      <c r="K24" s="14" t="n">
        <v>11.6</v>
      </c>
      <c r="L24" s="14" t="n">
        <v>18.47185</v>
      </c>
      <c r="M24" s="17">
        <f>IF(OR(F24="",K24="",K24&lt;=0),"",F24/K24)</f>
        <v/>
      </c>
      <c r="N24" s="18" t="n">
        <v>14.504971</v>
      </c>
      <c r="O24" s="19">
        <f>IF(OR(N24="",M24="",M24&lt;=0),"",N24/M24)</f>
        <v/>
      </c>
      <c r="P24" s="20" t="n">
        <v>0.41068</v>
      </c>
      <c r="Q24" s="20" t="n">
        <v>0.4187390558280515</v>
      </c>
      <c r="R24" s="20" t="n">
        <v>0.07244233633790677</v>
      </c>
      <c r="S24" s="21" t="n">
        <v>4</v>
      </c>
      <c r="T24" s="20" t="n"/>
      <c r="U24" s="20" t="n">
        <v>0.3427871662992897</v>
      </c>
      <c r="V24" s="20" t="n">
        <v>0.377716962265144</v>
      </c>
      <c r="W24" s="20" t="n">
        <v>0.4193528656186923</v>
      </c>
      <c r="X24" s="20" t="n">
        <v>0.5350992291290799</v>
      </c>
      <c r="Y24" s="14" t="n">
        <v>2.12</v>
      </c>
      <c r="Z24" s="19">
        <f>IF(OR(Y24="",F24="",F24=0),"",Y24/F24)</f>
        <v/>
      </c>
      <c r="AA24" s="22" t="n">
        <v>28.666</v>
      </c>
      <c r="AB24" s="20" t="n">
        <v>0.248</v>
      </c>
      <c r="AC24" s="20" t="n">
        <v>0.3266709080654258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2026-09-08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Eli Lilly</t>
        </is>
      </c>
      <c r="C25" s="12" t="inlineStr">
        <is>
          <t>LLY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1127.785</v>
      </c>
      <c r="G25" s="15" t="inlineStr">
        <is>
          <t>USD</t>
        </is>
      </c>
      <c r="H25" s="14" t="n">
        <v>969.89509806021</v>
      </c>
      <c r="I25" s="16" t="n">
        <v>864895.6342702088</v>
      </c>
      <c r="J25" s="16" t="n">
        <v>1005692.6</v>
      </c>
      <c r="K25" s="14" t="n">
        <v>29.77</v>
      </c>
      <c r="L25" s="14" t="n">
        <v>47.25538</v>
      </c>
      <c r="M25" s="17">
        <f>IF(OR(F25="",K25="",K25&lt;=0),"",F25/K25)</f>
        <v/>
      </c>
      <c r="N25" s="18" t="n">
        <v>29.676992</v>
      </c>
      <c r="O25" s="19">
        <f>IF(OR(N25="",M25="",M25&lt;=0),"",N25/M25)</f>
        <v/>
      </c>
      <c r="P25" s="20" t="n">
        <v>1.02286</v>
      </c>
      <c r="Q25" s="20" t="n">
        <v>0.6481702467386419</v>
      </c>
      <c r="R25" s="20" t="n">
        <v>0.1178900700269788</v>
      </c>
      <c r="S25" s="21" t="n">
        <v>4</v>
      </c>
      <c r="T25" s="20" t="n"/>
      <c r="U25" s="20" t="n">
        <v>0.7778405879027699</v>
      </c>
      <c r="V25" s="20" t="n">
        <v>0.7420123318385651</v>
      </c>
      <c r="W25" s="20" t="n">
        <v>0.4864508582515619</v>
      </c>
      <c r="X25" s="20" t="n">
        <v>0.5863772089616707</v>
      </c>
      <c r="Y25" s="14" t="n">
        <v>6.92</v>
      </c>
      <c r="Z25" s="19">
        <f>IF(OR(Y25="",F25="",F25=0),"",Y25/F25)</f>
        <v/>
      </c>
      <c r="AA25" s="22" t="n">
        <v>162.071</v>
      </c>
      <c r="AB25" s="20" t="n">
        <v>0.477</v>
      </c>
      <c r="AC25" s="20" t="n">
        <v>0.4098098933705641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2026-09-08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United Rentals</t>
        </is>
      </c>
      <c r="C26" s="12" t="inlineStr">
        <is>
          <t>URI</t>
        </is>
      </c>
      <c r="D26" s="11" t="inlineStr">
        <is>
          <t>Noleggio attrezzature</t>
        </is>
      </c>
      <c r="E26" s="13" t="inlineStr">
        <is>
          <t>Industriale</t>
        </is>
      </c>
      <c r="F26" s="14" t="n">
        <v>1015.82</v>
      </c>
      <c r="G26" s="15" t="inlineStr">
        <is>
          <t>USD</t>
        </is>
      </c>
      <c r="H26" s="14" t="n">
        <v>873.6051982527897</v>
      </c>
      <c r="I26" s="16" t="n">
        <v>54375.39189124922</v>
      </c>
      <c r="J26" s="16" t="n">
        <v>63227.2</v>
      </c>
      <c r="K26" s="14" t="n">
        <v>41.61</v>
      </c>
      <c r="L26" s="14" t="n">
        <v>57.18555</v>
      </c>
      <c r="M26" s="17">
        <f>IF(OR(F26="",K26="",K26&lt;=0),"",F26/K26)</f>
        <v/>
      </c>
      <c r="N26" s="18" t="n">
        <v>6.865133</v>
      </c>
      <c r="O26" s="19">
        <f>IF(OR(N26="",M26="",M26&lt;=0),"",N26/M26)</f>
        <v/>
      </c>
      <c r="P26" s="20" t="n">
        <v>0.28895</v>
      </c>
      <c r="Q26" s="20" t="n">
        <v>0.2932459241968061</v>
      </c>
      <c r="R26" s="20" t="n">
        <v>0.008747380113543703</v>
      </c>
      <c r="S26" s="21" t="n">
        <v>4</v>
      </c>
      <c r="T26" s="20" t="n"/>
      <c r="U26" s="20" t="n">
        <v>0.278099910793934</v>
      </c>
      <c r="V26" s="20" t="n">
        <v>0.298654604500116</v>
      </c>
      <c r="W26" s="20" t="n">
        <v>0.2981549815498155</v>
      </c>
      <c r="X26" s="20" t="n">
        <v>0.2980741999433588</v>
      </c>
      <c r="Y26" s="14" t="n">
        <v>7.88</v>
      </c>
      <c r="Z26" s="19">
        <f>IF(OR(Y26="",F26="",F26=0),"",Y26/F26)</f>
        <v/>
      </c>
      <c r="AA26" s="22" t="n">
        <v>166.793</v>
      </c>
      <c r="AB26" s="20" t="n">
        <v>0.118</v>
      </c>
      <c r="AC26" s="20" t="n">
        <v>0.1638611173364805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2026-09-08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Target</t>
        </is>
      </c>
      <c r="C27" s="12" t="inlineStr">
        <is>
          <t>TGT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162.91</v>
      </c>
      <c r="G27" s="15" t="inlineStr">
        <is>
          <t>USD</t>
        </is>
      </c>
      <c r="H27" s="14" t="n">
        <v>140.1025997197948</v>
      </c>
      <c r="I27" s="16" t="n">
        <v>63648.16987270366</v>
      </c>
      <c r="J27" s="16" t="n">
        <v>74009.5</v>
      </c>
      <c r="K27" s="14" t="n">
        <v>9.640000000000001</v>
      </c>
      <c r="L27" s="14" t="n">
        <v>9.542199999999999</v>
      </c>
      <c r="M27" s="17">
        <f>IF(OR(F27="",K27="",K27&lt;=0),"",F27/K27)</f>
        <v/>
      </c>
      <c r="N27" s="18" t="n">
        <v>4.14772</v>
      </c>
      <c r="O27" s="19">
        <f>IF(OR(N27="",M27="",M27&lt;=0),"",N27/M27)</f>
        <v/>
      </c>
      <c r="P27" s="20" t="n">
        <v>0.26408002</v>
      </c>
      <c r="Q27" s="20" t="n">
        <v>0.265930196598988</v>
      </c>
      <c r="R27" s="20" t="n">
        <v>0.03014032785235156</v>
      </c>
      <c r="S27" s="21" t="n">
        <v>4</v>
      </c>
      <c r="T27" s="20" t="n">
        <v>0.2291988864831426</v>
      </c>
      <c r="U27" s="20" t="n">
        <v>0.278944497477158</v>
      </c>
      <c r="V27" s="20" t="n">
        <v>0.3080702799285289</v>
      </c>
      <c r="W27" s="20" t="n">
        <v>0.2475071225071225</v>
      </c>
      <c r="X27" s="20" t="n"/>
      <c r="Y27" s="14" t="n">
        <v>4.64</v>
      </c>
      <c r="Z27" s="19">
        <f>IF(OR(Y27="",F27="",F27=0),"",Y27/F27)</f>
        <v/>
      </c>
      <c r="AA27" s="22" t="n">
        <v>107.583</v>
      </c>
      <c r="AB27" s="20" t="n">
        <v>0.053</v>
      </c>
      <c r="AC27" s="20" t="n">
        <v>0.04191639625882802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2026-09-08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Costco Wholesale</t>
        </is>
      </c>
      <c r="C28" s="12" t="inlineStr">
        <is>
          <t>COST</t>
        </is>
      </c>
      <c r="D28" s="11" t="inlineStr">
        <is>
          <t>Grande distribuzione</t>
        </is>
      </c>
      <c r="E28" s="13" t="inlineStr">
        <is>
          <t>Consumi</t>
        </is>
      </c>
      <c r="F28" s="14" t="n">
        <v>908.23</v>
      </c>
      <c r="G28" s="15" t="inlineStr">
        <is>
          <t>USD</t>
        </is>
      </c>
      <c r="H28" s="14" t="n">
        <v>781.0777984378444</v>
      </c>
      <c r="I28" s="16" t="n">
        <v>346391.4013072173</v>
      </c>
      <c r="J28" s="16" t="n">
        <v>402780.7</v>
      </c>
      <c r="K28" s="14" t="n">
        <v>19.87</v>
      </c>
      <c r="L28" s="14" t="n">
        <v>22.62819</v>
      </c>
      <c r="M28" s="17">
        <f>IF(OR(F28="",K28="",K28&lt;=0),"",F28/K28)</f>
        <v/>
      </c>
      <c r="N28" s="18" t="n">
        <v>24.363699</v>
      </c>
      <c r="O28" s="19">
        <f>IF(OR(N28="",M28="",M28&lt;=0),"",N28/M28)</f>
        <v/>
      </c>
      <c r="P28" s="20" t="n">
        <v>0.29152</v>
      </c>
      <c r="Q28" s="20" t="n">
        <v>0.2809463090154591</v>
      </c>
      <c r="R28" s="20" t="n">
        <v>0.02157800377927351</v>
      </c>
      <c r="S28" s="21" t="n">
        <v>4</v>
      </c>
      <c r="T28" s="20" t="n"/>
      <c r="U28" s="20" t="n">
        <v>0.2777053902071047</v>
      </c>
      <c r="V28" s="20" t="n">
        <v>0.3118702904072475</v>
      </c>
      <c r="W28" s="20" t="n">
        <v>0.2510974539069359</v>
      </c>
      <c r="X28" s="20" t="n">
        <v>0.2831121015405484</v>
      </c>
      <c r="Y28" s="14" t="n">
        <v>5.88</v>
      </c>
      <c r="Z28" s="19">
        <f>IF(OR(Y28="",F28="",F28=0),"",Y28/F28)</f>
        <v/>
      </c>
      <c r="AA28" s="22" t="n">
        <v>60.257</v>
      </c>
      <c r="AB28" s="20" t="n">
        <v>0.215</v>
      </c>
      <c r="AC28" s="20" t="n">
        <v>0.03211074033462314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2026-09-08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290.2275</v>
      </c>
      <c r="G29" s="15" t="inlineStr">
        <is>
          <t>USD</t>
        </is>
      </c>
      <c r="H29" s="14" t="n">
        <v>249.5956495008087</v>
      </c>
      <c r="I29" s="16" t="n">
        <v>148278.7057034426</v>
      </c>
      <c r="J29" s="16" t="n">
        <v>172417.1</v>
      </c>
      <c r="K29" s="14" t="n">
        <v>12.34</v>
      </c>
      <c r="L29" s="14" t="n">
        <v>14.15497</v>
      </c>
      <c r="M29" s="17">
        <f>IF(OR(F29="",K29="",K29&lt;=0),"",F29/K29)</f>
        <v/>
      </c>
      <c r="N29" s="18" t="n">
        <v>8.873288000000001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2026-09-08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United Parcel Service</t>
        </is>
      </c>
      <c r="C30" s="12" t="inlineStr">
        <is>
          <t>UPS</t>
        </is>
      </c>
      <c r="D30" s="11" t="inlineStr">
        <is>
          <t>Logistica</t>
        </is>
      </c>
      <c r="E30" s="13" t="inlineStr">
        <is>
          <t>Industriale</t>
        </is>
      </c>
      <c r="F30" s="14" t="n">
        <v>100.815</v>
      </c>
      <c r="G30" s="15" t="inlineStr">
        <is>
          <t>USD</t>
        </is>
      </c>
      <c r="H30" s="14" t="n">
        <v>86.7008998265982</v>
      </c>
      <c r="I30" s="16" t="n">
        <v>73763.48985247302</v>
      </c>
      <c r="J30" s="16" t="n">
        <v>85771.5</v>
      </c>
      <c r="K30" s="14" t="n">
        <v>5.38</v>
      </c>
      <c r="L30" s="14" t="n">
        <v>8.0749</v>
      </c>
      <c r="M30" s="17">
        <f>IF(OR(F30="",K30="",K30&lt;=0),"",F30/K30)</f>
        <v/>
      </c>
      <c r="N30" s="18" t="n">
        <v>5.6941543</v>
      </c>
      <c r="O30" s="19">
        <f>IF(OR(N30="",M30="",M30&lt;=0),"",N30/M30)</f>
        <v/>
      </c>
      <c r="P30" s="20" t="n">
        <v>0.29602</v>
      </c>
      <c r="Q30" s="20" t="n">
        <v>0.4151223305037616</v>
      </c>
      <c r="R30" s="20" t="n">
        <v>0.09887106435484694</v>
      </c>
      <c r="S30" s="21" t="n">
        <v>4</v>
      </c>
      <c r="T30" s="20" t="n"/>
      <c r="U30" s="20" t="n">
        <v>0.3433783200838109</v>
      </c>
      <c r="V30" s="20" t="n">
        <v>0.3458547673166646</v>
      </c>
      <c r="W30" s="20" t="n">
        <v>0.3876112330983474</v>
      </c>
      <c r="X30" s="20" t="n">
        <v>0.5836450015162236</v>
      </c>
      <c r="Y30" s="14" t="n">
        <v>6.56</v>
      </c>
      <c r="Z30" s="19">
        <f>IF(OR(Y30="",F30="",F30=0),"",Y30/F30)</f>
        <v/>
      </c>
      <c r="AA30" s="22" t="n">
        <v>189.9</v>
      </c>
      <c r="AB30" s="20" t="n">
        <v>0.076</v>
      </c>
      <c r="AC30" s="20" t="n">
        <v>0.05154464614655824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2026-09-08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Valero Energy</t>
        </is>
      </c>
      <c r="C31" s="12" t="inlineStr">
        <is>
          <t>VLO</t>
        </is>
      </c>
      <c r="D31" s="11" t="inlineStr">
        <is>
          <t>Raffinazione</t>
        </is>
      </c>
      <c r="E31" s="13" t="inlineStr">
        <is>
          <t>Energia</t>
        </is>
      </c>
      <c r="F31" s="14" t="n">
        <v>382.705</v>
      </c>
      <c r="G31" s="15" t="inlineStr">
        <is>
          <t>USD</t>
        </is>
      </c>
      <c r="H31" s="14" t="n">
        <v>329.1262993417474</v>
      </c>
      <c r="I31" s="16" t="n">
        <v>94764.51781047098</v>
      </c>
      <c r="J31" s="16" t="n">
        <v>110191.3</v>
      </c>
      <c r="K31" s="14" t="n">
        <v>23.99</v>
      </c>
      <c r="L31" s="14" t="n">
        <v>31.21375</v>
      </c>
      <c r="M31" s="17">
        <f>IF(OR(F31="",K31="",K31&lt;=0),"",F31/K31)</f>
        <v/>
      </c>
      <c r="N31" s="18" t="n">
        <v>4.4075203</v>
      </c>
      <c r="O31" s="19">
        <f>IF(OR(N31="",M31="",M31&lt;=0),"",N31/M31)</f>
        <v/>
      </c>
      <c r="P31" s="20" t="n">
        <v>0.27637</v>
      </c>
      <c r="Q31" s="20" t="n">
        <v>0.2591503425025153</v>
      </c>
      <c r="R31" s="20" t="n">
        <v>0.1626219038409605</v>
      </c>
      <c r="S31" s="21" t="n">
        <v>4</v>
      </c>
      <c r="T31" s="20" t="n"/>
      <c r="U31" s="20" t="n">
        <v>0.09896733403582719</v>
      </c>
      <c r="V31" s="20" t="n">
        <v>0.1130058746736292</v>
      </c>
      <c r="W31" s="20" t="n">
        <v>0.3353450239125484</v>
      </c>
      <c r="X31" s="20" t="n">
        <v>0.4892831373880565</v>
      </c>
      <c r="Y31" s="14" t="n">
        <v>4.8</v>
      </c>
      <c r="Z31" s="19">
        <f>IF(OR(Y31="",F31="",F31=0),"",Y31/F31)</f>
        <v/>
      </c>
      <c r="AA31" s="22" t="n">
        <v>40.148</v>
      </c>
      <c r="AB31" s="20" t="n">
        <v>0.517</v>
      </c>
      <c r="AC31" s="20" t="n">
        <v>0.05862886806263092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2026-09-08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175.325</v>
      </c>
      <c r="G32" s="15" t="inlineStr">
        <is>
          <t>USD</t>
        </is>
      </c>
      <c r="H32" s="14" t="n">
        <v>150.779499698441</v>
      </c>
      <c r="I32" s="16" t="n">
        <v>90284.6058194308</v>
      </c>
      <c r="J32" s="16" t="n">
        <v>104982.1</v>
      </c>
      <c r="K32" s="14" t="n">
        <v>4.38</v>
      </c>
      <c r="L32" s="14" t="n">
        <v>6.14956</v>
      </c>
      <c r="M32" s="17">
        <f>IF(OR(F32="",K32="",K32&lt;=0),"",F32/K32)</f>
        <v/>
      </c>
      <c r="N32" s="18" t="n">
        <v>13.263106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2026-09-08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Netflix</t>
        </is>
      </c>
      <c r="C33" s="12" t="inlineStr">
        <is>
          <t>NFLX</t>
        </is>
      </c>
      <c r="D33" s="11" t="inlineStr">
        <is>
          <t>Streaming</t>
        </is>
      </c>
      <c r="E33" s="13" t="inlineStr">
        <is>
          <t>Consumi</t>
        </is>
      </c>
      <c r="F33" s="14" t="n">
        <v>76.795</v>
      </c>
      <c r="G33" s="15" t="inlineStr">
        <is>
          <t>USD</t>
        </is>
      </c>
      <c r="H33" s="14" t="n">
        <v>66.04369986791261</v>
      </c>
      <c r="I33" s="16" t="n">
        <v>275001.9414499961</v>
      </c>
      <c r="J33" s="16" t="n">
        <v>319769.7</v>
      </c>
      <c r="K33" s="14" t="n">
        <v>3.18</v>
      </c>
      <c r="L33" s="14" t="n">
        <v>3.82091</v>
      </c>
      <c r="M33" s="17">
        <f>IF(OR(F33="",K33="",K33&lt;=0),"",F33/K33)</f>
        <v/>
      </c>
      <c r="N33" s="18" t="n">
        <v>10.605578</v>
      </c>
      <c r="O33" s="19">
        <f>IF(OR(N33="",M33="",M33&lt;=0),"",N33/M33)</f>
        <v/>
      </c>
      <c r="P33" s="20" t="n">
        <v>0.49541</v>
      </c>
      <c r="Q33" s="20" t="n">
        <v>0.3108822652973959</v>
      </c>
      <c r="R33" s="20" t="n">
        <v>0.07637252776064919</v>
      </c>
      <c r="S33" s="21" t="n">
        <v>4</v>
      </c>
      <c r="T33" s="20" t="n"/>
      <c r="U33" s="20" t="n">
        <v>0.4125868742290204</v>
      </c>
      <c r="V33" s="20" t="n">
        <v>0.3520766023750739</v>
      </c>
      <c r="W33" s="20" t="n">
        <v>0.262672808597771</v>
      </c>
      <c r="X33" s="20" t="n">
        <v>0.2161927759877186</v>
      </c>
      <c r="Y33" s="14" t="n"/>
      <c r="Z33" s="19">
        <f>IF(OR(Y33="",F33="",F33=0),"",Y33/F33)</f>
        <v/>
      </c>
      <c r="AA33" s="22" t="n">
        <v>55.236</v>
      </c>
      <c r="AB33" s="20" t="n">
        <v>0.134</v>
      </c>
      <c r="AC33" s="20" t="n">
        <v>0.3020966208645209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2026-09-08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Coca-Cola</t>
        </is>
      </c>
      <c r="C34" s="12" t="inlineStr">
        <is>
          <t>KO</t>
        </is>
      </c>
      <c r="D34" s="11" t="inlineStr">
        <is>
          <t>Bevande</t>
        </is>
      </c>
      <c r="E34" s="13" t="inlineStr">
        <is>
          <t>Consumi</t>
        </is>
      </c>
      <c r="F34" s="14" t="n">
        <v>88.255</v>
      </c>
      <c r="G34" s="15" t="inlineStr">
        <is>
          <t>USD</t>
        </is>
      </c>
      <c r="H34" s="14" t="n">
        <v>75.89929984820141</v>
      </c>
      <c r="I34" s="16" t="n">
        <v>326560.4033468792</v>
      </c>
      <c r="J34" s="16" t="n">
        <v>379721.4</v>
      </c>
      <c r="K34" s="14" t="n">
        <v>3.33</v>
      </c>
      <c r="L34" s="14" t="n">
        <v>3.52638</v>
      </c>
      <c r="M34" s="17">
        <f>IF(OR(F34="",K34="",K34&lt;=0),"",F34/K34)</f>
        <v/>
      </c>
      <c r="N34" s="18" t="n">
        <v>10.505297</v>
      </c>
      <c r="O34" s="19">
        <f>IF(OR(N34="",M34="",M34&lt;=0),"",N34/M34)</f>
        <v/>
      </c>
      <c r="P34" s="20" t="n">
        <v>0.42054</v>
      </c>
      <c r="Q34" s="20" t="n">
        <v>0.4110027875944097</v>
      </c>
      <c r="R34" s="20" t="n">
        <v>0.01145865829768229</v>
      </c>
      <c r="S34" s="21" t="n">
        <v>4</v>
      </c>
      <c r="T34" s="20" t="n"/>
      <c r="U34" s="20" t="n">
        <v>0.4074419472162641</v>
      </c>
      <c r="V34" s="20" t="n">
        <v>0.4277035725780496</v>
      </c>
      <c r="W34" s="20" t="n">
        <v>0.4130141474885317</v>
      </c>
      <c r="X34" s="20" t="n">
        <v>0.3958514830947936</v>
      </c>
      <c r="Y34" s="14" t="n">
        <v>2.12</v>
      </c>
      <c r="Z34" s="19">
        <f>IF(OR(Y34="",F34="",F34=0),"",Y34/F34)</f>
        <v/>
      </c>
      <c r="AA34" s="22" t="n">
        <v>115.519</v>
      </c>
      <c r="AB34" s="20" t="n">
        <v>0.067</v>
      </c>
      <c r="AC34" s="20" t="n">
        <v>0.2986170554640079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2026-09-08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Lockheed Martin</t>
        </is>
      </c>
      <c r="C35" s="12" t="inlineStr">
        <is>
          <t>LMT</t>
        </is>
      </c>
      <c r="D35" s="11" t="inlineStr">
        <is>
          <t>Difesa</t>
        </is>
      </c>
      <c r="E35" s="13" t="inlineStr">
        <is>
          <t>Industriale</t>
        </is>
      </c>
      <c r="F35" s="14" t="n">
        <v>538.3099999999999</v>
      </c>
      <c r="G35" s="15" t="inlineStr">
        <is>
          <t>USD</t>
        </is>
      </c>
      <c r="H35" s="14" t="n">
        <v>462.9465990741068</v>
      </c>
      <c r="I35" s="16" t="n">
        <v>106843.8197863124</v>
      </c>
      <c r="J35" s="16" t="n">
        <v>124237</v>
      </c>
      <c r="K35" s="14" t="n">
        <v>27.1</v>
      </c>
      <c r="L35" s="14" t="n">
        <v>32.71656</v>
      </c>
      <c r="M35" s="17">
        <f>IF(OR(F35="",K35="",K35&lt;=0),"",F35/K35)</f>
        <v/>
      </c>
      <c r="N35" s="18" t="n">
        <v>14.120717</v>
      </c>
      <c r="O35" s="19">
        <f>IF(OR(N35="",M35="",M35&lt;=0),"",N35/M35)</f>
        <v/>
      </c>
      <c r="P35" s="20" t="n">
        <v>0.8916500000000001</v>
      </c>
      <c r="Q35" s="20" t="n">
        <v>0.8050196518940778</v>
      </c>
      <c r="R35" s="20" t="n">
        <v>0.1437100287177017</v>
      </c>
      <c r="S35" s="21" t="n">
        <v>4</v>
      </c>
      <c r="T35" s="20" t="n"/>
      <c r="U35" s="20" t="n">
        <v>0.746466299657789</v>
      </c>
      <c r="V35" s="20" t="n">
        <v>0.8425706616137691</v>
      </c>
      <c r="W35" s="20" t="n">
        <v>1.012435991221653</v>
      </c>
      <c r="X35" s="20" t="n">
        <v>0.6186056550830995</v>
      </c>
      <c r="Y35" s="14" t="n">
        <v>13.8</v>
      </c>
      <c r="Z35" s="19">
        <f>IF(OR(Y35="",F35="",F35=0),"",Y35/F35)</f>
        <v/>
      </c>
      <c r="AA35" s="22" t="n">
        <v>234.238</v>
      </c>
      <c r="AB35" s="20" t="n">
        <v>0.105</v>
      </c>
      <c r="AC35" s="20" t="n">
        <v>0.08377305276622961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2026-09-08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Sherwin-Williams</t>
        </is>
      </c>
      <c r="C36" s="12" t="inlineStr">
        <is>
          <t>SHW</t>
        </is>
      </c>
      <c r="D36" s="11" t="inlineStr">
        <is>
          <t>Vernici</t>
        </is>
      </c>
      <c r="E36" s="13" t="inlineStr">
        <is>
          <t>Materiali</t>
        </is>
      </c>
      <c r="F36" s="14" t="n">
        <v>326.2</v>
      </c>
      <c r="G36" s="15" t="inlineStr">
        <is>
          <t>USD</t>
        </is>
      </c>
      <c r="H36" s="14" t="n">
        <v>280.531999438936</v>
      </c>
      <c r="I36" s="16" t="n">
        <v>68101.42186379716</v>
      </c>
      <c r="J36" s="16" t="n">
        <v>79187.7</v>
      </c>
      <c r="K36" s="14" t="n">
        <v>10.85</v>
      </c>
      <c r="L36" s="14" t="n">
        <v>13.61408</v>
      </c>
      <c r="M36" s="17">
        <f>IF(OR(F36="",K36="",K36&lt;=0),"",F36/K36)</f>
        <v/>
      </c>
      <c r="N36" s="18" t="n">
        <v>20.421963</v>
      </c>
      <c r="O36" s="19">
        <f>IF(OR(N36="",M36="",M36&lt;=0),"",N36/M36)</f>
        <v/>
      </c>
      <c r="P36" s="20" t="n">
        <v>0.65124</v>
      </c>
      <c r="Q36" s="20" t="n">
        <v>0.628633586608092</v>
      </c>
      <c r="R36" s="20" t="n">
        <v>0.04100468246861673</v>
      </c>
      <c r="S36" s="21" t="n">
        <v>4</v>
      </c>
      <c r="T36" s="20" t="n"/>
      <c r="U36" s="20" t="n">
        <v>0.5585759954765892</v>
      </c>
      <c r="V36" s="20" t="n">
        <v>0.661877962085308</v>
      </c>
      <c r="W36" s="20" t="n">
        <v>0.642876365789332</v>
      </c>
      <c r="X36" s="20" t="n">
        <v>0.6512040230811386</v>
      </c>
      <c r="Y36" s="14" t="n">
        <v>3.2</v>
      </c>
      <c r="Z36" s="19">
        <f>IF(OR(Y36="",F36="",F36=0),"",Y36/F36)</f>
        <v/>
      </c>
      <c r="AA36" s="22" t="n">
        <v>389.958</v>
      </c>
      <c r="AB36" s="20" t="n">
        <v>0.075</v>
      </c>
      <c r="AC36" s="20" t="n">
        <v>0.1140309547261212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2026-09-08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Texas Instruments</t>
        </is>
      </c>
      <c r="C37" s="12" t="inlineStr">
        <is>
          <t>TXN</t>
        </is>
      </c>
      <c r="D37" s="11" t="inlineStr">
        <is>
          <t>Semiconduttori</t>
        </is>
      </c>
      <c r="E37" s="13" t="inlineStr">
        <is>
          <t>Tecnologia</t>
        </is>
      </c>
      <c r="F37" s="14" t="n">
        <v>257.195</v>
      </c>
      <c r="G37" s="15" t="inlineStr">
        <is>
          <t>USD</t>
        </is>
      </c>
      <c r="H37" s="14" t="n">
        <v>221.1876995576246</v>
      </c>
      <c r="I37" s="16" t="n">
        <v>201999.1215960018</v>
      </c>
      <c r="J37" s="16" t="n">
        <v>234882.7</v>
      </c>
      <c r="K37" s="14" t="n">
        <v>6.59</v>
      </c>
      <c r="L37" s="14" t="n">
        <v>10.64485</v>
      </c>
      <c r="M37" s="17">
        <f>IF(OR(F37="",K37="",K37&lt;=0),"",F37/K37)</f>
        <v/>
      </c>
      <c r="N37" s="18" t="n">
        <v>13.0403595</v>
      </c>
      <c r="O37" s="19">
        <f>IF(OR(N37="",M37="",M37&lt;=0),"",N37/M37)</f>
        <v/>
      </c>
      <c r="P37" s="20" t="n">
        <v>0.35176</v>
      </c>
      <c r="Q37" s="20" t="n">
        <v>0.3941751364874861</v>
      </c>
      <c r="R37" s="20" t="n">
        <v>0.124723387337169</v>
      </c>
      <c r="S37" s="21" t="n">
        <v>4</v>
      </c>
      <c r="T37" s="20" t="n"/>
      <c r="U37" s="20" t="n">
        <v>0.3073188717507528</v>
      </c>
      <c r="V37" s="20" t="n">
        <v>0.2839140980890966</v>
      </c>
      <c r="W37" s="20" t="n">
        <v>0.3852754926910102</v>
      </c>
      <c r="X37" s="20" t="n">
        <v>0.6001920834190848</v>
      </c>
      <c r="Y37" s="14" t="n">
        <v>5.68</v>
      </c>
      <c r="Z37" s="19">
        <f>IF(OR(Y37="",F37="",F37=0),"",Y37/F37)</f>
        <v/>
      </c>
      <c r="AA37" s="22" t="n">
        <v>78.036</v>
      </c>
      <c r="AB37" s="20" t="n">
        <v>0.228</v>
      </c>
      <c r="AC37" s="20" t="n">
        <v>0.3402895563850243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2026-09-08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Chipotle Mexican Grill</t>
        </is>
      </c>
      <c r="C38" s="12" t="inlineStr">
        <is>
          <t>CMG</t>
        </is>
      </c>
      <c r="D38" s="11" t="inlineStr">
        <is>
          <t>Ristorazione</t>
        </is>
      </c>
      <c r="E38" s="13" t="inlineStr">
        <is>
          <t>Consumi</t>
        </is>
      </c>
      <c r="F38" s="14" t="n">
        <v>37.13</v>
      </c>
      <c r="G38" s="15" t="inlineStr">
        <is>
          <t>USD</t>
        </is>
      </c>
      <c r="H38" s="14" t="n">
        <v>31.9317999361364</v>
      </c>
      <c r="I38" s="16" t="n">
        <v>40407.09991918581</v>
      </c>
      <c r="J38" s="16" t="n">
        <v>46985</v>
      </c>
      <c r="K38" s="14" t="n">
        <v>1.08</v>
      </c>
      <c r="L38" s="14" t="n">
        <v>1.36969</v>
      </c>
      <c r="M38" s="17">
        <f>IF(OR(F38="",K38="",K38&lt;=0),"",F38/K38)</f>
        <v/>
      </c>
      <c r="N38" s="18" t="n">
        <v>21.400578</v>
      </c>
      <c r="O38" s="19">
        <f>IF(OR(N38="",M38="",M38&lt;=0),"",N38/M38)</f>
        <v/>
      </c>
      <c r="P38" s="20" t="n">
        <v>0.49560001</v>
      </c>
      <c r="Q38" s="20" t="n">
        <v>0.4357911689420391</v>
      </c>
      <c r="R38" s="20" t="n">
        <v>0.06324374116647129</v>
      </c>
      <c r="S38" s="21" t="n">
        <v>4</v>
      </c>
      <c r="T38" s="20" t="n"/>
      <c r="U38" s="20" t="n">
        <v>0.5425553600340846</v>
      </c>
      <c r="V38" s="20" t="n">
        <v>0.4196664465445107</v>
      </c>
      <c r="W38" s="20" t="n">
        <v>0.4012586347036631</v>
      </c>
      <c r="X38" s="20" t="n">
        <v>0.3796842344858982</v>
      </c>
      <c r="Y38" s="14" t="n"/>
      <c r="Z38" s="19">
        <f>IF(OR(Y38="",F38="",F38=0),"",Y38/F38)</f>
        <v/>
      </c>
      <c r="AA38" s="22" t="n">
        <v>246.35</v>
      </c>
      <c r="AB38" s="20" t="n">
        <v>0.093</v>
      </c>
      <c r="AC38" s="20" t="n">
        <v>0.1190217542914609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2026-09-08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339.08</v>
      </c>
      <c r="G39" s="15" t="inlineStr">
        <is>
          <t>USD</t>
        </is>
      </c>
      <c r="H39" s="14" t="n">
        <v>291.6087994167824</v>
      </c>
      <c r="I39" s="16" t="n">
        <v>112502.6197749948</v>
      </c>
      <c r="J39" s="16" t="n">
        <v>130817</v>
      </c>
      <c r="K39" s="14" t="n">
        <v>28.22</v>
      </c>
      <c r="L39" s="14" t="n">
        <v>29.10944</v>
      </c>
      <c r="M39" s="17">
        <f>IF(OR(F39="",K39="",K39&lt;=0),"",F39/K39)</f>
        <v/>
      </c>
      <c r="N39" s="18" t="n">
        <v>1.7348682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2026-09-08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Illinois Tool Works</t>
        </is>
      </c>
      <c r="C40" s="12" t="inlineStr">
        <is>
          <t>ITW</t>
        </is>
      </c>
      <c r="D40" s="11" t="inlineStr">
        <is>
          <t>Componenti industriali</t>
        </is>
      </c>
      <c r="E40" s="13" t="inlineStr">
        <is>
          <t>Industriale</t>
        </is>
      </c>
      <c r="F40" s="14" t="n">
        <v>267.865</v>
      </c>
      <c r="G40" s="15" t="inlineStr">
        <is>
          <t>USD</t>
        </is>
      </c>
      <c r="H40" s="14" t="n">
        <v>230.3638995392722</v>
      </c>
      <c r="I40" s="16" t="n">
        <v>65607.67986878465</v>
      </c>
      <c r="J40" s="16" t="n">
        <v>76288</v>
      </c>
      <c r="K40" s="14" t="n">
        <v>11.05</v>
      </c>
      <c r="L40" s="14" t="n">
        <v>12.39649</v>
      </c>
      <c r="M40" s="17">
        <f>IF(OR(F40="",K40="",K40&lt;=0),"",F40/K40)</f>
        <v/>
      </c>
      <c r="N40" s="18" t="n">
        <v>26.359476</v>
      </c>
      <c r="O40" s="19">
        <f>IF(OR(N40="",M40="",M40&lt;=0),"",N40/M40)</f>
        <v/>
      </c>
      <c r="P40" s="20" t="n">
        <v>1.04618</v>
      </c>
      <c r="Q40" s="20" t="n">
        <v>0.9917050145447759</v>
      </c>
      <c r="R40" s="20" t="n">
        <v>0.03703105237820289</v>
      </c>
      <c r="S40" s="21" t="n">
        <v>4</v>
      </c>
      <c r="T40" s="20" t="n"/>
      <c r="U40" s="20" t="n">
        <v>0.9506976744186046</v>
      </c>
      <c r="V40" s="20" t="n">
        <v>1.051869722557298</v>
      </c>
      <c r="W40" s="20" t="n">
        <v>0.9817397078353254</v>
      </c>
      <c r="X40" s="20" t="n">
        <v>0.9825129533678757</v>
      </c>
      <c r="Y40" s="14" t="n">
        <v>6.88</v>
      </c>
      <c r="Z40" s="19">
        <f>IF(OR(Y40="",F40="",F40=0),"",Y40/F40)</f>
        <v/>
      </c>
      <c r="AA40" s="22" t="n">
        <v>334.853</v>
      </c>
      <c r="AB40" s="20" t="n">
        <v>0.061</v>
      </c>
      <c r="AC40" s="20" t="n">
        <v>0.1990775287958115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2026-09-08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Blackstone</t>
        </is>
      </c>
      <c r="C41" s="12" t="inlineStr">
        <is>
          <t>BX</t>
        </is>
      </c>
      <c r="D41" s="11" t="inlineStr">
        <is>
          <t>Private equity</t>
        </is>
      </c>
      <c r="E41" s="13" t="inlineStr">
        <is>
          <t>Finanziario</t>
        </is>
      </c>
      <c r="F41" s="14" t="n">
        <v>135.05</v>
      </c>
      <c r="G41" s="15" t="inlineStr">
        <is>
          <t>USD</t>
        </is>
      </c>
      <c r="H41" s="14" t="n">
        <v>116.142999767714</v>
      </c>
      <c r="I41" s="16" t="n">
        <v>138825.499722349</v>
      </c>
      <c r="J41" s="16" t="n">
        <v>161425</v>
      </c>
      <c r="K41" s="14" t="n">
        <v>4.47</v>
      </c>
      <c r="L41" s="14" t="n">
        <v>7.49055</v>
      </c>
      <c r="M41" s="17">
        <f>IF(OR(F41="",K41="",K41&lt;=0),"",F41/K41)</f>
        <v/>
      </c>
      <c r="N41" s="18" t="n">
        <v>11.984204</v>
      </c>
      <c r="O41" s="19">
        <f>IF(OR(N41="",M41="",M41&lt;=0),"",N41/M41)</f>
        <v/>
      </c>
      <c r="P41" s="20" t="n">
        <v>0.31374002</v>
      </c>
      <c r="Q41" s="20" t="n">
        <v>0.2797041245748269</v>
      </c>
      <c r="R41" s="20" t="n">
        <v>0.06422837139830108</v>
      </c>
      <c r="S41" s="21" t="n">
        <v>4</v>
      </c>
      <c r="T41" s="20" t="n"/>
      <c r="U41" s="20" t="n">
        <v>0.3484167031522379</v>
      </c>
      <c r="V41" s="20" t="n">
        <v>0.3380905349413399</v>
      </c>
      <c r="W41" s="20" t="n">
        <v>0.2040371447122241</v>
      </c>
      <c r="X41" s="20" t="n">
        <v>0.2282721154935056</v>
      </c>
      <c r="Y41" s="14" t="n">
        <v>5.23</v>
      </c>
      <c r="Z41" s="19">
        <f>IF(OR(Y41="",F41="",F41=0),"",Y41/F41)</f>
        <v/>
      </c>
      <c r="AA41" s="22" t="n">
        <v>68.185</v>
      </c>
      <c r="AB41" s="20" t="n">
        <v>0.286</v>
      </c>
      <c r="AC41" s="20" t="n">
        <v>0.2835642627903986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2026-09-08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Phillips 66</t>
        </is>
      </c>
      <c r="C42" s="12" t="inlineStr">
        <is>
          <t>PSX</t>
        </is>
      </c>
      <c r="D42" s="11" t="inlineStr">
        <is>
          <t>Raffinazione</t>
        </is>
      </c>
      <c r="E42" s="13" t="inlineStr">
        <is>
          <t>Energia</t>
        </is>
      </c>
      <c r="F42" s="14" t="n">
        <v>259.46</v>
      </c>
      <c r="G42" s="15" t="inlineStr">
        <is>
          <t>USD</t>
        </is>
      </c>
      <c r="H42" s="14" t="n">
        <v>223.1355995537288</v>
      </c>
      <c r="I42" s="16" t="n">
        <v>89462.87582107427</v>
      </c>
      <c r="J42" s="16" t="n">
        <v>104026.6</v>
      </c>
      <c r="K42" s="14" t="n">
        <v>17.52</v>
      </c>
      <c r="L42" s="14" t="n">
        <v>21.29967</v>
      </c>
      <c r="M42" s="17">
        <f>IF(OR(F42="",K42="",K42&lt;=0),"",F42/K42)</f>
        <v/>
      </c>
      <c r="N42" s="18" t="n">
        <v>3.2860508</v>
      </c>
      <c r="O42" s="19">
        <f>IF(OR(N42="",M42="",M42&lt;=0),"",N42/M42)</f>
        <v/>
      </c>
      <c r="P42" s="20" t="n">
        <v>0.23452999</v>
      </c>
      <c r="Q42" s="20" t="n">
        <v>0.2079323006455208</v>
      </c>
      <c r="R42" s="20" t="n">
        <v>0.1098238706639464</v>
      </c>
      <c r="S42" s="21" t="n">
        <v>4</v>
      </c>
      <c r="T42" s="20" t="n"/>
      <c r="U42" s="20" t="n">
        <v>0.151342247275977</v>
      </c>
      <c r="V42" s="20" t="n">
        <v>0.07724022183304145</v>
      </c>
      <c r="W42" s="20" t="n">
        <v>0.2293757970114116</v>
      </c>
      <c r="X42" s="20" t="n">
        <v>0.3737709364616532</v>
      </c>
      <c r="Y42" s="14" t="n">
        <v>5.08</v>
      </c>
      <c r="Z42" s="19">
        <f>IF(OR(Y42="",F42="",F42=0),"",Y42/F42)</f>
        <v/>
      </c>
      <c r="AA42" s="22" t="n">
        <v>62.884</v>
      </c>
      <c r="AB42" s="20" t="n">
        <v>0.531</v>
      </c>
      <c r="AC42" s="20" t="n">
        <v>0.05352178787695655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2026-09-08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JPMorgan Chase</t>
        </is>
      </c>
      <c r="C43" s="12" t="inlineStr">
        <is>
          <t>JPM</t>
        </is>
      </c>
      <c r="D43" s="11" t="inlineStr">
        <is>
          <t>Banca</t>
        </is>
      </c>
      <c r="E43" s="13" t="inlineStr">
        <is>
          <t>Finanziario</t>
        </is>
      </c>
      <c r="F43" s="14" t="n">
        <v>355.79</v>
      </c>
      <c r="G43" s="15" t="inlineStr">
        <is>
          <t>USD</t>
        </is>
      </c>
      <c r="H43" s="14" t="n">
        <v>305.9793993880413</v>
      </c>
      <c r="I43" s="16" t="n">
        <v>813350.2443732995</v>
      </c>
      <c r="J43" s="16" t="n">
        <v>945756.1</v>
      </c>
      <c r="K43" s="14" t="n">
        <v>23.35</v>
      </c>
      <c r="L43" s="14" t="n">
        <v>25.02449</v>
      </c>
      <c r="M43" s="17">
        <f>IF(OR(F43="",K43="",K43&lt;=0),"",F43/K43)</f>
        <v/>
      </c>
      <c r="N43" s="18" t="n">
        <v>2.674972</v>
      </c>
      <c r="O43" s="19">
        <f>IF(OR(N43="",M43="",M43&lt;=0),"",N43/M43)</f>
        <v/>
      </c>
      <c r="P43" s="20" t="n">
        <v>0.17789</v>
      </c>
      <c r="Q43" s="20" t="n">
        <v>0.1517527710837262</v>
      </c>
      <c r="R43" s="20" t="n">
        <v>0.01478123957270239</v>
      </c>
      <c r="S43" s="21" t="n">
        <v>4</v>
      </c>
      <c r="T43" s="20" t="n"/>
      <c r="U43" s="20" t="n">
        <v>0.1574007140531622</v>
      </c>
      <c r="V43" s="20" t="n">
        <v>0.1696001253052866</v>
      </c>
      <c r="W43" s="20" t="n">
        <v>0.1511293834902006</v>
      </c>
      <c r="X43" s="20" t="n">
        <v>0.1288808614862554</v>
      </c>
      <c r="Y43" s="14" t="n">
        <v>6</v>
      </c>
      <c r="Z43" s="19">
        <f>IF(OR(Y43="",F43="",F43=0),"",Y43/F43)</f>
        <v/>
      </c>
      <c r="AA43" s="22" t="n"/>
      <c r="AB43" s="20" t="n">
        <v>0.304</v>
      </c>
      <c r="AC43" s="20" t="n">
        <v>0.349931546409894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2026-09-08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TJX Companies</t>
        </is>
      </c>
      <c r="C44" s="12" t="inlineStr">
        <is>
          <t>TJX</t>
        </is>
      </c>
      <c r="D44" s="11" t="inlineStr">
        <is>
          <t>Abbigliamento / Retail</t>
        </is>
      </c>
      <c r="E44" s="13" t="inlineStr">
        <is>
          <t>Consumi</t>
        </is>
      </c>
      <c r="F44" s="14" t="n">
        <v>129.76</v>
      </c>
      <c r="G44" s="15" t="inlineStr">
        <is>
          <t>USD</t>
        </is>
      </c>
      <c r="H44" s="14" t="n">
        <v>111.5935997768128</v>
      </c>
      <c r="I44" s="16" t="n">
        <v>122750.0357544999</v>
      </c>
      <c r="J44" s="16" t="n">
        <v>142732.6</v>
      </c>
      <c r="K44" s="14" t="n">
        <v>5.4</v>
      </c>
      <c r="L44" s="14" t="n">
        <v>5.77352</v>
      </c>
      <c r="M44" s="17">
        <f>IF(OR(F44="",K44="",K44&lt;=0),"",F44/K44)</f>
        <v/>
      </c>
      <c r="N44" s="18" t="n">
        <v>13.783727</v>
      </c>
      <c r="O44" s="19">
        <f>IF(OR(N44="",M44="",M44&lt;=0),"",N44/M44)</f>
        <v/>
      </c>
      <c r="P44" s="20" t="n">
        <v>0.62171</v>
      </c>
      <c r="Q44" s="20" t="n">
        <v>0.5702624372175532</v>
      </c>
      <c r="R44" s="20" t="n">
        <v>0.02863520188802303</v>
      </c>
      <c r="S44" s="21" t="n">
        <v>4</v>
      </c>
      <c r="T44" s="20" t="n">
        <v>0.5391560353287537</v>
      </c>
      <c r="U44" s="20" t="n">
        <v>0.5795305611819374</v>
      </c>
      <c r="V44" s="20" t="n">
        <v>0.6127088468912627</v>
      </c>
      <c r="W44" s="20" t="n">
        <v>0.549654305468259</v>
      </c>
      <c r="X44" s="20" t="n"/>
      <c r="Y44" s="14" t="n">
        <v>1.92</v>
      </c>
      <c r="Z44" s="19">
        <f>IF(OR(Y44="",F44="",F44=0),"",Y44/F44)</f>
        <v/>
      </c>
      <c r="AA44" s="22" t="n">
        <v>134.419</v>
      </c>
      <c r="AB44" s="20" t="n">
        <v>0.054</v>
      </c>
      <c r="AC44" s="20" t="n">
        <v>0.1004936031272776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2026-09-08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Cigna Group</t>
        </is>
      </c>
      <c r="C45" s="12" t="inlineStr">
        <is>
          <t>CI</t>
        </is>
      </c>
      <c r="D45" s="11" t="inlineStr">
        <is>
          <t>Assicurazione sanitaria</t>
        </is>
      </c>
      <c r="E45" s="13" t="inlineStr">
        <is>
          <t>Salute</t>
        </is>
      </c>
      <c r="F45" s="14" t="n">
        <v>276.79</v>
      </c>
      <c r="G45" s="15" t="inlineStr">
        <is>
          <t>USD</t>
        </is>
      </c>
      <c r="H45" s="14" t="n">
        <v>238.0393995239212</v>
      </c>
      <c r="I45" s="16" t="n">
        <v>62899.62587420076</v>
      </c>
      <c r="J45" s="16" t="n">
        <v>73139.10000000001</v>
      </c>
      <c r="K45" s="14" t="n">
        <v>24.18</v>
      </c>
      <c r="L45" s="14" t="n">
        <v>33.48949</v>
      </c>
      <c r="M45" s="17">
        <f>IF(OR(F45="",K45="",K45&lt;=0),"",F45/K45)</f>
        <v/>
      </c>
      <c r="N45" s="18" t="n">
        <v>1.7125657</v>
      </c>
      <c r="O45" s="19">
        <f>IF(OR(N45="",M45="",M45&lt;=0),"",N45/M45)</f>
        <v/>
      </c>
      <c r="P45" s="20" t="n">
        <v>0.16758</v>
      </c>
      <c r="Q45" s="20" t="n">
        <v>0.1220696910352129</v>
      </c>
      <c r="R45" s="20" t="n">
        <v>0.02642867866442709</v>
      </c>
      <c r="S45" s="21" t="n">
        <v>4</v>
      </c>
      <c r="T45" s="20" t="n"/>
      <c r="U45" s="20" t="n">
        <v>0.1428091961738547</v>
      </c>
      <c r="V45" s="20" t="n">
        <v>0.0836887383325616</v>
      </c>
      <c r="W45" s="20" t="n">
        <v>0.1117192739545248</v>
      </c>
      <c r="X45" s="20" t="n">
        <v>0.1500615556799105</v>
      </c>
      <c r="Y45" s="14" t="n">
        <v>6.24</v>
      </c>
      <c r="Z45" s="19">
        <f>IF(OR(Y45="",F45="",F45=0),"",Y45/F45)</f>
        <v/>
      </c>
      <c r="AA45" s="22" t="n">
        <v>74.29000000000001</v>
      </c>
      <c r="AB45" s="20" t="n">
        <v>0.067</v>
      </c>
      <c r="AC45" s="20" t="n">
        <v>0.02342854221592527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2026-09-08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Northrop Grumman</t>
        </is>
      </c>
      <c r="C46" s="12" t="inlineStr">
        <is>
          <t>NOC</t>
        </is>
      </c>
      <c r="D46" s="11" t="inlineStr">
        <is>
          <t>Difesa</t>
        </is>
      </c>
      <c r="E46" s="13" t="inlineStr">
        <is>
          <t>Industriale</t>
        </is>
      </c>
      <c r="F46" s="14" t="n">
        <v>515.92</v>
      </c>
      <c r="G46" s="15" t="inlineStr">
        <is>
          <t>USD</t>
        </is>
      </c>
      <c r="H46" s="14" t="n">
        <v>443.6911991126176</v>
      </c>
      <c r="I46" s="16" t="n">
        <v>63032.1518739357</v>
      </c>
      <c r="J46" s="16" t="n">
        <v>73293.2</v>
      </c>
      <c r="K46" s="14" t="n">
        <v>31.47</v>
      </c>
      <c r="L46" s="14" t="n">
        <v>30.43997</v>
      </c>
      <c r="M46" s="17">
        <f>IF(OR(F46="",K46="",K46&lt;=0),"",F46/K46)</f>
        <v/>
      </c>
      <c r="N46" s="18" t="n">
        <v>4.098246</v>
      </c>
      <c r="O46" s="19">
        <f>IF(OR(N46="",M46="",M46&lt;=0),"",N46/M46)</f>
        <v/>
      </c>
      <c r="P46" s="20" t="n">
        <v>0.26958</v>
      </c>
      <c r="Q46" s="20" t="n">
        <v>0.2456284021316426</v>
      </c>
      <c r="R46" s="20" t="n">
        <v>0.06641956155607608</v>
      </c>
      <c r="S46" s="21" t="n">
        <v>4</v>
      </c>
      <c r="T46" s="20" t="n"/>
      <c r="U46" s="20" t="n">
        <v>0.250809643756747</v>
      </c>
      <c r="V46" s="20" t="n">
        <v>0.2729888816219752</v>
      </c>
      <c r="W46" s="20" t="n">
        <v>0.1389658668469077</v>
      </c>
      <c r="X46" s="20" t="n">
        <v>0.3197492163009404</v>
      </c>
      <c r="Y46" s="14" t="n">
        <v>9.880000000000001</v>
      </c>
      <c r="Z46" s="19">
        <f>IF(OR(Y46="",F46="",F46=0),"",Y46/F46)</f>
        <v/>
      </c>
      <c r="AA46" s="22" t="n">
        <v>95.348</v>
      </c>
      <c r="AB46" s="20" t="n">
        <v>0.051</v>
      </c>
      <c r="AC46" s="20" t="n">
        <v>0.1071649902273919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2026-09-08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NVIDIA</t>
        </is>
      </c>
      <c r="C47" s="12" t="inlineStr">
        <is>
          <t>NVDA</t>
        </is>
      </c>
      <c r="D47" s="11" t="inlineStr">
        <is>
          <t>Semiconduttori</t>
        </is>
      </c>
      <c r="E47" s="13" t="inlineStr">
        <is>
          <t>Tecnologia</t>
        </is>
      </c>
      <c r="F47" s="14" t="n">
        <v>225.745</v>
      </c>
      <c r="G47" s="15" t="inlineStr">
        <is>
          <t>USD</t>
        </is>
      </c>
      <c r="H47" s="14" t="n">
        <v>194.1406996117186</v>
      </c>
      <c r="I47" s="16" t="n">
        <v>4687915.288624169</v>
      </c>
      <c r="J47" s="16" t="n">
        <v>5451064.3</v>
      </c>
      <c r="K47" s="14" t="n">
        <v>7.9</v>
      </c>
      <c r="L47" s="14" t="n">
        <v>15.51906</v>
      </c>
      <c r="M47" s="17">
        <f>IF(OR(F47="",K47="",K47&lt;=0),"",F47/K47)</f>
        <v/>
      </c>
      <c r="N47" s="18" t="n">
        <v>23.805231</v>
      </c>
      <c r="O47" s="19">
        <f>IF(OR(N47="",M47="",M47&lt;=0),"",N47/M47)</f>
        <v/>
      </c>
      <c r="P47" s="20" t="n">
        <v>1.17211</v>
      </c>
      <c r="Q47" s="20" t="n">
        <v>0.6430369043825913</v>
      </c>
      <c r="R47" s="20" t="n">
        <v>0.2698604910859732</v>
      </c>
      <c r="S47" s="21" t="n">
        <v>4</v>
      </c>
      <c r="T47" s="20" t="n">
        <v>0.7633333969089534</v>
      </c>
      <c r="U47" s="20" t="n">
        <v>0.9187288060811577</v>
      </c>
      <c r="V47" s="20" t="n">
        <v>0.6924472986178976</v>
      </c>
      <c r="W47" s="20" t="n">
        <v>0.1976381159223564</v>
      </c>
      <c r="X47" s="20" t="n"/>
      <c r="Y47" s="14" t="n">
        <v>1</v>
      </c>
      <c r="Z47" s="19">
        <f>IF(OR(Y47="",F47="",F47=0),"",Y47/F47)</f>
        <v/>
      </c>
      <c r="AA47" s="22" t="n">
        <v>16.971</v>
      </c>
      <c r="AB47" s="20" t="n">
        <v>1.059</v>
      </c>
      <c r="AC47" s="20" t="n">
        <v>0.8932193547407126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2026-09-08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CSX Corporation</t>
        </is>
      </c>
      <c r="C48" s="12" t="inlineStr">
        <is>
          <t>CSX</t>
        </is>
      </c>
      <c r="D48" s="11" t="inlineStr">
        <is>
          <t>Ferrovie</t>
        </is>
      </c>
      <c r="E48" s="13" t="inlineStr">
        <is>
          <t>Industriale</t>
        </is>
      </c>
      <c r="F48" s="14" t="n">
        <v>49.385</v>
      </c>
      <c r="G48" s="15" t="inlineStr">
        <is>
          <t>USD</t>
        </is>
      </c>
      <c r="H48" s="14" t="n">
        <v>42.4710999150578</v>
      </c>
      <c r="I48" s="16" t="n">
        <v>78676.66984264666</v>
      </c>
      <c r="J48" s="16" t="n">
        <v>91484.5</v>
      </c>
      <c r="K48" s="14" t="n">
        <v>1.72</v>
      </c>
      <c r="L48" s="14" t="n">
        <v>2.27151</v>
      </c>
      <c r="M48" s="17">
        <f>IF(OR(F48="",K48="",K48&lt;=0),"",F48/K48)</f>
        <v/>
      </c>
      <c r="N48" s="18" t="n">
        <v>6.4963164</v>
      </c>
      <c r="O48" s="19">
        <f>IF(OR(N48="",M48="",M48&lt;=0),"",N48/M48)</f>
        <v/>
      </c>
      <c r="P48" s="20" t="n">
        <v>0.24357</v>
      </c>
      <c r="Q48" s="20" t="n">
        <v>0.2823661415471586</v>
      </c>
      <c r="R48" s="20" t="n">
        <v>0.04013263354129347</v>
      </c>
      <c r="S48" s="21" t="n">
        <v>4</v>
      </c>
      <c r="T48" s="20" t="n"/>
      <c r="U48" s="20" t="n">
        <v>0.219612314709236</v>
      </c>
      <c r="V48" s="20" t="n">
        <v>0.2775555911054231</v>
      </c>
      <c r="W48" s="20" t="n">
        <v>0.3061769616026711</v>
      </c>
      <c r="X48" s="20" t="n">
        <v>0.326119698771304</v>
      </c>
      <c r="Y48" s="14" t="n">
        <v>0.5600000000000001</v>
      </c>
      <c r="Z48" s="19">
        <f>IF(OR(Y48="",F48="",F48=0),"",Y48/F48)</f>
        <v/>
      </c>
      <c r="AA48" s="22" t="n">
        <v>138.068</v>
      </c>
      <c r="AB48" s="20" t="n">
        <v>0.101</v>
      </c>
      <c r="AC48" s="20" t="n">
        <v>0.2287113301163781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2026-09-08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Cadence Design</t>
        </is>
      </c>
      <c r="C49" s="12" t="inlineStr">
        <is>
          <t>CDNS</t>
        </is>
      </c>
      <c r="D49" s="11" t="inlineStr">
        <is>
          <t>Software EDA</t>
        </is>
      </c>
      <c r="E49" s="13" t="inlineStr">
        <is>
          <t>Tecnologia</t>
        </is>
      </c>
      <c r="F49" s="14" t="n">
        <v>289.36</v>
      </c>
      <c r="G49" s="15" t="inlineStr">
        <is>
          <t>USD</t>
        </is>
      </c>
      <c r="H49" s="14" t="n">
        <v>248.8495995023008</v>
      </c>
      <c r="I49" s="16" t="n">
        <v>68531.42186293716</v>
      </c>
      <c r="J49" s="16" t="n">
        <v>79687.7</v>
      </c>
      <c r="K49" s="14" t="n">
        <v>5.03</v>
      </c>
      <c r="L49" s="14" t="n">
        <v>9.54363</v>
      </c>
      <c r="M49" s="17">
        <f>IF(OR(F49="",K49="",K49&lt;=0),"",F49/K49)</f>
        <v/>
      </c>
      <c r="N49" s="18" t="n">
        <v>11.619949</v>
      </c>
      <c r="O49" s="19">
        <f>IF(OR(N49="",M49="",M49&lt;=0),"",N49/M49)</f>
        <v/>
      </c>
      <c r="P49" s="20" t="n">
        <v>0.23229</v>
      </c>
      <c r="Q49" s="20" t="n">
        <v>0.2608754092791846</v>
      </c>
      <c r="R49" s="20" t="n">
        <v>0.04740689685132777</v>
      </c>
      <c r="S49" s="21" t="n">
        <v>4</v>
      </c>
      <c r="T49" s="20" t="n"/>
      <c r="U49" s="20" t="n">
        <v>0.2025669227963051</v>
      </c>
      <c r="V49" s="20" t="n">
        <v>0.2258406728206954</v>
      </c>
      <c r="W49" s="20" t="n">
        <v>0.3058346412491837</v>
      </c>
      <c r="X49" s="20" t="n">
        <v>0.3092594002505544</v>
      </c>
      <c r="Y49" s="14" t="n"/>
      <c r="Z49" s="19">
        <f>IF(OR(Y49="",F49="",F49=0),"",Y49/F49)</f>
        <v/>
      </c>
      <c r="AA49" s="22" t="n">
        <v>38.661</v>
      </c>
      <c r="AB49" s="20" t="n">
        <v>0.242</v>
      </c>
      <c r="AC49" s="20" t="n">
        <v>0.2601579539488204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2026-09-08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Meta Platforms</t>
        </is>
      </c>
      <c r="C50" s="12" t="inlineStr">
        <is>
          <t>META</t>
        </is>
      </c>
      <c r="D50" s="11" t="inlineStr">
        <is>
          <t>Internet / Pubblicita'</t>
        </is>
      </c>
      <c r="E50" s="13" t="inlineStr">
        <is>
          <t>Tecnologia</t>
        </is>
      </c>
      <c r="F50" s="14" t="n">
        <v>617.03</v>
      </c>
      <c r="G50" s="15" t="inlineStr">
        <is>
          <t>USD</t>
        </is>
      </c>
      <c r="H50" s="14" t="n">
        <v>530.6457989387084</v>
      </c>
      <c r="I50" s="16" t="n">
        <v>1351823.505296353</v>
      </c>
      <c r="J50" s="16" t="n">
        <v>1571887.8</v>
      </c>
      <c r="K50" s="14" t="n">
        <v>26.52</v>
      </c>
      <c r="L50" s="14" t="n">
        <v>34.95966</v>
      </c>
      <c r="M50" s="17">
        <f>IF(OR(F50="",K50="",K50&lt;=0),"",F50/K50)</f>
        <v/>
      </c>
      <c r="N50" s="18" t="n">
        <v>6.018631</v>
      </c>
      <c r="O50" s="19">
        <f>IF(OR(N50="",M50="",M50&lt;=0),"",N50/M50)</f>
        <v/>
      </c>
      <c r="P50" s="20" t="n">
        <v>0.29848</v>
      </c>
      <c r="Q50" s="20" t="n">
        <v>0.2648871265585463</v>
      </c>
      <c r="R50" s="20" t="n">
        <v>0.05609730945851681</v>
      </c>
      <c r="S50" s="21" t="n">
        <v>4</v>
      </c>
      <c r="T50" s="20" t="n"/>
      <c r="U50" s="20" t="n">
        <v>0.2782966539773433</v>
      </c>
      <c r="V50" s="20" t="n">
        <v>0.3414423145364849</v>
      </c>
      <c r="W50" s="20" t="n">
        <v>0.2552621957589052</v>
      </c>
      <c r="X50" s="20" t="n">
        <v>0.1845473419614519</v>
      </c>
      <c r="Y50" s="14" t="n">
        <v>2.1</v>
      </c>
      <c r="Z50" s="19">
        <f>IF(OR(Y50="",F50="",F50=0),"",Y50/F50)</f>
        <v/>
      </c>
      <c r="AA50" s="22" t="n">
        <v>42.997</v>
      </c>
      <c r="AB50" s="20" t="n">
        <v>0.28</v>
      </c>
      <c r="AC50" s="20" t="n">
        <v>0.3388533326433327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2026-09-08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Waste Management</t>
        </is>
      </c>
      <c r="C51" s="12" t="inlineStr">
        <is>
          <t>WM</t>
        </is>
      </c>
      <c r="D51" s="11" t="inlineStr">
        <is>
          <t>Servizi ambientali</t>
        </is>
      </c>
      <c r="E51" s="13" t="inlineStr">
        <is>
          <t>Industriale</t>
        </is>
      </c>
      <c r="F51" s="14" t="n">
        <v>217.65</v>
      </c>
      <c r="G51" s="15" t="inlineStr">
        <is>
          <t>USD</t>
        </is>
      </c>
      <c r="H51" s="14" t="n">
        <v>187.178999625642</v>
      </c>
      <c r="I51" s="16" t="n">
        <v>74818.27985036344</v>
      </c>
      <c r="J51" s="16" t="n">
        <v>86998</v>
      </c>
      <c r="K51" s="14" t="n">
        <v>7.07</v>
      </c>
      <c r="L51" s="14" t="n">
        <v>9.11924</v>
      </c>
      <c r="M51" s="17">
        <f>IF(OR(F51="",K51="",K51&lt;=0),"",F51/K51)</f>
        <v/>
      </c>
      <c r="N51" s="18" t="n">
        <v>8.770905000000001</v>
      </c>
      <c r="O51" s="19">
        <f>IF(OR(N51="",M51="",M51&lt;=0),"",N51/M51)</f>
        <v/>
      </c>
      <c r="P51" s="20" t="n">
        <v>0.29841</v>
      </c>
      <c r="Q51" s="20" t="n">
        <v>0.3160924607555183</v>
      </c>
      <c r="R51" s="20" t="n">
        <v>0.02613080609356336</v>
      </c>
      <c r="S51" s="21" t="n">
        <v>4</v>
      </c>
      <c r="T51" s="20" t="n"/>
      <c r="U51" s="20" t="n">
        <v>0.2710710710710711</v>
      </c>
      <c r="V51" s="20" t="n">
        <v>0.3327678138633058</v>
      </c>
      <c r="W51" s="20" t="n">
        <v>0.333767926988266</v>
      </c>
      <c r="X51" s="20" t="n">
        <v>0.3267630310994306</v>
      </c>
      <c r="Y51" s="14" t="n">
        <v>3.78</v>
      </c>
      <c r="Z51" s="19">
        <f>IF(OR(Y51="",F51="",F51=0),"",Y51/F51)</f>
        <v/>
      </c>
      <c r="AA51" s="22" t="n">
        <v>235.301</v>
      </c>
      <c r="AB51" s="20" t="n">
        <v>0.04</v>
      </c>
      <c r="AC51" s="20" t="n">
        <v>0.1131963155054753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2026-09-08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Cisco Systems</t>
        </is>
      </c>
      <c r="C52" s="12" t="inlineStr">
        <is>
          <t>CSCO</t>
        </is>
      </c>
      <c r="D52" s="11" t="inlineStr">
        <is>
          <t>Reti</t>
        </is>
      </c>
      <c r="E52" s="13" t="inlineStr">
        <is>
          <t>Tecnologia</t>
        </is>
      </c>
      <c r="F52" s="14" t="n">
        <v>108.865</v>
      </c>
      <c r="G52" s="15" t="inlineStr">
        <is>
          <t>USD</t>
        </is>
      </c>
      <c r="H52" s="14" t="n">
        <v>93.6238998127522</v>
      </c>
      <c r="I52" s="16" t="n">
        <v>369222.0792615559</v>
      </c>
      <c r="J52" s="16" t="n">
        <v>429328</v>
      </c>
      <c r="K52" s="14" t="n">
        <v>3.33</v>
      </c>
      <c r="L52" s="14" t="n">
        <v>5.60226</v>
      </c>
      <c r="M52" s="17">
        <f>IF(OR(F52="",K52="",K52&lt;=0),"",F52/K52)</f>
        <v/>
      </c>
      <c r="N52" s="18" t="n">
        <v>8.545476000000001</v>
      </c>
      <c r="O52" s="19">
        <f>IF(OR(N52="",M52="",M52&lt;=0),"",N52/M52)</f>
        <v/>
      </c>
      <c r="P52" s="20" t="n">
        <v>0.27319</v>
      </c>
      <c r="Q52" s="20" t="n">
        <v>0.2481407932680991</v>
      </c>
      <c r="R52" s="20" t="n">
        <v>0.0271800865071588</v>
      </c>
      <c r="S52" s="21" t="n">
        <v>4</v>
      </c>
      <c r="T52" s="20" t="n">
        <v>0.2638361340359948</v>
      </c>
      <c r="U52" s="20" t="n">
        <v>0.2173216916081378</v>
      </c>
      <c r="V52" s="20" t="n">
        <v>0.2270277405020129</v>
      </c>
      <c r="W52" s="20" t="n">
        <v>0.2843776069262507</v>
      </c>
      <c r="X52" s="20" t="n">
        <v>0.2969853921001684</v>
      </c>
      <c r="Y52" s="14" t="n">
        <v>1.68</v>
      </c>
      <c r="Z52" s="19">
        <f>IF(OR(Y52="",F52="",F52=0),"",Y52/F52)</f>
        <v/>
      </c>
      <c r="AA52" s="22" t="n">
        <v>62.017</v>
      </c>
      <c r="AB52" s="20" t="n">
        <v>0.176</v>
      </c>
      <c r="AC52" s="20" t="n">
        <v>0.2095065190682985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2026-09-08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Procter &amp; Gamble</t>
        </is>
      </c>
      <c r="C53" s="12" t="inlineStr">
        <is>
          <t>PG</t>
        </is>
      </c>
      <c r="D53" s="11" t="inlineStr">
        <is>
          <t>Beni per la casa</t>
        </is>
      </c>
      <c r="E53" s="13" t="inlineStr">
        <is>
          <t>Consumi</t>
        </is>
      </c>
      <c r="F53" s="14" t="n">
        <v>145.0253</v>
      </c>
      <c r="G53" s="15" t="inlineStr">
        <is>
          <t>USD</t>
        </is>
      </c>
      <c r="H53" s="14" t="n">
        <v>124.7217577505565</v>
      </c>
      <c r="I53" s="16" t="n">
        <v>289687.8174206244</v>
      </c>
      <c r="J53" s="16" t="n">
        <v>336846.3</v>
      </c>
      <c r="K53" s="14" t="n">
        <v>6.62</v>
      </c>
      <c r="L53" s="14" t="n">
        <v>7.3998</v>
      </c>
      <c r="M53" s="17">
        <f>IF(OR(F53="",K53="",K53&lt;=0),"",F53/K53)</f>
        <v/>
      </c>
      <c r="N53" s="18" t="n">
        <v>6.320011</v>
      </c>
      <c r="O53" s="19">
        <f>IF(OR(N53="",M53="",M53&lt;=0),"",N53/M53)</f>
        <v/>
      </c>
      <c r="P53" s="20" t="n">
        <v>0.30290002</v>
      </c>
      <c r="Q53" s="20" t="n">
        <v>0.3032410724344928</v>
      </c>
      <c r="R53" s="20" t="n">
        <v>0.007281835576251603</v>
      </c>
      <c r="S53" s="21" t="n">
        <v>4</v>
      </c>
      <c r="T53" s="20" t="n">
        <v>0.2967030935078863</v>
      </c>
      <c r="U53" s="20" t="n">
        <v>0.3071214335153426</v>
      </c>
      <c r="V53" s="20" t="n">
        <v>0.2958875233663445</v>
      </c>
      <c r="W53" s="20" t="n">
        <v>0.3132522393483977</v>
      </c>
      <c r="X53" s="20" t="n">
        <v>0.3164266243104595</v>
      </c>
      <c r="Y53" s="14" t="n">
        <v>4.35</v>
      </c>
      <c r="Z53" s="19">
        <f>IF(OR(Y53="",F53="",F53=0),"",Y53/F53)</f>
        <v/>
      </c>
      <c r="AA53" s="22" t="n">
        <v>64.48999999999999</v>
      </c>
      <c r="AB53" s="20" t="n">
        <v>0.015</v>
      </c>
      <c r="AC53" s="20" t="n">
        <v>0.1810138843643717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2026-09-08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Nike</t>
        </is>
      </c>
      <c r="C54" s="12" t="inlineStr">
        <is>
          <t>NKE</t>
        </is>
      </c>
      <c r="D54" s="11" t="inlineStr">
        <is>
          <t>Abbigliamento sportivo</t>
        </is>
      </c>
      <c r="E54" s="13" t="inlineStr">
        <is>
          <t>Consumi</t>
        </is>
      </c>
      <c r="F54" s="14" t="n">
        <v>38.23</v>
      </c>
      <c r="G54" s="15" t="inlineStr">
        <is>
          <t>USD</t>
        </is>
      </c>
      <c r="H54" s="14" t="n">
        <v>32.8777999342444</v>
      </c>
      <c r="I54" s="16" t="n">
        <v>48774.21190245158</v>
      </c>
      <c r="J54" s="16" t="n">
        <v>56714.2</v>
      </c>
      <c r="K54" s="14" t="n">
        <v>2.1</v>
      </c>
      <c r="L54" s="14" t="n">
        <v>2.29113</v>
      </c>
      <c r="M54" s="17">
        <f>IF(OR(F54="",K54="",K54&lt;=0),"",F54/K54)</f>
        <v/>
      </c>
      <c r="N54" s="18" t="n">
        <v>3.8138466</v>
      </c>
      <c r="O54" s="19">
        <f>IF(OR(N54="",M54="",M54&lt;=0),"",N54/M54)</f>
        <v/>
      </c>
      <c r="P54" s="20" t="n">
        <v>0.22138001</v>
      </c>
      <c r="Q54" s="20" t="n">
        <v>0.3024388129670675</v>
      </c>
      <c r="R54" s="20" t="n">
        <v>0.07793665822629463</v>
      </c>
      <c r="S54" s="21" t="n">
        <v>4</v>
      </c>
      <c r="T54" s="20" t="n">
        <v>0.2090817356205853</v>
      </c>
      <c r="U54" s="20" t="n">
        <v>0.2436237039279497</v>
      </c>
      <c r="V54" s="20" t="n">
        <v>0.395010395010395</v>
      </c>
      <c r="W54" s="20" t="n">
        <v>0.3620394173093402</v>
      </c>
      <c r="X54" s="20" t="n"/>
      <c r="Y54" s="14" t="n">
        <v>1.64</v>
      </c>
      <c r="Z54" s="19">
        <f>IF(OR(Y54="",F54="",F54=0),"",Y54/F54)</f>
        <v/>
      </c>
      <c r="AA54" s="22" t="n">
        <v>74.289</v>
      </c>
      <c r="AB54" s="20" t="n">
        <v>-0.011</v>
      </c>
      <c r="AC54" s="20" t="n">
        <v>0.06698564593301436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2026-09-08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366.37</v>
      </c>
      <c r="G55" s="15" t="inlineStr">
        <is>
          <t>USD</t>
        </is>
      </c>
      <c r="H55" s="14" t="n">
        <v>315.0781993698436</v>
      </c>
      <c r="I55" s="16" t="n">
        <v>1499009.753001981</v>
      </c>
      <c r="J55" s="16" t="n">
        <v>1743034.6</v>
      </c>
      <c r="K55" s="14" t="n">
        <v>7.84</v>
      </c>
      <c r="L55" s="14" t="n">
        <v>19.3879</v>
      </c>
      <c r="M55" s="17">
        <f>IF(OR(F55="",K55="",K55&lt;=0),"",F55/K55)</f>
        <v/>
      </c>
      <c r="N55" s="18" t="n">
        <v>17.515417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2026-09-08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Amgen</t>
        </is>
      </c>
      <c r="C56" s="12" t="inlineStr">
        <is>
          <t>AMGN</t>
        </is>
      </c>
      <c r="D56" s="11" t="inlineStr">
        <is>
          <t>Biotecnologie</t>
        </is>
      </c>
      <c r="E56" s="13" t="inlineStr">
        <is>
          <t>Salute</t>
        </is>
      </c>
      <c r="F56" s="14" t="n">
        <v>394.56</v>
      </c>
      <c r="G56" s="15" t="inlineStr">
        <is>
          <t>USD</t>
        </is>
      </c>
      <c r="H56" s="14" t="n">
        <v>339.3215993213568</v>
      </c>
      <c r="I56" s="16" t="n">
        <v>183508.519632983</v>
      </c>
      <c r="J56" s="16" t="n">
        <v>213382</v>
      </c>
      <c r="K56" s="14" t="n">
        <v>16.09</v>
      </c>
      <c r="L56" s="14" t="n">
        <v>24.40874</v>
      </c>
      <c r="M56" s="17">
        <f>IF(OR(F56="",K56="",K56&lt;=0),"",F56/K56)</f>
        <v/>
      </c>
      <c r="N56" s="18" t="n">
        <v>18.255781</v>
      </c>
      <c r="O56" s="19">
        <f>IF(OR(N56="",M56="",M56&lt;=0),"",N56/M56)</f>
        <v/>
      </c>
      <c r="P56" s="20" t="n">
        <v>0.91473</v>
      </c>
      <c r="Q56" s="20" t="n">
        <v>1.113513443906775</v>
      </c>
      <c r="R56" s="20" t="n">
        <v>0.4130744959321571</v>
      </c>
      <c r="S56" s="21" t="n">
        <v>4</v>
      </c>
      <c r="T56" s="20" t="n"/>
      <c r="U56" s="20" t="n">
        <v>0.8906213906213907</v>
      </c>
      <c r="V56" s="20" t="n">
        <v>0.6959332993023651</v>
      </c>
      <c r="W56" s="20" t="n">
        <v>1.077824133504493</v>
      </c>
      <c r="X56" s="20" t="n">
        <v>1.789674952198853</v>
      </c>
      <c r="Y56" s="14" t="n">
        <v>10.08</v>
      </c>
      <c r="Z56" s="19">
        <f>IF(OR(Y56="",F56="",F56=0),"",Y56/F56)</f>
        <v/>
      </c>
      <c r="AA56" s="22" t="n">
        <v>490.281</v>
      </c>
      <c r="AB56" s="20" t="n">
        <v>0.095</v>
      </c>
      <c r="AC56" s="20" t="n">
        <v>0.2378982902233953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2026-09-08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62.645</v>
      </c>
      <c r="G57" s="15" t="inlineStr">
        <is>
          <t>USD</t>
        </is>
      </c>
      <c r="H57" s="14" t="n">
        <v>53.8746998922506</v>
      </c>
      <c r="I57" s="16" t="n">
        <v>376732.2012465356</v>
      </c>
      <c r="J57" s="16" t="n">
        <v>438060.7</v>
      </c>
      <c r="K57" s="14" t="n">
        <v>4.33</v>
      </c>
      <c r="L57" s="14" t="n">
        <v>5.29639</v>
      </c>
      <c r="M57" s="17">
        <f>IF(OR(F57="",K57="",K57&lt;=0),"",F57/K57)</f>
        <v/>
      </c>
      <c r="N57" s="18" t="n">
        <v>1.5923187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2026-09-08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250.62</v>
      </c>
      <c r="G58" s="15" t="inlineStr">
        <is>
          <t>USD</t>
        </is>
      </c>
      <c r="H58" s="14" t="n">
        <v>215.5331995689336</v>
      </c>
      <c r="I58" s="16" t="n">
        <v>380872.4132382552</v>
      </c>
      <c r="J58" s="16" t="n">
        <v>442874.9</v>
      </c>
      <c r="K58" s="14" t="n">
        <v>3.54</v>
      </c>
      <c r="L58" s="14" t="n">
        <v>16.28202</v>
      </c>
      <c r="M58" s="17">
        <f>IF(OR(F58="",K58="",K58&lt;=0),"",F58/K58)</f>
        <v/>
      </c>
      <c r="N58" s="18" t="n">
        <v>-74.61149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2026-09-08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Wells Fargo</t>
        </is>
      </c>
      <c r="C59" s="12" t="inlineStr">
        <is>
          <t>WFC</t>
        </is>
      </c>
      <c r="D59" s="11" t="inlineStr">
        <is>
          <t>Banca</t>
        </is>
      </c>
      <c r="E59" s="13" t="inlineStr">
        <is>
          <t>Finanziario</t>
        </is>
      </c>
      <c r="F59" s="14" t="n">
        <v>88.56</v>
      </c>
      <c r="G59" s="15" t="inlineStr">
        <is>
          <t>USD</t>
        </is>
      </c>
      <c r="H59" s="14" t="n">
        <v>76.16159984767681</v>
      </c>
      <c r="I59" s="16" t="n">
        <v>230312.6435393748</v>
      </c>
      <c r="J59" s="16" t="n">
        <v>267805.4</v>
      </c>
      <c r="K59" s="14" t="n">
        <v>6.88</v>
      </c>
      <c r="L59" s="14" t="n">
        <v>7.90196</v>
      </c>
      <c r="M59" s="17">
        <f>IF(OR(F59="",K59="",K59&lt;=0),"",F59/K59)</f>
        <v/>
      </c>
      <c r="N59" s="18" t="n">
        <v>1.6648494</v>
      </c>
      <c r="O59" s="19">
        <f>IF(OR(N59="",M59="",M59&lt;=0),"",N59/M59)</f>
        <v/>
      </c>
      <c r="P59" s="20" t="n">
        <v>0.12575</v>
      </c>
      <c r="Q59" s="20" t="n">
        <v>0.1017166869476873</v>
      </c>
      <c r="R59" s="20" t="n">
        <v>0.01579883207450957</v>
      </c>
      <c r="S59" s="21" t="n">
        <v>4</v>
      </c>
      <c r="T59" s="20" t="n"/>
      <c r="U59" s="20" t="n">
        <v>0.1178133471733741</v>
      </c>
      <c r="V59" s="20" t="n">
        <v>0.1101049575703439</v>
      </c>
      <c r="W59" s="20" t="n">
        <v>0.1030608124478424</v>
      </c>
      <c r="X59" s="20" t="n">
        <v>0.07588763059918881</v>
      </c>
      <c r="Y59" s="14" t="n">
        <v>2</v>
      </c>
      <c r="Z59" s="19">
        <f>IF(OR(Y59="",F59="",F59=0),"",Y59/F59)</f>
        <v/>
      </c>
      <c r="AA59" s="22" t="n"/>
      <c r="AB59" s="20" t="n">
        <v>0.095</v>
      </c>
      <c r="AC59" s="20" t="n">
        <v>0.2582468076321103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2026-09-08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330.96</v>
      </c>
      <c r="G60" s="15" t="inlineStr">
        <is>
          <t>USD</t>
        </is>
      </c>
      <c r="H60" s="14" t="n">
        <v>284.6255994307488</v>
      </c>
      <c r="I60" s="16" t="n">
        <v>74246.5518515069</v>
      </c>
      <c r="J60" s="16" t="n">
        <v>86333.2</v>
      </c>
      <c r="K60" s="14" t="n">
        <v>9.66</v>
      </c>
      <c r="L60" s="14" t="n">
        <v>13.14937</v>
      </c>
      <c r="M60" s="17">
        <f>IF(OR(F60="",K60="",K60&lt;=0),"",F60/K60)</f>
        <v/>
      </c>
      <c r="N60" s="18" t="n">
        <v>-19.154999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2026-09-08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338.415</v>
      </c>
      <c r="G61" s="15" t="inlineStr">
        <is>
          <t>USD</t>
        </is>
      </c>
      <c r="H61" s="14" t="n">
        <v>291.0368994179262</v>
      </c>
      <c r="I61" s="16" t="n">
        <v>301968.9613960621</v>
      </c>
      <c r="J61" s="16" t="n">
        <v>351126.7</v>
      </c>
      <c r="K61" s="14" t="n">
        <v>8.5</v>
      </c>
      <c r="L61" s="14" t="n">
        <v>9.07511</v>
      </c>
      <c r="M61" s="17">
        <f>IF(OR(F61="",K61="",K61&lt;=0),"",F61/K61)</f>
        <v/>
      </c>
      <c r="N61" s="18" t="n">
        <v>19.905596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2026-09-08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268.985</v>
      </c>
      <c r="G62" s="15" t="inlineStr">
        <is>
          <t>USD</t>
        </is>
      </c>
      <c r="H62" s="14" t="n">
        <v>231.3270995373458</v>
      </c>
      <c r="I62" s="16" t="n">
        <v>557474.7888850505</v>
      </c>
      <c r="J62" s="16" t="n">
        <v>648226.5</v>
      </c>
      <c r="K62" s="14" t="n">
        <v>8.609999999999999</v>
      </c>
      <c r="L62" s="14" t="n">
        <v>12.3075</v>
      </c>
      <c r="M62" s="17">
        <f>IF(OR(F62="",K62="",K62&lt;=0),"",F62/K62)</f>
        <v/>
      </c>
      <c r="N62" s="18" t="n">
        <v>7.6234264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2026-09-08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American Tower</t>
        </is>
      </c>
      <c r="C63" s="12" t="inlineStr">
        <is>
          <t>AMT</t>
        </is>
      </c>
      <c r="D63" s="11" t="inlineStr">
        <is>
          <t>REIT / Torri</t>
        </is>
      </c>
      <c r="E63" s="13" t="inlineStr">
        <is>
          <t>Immobiliare</t>
        </is>
      </c>
      <c r="F63" s="14" t="n">
        <v>177.64</v>
      </c>
      <c r="G63" s="15" t="inlineStr">
        <is>
          <t>USD</t>
        </is>
      </c>
      <c r="H63" s="14" t="n">
        <v>152.7703996944592</v>
      </c>
      <c r="I63" s="16" t="n">
        <v>71184.86585763028</v>
      </c>
      <c r="J63" s="16" t="n">
        <v>82773.10000000001</v>
      </c>
      <c r="K63" s="14" t="n">
        <v>7.26</v>
      </c>
      <c r="L63" s="14" t="n">
        <v>7.01004</v>
      </c>
      <c r="M63" s="17">
        <f>IF(OR(F63="",K63="",K63&lt;=0),"",F63/K63)</f>
        <v/>
      </c>
      <c r="N63" s="18" t="n">
        <v>22.252287</v>
      </c>
      <c r="O63" s="19">
        <f>IF(OR(N63="",M63="",M63&lt;=0),"",N63/M63)</f>
        <v/>
      </c>
      <c r="P63" s="20" t="n">
        <v>0.33914003</v>
      </c>
      <c r="Q63" s="20" t="n">
        <v>0.5073666137979995</v>
      </c>
      <c r="R63" s="20" t="n">
        <v>0.172987839167374</v>
      </c>
      <c r="S63" s="21" t="n">
        <v>4</v>
      </c>
      <c r="T63" s="20" t="n"/>
      <c r="U63" s="20" t="n">
        <v>0.692539356605065</v>
      </c>
      <c r="V63" s="20" t="n">
        <v>0.6667257997752942</v>
      </c>
      <c r="W63" s="20" t="n">
        <v>0.353318088704683</v>
      </c>
      <c r="X63" s="20" t="n">
        <v>0.3168832101069557</v>
      </c>
      <c r="Y63" s="14" t="n">
        <v>6.98</v>
      </c>
      <c r="Z63" s="19">
        <f>IF(OR(Y63="",F63="",F63=0),"",Y63/F63)</f>
        <v/>
      </c>
      <c r="AA63" s="22" t="n">
        <v>438.721</v>
      </c>
      <c r="AB63" s="20" t="n">
        <v>0.047</v>
      </c>
      <c r="AC63" s="20" t="n">
        <v>0.3195047193882344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2026-09-08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ConocoPhillips</t>
        </is>
      </c>
      <c r="C64" s="12" t="inlineStr">
        <is>
          <t>COP</t>
        </is>
      </c>
      <c r="D64" s="11" t="inlineStr">
        <is>
          <t>Esplorazione e produzione</t>
        </is>
      </c>
      <c r="E64" s="13" t="inlineStr">
        <is>
          <t>Energia</t>
        </is>
      </c>
      <c r="F64" s="14" t="n">
        <v>134.755</v>
      </c>
      <c r="G64" s="15" t="inlineStr">
        <is>
          <t>USD</t>
        </is>
      </c>
      <c r="H64" s="14" t="n">
        <v>115.8892997682214</v>
      </c>
      <c r="I64" s="16" t="n">
        <v>139222.1317215558</v>
      </c>
      <c r="J64" s="16" t="n">
        <v>161886.2</v>
      </c>
      <c r="K64" s="14" t="n">
        <v>7.56</v>
      </c>
      <c r="L64" s="14" t="n">
        <v>9.5093</v>
      </c>
      <c r="M64" s="17">
        <f>IF(OR(F64="",K64="",K64&lt;=0),"",F64/K64)</f>
        <v/>
      </c>
      <c r="N64" s="18" t="n">
        <v>2.4772508</v>
      </c>
      <c r="O64" s="19">
        <f>IF(OR(N64="",M64="",M64&lt;=0),"",N64/M64)</f>
        <v/>
      </c>
      <c r="P64" s="20" t="n">
        <v>0.1418</v>
      </c>
      <c r="Q64" s="20" t="n">
        <v>0.2195092664055975</v>
      </c>
      <c r="R64" s="20" t="n">
        <v>0.1046819831646029</v>
      </c>
      <c r="S64" s="21" t="n">
        <v>4</v>
      </c>
      <c r="T64" s="20" t="n"/>
      <c r="U64" s="20" t="n">
        <v>0.1238699272721634</v>
      </c>
      <c r="V64" s="20" t="n">
        <v>0.1426785604049633</v>
      </c>
      <c r="W64" s="20" t="n">
        <v>0.222346232675176</v>
      </c>
      <c r="X64" s="20" t="n">
        <v>0.3891423452700873</v>
      </c>
      <c r="Y64" s="14" t="n">
        <v>3.36</v>
      </c>
      <c r="Z64" s="19">
        <f>IF(OR(Y64="",F64="",F64=0),"",Y64/F64)</f>
        <v/>
      </c>
      <c r="AA64" s="22" t="n">
        <v>35.639</v>
      </c>
      <c r="AB64" s="20" t="n">
        <v>0.355</v>
      </c>
      <c r="AC64" s="20" t="n">
        <v>0.1569795092290988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2026-09-08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FedEx</t>
        </is>
      </c>
      <c r="C65" s="12" t="inlineStr">
        <is>
          <t>FDX</t>
        </is>
      </c>
      <c r="D65" s="11" t="inlineStr">
        <is>
          <t>Logistica</t>
        </is>
      </c>
      <c r="E65" s="13" t="inlineStr">
        <is>
          <t>Industriale</t>
        </is>
      </c>
      <c r="F65" s="14" t="n">
        <v>316.235</v>
      </c>
      <c r="G65" s="15" t="inlineStr">
        <is>
          <t>USD</t>
        </is>
      </c>
      <c r="H65" s="14" t="n">
        <v>271.9620994560758</v>
      </c>
      <c r="I65" s="16" t="n">
        <v>64365.40987126918</v>
      </c>
      <c r="J65" s="16" t="n">
        <v>74843.5</v>
      </c>
      <c r="K65" s="14" t="n">
        <v>18.54</v>
      </c>
      <c r="L65" s="14" t="n">
        <v>20.74551</v>
      </c>
      <c r="M65" s="17">
        <f>IF(OR(F65="",K65="",K65&lt;=0),"",F65/K65)</f>
        <v/>
      </c>
      <c r="N65" s="18" t="n">
        <v>2.3982086</v>
      </c>
      <c r="O65" s="19">
        <f>IF(OR(N65="",M65="",M65&lt;=0),"",N65/M65)</f>
        <v/>
      </c>
      <c r="P65" s="20" t="n">
        <v>0.14846</v>
      </c>
      <c r="Q65" s="20" t="n">
        <v>0.1487776787174603</v>
      </c>
      <c r="R65" s="20" t="n">
        <v>0.006420595404348427</v>
      </c>
      <c r="S65" s="21" t="n">
        <v>4</v>
      </c>
      <c r="T65" s="20" t="n">
        <v>0.1400764685436218</v>
      </c>
      <c r="U65" s="20" t="n">
        <v>0.1457576405214789</v>
      </c>
      <c r="V65" s="20" t="n">
        <v>0.1570226959611341</v>
      </c>
      <c r="W65" s="20" t="n">
        <v>0.1522539098436063</v>
      </c>
      <c r="X65" s="20" t="n"/>
      <c r="Y65" s="14" t="n">
        <v>4.88</v>
      </c>
      <c r="Z65" s="19">
        <f>IF(OR(Y65="",F65="",F65=0),"",Y65/F65)</f>
        <v/>
      </c>
      <c r="AA65" s="22" t="n">
        <v>135.697</v>
      </c>
      <c r="AB65" s="20" t="n">
        <v>0.125</v>
      </c>
      <c r="AC65" s="20" t="n">
        <v>0.0467271945945946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2026-09-08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959.49</v>
      </c>
      <c r="G66" s="15" t="inlineStr">
        <is>
          <t>USD</t>
        </is>
      </c>
      <c r="H66" s="14" t="n">
        <v>825.1613983496773</v>
      </c>
      <c r="I66" s="16" t="n">
        <v>104009.517791981</v>
      </c>
      <c r="J66" s="16" t="n">
        <v>120941.3</v>
      </c>
      <c r="K66" s="14" t="n">
        <v>28.49</v>
      </c>
      <c r="L66" s="14" t="n">
        <v>39.15954</v>
      </c>
      <c r="M66" s="17">
        <f>IF(OR(F66="",K66="",K66&lt;=0),"",F66/K66)</f>
        <v/>
      </c>
      <c r="N66" s="18" t="n">
        <v>7.854564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2026-09-08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Booking Holdings</t>
        </is>
      </c>
      <c r="C67" s="12" t="inlineStr">
        <is>
          <t>BKNG</t>
        </is>
      </c>
      <c r="D67" s="11" t="inlineStr">
        <is>
          <t>Viaggi</t>
        </is>
      </c>
      <c r="E67" s="13" t="inlineStr">
        <is>
          <t>Consumi</t>
        </is>
      </c>
      <c r="F67" s="14" t="n">
        <v>181.57</v>
      </c>
      <c r="G67" s="15" t="inlineStr">
        <is>
          <t>USD</t>
        </is>
      </c>
      <c r="H67" s="14" t="n">
        <v>156.1501996876996</v>
      </c>
      <c r="I67" s="16" t="n">
        <v>117328.2517653435</v>
      </c>
      <c r="J67" s="16" t="n">
        <v>136428.2</v>
      </c>
      <c r="K67" s="14" t="n">
        <v>9.01</v>
      </c>
      <c r="L67" s="14" t="n">
        <v>12.37711</v>
      </c>
      <c r="M67" s="17">
        <f>IF(OR(F67="",K67="",K67&lt;=0),"",F67/K67)</f>
        <v/>
      </c>
      <c r="N67" s="18" t="n">
        <v>-12.763251</v>
      </c>
      <c r="O67" s="19">
        <f>IF(OR(N67="",M67="",M67&lt;=0),"",N67/M67)</f>
        <v/>
      </c>
      <c r="P67" s="20" t="n">
        <v>1.09920920201294</v>
      </c>
      <c r="Q67" s="20" t="n">
        <v>1.09920920201294</v>
      </c>
      <c r="R67" s="20" t="n"/>
      <c r="S67" s="21" t="n">
        <v>1</v>
      </c>
      <c r="T67" s="20" t="n"/>
      <c r="U67" s="20" t="n"/>
      <c r="V67" s="20" t="n"/>
      <c r="W67" s="20" t="n"/>
      <c r="X67" s="20" t="n">
        <v>1.09920920201294</v>
      </c>
      <c r="Y67" s="14" t="n">
        <v>1.68</v>
      </c>
      <c r="Z67" s="19">
        <f>IF(OR(Y67="",F67="",F67=0),"",Y67/F67)</f>
        <v/>
      </c>
      <c r="AA67" s="22" t="n"/>
      <c r="AB67" s="20" t="n">
        <v>0.081</v>
      </c>
      <c r="AC67" s="20" t="n">
        <v>0.2678233063119961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2026-09-08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213.355</v>
      </c>
      <c r="G68" s="15" t="inlineStr">
        <is>
          <t>USD</t>
        </is>
      </c>
      <c r="H68" s="14" t="n">
        <v>183.4852996330294</v>
      </c>
      <c r="I68" s="16" t="n">
        <v>145021.2837099574</v>
      </c>
      <c r="J68" s="16" t="n">
        <v>168629.4</v>
      </c>
      <c r="K68" s="14" t="n">
        <v>2.78</v>
      </c>
      <c r="L68" s="14" t="n">
        <v>4.12084</v>
      </c>
      <c r="M68" s="17">
        <f>IF(OR(F68="",K68="",K68&lt;=0),"",F68/K68)</f>
        <v/>
      </c>
      <c r="N68" s="18" t="n">
        <v>27.650984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2026-09-08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Qualcomm</t>
        </is>
      </c>
      <c r="C69" s="12" t="inlineStr">
        <is>
          <t>QCOM</t>
        </is>
      </c>
      <c r="D69" s="11" t="inlineStr">
        <is>
          <t>Semiconduttori</t>
        </is>
      </c>
      <c r="E69" s="13" t="inlineStr">
        <is>
          <t>Tecnologia</t>
        </is>
      </c>
      <c r="F69" s="14" t="n">
        <v>174.75</v>
      </c>
      <c r="G69" s="15" t="inlineStr">
        <is>
          <t>USD</t>
        </is>
      </c>
      <c r="H69" s="14" t="n">
        <v>150.28499969943</v>
      </c>
      <c r="I69" s="16" t="n">
        <v>160513.495678973</v>
      </c>
      <c r="J69" s="16" t="n">
        <v>186643.6</v>
      </c>
      <c r="K69" s="14" t="n">
        <v>8.76</v>
      </c>
      <c r="L69" s="14" t="n">
        <v>10.21807</v>
      </c>
      <c r="M69" s="17">
        <f>IF(OR(F69="",K69="",K69&lt;=0),"",F69/K69)</f>
        <v/>
      </c>
      <c r="N69" s="18" t="n">
        <v>6.678259</v>
      </c>
      <c r="O69" s="19">
        <f>IF(OR(N69="",M69="",M69&lt;=0),"",N69/M69)</f>
        <v/>
      </c>
      <c r="P69" s="20" t="n">
        <v>0.33754003</v>
      </c>
      <c r="Q69" s="20" t="n">
        <v>0.4251401367558992</v>
      </c>
      <c r="R69" s="20" t="n">
        <v>0.1748827626991776</v>
      </c>
      <c r="S69" s="21" t="n">
        <v>4</v>
      </c>
      <c r="T69" s="20" t="n"/>
      <c r="U69" s="20" t="n">
        <v>0.2612939734037537</v>
      </c>
      <c r="V69" s="20" t="n">
        <v>0.386008982263835</v>
      </c>
      <c r="W69" s="20" t="n">
        <v>0.3351095871368333</v>
      </c>
      <c r="X69" s="20" t="n">
        <v>0.718148004219175</v>
      </c>
      <c r="Y69" s="14" t="n">
        <v>3.68</v>
      </c>
      <c r="Z69" s="19">
        <f>IF(OR(Y69="",F69="",F69=0),"",Y69/F69)</f>
        <v/>
      </c>
      <c r="AA69" s="22" t="n">
        <v>55.21</v>
      </c>
      <c r="AB69" s="20" t="n">
        <v>-0.04</v>
      </c>
      <c r="AC69" s="20" t="n">
        <v>0.2091048743564267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2026-09-08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1038.125</v>
      </c>
      <c r="G70" s="15" t="inlineStr">
        <is>
          <t>USD</t>
        </is>
      </c>
      <c r="H70" s="14" t="n">
        <v>892.7874982144251</v>
      </c>
      <c r="I70" s="16" t="n">
        <v>259954.1774800917</v>
      </c>
      <c r="J70" s="16" t="n">
        <v>302272.3</v>
      </c>
      <c r="K70" s="14" t="n">
        <v>64.81</v>
      </c>
      <c r="L70" s="14" t="n">
        <v>74.03243999999999</v>
      </c>
      <c r="M70" s="17">
        <f>IF(OR(F70="",K70="",K70&lt;=0),"",F70/K70)</f>
        <v/>
      </c>
      <c r="N70" s="18" t="n">
        <v>2.8673604</v>
      </c>
      <c r="O70" s="19">
        <f>IF(OR(N70="",M70="",M70&lt;=0),"",N70/M70)</f>
        <v/>
      </c>
      <c r="P70" s="20" t="n">
        <v>0.16902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0.342844399361735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2026-09-08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428.28</v>
      </c>
      <c r="G71" s="15" t="inlineStr">
        <is>
          <t>USD</t>
        </is>
      </c>
      <c r="H71" s="14" t="n">
        <v>368.3207992633584</v>
      </c>
      <c r="I71" s="16" t="n">
        <v>143055.8397138883</v>
      </c>
      <c r="J71" s="16" t="n">
        <v>166344</v>
      </c>
      <c r="K71" s="14" t="n">
        <v>9.82</v>
      </c>
      <c r="L71" s="14" t="n">
        <v>16.13274</v>
      </c>
      <c r="M71" s="17">
        <f>IF(OR(F71="",K71="",K71&lt;=0),"",F71/K71)</f>
        <v/>
      </c>
      <c r="N71" s="18" t="n">
        <v>8.212935999999999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2026-09-08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137.57</v>
      </c>
      <c r="G72" s="15" t="inlineStr">
        <is>
          <t>USD</t>
        </is>
      </c>
      <c r="H72" s="14" t="n">
        <v>118.3101997633796</v>
      </c>
      <c r="I72" s="16" t="n">
        <v>198457.8996030842</v>
      </c>
      <c r="J72" s="16" t="n">
        <v>230765</v>
      </c>
      <c r="K72" s="14" t="n">
        <v>9.279999999999999</v>
      </c>
      <c r="L72" s="14" t="n">
        <v>12.88329</v>
      </c>
      <c r="M72" s="17">
        <f>IF(OR(F72="",K72="",K72&lt;=0),"",F72/K72)</f>
        <v/>
      </c>
      <c r="N72" s="18" t="n">
        <v>1.1989926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0.155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2026-09-08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217.89</v>
      </c>
      <c r="G73" s="15" t="inlineStr">
        <is>
          <t>USD</t>
        </is>
      </c>
      <c r="H73" s="14" t="n">
        <v>187.3853996252292</v>
      </c>
      <c r="I73" s="16" t="n">
        <v>294301.2014113976</v>
      </c>
      <c r="J73" s="16" t="n">
        <v>342210.7</v>
      </c>
      <c r="K73" s="14" t="n">
        <v>12.39</v>
      </c>
      <c r="L73" s="14" t="n">
        <v>13.64237</v>
      </c>
      <c r="M73" s="17">
        <f>IF(OR(F73="",K73="",K73&lt;=0),"",F73/K73)</f>
        <v/>
      </c>
      <c r="N73" s="18" t="n">
        <v>3.2136693</v>
      </c>
      <c r="O73" s="19">
        <f>IF(OR(N73="",M73="",M73&lt;=0),"",N73/M73)</f>
        <v/>
      </c>
      <c r="P73" s="20" t="n">
        <v>0.17969999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517.282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2026-09-08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44.179</v>
      </c>
      <c r="G74" s="15" t="inlineStr">
        <is>
          <t>USD</t>
        </is>
      </c>
      <c r="H74" s="14" t="n">
        <v>37.99393992401212</v>
      </c>
      <c r="I74" s="16" t="n">
        <v>39143.41592171317</v>
      </c>
      <c r="J74" s="16" t="n">
        <v>45515.6</v>
      </c>
      <c r="K74" s="14" t="n">
        <v>2.72</v>
      </c>
      <c r="L74" s="14" t="n">
        <v>3.0383</v>
      </c>
      <c r="M74" s="17">
        <f>IF(OR(F74="",K74="",K74&lt;=0),"",F74/K74)</f>
        <v/>
      </c>
      <c r="N74" s="18" t="n">
        <v>1.5355927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2026-09-08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Williams Companies</t>
        </is>
      </c>
      <c r="C75" s="12" t="inlineStr">
        <is>
          <t>WMB</t>
        </is>
      </c>
      <c r="D75" s="11" t="inlineStr">
        <is>
          <t>Gasdotti</t>
        </is>
      </c>
      <c r="E75" s="13" t="inlineStr">
        <is>
          <t>Energia</t>
        </is>
      </c>
      <c r="F75" s="14" t="n">
        <v>75.34</v>
      </c>
      <c r="G75" s="15" t="inlineStr">
        <is>
          <t>USD</t>
        </is>
      </c>
      <c r="H75" s="14" t="n">
        <v>64.79239987041521</v>
      </c>
      <c r="I75" s="16" t="n">
        <v>79251.92384149616</v>
      </c>
      <c r="J75" s="16" t="n">
        <v>92153.39999999999</v>
      </c>
      <c r="K75" s="14" t="n">
        <v>2.51</v>
      </c>
      <c r="L75" s="14" t="n">
        <v>2.60076</v>
      </c>
      <c r="M75" s="17">
        <f>IF(OR(F75="",K75="",K75&lt;=0),"",F75/K75)</f>
        <v/>
      </c>
      <c r="N75" s="18" t="n">
        <v>7.0044627</v>
      </c>
      <c r="O75" s="19">
        <f>IF(OR(N75="",M75="",M75&lt;=0),"",N75/M75)</f>
        <v/>
      </c>
      <c r="P75" s="20" t="n">
        <v>0.21503</v>
      </c>
      <c r="Q75" s="20" t="n">
        <v>0.2045179374667133</v>
      </c>
      <c r="R75" s="20" t="n">
        <v>0.03170850933970622</v>
      </c>
      <c r="S75" s="21" t="n">
        <v>4</v>
      </c>
      <c r="T75" s="20" t="n"/>
      <c r="U75" s="20" t="n">
        <v>0.2044194581088467</v>
      </c>
      <c r="V75" s="20" t="n">
        <v>0.1789160501769058</v>
      </c>
      <c r="W75" s="20" t="n">
        <v>0.2563296242541526</v>
      </c>
      <c r="X75" s="20" t="n">
        <v>0.1784066173269482</v>
      </c>
      <c r="Y75" s="14" t="n">
        <v>2.1</v>
      </c>
      <c r="Z75" s="19">
        <f>IF(OR(Y75="",F75="",F75=0),"",Y75/F75)</f>
        <v/>
      </c>
      <c r="AA75" s="22" t="n">
        <v>200.371</v>
      </c>
      <c r="AB75" s="20" t="n">
        <v>0.078</v>
      </c>
      <c r="AC75" s="20" t="n">
        <v>0.2569037764016737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2026-09-08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Intuit</t>
        </is>
      </c>
      <c r="C76" s="12" t="inlineStr">
        <is>
          <t>INTU</t>
        </is>
      </c>
      <c r="D76" s="11" t="inlineStr">
        <is>
          <t>Software</t>
        </is>
      </c>
      <c r="E76" s="13" t="inlineStr">
        <is>
          <t>Tecnologia</t>
        </is>
      </c>
      <c r="F76" s="14" t="n">
        <v>314.205</v>
      </c>
      <c r="G76" s="15" t="inlineStr">
        <is>
          <t>USD</t>
        </is>
      </c>
      <c r="H76" s="14" t="n">
        <v>270.2162994595674</v>
      </c>
      <c r="I76" s="16" t="n">
        <v>73914.16185217167</v>
      </c>
      <c r="J76" s="16" t="n">
        <v>85946.7</v>
      </c>
      <c r="K76" s="14" t="n">
        <v>16.47</v>
      </c>
      <c r="L76" s="14" t="n">
        <v>27.32629</v>
      </c>
      <c r="M76" s="17">
        <f>IF(OR(F76="",K76="",K76&lt;=0),"",F76/K76)</f>
        <v/>
      </c>
      <c r="N76" s="18" t="n">
        <v>4.499957</v>
      </c>
      <c r="O76" s="19">
        <f>IF(OR(N76="",M76="",M76&lt;=0),"",N76/M76)</f>
        <v/>
      </c>
      <c r="P76" s="20" t="n">
        <v>0.23596</v>
      </c>
      <c r="Q76" s="20" t="n">
        <v>0.1551816887709601</v>
      </c>
      <c r="R76" s="20" t="n">
        <v>0.02686062869345323</v>
      </c>
      <c r="S76" s="21" t="n">
        <v>4</v>
      </c>
      <c r="T76" s="20" t="n"/>
      <c r="U76" s="20" t="n">
        <v>0.1962962962962963</v>
      </c>
      <c r="V76" s="20" t="n">
        <v>0.1607181601215014</v>
      </c>
      <c r="W76" s="20" t="n">
        <v>0.1380508425502345</v>
      </c>
      <c r="X76" s="20" t="n">
        <v>0.125661456115808</v>
      </c>
      <c r="Y76" s="14" t="n">
        <v>5.52</v>
      </c>
      <c r="Z76" s="19">
        <f>IF(OR(Y76="",F76="",F76=0),"",Y76/F76)</f>
        <v/>
      </c>
      <c r="AA76" s="22" t="n">
        <v>43.892</v>
      </c>
      <c r="AB76" s="20" t="n">
        <v>0.137</v>
      </c>
      <c r="AC76" s="20" t="n">
        <v>0.2424725255164357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2026-09-08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Norfolk Southern</t>
        </is>
      </c>
      <c r="C77" s="12" t="inlineStr">
        <is>
          <t>NSC</t>
        </is>
      </c>
      <c r="D77" s="11" t="inlineStr">
        <is>
          <t>Ferrovie</t>
        </is>
      </c>
      <c r="E77" s="13" t="inlineStr">
        <is>
          <t>Industriale</t>
        </is>
      </c>
      <c r="F77" s="14" t="n">
        <v>328.965</v>
      </c>
      <c r="G77" s="15" t="inlineStr">
        <is>
          <t>USD</t>
        </is>
      </c>
      <c r="H77" s="14" t="n">
        <v>282.9098994341802</v>
      </c>
      <c r="I77" s="16" t="n">
        <v>63543.93787291213</v>
      </c>
      <c r="J77" s="16" t="n">
        <v>73888.3</v>
      </c>
      <c r="K77" s="14" t="n">
        <v>11.73</v>
      </c>
      <c r="L77" s="14" t="n">
        <v>14.32112</v>
      </c>
      <c r="M77" s="17">
        <f>IF(OR(F77="",K77="",K77&lt;=0),"",F77/K77)</f>
        <v/>
      </c>
      <c r="N77" s="18" t="n">
        <v>4.5461016</v>
      </c>
      <c r="O77" s="19">
        <f>IF(OR(N77="",M77="",M77&lt;=0),"",N77/M77)</f>
        <v/>
      </c>
      <c r="P77" s="20" t="n">
        <v>0.16985</v>
      </c>
      <c r="Q77" s="20" t="n">
        <v>0.1919584509394721</v>
      </c>
      <c r="R77" s="20" t="n">
        <v>0.04103328172323672</v>
      </c>
      <c r="S77" s="21" t="n">
        <v>4</v>
      </c>
      <c r="T77" s="20" t="n"/>
      <c r="U77" s="20" t="n">
        <v>0.1847944941146202</v>
      </c>
      <c r="V77" s="20" t="n">
        <v>0.1832797427652733</v>
      </c>
      <c r="W77" s="20" t="n">
        <v>0.1429465613019326</v>
      </c>
      <c r="X77" s="20" t="n">
        <v>0.2568130055760622</v>
      </c>
      <c r="Y77" s="14" t="n">
        <v>5.4</v>
      </c>
      <c r="Z77" s="19">
        <f>IF(OR(Y77="",F77="",F77=0),"",Y77/F77)</f>
        <v/>
      </c>
      <c r="AA77" s="22" t="n">
        <v>105.519</v>
      </c>
      <c r="AB77" s="20" t="n">
        <v>0.114</v>
      </c>
      <c r="AC77" s="20" t="n">
        <v>0.2161740505747126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2026-09-08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Regeneron</t>
        </is>
      </c>
      <c r="C78" s="12" t="inlineStr">
        <is>
          <t>REGN</t>
        </is>
      </c>
      <c r="D78" s="11" t="inlineStr">
        <is>
          <t>Biotecnologie</t>
        </is>
      </c>
      <c r="E78" s="13" t="inlineStr">
        <is>
          <t>Salute</t>
        </is>
      </c>
      <c r="F78" s="14" t="n">
        <v>808.59</v>
      </c>
      <c r="G78" s="15" t="inlineStr">
        <is>
          <t>USD</t>
        </is>
      </c>
      <c r="H78" s="14" t="n">
        <v>695.3873986092253</v>
      </c>
      <c r="I78" s="16" t="n">
        <v>71593.62385681276</v>
      </c>
      <c r="J78" s="16" t="n">
        <v>83248.39999999999</v>
      </c>
      <c r="K78" s="14" t="n">
        <v>40.39</v>
      </c>
      <c r="L78" s="14" t="n">
        <v>60.61216</v>
      </c>
      <c r="M78" s="17">
        <f>IF(OR(F78="",K78="",K78&lt;=0),"",F78/K78)</f>
        <v/>
      </c>
      <c r="N78" s="18" t="n">
        <v>2.5579307</v>
      </c>
      <c r="O78" s="19">
        <f>IF(OR(N78="",M78="",M78&lt;=0),"",N78/M78)</f>
        <v/>
      </c>
      <c r="P78" s="20" t="n">
        <v>0.14043</v>
      </c>
      <c r="Q78" s="20" t="n">
        <v>0.1595230520456649</v>
      </c>
      <c r="R78" s="20" t="n">
        <v>0.01865889297829353</v>
      </c>
      <c r="S78" s="21" t="n">
        <v>4</v>
      </c>
      <c r="T78" s="20" t="n"/>
      <c r="U78" s="20" t="n">
        <v>0.1441249772050331</v>
      </c>
      <c r="V78" s="20" t="n">
        <v>0.1503256840728224</v>
      </c>
      <c r="W78" s="20" t="n">
        <v>0.1522190266082986</v>
      </c>
      <c r="X78" s="20" t="n">
        <v>0.1914225202965055</v>
      </c>
      <c r="Y78" s="14" t="n">
        <v>3.76</v>
      </c>
      <c r="Z78" s="19">
        <f>IF(OR(Y78="",F78="",F78=0),"",Y78/F78)</f>
        <v/>
      </c>
      <c r="AA78" s="22" t="n">
        <v>8.535</v>
      </c>
      <c r="AB78" s="20" t="n">
        <v>0.167</v>
      </c>
      <c r="AC78" s="20" t="n">
        <v>0.301800884339987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2026-09-08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Ecolab</t>
        </is>
      </c>
      <c r="C79" s="12" t="inlineStr">
        <is>
          <t>ECL</t>
        </is>
      </c>
      <c r="D79" s="11" t="inlineStr">
        <is>
          <t>Chimica specialistica</t>
        </is>
      </c>
      <c r="E79" s="13" t="inlineStr">
        <is>
          <t>Materiali</t>
        </is>
      </c>
      <c r="F79" s="14" t="n">
        <v>277.805</v>
      </c>
      <c r="G79" s="15" t="inlineStr">
        <is>
          <t>USD</t>
        </is>
      </c>
      <c r="H79" s="14" t="n">
        <v>238.9122995221754</v>
      </c>
      <c r="I79" s="16" t="n">
        <v>66973.96186605208</v>
      </c>
      <c r="J79" s="16" t="n">
        <v>77876.7</v>
      </c>
      <c r="K79" s="14" t="n">
        <v>7.46</v>
      </c>
      <c r="L79" s="14" t="n">
        <v>9.417759999999999</v>
      </c>
      <c r="M79" s="17">
        <f>IF(OR(F79="",K79="",K79&lt;=0),"",F79/K79)</f>
        <v/>
      </c>
      <c r="N79" s="18" t="n">
        <v>7.744773</v>
      </c>
      <c r="O79" s="19">
        <f>IF(OR(N79="",M79="",M79&lt;=0),"",N79/M79)</f>
        <v/>
      </c>
      <c r="P79" s="20" t="n">
        <v>0.21956</v>
      </c>
      <c r="Q79" s="20" t="n">
        <v>0.1937744228136611</v>
      </c>
      <c r="R79" s="20" t="n">
        <v>0.03527525358757358</v>
      </c>
      <c r="S79" s="21" t="n">
        <v>4</v>
      </c>
      <c r="T79" s="20" t="n"/>
      <c r="U79" s="20" t="n">
        <v>0.2124288696933721</v>
      </c>
      <c r="V79" s="20" t="n">
        <v>0.2412158998778162</v>
      </c>
      <c r="W79" s="20" t="n">
        <v>0.1705843598891195</v>
      </c>
      <c r="X79" s="20" t="n">
        <v>0.1508685617943367</v>
      </c>
      <c r="Y79" s="14" t="n">
        <v>2.92</v>
      </c>
      <c r="Z79" s="19">
        <f>IF(OR(Y79="",F79="",F79=0),"",Y79/F79)</f>
        <v/>
      </c>
      <c r="AA79" s="22" t="n">
        <v>138.023</v>
      </c>
      <c r="AB79" s="20" t="n">
        <v>0.097</v>
      </c>
      <c r="AC79" s="20" t="n">
        <v>0.1316070939979604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2026-09-08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Cummins</t>
        </is>
      </c>
      <c r="C80" s="12" t="inlineStr">
        <is>
          <t>CMI</t>
        </is>
      </c>
      <c r="D80" s="11" t="inlineStr">
        <is>
          <t>Motori</t>
        </is>
      </c>
      <c r="E80" s="13" t="inlineStr">
        <is>
          <t>Industriale</t>
        </is>
      </c>
      <c r="F80" s="14" t="n">
        <v>564.85</v>
      </c>
      <c r="G80" s="15" t="inlineStr">
        <is>
          <t>USD</t>
        </is>
      </c>
      <c r="H80" s="14" t="n">
        <v>485.770999028458</v>
      </c>
      <c r="I80" s="16" t="n">
        <v>66873.42786625316</v>
      </c>
      <c r="J80" s="16" t="n">
        <v>77759.8</v>
      </c>
      <c r="K80" s="14" t="n">
        <v>19.57</v>
      </c>
      <c r="L80" s="14" t="n">
        <v>34.50403</v>
      </c>
      <c r="M80" s="17">
        <f>IF(OR(F80="",K80="",K80&lt;=0),"",F80/K80)</f>
        <v/>
      </c>
      <c r="N80" s="18" t="n">
        <v>6.052764</v>
      </c>
      <c r="O80" s="19">
        <f>IF(OR(N80="",M80="",M80&lt;=0),"",N80/M80)</f>
        <v/>
      </c>
      <c r="P80" s="20" t="n">
        <v>0.21114</v>
      </c>
      <c r="Q80" s="20" t="n">
        <v>0.2342815370053821</v>
      </c>
      <c r="R80" s="20" t="n">
        <v>0.106522642649389</v>
      </c>
      <c r="S80" s="21" t="n">
        <v>4</v>
      </c>
      <c r="T80" s="20" t="n"/>
      <c r="U80" s="20" t="n">
        <v>0.2302210705320269</v>
      </c>
      <c r="V80" s="20" t="n">
        <v>0.3841884918703145</v>
      </c>
      <c r="W80" s="20" t="n">
        <v>0.08305084745762711</v>
      </c>
      <c r="X80" s="20" t="n">
        <v>0.2396657381615599</v>
      </c>
      <c r="Y80" s="14" t="n">
        <v>8.800000000000001</v>
      </c>
      <c r="Z80" s="19">
        <f>IF(OR(Y80="",F80="",F80=0),"",Y80/F80)</f>
        <v/>
      </c>
      <c r="AA80" s="22" t="n">
        <v>59.586</v>
      </c>
      <c r="AB80" s="20" t="n">
        <v>0.094</v>
      </c>
      <c r="AC80" s="20" t="n">
        <v>0.08063558253638253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2026-09-08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Vertiv Holdings</t>
        </is>
      </c>
      <c r="C81" s="12" t="inlineStr">
        <is>
          <t>VRT</t>
        </is>
      </c>
      <c r="D81" s="11" t="inlineStr">
        <is>
          <t>Infrastrutture data center</t>
        </is>
      </c>
      <c r="E81" s="13" t="inlineStr">
        <is>
          <t>Industriale</t>
        </is>
      </c>
      <c r="F81" s="14" t="n">
        <v>293.49</v>
      </c>
      <c r="G81" s="15" t="inlineStr">
        <is>
          <t>USD</t>
        </is>
      </c>
      <c r="H81" s="14" t="n">
        <v>252.4013994951972</v>
      </c>
      <c r="I81" s="16" t="n">
        <v>97171.57180565686</v>
      </c>
      <c r="J81" s="16" t="n">
        <v>112990.2</v>
      </c>
      <c r="K81" s="14" t="n">
        <v>4.43</v>
      </c>
      <c r="L81" s="14" t="n">
        <v>9.12236</v>
      </c>
      <c r="M81" s="17">
        <f>IF(OR(F81="",K81="",K81&lt;=0),"",F81/K81)</f>
        <v/>
      </c>
      <c r="N81" s="18" t="n">
        <v>23.747066</v>
      </c>
      <c r="O81" s="19">
        <f>IF(OR(N81="",M81="",M81&lt;=0),"",N81/M81)</f>
        <v/>
      </c>
      <c r="P81" s="20" t="n">
        <v>0.43943</v>
      </c>
      <c r="Q81" s="20" t="n">
        <v>0.2058394575908118</v>
      </c>
      <c r="R81" s="20" t="n">
        <v>0.1016672316552922</v>
      </c>
      <c r="S81" s="21" t="n">
        <v>4</v>
      </c>
      <c r="T81" s="20" t="n"/>
      <c r="U81" s="20" t="n">
        <v>0.3381625352041205</v>
      </c>
      <c r="V81" s="20" t="n">
        <v>0.2036725136589574</v>
      </c>
      <c r="W81" s="20" t="n">
        <v>0.2283984316839545</v>
      </c>
      <c r="X81" s="20" t="n">
        <v>0.05312434981621472</v>
      </c>
      <c r="Y81" s="14" t="n">
        <v>0.25</v>
      </c>
      <c r="Z81" s="19">
        <f>IF(OR(Y81="",F81="",F81=0),"",Y81/F81)</f>
        <v/>
      </c>
      <c r="AA81" s="22" t="n">
        <v>70.166</v>
      </c>
      <c r="AB81" s="20" t="n">
        <v>0.241</v>
      </c>
      <c r="AC81" s="20" t="n">
        <v>0.1693076178652773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2026-09-08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Charles Schwab</t>
        </is>
      </c>
      <c r="C82" s="12" t="inlineStr">
        <is>
          <t>SCHW</t>
        </is>
      </c>
      <c r="D82" s="11" t="inlineStr">
        <is>
          <t>Intermediazione</t>
        </is>
      </c>
      <c r="E82" s="13" t="inlineStr">
        <is>
          <t>Finanziario</t>
        </is>
      </c>
      <c r="F82" s="14" t="n">
        <v>108.435</v>
      </c>
      <c r="G82" s="15" t="inlineStr">
        <is>
          <t>USD</t>
        </is>
      </c>
      <c r="H82" s="14" t="n">
        <v>93.25409981349181</v>
      </c>
      <c r="I82" s="16" t="n">
        <v>161267.6296774647</v>
      </c>
      <c r="J82" s="16" t="n">
        <v>187520.5</v>
      </c>
      <c r="K82" s="14" t="n">
        <v>5.49</v>
      </c>
      <c r="L82" s="14" t="n">
        <v>7.80434</v>
      </c>
      <c r="M82" s="17">
        <f>IF(OR(F82="",K82="",K82&lt;=0),"",F82/K82)</f>
        <v/>
      </c>
      <c r="N82" s="18" t="n">
        <v>4.265232</v>
      </c>
      <c r="O82" s="19">
        <f>IF(OR(N82="",M82="",M82&lt;=0),"",N82/M82)</f>
        <v/>
      </c>
      <c r="P82" s="20" t="n">
        <v>0.20273</v>
      </c>
      <c r="Q82" s="20" t="n">
        <v>0.1554644312241724</v>
      </c>
      <c r="R82" s="20" t="n">
        <v>0.03275755535947185</v>
      </c>
      <c r="S82" s="21" t="n">
        <v>4</v>
      </c>
      <c r="T82" s="20" t="n"/>
      <c r="U82" s="20" t="n">
        <v>0.179099645928174</v>
      </c>
      <c r="V82" s="20" t="n">
        <v>0.1228320413436692</v>
      </c>
      <c r="W82" s="20" t="n">
        <v>0.1237120953171542</v>
      </c>
      <c r="X82" s="20" t="n">
        <v>0.1962139423076923</v>
      </c>
      <c r="Y82" s="14" t="n">
        <v>1.28</v>
      </c>
      <c r="Z82" s="19">
        <f>IF(OR(Y82="",F82="",F82=0),"",Y82/F82)</f>
        <v/>
      </c>
      <c r="AA82" s="22" t="n">
        <v>151.106</v>
      </c>
      <c r="AB82" s="20" t="n">
        <v>0.209</v>
      </c>
      <c r="AC82" s="20" t="n">
        <v>0.4064420423895322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2026-09-08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Walmart</t>
        </is>
      </c>
      <c r="C83" s="12" t="inlineStr">
        <is>
          <t>WMT</t>
        </is>
      </c>
      <c r="D83" s="11" t="inlineStr">
        <is>
          <t>Grande distribuzione</t>
        </is>
      </c>
      <c r="E83" s="13" t="inlineStr">
        <is>
          <t>Consumi</t>
        </is>
      </c>
      <c r="F83" s="14" t="n">
        <v>105.925</v>
      </c>
      <c r="G83" s="15" t="inlineStr">
        <is>
          <t>USD</t>
        </is>
      </c>
      <c r="H83" s="14" t="n">
        <v>91.095499817809</v>
      </c>
      <c r="I83" s="16" t="n">
        <v>724945.2545501095</v>
      </c>
      <c r="J83" s="16" t="n">
        <v>842959.6</v>
      </c>
      <c r="K83" s="14" t="n">
        <v>2.76</v>
      </c>
      <c r="L83" s="14" t="n">
        <v>3.23024</v>
      </c>
      <c r="M83" s="17">
        <f>IF(OR(F83="",K83="",K83&lt;=0),"",F83/K83)</f>
        <v/>
      </c>
      <c r="N83" s="18" t="n">
        <v>8.940327999999999</v>
      </c>
      <c r="O83" s="19">
        <f>IF(OR(N83="",M83="",M83&lt;=0),"",N83/M83)</f>
        <v/>
      </c>
      <c r="P83" s="20" t="n">
        <v>0.22313999</v>
      </c>
      <c r="Q83" s="20" t="n">
        <v>0.1926449949502596</v>
      </c>
      <c r="R83" s="20" t="n">
        <v>0.02673988363519914</v>
      </c>
      <c r="S83" s="21" t="n">
        <v>4</v>
      </c>
      <c r="T83" s="20" t="n">
        <v>0.2197717257094673</v>
      </c>
      <c r="U83" s="20" t="n">
        <v>0.2135519101666795</v>
      </c>
      <c r="V83" s="20" t="n">
        <v>0.1849608280368705</v>
      </c>
      <c r="W83" s="20" t="n">
        <v>0.1522955158880211</v>
      </c>
      <c r="X83" s="20" t="n"/>
      <c r="Y83" s="14" t="n">
        <v>0.99</v>
      </c>
      <c r="Z83" s="19">
        <f>IF(OR(Y83="",F83="",F83=0),"",Y83/F83)</f>
        <v/>
      </c>
      <c r="AA83" s="22" t="n">
        <v>71.65300000000001</v>
      </c>
      <c r="AB83" s="20" t="n">
        <v>0.059</v>
      </c>
      <c r="AC83" s="20" t="n">
        <v>0.03095505551465794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2026-09-08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356.14</v>
      </c>
      <c r="G84" s="15" t="inlineStr">
        <is>
          <t>USD</t>
        </is>
      </c>
      <c r="H84" s="14" t="n">
        <v>306.2803993874392</v>
      </c>
      <c r="I84" s="16" t="n">
        <v>82866.33183426734</v>
      </c>
      <c r="J84" s="16" t="n">
        <v>96356.2</v>
      </c>
      <c r="K84" s="14" t="n">
        <v>16.39</v>
      </c>
      <c r="L84" s="14" t="n">
        <v>18.58732</v>
      </c>
      <c r="M84" s="17">
        <f>IF(OR(F84="",K84="",K84&lt;=0),"",F84/K84)</f>
        <v/>
      </c>
      <c r="N84" s="18" t="n">
        <v>3.5865057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2026-09-08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350.135</v>
      </c>
      <c r="G85" s="15" t="inlineStr">
        <is>
          <t>USD</t>
        </is>
      </c>
      <c r="H85" s="14" t="n">
        <v>301.1160993977678</v>
      </c>
      <c r="I85" s="16" t="n">
        <v>107883.3017842334</v>
      </c>
      <c r="J85" s="16" t="n">
        <v>125445.7</v>
      </c>
      <c r="K85" s="14" t="n">
        <v>8.73</v>
      </c>
      <c r="L85" s="14" t="n">
        <v>12.07187</v>
      </c>
      <c r="M85" s="17">
        <f>IF(OR(F85="",K85="",K85&lt;=0),"",F85/K85)</f>
        <v/>
      </c>
      <c r="N85" s="18" t="n">
        <v>6.820192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2026-09-08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NextEra Energy</t>
        </is>
      </c>
      <c r="C86" s="12" t="inlineStr">
        <is>
          <t>NEE</t>
        </is>
      </c>
      <c r="D86" s="11" t="inlineStr">
        <is>
          <t>Utility / Rinnovabili</t>
        </is>
      </c>
      <c r="E86" s="13" t="inlineStr">
        <is>
          <t>Utility</t>
        </is>
      </c>
      <c r="F86" s="14" t="n">
        <v>83.98</v>
      </c>
      <c r="G86" s="15" t="inlineStr">
        <is>
          <t>USD</t>
        </is>
      </c>
      <c r="H86" s="14" t="n">
        <v>72.22279985555441</v>
      </c>
      <c r="I86" s="16" t="n">
        <v>150655.2296986895</v>
      </c>
      <c r="J86" s="16" t="n">
        <v>175180.5</v>
      </c>
      <c r="K86" s="14" t="n">
        <v>4.45</v>
      </c>
      <c r="L86" s="14" t="n">
        <v>4.38861</v>
      </c>
      <c r="M86" s="17">
        <f>IF(OR(F86="",K86="",K86&lt;=0),"",F86/K86)</f>
        <v/>
      </c>
      <c r="N86" s="18" t="n">
        <v>3.0663066</v>
      </c>
      <c r="O86" s="19">
        <f>IF(OR(N86="",M86="",M86&lt;=0),"",N86/M86)</f>
        <v/>
      </c>
      <c r="P86" s="20" t="n">
        <v>0.11677</v>
      </c>
      <c r="Q86" s="20" t="n">
        <v>0.1308789630201321</v>
      </c>
      <c r="R86" s="20" t="n">
        <v>0.01775346387851813</v>
      </c>
      <c r="S86" s="21" t="n">
        <v>4</v>
      </c>
      <c r="T86" s="20" t="n"/>
      <c r="U86" s="20" t="n">
        <v>0.1251648110167008</v>
      </c>
      <c r="V86" s="20" t="n">
        <v>0.138639947306441</v>
      </c>
      <c r="W86" s="20" t="n">
        <v>0.1539984831886745</v>
      </c>
      <c r="X86" s="20" t="n">
        <v>0.1057126105687119</v>
      </c>
      <c r="Y86" s="14" t="n">
        <v>2.49</v>
      </c>
      <c r="Z86" s="19">
        <f>IF(OR(Y86="",F86="",F86=0),"",Y86/F86)</f>
        <v/>
      </c>
      <c r="AA86" s="22" t="n">
        <v>161.676</v>
      </c>
      <c r="AB86" s="20" t="n">
        <v>0.124</v>
      </c>
      <c r="AC86" s="20" t="n">
        <v>0.3392310053990953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2026-09-08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682.42</v>
      </c>
      <c r="G87" s="15" t="inlineStr">
        <is>
          <t>USD</t>
        </is>
      </c>
      <c r="H87" s="14" t="n">
        <v>586.8811988262377</v>
      </c>
      <c r="I87" s="16" t="n">
        <v>158238.1076835238</v>
      </c>
      <c r="J87" s="16" t="n">
        <v>183997.8</v>
      </c>
      <c r="K87" s="14" t="n">
        <v>17.96</v>
      </c>
      <c r="L87" s="14" t="n">
        <v>22.68547</v>
      </c>
      <c r="M87" s="17">
        <f>IF(OR(F87="",K87="",K87&lt;=0),"",F87/K87)</f>
        <v/>
      </c>
      <c r="N87" s="18" t="n">
        <v>6.573677</v>
      </c>
      <c r="O87" s="19">
        <f>IF(OR(N87="",M87="",M87&lt;=0),"",N87/M87)</f>
        <v/>
      </c>
      <c r="P87" s="20" t="n">
        <v>0.18242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0.1091010844285235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2026-09-08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Elevance Health</t>
        </is>
      </c>
      <c r="C88" s="12" t="inlineStr">
        <is>
          <t>ELV</t>
        </is>
      </c>
      <c r="D88" s="11" t="inlineStr">
        <is>
          <t>Assicurazione sanitaria</t>
        </is>
      </c>
      <c r="E88" s="13" t="inlineStr">
        <is>
          <t>Salute</t>
        </is>
      </c>
      <c r="F88" s="14" t="n">
        <v>400.2</v>
      </c>
      <c r="G88" s="15" t="inlineStr">
        <is>
          <t>USD</t>
        </is>
      </c>
      <c r="H88" s="14" t="n">
        <v>344.171999311656</v>
      </c>
      <c r="I88" s="16" t="n">
        <v>74640.34585071931</v>
      </c>
      <c r="J88" s="16" t="n">
        <v>86791.10000000001</v>
      </c>
      <c r="K88" s="14" t="n">
        <v>22.62</v>
      </c>
      <c r="L88" s="14" t="n">
        <v>29.60546</v>
      </c>
      <c r="M88" s="17">
        <f>IF(OR(F88="",K88="",K88&lt;=0),"",F88/K88)</f>
        <v/>
      </c>
      <c r="N88" s="18" t="n">
        <v>1.9334642</v>
      </c>
      <c r="O88" s="19">
        <f>IF(OR(N88="",M88="",M88&lt;=0),"",N88/M88)</f>
        <v/>
      </c>
      <c r="P88" s="20" t="n">
        <v>0.11133</v>
      </c>
      <c r="Q88" s="20" t="n">
        <v>0.1471779214463593</v>
      </c>
      <c r="R88" s="20" t="n">
        <v>0.01225127753653764</v>
      </c>
      <c r="S88" s="21" t="n">
        <v>4</v>
      </c>
      <c r="T88" s="20" t="n"/>
      <c r="U88" s="20" t="n">
        <v>0.1290278474089604</v>
      </c>
      <c r="V88" s="20" t="n">
        <v>0.1447416192666102</v>
      </c>
      <c r="W88" s="20" t="n">
        <v>0.1523177123085534</v>
      </c>
      <c r="X88" s="20" t="n">
        <v>0.1626245068013134</v>
      </c>
      <c r="Y88" s="14" t="n">
        <v>6.88</v>
      </c>
      <c r="Z88" s="19">
        <f>IF(OR(Y88="",F88="",F88=0),"",Y88/F88)</f>
        <v/>
      </c>
      <c r="AA88" s="22" t="n">
        <v>68.953</v>
      </c>
      <c r="AB88" s="20" t="n">
        <v>0.014</v>
      </c>
      <c r="AC88" s="20" t="n">
        <v>0.02492404172253609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2026-09-08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159.21</v>
      </c>
      <c r="G89" s="15" t="inlineStr">
        <is>
          <t>USD</t>
        </is>
      </c>
      <c r="H89" s="14" t="n">
        <v>136.9205997261588</v>
      </c>
      <c r="I89" s="16" t="n">
        <v>563005.4488739892</v>
      </c>
      <c r="J89" s="16" t="n">
        <v>654657.5</v>
      </c>
      <c r="K89" s="14" t="n">
        <v>7.77</v>
      </c>
      <c r="L89" s="14" t="n">
        <v>10.78385</v>
      </c>
      <c r="M89" s="17">
        <f>IF(OR(F89="",K89="",K89&lt;=0),"",F89/K89)</f>
        <v/>
      </c>
      <c r="N89" s="18" t="n">
        <v>2.523938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2026-09-08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Kimberly-Clark</t>
        </is>
      </c>
      <c r="C90" s="12" t="inlineStr">
        <is>
          <t>KMB</t>
        </is>
      </c>
      <c r="D90" s="11" t="inlineStr">
        <is>
          <t>Beni per la casa</t>
        </is>
      </c>
      <c r="E90" s="13" t="inlineStr">
        <is>
          <t>Consumi</t>
        </is>
      </c>
      <c r="F90" s="14" t="n">
        <v>102.995</v>
      </c>
      <c r="G90" s="15" t="inlineStr">
        <is>
          <t>USD</t>
        </is>
      </c>
      <c r="H90" s="14" t="n">
        <v>88.57569982284861</v>
      </c>
      <c r="I90" s="16" t="n">
        <v>29458.43994108312</v>
      </c>
      <c r="J90" s="16" t="n">
        <v>34254</v>
      </c>
      <c r="K90" s="14" t="n">
        <v>5.06</v>
      </c>
      <c r="L90" s="14" t="n">
        <v>7.50302</v>
      </c>
      <c r="M90" s="17">
        <f>IF(OR(F90="",K90="",K90&lt;=0),"",F90/K90)</f>
        <v/>
      </c>
      <c r="N90" s="18" t="n">
        <v>19.573357</v>
      </c>
      <c r="O90" s="19">
        <f>IF(OR(N90="",M90="",M90&lt;=0),"",N90/M90)</f>
        <v/>
      </c>
      <c r="P90" s="20" t="n">
        <v>1.04913</v>
      </c>
      <c r="Q90" s="20" t="n">
        <v>2.459704758173796</v>
      </c>
      <c r="R90" s="20" t="n">
        <v>0.8670114317756352</v>
      </c>
      <c r="S90" s="21" t="n">
        <v>4</v>
      </c>
      <c r="T90" s="20" t="n"/>
      <c r="U90" s="20" t="n">
        <v>1.345539280958722</v>
      </c>
      <c r="V90" s="20" t="n">
        <v>3.029761904761905</v>
      </c>
      <c r="W90" s="20" t="n">
        <v>1.927868852459016</v>
      </c>
      <c r="X90" s="20" t="n">
        <v>3.535648994515539</v>
      </c>
      <c r="Y90" s="14" t="n">
        <v>5.12</v>
      </c>
      <c r="Z90" s="19">
        <f>IF(OR(Y90="",F90="",F90=0),"",Y90/F90)</f>
        <v/>
      </c>
      <c r="AA90" s="22" t="n">
        <v>348.933</v>
      </c>
      <c r="AB90" s="20" t="n">
        <v>0.006</v>
      </c>
      <c r="AC90" s="20" t="n">
        <v>0.1024502909953183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2026-09-08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281.51</v>
      </c>
      <c r="G91" s="15" t="inlineStr">
        <is>
          <t>USD</t>
        </is>
      </c>
      <c r="H91" s="14" t="n">
        <v>242.0985995158028</v>
      </c>
      <c r="I91" s="16" t="n">
        <v>92862.54181427493</v>
      </c>
      <c r="J91" s="16" t="n">
        <v>107979.7</v>
      </c>
      <c r="K91" s="14" t="n">
        <v>9.640000000000001</v>
      </c>
      <c r="L91" s="14" t="n">
        <v>16.75493</v>
      </c>
      <c r="M91" s="17">
        <f>IF(OR(F91="",K91="",K91&lt;=0),"",F91/K91)</f>
        <v/>
      </c>
      <c r="N91" s="18" t="n">
        <v>4.5014234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2026-09-08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57.21</v>
      </c>
      <c r="G92" s="15" t="inlineStr">
        <is>
          <t>USD</t>
        </is>
      </c>
      <c r="H92" s="14" t="n">
        <v>49.20059990159881</v>
      </c>
      <c r="I92" s="16" t="n">
        <v>73020.70785395859</v>
      </c>
      <c r="J92" s="16" t="n">
        <v>84907.8</v>
      </c>
      <c r="K92" s="14" t="n">
        <v>2.05</v>
      </c>
      <c r="L92" s="14" t="n">
        <v>3.23187</v>
      </c>
      <c r="M92" s="17">
        <f>IF(OR(F92="",K92="",K92&lt;=0),"",F92/K92)</f>
        <v/>
      </c>
      <c r="N92" s="18" t="n">
        <v>3.2564888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2026-09-08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1104.95</v>
      </c>
      <c r="G93" s="15" t="inlineStr">
        <is>
          <t>USD</t>
        </is>
      </c>
      <c r="H93" s="14" t="n">
        <v>950.2569980994862</v>
      </c>
      <c r="I93" s="16" t="n">
        <v>154394.1656912117</v>
      </c>
      <c r="J93" s="16" t="n">
        <v>179528.1</v>
      </c>
      <c r="K93" s="14" t="n">
        <v>41.75</v>
      </c>
      <c r="L93" s="14" t="n">
        <v>64.28437</v>
      </c>
      <c r="M93" s="17">
        <f>IF(OR(F93="",K93="",K93&lt;=0),"",F93/K93)</f>
        <v/>
      </c>
      <c r="N93" s="18" t="n">
        <v>2.9726608</v>
      </c>
      <c r="O93" s="19">
        <f>IF(OR(N93="",M93="",M93&lt;=0),"",N93/M93)</f>
        <v/>
      </c>
      <c r="P93" s="20" t="n">
        <v>0.122779995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23.192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2026-09-08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256.44</v>
      </c>
      <c r="G94" s="15" t="inlineStr">
        <is>
          <t>USD</t>
        </is>
      </c>
      <c r="H94" s="14" t="n">
        <v>220.5383995589232</v>
      </c>
      <c r="I94" s="16" t="n">
        <v>50034.7998999304</v>
      </c>
      <c r="J94" s="16" t="n">
        <v>58180</v>
      </c>
      <c r="K94" s="14" t="n">
        <v>12.53</v>
      </c>
      <c r="L94" s="14" t="n">
        <v>19.04565</v>
      </c>
      <c r="M94" s="17">
        <f>IF(OR(F94="",K94="",K94&lt;=0),"",F94/K94)</f>
        <v/>
      </c>
      <c r="N94" s="18" t="n">
        <v>2.6315033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0.08841632104388503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2026-09-08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231.56</v>
      </c>
      <c r="G95" s="15" t="inlineStr">
        <is>
          <t>USD</t>
        </is>
      </c>
      <c r="H95" s="14" t="n">
        <v>199.1415996017168</v>
      </c>
      <c r="I95" s="16" t="n">
        <v>187618.1156247638</v>
      </c>
      <c r="J95" s="16" t="n">
        <v>218160.6</v>
      </c>
      <c r="K95" s="14" t="n">
        <v>11.25</v>
      </c>
      <c r="L95" s="14" t="n">
        <v>13.16241</v>
      </c>
      <c r="M95" s="17">
        <f>IF(OR(F95="",K95="",K95&lt;=0),"",F95/K95)</f>
        <v/>
      </c>
      <c r="N95" s="18" t="n">
        <v>6.332312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2026-09-08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606.295</v>
      </c>
      <c r="G96" s="15" t="inlineStr">
        <is>
          <t>USD</t>
        </is>
      </c>
      <c r="H96" s="14" t="n">
        <v>521.4136989571726</v>
      </c>
      <c r="I96" s="16" t="n">
        <v>192791.2736144175</v>
      </c>
      <c r="J96" s="16" t="n">
        <v>224175.9</v>
      </c>
      <c r="K96" s="14" t="n">
        <v>18.6</v>
      </c>
      <c r="L96" s="14" t="n">
        <v>27.52812</v>
      </c>
      <c r="M96" s="17">
        <f>IF(OR(F96="",K96="",K96&lt;=0),"",F96/K96)</f>
        <v/>
      </c>
      <c r="N96" s="18" t="n">
        <v>4.255508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2026-09-08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469.66</v>
      </c>
      <c r="G97" s="15" t="inlineStr">
        <is>
          <t>USD</t>
        </is>
      </c>
      <c r="H97" s="14" t="n">
        <v>403.9075991921849</v>
      </c>
      <c r="I97" s="16" t="n">
        <v>186193.3536276133</v>
      </c>
      <c r="J97" s="16" t="n">
        <v>216503.9</v>
      </c>
      <c r="K97" s="14" t="n">
        <v>15.52</v>
      </c>
      <c r="L97" s="14" t="n">
        <v>19.55573</v>
      </c>
      <c r="M97" s="17">
        <f>IF(OR(F97="",K97="",K97&lt;=0),"",F97/K97)</f>
        <v/>
      </c>
      <c r="N97" s="18" t="n">
        <v>5.5398808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2026-09-08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162.805</v>
      </c>
      <c r="G98" s="15" t="inlineStr">
        <is>
          <t>USD</t>
        </is>
      </c>
      <c r="H98" s="14" t="n">
        <v>140.0122997199754</v>
      </c>
      <c r="I98" s="16" t="n">
        <v>403301.3851933972</v>
      </c>
      <c r="J98" s="16" t="n">
        <v>468955.1</v>
      </c>
      <c r="K98" s="14" t="n">
        <v>5.83</v>
      </c>
      <c r="L98" s="14" t="n">
        <v>10.96763</v>
      </c>
      <c r="M98" s="17">
        <f>IF(OR(F98="",K98="",K98&lt;=0),"",F98/K98)</f>
        <v/>
      </c>
      <c r="N98" s="18" t="n">
        <v>12.485045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2026-09-08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Berkshire Hathaway B</t>
        </is>
      </c>
      <c r="C99" s="12" t="inlineStr">
        <is>
          <t>BRK-B</t>
        </is>
      </c>
      <c r="D99" s="11" t="inlineStr">
        <is>
          <t>Conglomerata / Holding</t>
        </is>
      </c>
      <c r="E99" s="13" t="inlineStr">
        <is>
          <t>Finanziario</t>
        </is>
      </c>
      <c r="F99" s="14" t="n">
        <v>504.44</v>
      </c>
      <c r="G99" s="15" t="inlineStr">
        <is>
          <t>USD</t>
        </is>
      </c>
      <c r="H99" s="14" t="n">
        <v>433.8183991323633</v>
      </c>
      <c r="I99" s="16" t="n">
        <v>928679.2541426417</v>
      </c>
      <c r="J99" s="16" t="n">
        <v>1079859.6</v>
      </c>
      <c r="K99" s="14" t="n">
        <v>39.77</v>
      </c>
      <c r="L99" s="14" t="n">
        <v>22.19254</v>
      </c>
      <c r="M99" s="17">
        <f>IF(OR(F99="",K99="",K99&lt;=0),"",F99/K99)</f>
        <v/>
      </c>
      <c r="N99" s="18" t="n">
        <v>0.0009659421</v>
      </c>
      <c r="O99" s="19">
        <f>IF(OR(N99="",M99="",M99&lt;=0),"",N99/M99)</f>
        <v/>
      </c>
      <c r="P99" s="20" t="n">
        <v>0.121199995</v>
      </c>
      <c r="Q99" s="20" t="n">
        <v>0.08843956355337573</v>
      </c>
      <c r="R99" s="20" t="n">
        <v>0.08353327161790873</v>
      </c>
      <c r="S99" s="21" t="n">
        <v>4</v>
      </c>
      <c r="T99" s="20" t="n"/>
      <c r="U99" s="20" t="n">
        <v>0.09334572962243821</v>
      </c>
      <c r="V99" s="20" t="n">
        <v>0.137048638060391</v>
      </c>
      <c r="W99" s="20" t="n">
        <v>0.1714370725119505</v>
      </c>
      <c r="X99" s="20" t="n">
        <v>-0.04807318598127683</v>
      </c>
      <c r="Y99" s="14" t="n"/>
      <c r="Z99" s="19">
        <f>IF(OR(Y99="",F99="",F99=0),"",Y99/F99)</f>
        <v/>
      </c>
      <c r="AA99" s="22" t="n">
        <v>17.142</v>
      </c>
      <c r="AB99" s="20" t="n">
        <v>0.1</v>
      </c>
      <c r="AC99" s="20" t="n">
        <v>0.208924256395516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2026-09-08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MetLife</t>
        </is>
      </c>
      <c r="C100" s="12" t="inlineStr">
        <is>
          <t>MET</t>
        </is>
      </c>
      <c r="D100" s="11" t="inlineStr">
        <is>
          <t>Assicurazione vita</t>
        </is>
      </c>
      <c r="E100" s="13" t="inlineStr">
        <is>
          <t>Finanziario</t>
        </is>
      </c>
      <c r="F100" s="14" t="n">
        <v>95.87</v>
      </c>
      <c r="G100" s="15" t="inlineStr">
        <is>
          <t>USD</t>
        </is>
      </c>
      <c r="H100" s="14" t="n">
        <v>82.44819983510361</v>
      </c>
      <c r="I100" s="16" t="n">
        <v>52393.9518952121</v>
      </c>
      <c r="J100" s="16" t="n">
        <v>60923.2</v>
      </c>
      <c r="K100" s="14" t="n">
        <v>5.22</v>
      </c>
      <c r="L100" s="14" t="n">
        <v>10.92058</v>
      </c>
      <c r="M100" s="17">
        <f>IF(OR(F100="",K100="",K100&lt;=0),"",F100/K100)</f>
        <v/>
      </c>
      <c r="N100" s="18" t="n">
        <v>2.228084</v>
      </c>
      <c r="O100" s="19">
        <f>IF(OR(N100="",M100="",M100&lt;=0),"",N100/M100)</f>
        <v/>
      </c>
      <c r="P100" s="20" t="n">
        <v>0.13094</v>
      </c>
      <c r="Q100" s="20" t="n">
        <v>0.1274159335614763</v>
      </c>
      <c r="R100" s="20" t="n">
        <v>0.04811596554463902</v>
      </c>
      <c r="S100" s="21" t="n">
        <v>4</v>
      </c>
      <c r="T100" s="20" t="n"/>
      <c r="U100" s="20" t="n">
        <v>0.1189872526234242</v>
      </c>
      <c r="V100" s="20" t="n">
        <v>0.1612679905265076</v>
      </c>
      <c r="W100" s="20" t="n">
        <v>0.05257371314342828</v>
      </c>
      <c r="X100" s="20" t="n">
        <v>0.1768347779525451</v>
      </c>
      <c r="Y100" s="14" t="n">
        <v>2.37</v>
      </c>
      <c r="Z100" s="19">
        <f>IF(OR(Y100="",F100="",F100=0),"",Y100/F100)</f>
        <v/>
      </c>
      <c r="AA100" s="22" t="n">
        <v>179.933</v>
      </c>
      <c r="AB100" s="20" t="n">
        <v>0.105</v>
      </c>
      <c r="AC100" s="20" t="n">
        <v>0.04548338403785656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2026-09-08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134.15</v>
      </c>
      <c r="G101" s="15" t="inlineStr">
        <is>
          <t>USD</t>
        </is>
      </c>
      <c r="H101" s="14" t="n">
        <v>115.368999769262</v>
      </c>
      <c r="I101" s="16" t="n">
        <v>119275.6357614487</v>
      </c>
      <c r="J101" s="16" t="n">
        <v>138692.6</v>
      </c>
      <c r="K101" s="14" t="n">
        <v>1.6</v>
      </c>
      <c r="L101" s="14" t="n">
        <v>5.00551</v>
      </c>
      <c r="M101" s="17">
        <f>IF(OR(F101="",K101="",K101&lt;=0),"",F101/K101)</f>
        <v/>
      </c>
      <c r="N101" s="18" t="n">
        <v>11.081282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2026-09-08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400.23</v>
      </c>
      <c r="G102" s="15" t="inlineStr">
        <is>
          <t>USD</t>
        </is>
      </c>
      <c r="H102" s="14" t="n">
        <v>344.1977993116045</v>
      </c>
      <c r="I102" s="16" t="n">
        <v>308950.1833820997</v>
      </c>
      <c r="J102" s="16" t="n">
        <v>359244.4</v>
      </c>
      <c r="K102" s="14" t="n">
        <v>15.57</v>
      </c>
      <c r="L102" s="14" t="n">
        <v>22.43537</v>
      </c>
      <c r="M102" s="17">
        <f>IF(OR(F102="",K102="",K102&lt;=0),"",F102/K102)</f>
        <v/>
      </c>
      <c r="N102" s="18" t="n">
        <v>3.679227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2026-09-08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315.635</v>
      </c>
      <c r="G103" s="15" t="inlineStr">
        <is>
          <t>USD</t>
        </is>
      </c>
      <c r="H103" s="14" t="n">
        <v>271.4460994571078</v>
      </c>
      <c r="I103" s="16" t="n">
        <v>270818.987458362</v>
      </c>
      <c r="J103" s="16" t="n">
        <v>314905.8</v>
      </c>
      <c r="K103" s="14" t="n">
        <v>14.29</v>
      </c>
      <c r="L103" s="14" t="n">
        <v>16.03774</v>
      </c>
      <c r="M103" s="17">
        <f>IF(OR(F103="",K103="",K103&lt;=0),"",F103/K103)</f>
        <v/>
      </c>
      <c r="N103" s="18" t="n">
        <v>18.957058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2026-09-08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152.6504</v>
      </c>
      <c r="G104" s="15" t="inlineStr">
        <is>
          <t>USD</t>
        </is>
      </c>
      <c r="H104" s="14" t="n">
        <v>131.2793437374413</v>
      </c>
      <c r="I104" s="16" t="n">
        <v>73227.62385354475</v>
      </c>
      <c r="J104" s="16" t="n">
        <v>85148.39999999999</v>
      </c>
      <c r="K104" s="14" t="n">
        <v>4.57</v>
      </c>
      <c r="L104" s="14" t="n">
        <v>7.24459</v>
      </c>
      <c r="M104" s="17">
        <f>IF(OR(F104="",K104="",K104&lt;=0),"",F104/K104)</f>
        <v/>
      </c>
      <c r="N104" s="18" t="n">
        <v>4.1781964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2026-09-08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210.06</v>
      </c>
      <c r="G105" s="15" t="inlineStr">
        <is>
          <t>USD</t>
        </is>
      </c>
      <c r="H105" s="14" t="n">
        <v>180.6515996386968</v>
      </c>
      <c r="I105" s="16" t="n">
        <v>354366.7832912665</v>
      </c>
      <c r="J105" s="16" t="n">
        <v>412054.4</v>
      </c>
      <c r="K105" s="14" t="n">
        <v>10.39</v>
      </c>
      <c r="L105" s="14" t="n">
        <v>13.43017</v>
      </c>
      <c r="M105" s="17">
        <f>IF(OR(F105="",K105="",K105&lt;=0),"",F105/K105)</f>
        <v/>
      </c>
      <c r="N105" s="18" t="n">
        <v>2.1700413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2026-09-08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106.09</v>
      </c>
      <c r="G106" s="15" t="inlineStr">
        <is>
          <t>USD</t>
        </is>
      </c>
      <c r="H106" s="14" t="n">
        <v>91.23739981752522</v>
      </c>
      <c r="I106" s="16" t="n">
        <v>157875.7036842486</v>
      </c>
      <c r="J106" s="16" t="n">
        <v>183576.4</v>
      </c>
      <c r="K106" s="14" t="n">
        <v>3.09</v>
      </c>
      <c r="L106" s="14" t="n">
        <v>6.06487</v>
      </c>
      <c r="M106" s="17">
        <f>IF(OR(F106="",K106="",K106&lt;=0),"",F106/K106)</f>
        <v/>
      </c>
      <c r="N106" s="18" t="n">
        <v>3.591766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2026-09-08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148.425</v>
      </c>
      <c r="G107" s="15" t="inlineStr">
        <is>
          <t>USD</t>
        </is>
      </c>
      <c r="H107" s="14" t="n">
        <v>127.645499744709</v>
      </c>
      <c r="I107" s="16" t="n">
        <v>314923.3133701534</v>
      </c>
      <c r="J107" s="16" t="n">
        <v>366189.9</v>
      </c>
      <c r="K107" s="14" t="n">
        <v>1.25</v>
      </c>
      <c r="L107" s="14" t="n">
        <v>9.546609999999999</v>
      </c>
      <c r="M107" s="17">
        <f>IF(OR(F107="",K107="",K107&lt;=0),"",F107/K107)</f>
        <v/>
      </c>
      <c r="N107" s="18" t="n">
        <v>8.738078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2026-09-08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Medtronic</t>
        </is>
      </c>
      <c r="C108" s="12" t="inlineStr">
        <is>
          <t>MDT</t>
        </is>
      </c>
      <c r="D108" s="11" t="inlineStr">
        <is>
          <t>Dispositivi medicali</t>
        </is>
      </c>
      <c r="E108" s="13" t="inlineStr">
        <is>
          <t>Salute</t>
        </is>
      </c>
      <c r="F108" s="14" t="n">
        <v>92.77</v>
      </c>
      <c r="G108" s="15" t="inlineStr">
        <is>
          <t>USD</t>
        </is>
      </c>
      <c r="H108" s="14" t="n">
        <v>79.78219984043561</v>
      </c>
      <c r="I108" s="16" t="n">
        <v>102052.4157958952</v>
      </c>
      <c r="J108" s="16" t="n">
        <v>118665.6</v>
      </c>
      <c r="K108" s="14" t="n">
        <v>4.06</v>
      </c>
      <c r="L108" s="14" t="n">
        <v>6.39948</v>
      </c>
      <c r="M108" s="17">
        <f>IF(OR(F108="",K108="",K108&lt;=0),"",F108/K108)</f>
        <v/>
      </c>
      <c r="N108" s="18" t="n">
        <v>2.401004</v>
      </c>
      <c r="O108" s="19">
        <f>IF(OR(N108="",M108="",M108&lt;=0),"",N108/M108)</f>
        <v/>
      </c>
      <c r="P108" s="20" t="n">
        <v>0.106479995</v>
      </c>
      <c r="Q108" s="20" t="n">
        <v>0.08508513928303943</v>
      </c>
      <c r="R108" s="20" t="n">
        <v>0.01198455172386248</v>
      </c>
      <c r="S108" s="21" t="n">
        <v>4</v>
      </c>
      <c r="T108" s="20" t="n">
        <v>0.09706245072074075</v>
      </c>
      <c r="U108" s="20" t="n">
        <v>0.09707646176911544</v>
      </c>
      <c r="V108" s="20" t="n">
        <v>0.07320667542916318</v>
      </c>
      <c r="W108" s="20" t="n">
        <v>0.07299496921313832</v>
      </c>
      <c r="X108" s="20" t="n"/>
      <c r="Y108" s="14" t="n">
        <v>2.88</v>
      </c>
      <c r="Z108" s="19">
        <f>IF(OR(Y108="",F108="",F108=0),"",Y108/F108)</f>
        <v/>
      </c>
      <c r="AA108" s="22" t="n">
        <v>55.365</v>
      </c>
      <c r="AB108" s="20" t="n">
        <v>0.137</v>
      </c>
      <c r="AC108" s="20" t="n">
        <v>0.1438510632493675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2026-09-08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60.66</v>
      </c>
      <c r="G109" s="15" t="inlineStr">
        <is>
          <t>USD</t>
        </is>
      </c>
      <c r="H109" s="14" t="n">
        <v>52.1675998956648</v>
      </c>
      <c r="I109" s="16" t="n">
        <v>52148.67989570265</v>
      </c>
      <c r="J109" s="16" t="n">
        <v>60638</v>
      </c>
      <c r="K109" s="14" t="n">
        <v>3.39</v>
      </c>
      <c r="L109" s="14" t="n">
        <v>3.83667</v>
      </c>
      <c r="M109" s="17">
        <f>IF(OR(F109="",K109="",K109&lt;=0),"",F109/K109)</f>
        <v/>
      </c>
      <c r="N109" s="18" t="n">
        <v>1.8124233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2026-09-08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Kinder Morgan</t>
        </is>
      </c>
      <c r="C110" s="12" t="inlineStr">
        <is>
          <t>KMI</t>
        </is>
      </c>
      <c r="D110" s="11" t="inlineStr">
        <is>
          <t>Gasdotti</t>
        </is>
      </c>
      <c r="E110" s="13" t="inlineStr">
        <is>
          <t>Energia</t>
        </is>
      </c>
      <c r="F110" s="14" t="n">
        <v>31.87</v>
      </c>
      <c r="G110" s="15" t="inlineStr">
        <is>
          <t>USD</t>
        </is>
      </c>
      <c r="H110" s="14" t="n">
        <v>27.4081999451836</v>
      </c>
      <c r="I110" s="16" t="n">
        <v>61032.6518779347</v>
      </c>
      <c r="J110" s="16" t="n">
        <v>70968.2</v>
      </c>
      <c r="K110" s="14" t="n">
        <v>1.55</v>
      </c>
      <c r="L110" s="14" t="n">
        <v>1.5365</v>
      </c>
      <c r="M110" s="17">
        <f>IF(OR(F110="",K110="",K110&lt;=0),"",F110/K110)</f>
        <v/>
      </c>
      <c r="N110" s="18" t="n">
        <v>2.2416825</v>
      </c>
      <c r="O110" s="19">
        <f>IF(OR(N110="",M110="",M110&lt;=0),"",N110/M110)</f>
        <v/>
      </c>
      <c r="P110" s="20" t="n">
        <v>0.109910004</v>
      </c>
      <c r="Q110" s="20" t="n">
        <v>0.08635798073446269</v>
      </c>
      <c r="R110" s="20" t="n">
        <v>0.007167473388274325</v>
      </c>
      <c r="S110" s="21" t="n">
        <v>4</v>
      </c>
      <c r="T110" s="20" t="n"/>
      <c r="U110" s="20" t="n">
        <v>0.0980681599383865</v>
      </c>
      <c r="V110" s="20" t="n">
        <v>0.08558514296944089</v>
      </c>
      <c r="W110" s="20" t="n">
        <v>0.07889526826371016</v>
      </c>
      <c r="X110" s="20" t="n">
        <v>0.08288335176631319</v>
      </c>
      <c r="Y110" s="14" t="n">
        <v>1.18</v>
      </c>
      <c r="Z110" s="19">
        <f>IF(OR(Y110="",F110="",F110=0),"",Y110/F110)</f>
        <v/>
      </c>
      <c r="AA110" s="22" t="n">
        <v>98.619</v>
      </c>
      <c r="AB110" s="20" t="n">
        <v>0.108</v>
      </c>
      <c r="AC110" s="20" t="n">
        <v>0.2036370039558363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2026-09-08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88.44</v>
      </c>
      <c r="G111" s="15" t="inlineStr">
        <is>
          <t>USD</t>
        </is>
      </c>
      <c r="H111" s="14" t="n">
        <v>76.05839984788321</v>
      </c>
      <c r="I111" s="16" t="n">
        <v>60631.71987873656</v>
      </c>
      <c r="J111" s="16" t="n">
        <v>70502</v>
      </c>
      <c r="K111" s="14" t="n">
        <v>2.54</v>
      </c>
      <c r="L111" s="14" t="n">
        <v>4.10802</v>
      </c>
      <c r="M111" s="17">
        <f>IF(OR(F111="",K111="",K111&lt;=0),"",F111/K111)</f>
        <v/>
      </c>
      <c r="N111" s="18" t="n">
        <v>298.78378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2026-09-08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432.03</v>
      </c>
      <c r="G112" s="15" t="inlineStr">
        <is>
          <t>USD</t>
        </is>
      </c>
      <c r="H112" s="14" t="n">
        <v>371.5457992569084</v>
      </c>
      <c r="I112" s="16" t="n">
        <v>109531.6637809367</v>
      </c>
      <c r="J112" s="16" t="n">
        <v>127362.4</v>
      </c>
      <c r="K112" s="14" t="n">
        <v>16.41</v>
      </c>
      <c r="L112" s="14" t="n">
        <v>20.21925</v>
      </c>
      <c r="M112" s="17">
        <f>IF(OR(F112="",K112="",K112&lt;=0),"",F112/K112)</f>
        <v/>
      </c>
      <c r="N112" s="18" t="n">
        <v>4.0431423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2026-09-08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125.5</v>
      </c>
      <c r="G113" s="15" t="inlineStr">
        <is>
          <t>USD</t>
        </is>
      </c>
      <c r="H113" s="14" t="n">
        <v>107.92999978414</v>
      </c>
      <c r="I113" s="16" t="n">
        <v>58756.83388248633</v>
      </c>
      <c r="J113" s="16" t="n">
        <v>68321.89999999999</v>
      </c>
      <c r="K113" s="14" t="n">
        <v>5.76</v>
      </c>
      <c r="L113" s="14" t="n">
        <v>6.85684</v>
      </c>
      <c r="M113" s="17">
        <f>IF(OR(F113="",K113="",K113&lt;=0),"",F113/K113)</f>
        <v/>
      </c>
      <c r="N113" s="18" t="n">
        <v>2.1296813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>
        <v>3.8</v>
      </c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2026-09-08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123.03</v>
      </c>
      <c r="G114" s="15" t="inlineStr">
        <is>
          <t>USD</t>
        </is>
      </c>
      <c r="H114" s="14" t="n">
        <v>105.8057997883884</v>
      </c>
      <c r="I114" s="16" t="n">
        <v>55692.48188861504</v>
      </c>
      <c r="J114" s="16" t="n">
        <v>64758.7</v>
      </c>
      <c r="K114" s="14" t="n">
        <v>4.75</v>
      </c>
      <c r="L114" s="14" t="n">
        <v>7.18849</v>
      </c>
      <c r="M114" s="17">
        <f>IF(OR(F114="",K114="",K114&lt;=0),"",F114/K114)</f>
        <v/>
      </c>
      <c r="N114" s="18" t="n">
        <v>3.186728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2026-09-08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1051.815</v>
      </c>
      <c r="G115" s="15" t="inlineStr">
        <is>
          <t>USD</t>
        </is>
      </c>
      <c r="H115" s="14" t="n">
        <v>904.5608981908783</v>
      </c>
      <c r="I115" s="16" t="n">
        <v>89254.58382149083</v>
      </c>
      <c r="J115" s="16" t="n">
        <v>103784.4</v>
      </c>
      <c r="K115" s="14" t="n">
        <v>15.54</v>
      </c>
      <c r="L115" s="14" t="n">
        <v>18.69286</v>
      </c>
      <c r="M115" s="17">
        <f>IF(OR(F115="",K115="",K115&lt;=0),"",F115/K115)</f>
        <v/>
      </c>
      <c r="N115" s="18" t="n">
        <v>7.2162223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2026-09-08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399.5</v>
      </c>
      <c r="G116" s="15" t="inlineStr">
        <is>
          <t>USD</t>
        </is>
      </c>
      <c r="H116" s="14" t="n">
        <v>343.56999931286</v>
      </c>
      <c r="I116" s="16" t="n">
        <v>65840.56786831887</v>
      </c>
      <c r="J116" s="16" t="n">
        <v>76558.8</v>
      </c>
      <c r="K116" s="14" t="n">
        <v>5.71</v>
      </c>
      <c r="L116" s="14" t="n">
        <v>17.51204</v>
      </c>
      <c r="M116" s="17">
        <f>IF(OR(F116="",K116="",K116&lt;=0),"",F116/K116)</f>
        <v/>
      </c>
      <c r="N116" s="18" t="n">
        <v>2.457146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2026-09-08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88.91</v>
      </c>
      <c r="G117" s="15" t="inlineStr">
        <is>
          <t>USD</t>
        </is>
      </c>
      <c r="H117" s="14" t="n">
        <v>76.4625998470748</v>
      </c>
      <c r="I117" s="16" t="n">
        <v>87959.76782408047</v>
      </c>
      <c r="J117" s="16" t="n">
        <v>102278.8</v>
      </c>
      <c r="K117" s="14" t="n">
        <v>4.15</v>
      </c>
      <c r="L117" s="14" t="n">
        <v>4.92431</v>
      </c>
      <c r="M117" s="17">
        <f>IF(OR(F117="",K117="",K117&lt;=0),"",F117/K117)</f>
        <v/>
      </c>
      <c r="N117" s="18" t="n">
        <v>2.5847435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2026-09-08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Prologis</t>
        </is>
      </c>
      <c r="C118" s="12" t="inlineStr">
        <is>
          <t>PLD</t>
        </is>
      </c>
      <c r="D118" s="11" t="inlineStr">
        <is>
          <t>REIT / Logistica</t>
        </is>
      </c>
      <c r="E118" s="13" t="inlineStr">
        <is>
          <t>Immobiliare</t>
        </is>
      </c>
      <c r="F118" s="14" t="n">
        <v>138.5</v>
      </c>
      <c r="G118" s="15" t="inlineStr">
        <is>
          <t>USD</t>
        </is>
      </c>
      <c r="H118" s="14" t="n">
        <v>119.10999976178</v>
      </c>
      <c r="I118" s="16" t="n">
        <v>115785.8417684283</v>
      </c>
      <c r="J118" s="16" t="n">
        <v>134634.7</v>
      </c>
      <c r="K118" s="14" t="n">
        <v>4.49</v>
      </c>
      <c r="L118" s="14" t="n">
        <v>3.405</v>
      </c>
      <c r="M118" s="17">
        <f>IF(OR(F118="",K118="",K118&lt;=0),"",F118/K118)</f>
        <v/>
      </c>
      <c r="N118" s="18" t="n">
        <v>2.4080675</v>
      </c>
      <c r="O118" s="19">
        <f>IF(OR(N118="",M118="",M118&lt;=0),"",N118/M118)</f>
        <v/>
      </c>
      <c r="P118" s="20" t="n">
        <v>0.07749</v>
      </c>
      <c r="Q118" s="20" t="n">
        <v>0.06311608942280056</v>
      </c>
      <c r="R118" s="20" t="n">
        <v>0.004128986030073493</v>
      </c>
      <c r="S118" s="21" t="n">
        <v>4</v>
      </c>
      <c r="T118" s="20" t="n"/>
      <c r="U118" s="20" t="n">
        <v>0.06256875646722969</v>
      </c>
      <c r="V118" s="20" t="n">
        <v>0.06916693768350168</v>
      </c>
      <c r="W118" s="20" t="n">
        <v>0.05752378392246178</v>
      </c>
      <c r="X118" s="20" t="n">
        <v>0.06320487961800905</v>
      </c>
      <c r="Y118" s="14" t="n">
        <v>4.28</v>
      </c>
      <c r="Z118" s="19">
        <f>IF(OR(Y118="",F118="",F118=0),"",Y118/F118)</f>
        <v/>
      </c>
      <c r="AA118" s="22" t="n">
        <v>63.823</v>
      </c>
      <c r="AB118" s="20" t="n">
        <v>0.123</v>
      </c>
      <c r="AC118" s="20" t="n">
        <v>0.4780868390183668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2026-09-08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RTX Corporation</t>
        </is>
      </c>
      <c r="C119" s="12" t="inlineStr">
        <is>
          <t>RTX</t>
        </is>
      </c>
      <c r="D119" s="11" t="inlineStr">
        <is>
          <t>Difesa / Aerospazio</t>
        </is>
      </c>
      <c r="E119" s="13" t="inlineStr">
        <is>
          <t>Industriale</t>
        </is>
      </c>
      <c r="F119" s="14" t="n">
        <v>198.9026</v>
      </c>
      <c r="G119" s="15" t="inlineStr">
        <is>
          <t>USD</t>
        </is>
      </c>
      <c r="H119" s="14" t="n">
        <v>171.0562356578876</v>
      </c>
      <c r="I119" s="16" t="n">
        <v>230542.4355389151</v>
      </c>
      <c r="J119" s="16" t="n">
        <v>268072.6</v>
      </c>
      <c r="K119" s="14" t="n">
        <v>5.68</v>
      </c>
      <c r="L119" s="14" t="n">
        <v>7.85586</v>
      </c>
      <c r="M119" s="17">
        <f>IF(OR(F119="",K119="",K119&lt;=0),"",F119/K119)</f>
        <v/>
      </c>
      <c r="N119" s="18" t="n">
        <v>4.0386314</v>
      </c>
      <c r="O119" s="19">
        <f>IF(OR(N119="",M119="",M119&lt;=0),"",N119/M119)</f>
        <v/>
      </c>
      <c r="P119" s="20" t="n">
        <v>0.12274</v>
      </c>
      <c r="Q119" s="20" t="n">
        <v>0.07688075362298834</v>
      </c>
      <c r="R119" s="20" t="n">
        <v>0.01786161675583029</v>
      </c>
      <c r="S119" s="21" t="n">
        <v>4</v>
      </c>
      <c r="T119" s="20" t="n"/>
      <c r="U119" s="20" t="n">
        <v>0.1031803203310599</v>
      </c>
      <c r="V119" s="20" t="n">
        <v>0.07936032980916284</v>
      </c>
      <c r="W119" s="20" t="n">
        <v>0.05342988059801331</v>
      </c>
      <c r="X119" s="20" t="n">
        <v>0.07155248375371737</v>
      </c>
      <c r="Y119" s="14" t="n">
        <v>2.92</v>
      </c>
      <c r="Z119" s="19">
        <f>IF(OR(Y119="",F119="",F119=0),"",Y119/F119)</f>
        <v/>
      </c>
      <c r="AA119" s="22" t="n">
        <v>57.02</v>
      </c>
      <c r="AB119" s="20" t="n">
        <v>0.145</v>
      </c>
      <c r="AC119" s="20" t="n">
        <v>0.08733338455808494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2026-09-08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61.4975</v>
      </c>
      <c r="G120" s="15" t="inlineStr">
        <is>
          <t>USD</t>
        </is>
      </c>
      <c r="H120" s="14" t="n">
        <v>52.8878498942243</v>
      </c>
      <c r="I120" s="16" t="n">
        <v>67501.22786499755</v>
      </c>
      <c r="J120" s="16" t="n">
        <v>78489.8</v>
      </c>
      <c r="K120" s="14" t="n">
        <v>2.73</v>
      </c>
      <c r="L120" s="14" t="n">
        <v>3.36185</v>
      </c>
      <c r="M120" s="17">
        <f>IF(OR(F120="",K120="",K120&lt;=0),"",F120/K120)</f>
        <v/>
      </c>
      <c r="N120" s="18" t="n">
        <v>2.9561844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2026-09-08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527.36</v>
      </c>
      <c r="G121" s="15" t="inlineStr">
        <is>
          <t>USD</t>
        </is>
      </c>
      <c r="H121" s="14" t="n">
        <v>453.5295990929408</v>
      </c>
      <c r="I121" s="16" t="n">
        <v>114952.0717700959</v>
      </c>
      <c r="J121" s="16" t="n">
        <v>133665.2</v>
      </c>
      <c r="K121" s="14" t="n">
        <v>17.15</v>
      </c>
      <c r="L121" s="14" t="n">
        <v>20.22846</v>
      </c>
      <c r="M121" s="17">
        <f>IF(OR(F121="",K121="",K121&lt;=0),"",F121/K121)</f>
        <v/>
      </c>
      <c r="N121" s="18" t="n">
        <v>6.598516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2026-09-08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362.12</v>
      </c>
      <c r="G122" s="15" t="inlineStr">
        <is>
          <t>USD</t>
        </is>
      </c>
      <c r="H122" s="14" t="n">
        <v>311.4231993771537</v>
      </c>
      <c r="I122" s="16" t="n">
        <v>150904.9736981901</v>
      </c>
      <c r="J122" s="16" t="n">
        <v>175470.9</v>
      </c>
      <c r="K122" s="14" t="n">
        <v>8.4</v>
      </c>
      <c r="L122" s="14" t="n">
        <v>16.33678</v>
      </c>
      <c r="M122" s="17">
        <f>IF(OR(F122="",K122="",K122&lt;=0),"",F122/K122)</f>
        <v/>
      </c>
      <c r="N122" s="18" t="n">
        <v>5.2300005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2026-09-08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300.98</v>
      </c>
      <c r="G123" s="15" t="inlineStr">
        <is>
          <t>USD</t>
        </is>
      </c>
      <c r="H123" s="14" t="n">
        <v>258.8427994823144</v>
      </c>
      <c r="I123" s="16" t="n">
        <v>91709.88381658023</v>
      </c>
      <c r="J123" s="16" t="n">
        <v>106639.4</v>
      </c>
      <c r="K123" s="14" t="n">
        <v>10.22</v>
      </c>
      <c r="L123" s="14" t="n">
        <v>13.34165</v>
      </c>
      <c r="M123" s="17">
        <f>IF(OR(F123="",K123="",K123&lt;=0),"",F123/K123)</f>
        <v/>
      </c>
      <c r="N123" s="18" t="n">
        <v>3.3442595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2026-09-08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Amazon</t>
        </is>
      </c>
      <c r="C124" s="12" t="inlineStr">
        <is>
          <t>AMZN</t>
        </is>
      </c>
      <c r="D124" s="11" t="inlineStr">
        <is>
          <t>E-commerce / Cloud</t>
        </is>
      </c>
      <c r="E124" s="13" t="inlineStr">
        <is>
          <t>Tecnologia</t>
        </is>
      </c>
      <c r="F124" s="14" t="n">
        <v>257.3</v>
      </c>
      <c r="G124" s="15" t="inlineStr">
        <is>
          <t>USD</t>
        </is>
      </c>
      <c r="H124" s="14" t="n">
        <v>221.277999557444</v>
      </c>
      <c r="I124" s="16" t="n">
        <v>2386773.733226452</v>
      </c>
      <c r="J124" s="16" t="n">
        <v>2775318.3</v>
      </c>
      <c r="K124" s="14" t="n">
        <v>12.43</v>
      </c>
      <c r="L124" s="14" t="n">
        <v>10.40032</v>
      </c>
      <c r="M124" s="17">
        <f>IF(OR(F124="",K124="",K124&lt;=0),"",F124/K124)</f>
        <v/>
      </c>
      <c r="N124" s="18" t="n">
        <v>5.029713</v>
      </c>
      <c r="O124" s="19">
        <f>IF(OR(N124="",M124="",M124&lt;=0),"",N124/M124)</f>
        <v/>
      </c>
      <c r="P124" s="20" t="n">
        <v>0.30558002</v>
      </c>
      <c r="Q124" s="20" t="n">
        <v>0.1320511298823096</v>
      </c>
      <c r="R124" s="20" t="n">
        <v>0.08935541595787762</v>
      </c>
      <c r="S124" s="21" t="n">
        <v>4</v>
      </c>
      <c r="T124" s="20" t="n"/>
      <c r="U124" s="20" t="n">
        <v>0.1889482198679041</v>
      </c>
      <c r="V124" s="20" t="n">
        <v>0.2071825715984194</v>
      </c>
      <c r="W124" s="20" t="n">
        <v>0.1507120743034056</v>
      </c>
      <c r="X124" s="20" t="n">
        <v>-0.01863834624049081</v>
      </c>
      <c r="Y124" s="14" t="n"/>
      <c r="Z124" s="19">
        <f>IF(OR(Y124="",F124="",F124=0),"",Y124/F124)</f>
        <v/>
      </c>
      <c r="AA124" s="22" t="n">
        <v>45.617</v>
      </c>
      <c r="AB124" s="20" t="n">
        <v>0.196</v>
      </c>
      <c r="AC124" s="20" t="n">
        <v>0.1886964314878564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2026-09-08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Boston Scientific</t>
        </is>
      </c>
      <c r="C125" s="12" t="inlineStr">
        <is>
          <t>BSX</t>
        </is>
      </c>
      <c r="D125" s="11" t="inlineStr">
        <is>
          <t>Dispositivi medicali</t>
        </is>
      </c>
      <c r="E125" s="13" t="inlineStr">
        <is>
          <t>Salute</t>
        </is>
      </c>
      <c r="F125" s="14" t="n">
        <v>45.2607</v>
      </c>
      <c r="G125" s="15" t="inlineStr">
        <is>
          <t>USD</t>
        </is>
      </c>
      <c r="H125" s="14" t="n">
        <v>38.9242019221516</v>
      </c>
      <c r="I125" s="16" t="n">
        <v>56410.06588717988</v>
      </c>
      <c r="J125" s="16" t="n">
        <v>65593.10000000001</v>
      </c>
      <c r="K125" s="14" t="n">
        <v>2.47</v>
      </c>
      <c r="L125" s="14" t="n">
        <v>3.43497</v>
      </c>
      <c r="M125" s="17">
        <f>IF(OR(F125="",K125="",K125&lt;=0),"",F125/K125)</f>
        <v/>
      </c>
      <c r="N125" s="18" t="n">
        <v>2.6265495</v>
      </c>
      <c r="O125" s="19">
        <f>IF(OR(N125="",M125="",M125&lt;=0),"",N125/M125)</f>
        <v/>
      </c>
      <c r="P125" s="20" t="n">
        <v>0.15338999</v>
      </c>
      <c r="Q125" s="20" t="n">
        <v>0.08177373868964678</v>
      </c>
      <c r="R125" s="20" t="n">
        <v>0.02833405857448824</v>
      </c>
      <c r="S125" s="21" t="n">
        <v>4</v>
      </c>
      <c r="T125" s="20" t="n"/>
      <c r="U125" s="20" t="n">
        <v>0.1195939253879168</v>
      </c>
      <c r="V125" s="20" t="n">
        <v>0.08516306844281121</v>
      </c>
      <c r="W125" s="20" t="n">
        <v>0.08262019604792283</v>
      </c>
      <c r="X125" s="20" t="n">
        <v>0.03971776487993627</v>
      </c>
      <c r="Y125" s="14" t="n"/>
      <c r="Z125" s="19">
        <f>IF(OR(Y125="",F125="",F125=0),"",Y125/F125)</f>
        <v/>
      </c>
      <c r="AA125" s="22" t="n">
        <v>50.151</v>
      </c>
      <c r="AB125" s="20" t="n">
        <v>0.075</v>
      </c>
      <c r="AC125" s="20" t="n">
        <v>0.183022809205938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2026-09-08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Dominion Energy</t>
        </is>
      </c>
      <c r="C126" s="12" t="inlineStr">
        <is>
          <t>D</t>
        </is>
      </c>
      <c r="D126" s="11" t="inlineStr">
        <is>
          <t>Utility</t>
        </is>
      </c>
      <c r="E126" s="13" t="inlineStr">
        <is>
          <t>Utility</t>
        </is>
      </c>
      <c r="F126" s="14" t="n">
        <v>66.38500000000001</v>
      </c>
      <c r="G126" s="15" t="inlineStr">
        <is>
          <t>USD</t>
        </is>
      </c>
      <c r="H126" s="14" t="n">
        <v>57.09109988581781</v>
      </c>
      <c r="I126" s="16" t="n">
        <v>50213.07789957385</v>
      </c>
      <c r="J126" s="16" t="n">
        <v>58387.3</v>
      </c>
      <c r="K126" s="14" t="n">
        <v>2.89</v>
      </c>
      <c r="L126" s="14" t="n">
        <v>3.81541</v>
      </c>
      <c r="M126" s="17">
        <f>IF(OR(F126="",K126="",K126&lt;=0),"",F126/K126)</f>
        <v/>
      </c>
      <c r="N126" s="18" t="n">
        <v>2.091525</v>
      </c>
      <c r="O126" s="19">
        <f>IF(OR(N126="",M126="",M126&lt;=0),"",N126/M126)</f>
        <v/>
      </c>
      <c r="P126" s="20" t="n">
        <v>0.08280999999999999</v>
      </c>
      <c r="Q126" s="20" t="n">
        <v>0.07325849609060171</v>
      </c>
      <c r="R126" s="20" t="n">
        <v>0.02128332004749445</v>
      </c>
      <c r="S126" s="21" t="n">
        <v>4</v>
      </c>
      <c r="T126" s="20" t="n"/>
      <c r="U126" s="20" t="n">
        <v>0.1030842760375477</v>
      </c>
      <c r="V126" s="20" t="n">
        <v>0.07571752968767449</v>
      </c>
      <c r="W126" s="20" t="n">
        <v>0.07117205354227882</v>
      </c>
      <c r="X126" s="20" t="n">
        <v>0.04306012509490582</v>
      </c>
      <c r="Y126" s="14" t="n">
        <v>2.67</v>
      </c>
      <c r="Z126" s="19">
        <f>IF(OR(Y126="",F126="",F126=0),"",Y126/F126)</f>
        <v/>
      </c>
      <c r="AA126" s="22" t="n">
        <v>160.459</v>
      </c>
      <c r="AB126" s="20" t="n">
        <v>0.176</v>
      </c>
      <c r="AC126" s="20" t="n">
        <v>0.1518235715497395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2026-09-08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Tesla</t>
        </is>
      </c>
      <c r="C127" s="12" t="inlineStr">
        <is>
          <t>TSLA</t>
        </is>
      </c>
      <c r="D127" s="11" t="inlineStr">
        <is>
          <t>Auto elettriche</t>
        </is>
      </c>
      <c r="E127" s="13" t="inlineStr">
        <is>
          <t>Consumi</t>
        </is>
      </c>
      <c r="F127" s="14" t="n">
        <v>369.3</v>
      </c>
      <c r="G127" s="15" t="inlineStr">
        <is>
          <t>USD</t>
        </is>
      </c>
      <c r="H127" s="14" t="n">
        <v>317.597999364804</v>
      </c>
      <c r="I127" s="16" t="n">
        <v>1254436.331491127</v>
      </c>
      <c r="J127" s="16" t="n">
        <v>1458646.9</v>
      </c>
      <c r="K127" s="14" t="n">
        <v>1.1</v>
      </c>
      <c r="L127" s="14" t="n">
        <v>2.15858</v>
      </c>
      <c r="M127" s="17">
        <f>IF(OR(F127="",K127="",K127&lt;=0),"",F127/K127)</f>
        <v/>
      </c>
      <c r="N127" s="18" t="n">
        <v>16.791088</v>
      </c>
      <c r="O127" s="19">
        <f>IF(OR(N127="",M127="",M127&lt;=0),"",N127/M127)</f>
        <v/>
      </c>
      <c r="P127" s="20" t="n">
        <v>0.046669997</v>
      </c>
      <c r="Q127" s="20" t="n">
        <v>0.1662307907254467</v>
      </c>
      <c r="R127" s="20" t="n">
        <v>0.09713259207574809</v>
      </c>
      <c r="S127" s="21" t="n">
        <v>4</v>
      </c>
      <c r="T127" s="20" t="n"/>
      <c r="U127" s="20" t="n">
        <v>0.04619111971462313</v>
      </c>
      <c r="V127" s="20" t="n">
        <v>0.09778777447094482</v>
      </c>
      <c r="W127" s="20" t="n">
        <v>0.2394705750870134</v>
      </c>
      <c r="X127" s="20" t="n">
        <v>0.2814736936292054</v>
      </c>
      <c r="Y127" s="14" t="n"/>
      <c r="Z127" s="19">
        <f>IF(OR(Y127="",F127="",F127=0),"",Y127/F127)</f>
        <v/>
      </c>
      <c r="AA127" s="22" t="n">
        <v>18.373</v>
      </c>
      <c r="AB127" s="20" t="n">
        <v>0.255</v>
      </c>
      <c r="AC127" s="20" t="n">
        <v>0.04013624946481487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2026-09-08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Freeport-McMoRan</t>
        </is>
      </c>
      <c r="C128" s="12" t="inlineStr">
        <is>
          <t>FCX</t>
        </is>
      </c>
      <c r="D128" s="11" t="inlineStr">
        <is>
          <t>Rame</t>
        </is>
      </c>
      <c r="E128" s="13" t="inlineStr">
        <is>
          <t>Materiali</t>
        </is>
      </c>
      <c r="F128" s="14" t="n">
        <v>77.02</v>
      </c>
      <c r="G128" s="15" t="inlineStr">
        <is>
          <t>USD</t>
        </is>
      </c>
      <c r="H128" s="14" t="n">
        <v>66.2371998675256</v>
      </c>
      <c r="I128" s="16" t="n">
        <v>95117.8058097644</v>
      </c>
      <c r="J128" s="16" t="n">
        <v>110602.1</v>
      </c>
      <c r="K128" s="14" t="n">
        <v>2.04</v>
      </c>
      <c r="L128" s="14" t="n">
        <v>4.13538</v>
      </c>
      <c r="M128" s="17">
        <f>IF(OR(F128="",K128="",K128&lt;=0),"",F128/K128)</f>
        <v/>
      </c>
      <c r="N128" s="18" t="n">
        <v>5.5002494</v>
      </c>
      <c r="O128" s="19">
        <f>IF(OR(N128="",M128="",M128&lt;=0),"",N128/M128)</f>
        <v/>
      </c>
      <c r="P128" s="20" t="n">
        <v>0.14755</v>
      </c>
      <c r="Q128" s="20" t="n">
        <v>0.139430342603264</v>
      </c>
      <c r="R128" s="20" t="n">
        <v>0.04833258025963022</v>
      </c>
      <c r="S128" s="21" t="n">
        <v>4</v>
      </c>
      <c r="T128" s="20" t="n"/>
      <c r="U128" s="20" t="n">
        <v>0.1166199269802635</v>
      </c>
      <c r="V128" s="20" t="n">
        <v>0.1074455377964848</v>
      </c>
      <c r="W128" s="20" t="n">
        <v>0.1107050859641766</v>
      </c>
      <c r="X128" s="20" t="n">
        <v>0.2229508196721312</v>
      </c>
      <c r="Y128" s="14" t="n">
        <v>0.6</v>
      </c>
      <c r="Z128" s="19">
        <f>IF(OR(Y128="",F128="",F128=0),"",Y128/F128)</f>
        <v/>
      </c>
      <c r="AA128" s="22" t="n">
        <v>32.149</v>
      </c>
      <c r="AB128" s="20" t="n">
        <v>-0.073</v>
      </c>
      <c r="AC128" s="20" t="n">
        <v>0.1132934593864557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2026-09-08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Xcel Energy</t>
        </is>
      </c>
      <c r="C129" s="12" t="inlineStr">
        <is>
          <t>XEL</t>
        </is>
      </c>
      <c r="D129" s="11" t="inlineStr">
        <is>
          <t>Utility</t>
        </is>
      </c>
      <c r="E129" s="13" t="inlineStr">
        <is>
          <t>Utility</t>
        </is>
      </c>
      <c r="F129" s="14" t="n">
        <v>76.58</v>
      </c>
      <c r="G129" s="15" t="inlineStr">
        <is>
          <t>USD</t>
        </is>
      </c>
      <c r="H129" s="14" t="n">
        <v>65.8587998682824</v>
      </c>
      <c r="I129" s="16" t="n">
        <v>41137.66991772466</v>
      </c>
      <c r="J129" s="16" t="n">
        <v>47834.5</v>
      </c>
      <c r="K129" s="14" t="n">
        <v>3.65</v>
      </c>
      <c r="L129" s="14" t="n">
        <v>4.54254</v>
      </c>
      <c r="M129" s="17">
        <f>IF(OR(F129="",K129="",K129&lt;=0),"",F129/K129)</f>
        <v/>
      </c>
      <c r="N129" s="18" t="n">
        <v>1.9876454</v>
      </c>
      <c r="O129" s="19">
        <f>IF(OR(N129="",M129="",M129&lt;=0),"",N129/M129)</f>
        <v/>
      </c>
      <c r="P129" s="20" t="n">
        <v>0.0992</v>
      </c>
      <c r="Q129" s="20" t="n">
        <v>0.09732189916854156</v>
      </c>
      <c r="R129" s="20" t="n">
        <v>0.007073008672390108</v>
      </c>
      <c r="S129" s="21" t="n">
        <v>4</v>
      </c>
      <c r="T129" s="20" t="n"/>
      <c r="U129" s="20" t="n">
        <v>0.08547587784319539</v>
      </c>
      <c r="V129" s="20" t="n">
        <v>0.09917016699108698</v>
      </c>
      <c r="W129" s="20" t="n">
        <v>0.1005336058128974</v>
      </c>
      <c r="X129" s="20" t="n">
        <v>0.1041079460269865</v>
      </c>
      <c r="Y129" s="14" t="n">
        <v>2.37</v>
      </c>
      <c r="Z129" s="19">
        <f>IF(OR(Y129="",F129="",F129=0),"",Y129/F129)</f>
        <v/>
      </c>
      <c r="AA129" s="22" t="n">
        <v>173.135</v>
      </c>
      <c r="AB129" s="20" t="n">
        <v>-0.051</v>
      </c>
      <c r="AC129" s="20" t="n">
        <v>0.1522257778989706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2026-09-08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American International Group</t>
        </is>
      </c>
      <c r="C130" s="12" t="inlineStr">
        <is>
          <t>AIG</t>
        </is>
      </c>
      <c r="D130" s="11" t="inlineStr">
        <is>
          <t>Assicurazione</t>
        </is>
      </c>
      <c r="E130" s="13" t="inlineStr">
        <is>
          <t>Finanziario</t>
        </is>
      </c>
      <c r="F130" s="14" t="n">
        <v>75.61</v>
      </c>
      <c r="G130" s="15" t="inlineStr">
        <is>
          <t>USD</t>
        </is>
      </c>
      <c r="H130" s="14" t="n">
        <v>65.0245998699508</v>
      </c>
      <c r="I130" s="16" t="n">
        <v>34000.95993199808</v>
      </c>
      <c r="J130" s="16" t="n">
        <v>39536</v>
      </c>
      <c r="K130" s="14" t="n">
        <v>5.48</v>
      </c>
      <c r="L130" s="14" t="n">
        <v>8.78651</v>
      </c>
      <c r="M130" s="17">
        <f>IF(OR(F130="",K130="",K130&lt;=0),"",F130/K130)</f>
        <v/>
      </c>
      <c r="N130" s="18" t="n">
        <v>0.9770501</v>
      </c>
      <c r="O130" s="19">
        <f>IF(OR(N130="",M130="",M130&lt;=0),"",N130/M130)</f>
        <v/>
      </c>
      <c r="P130" s="20" t="n">
        <v>0.0722</v>
      </c>
      <c r="Q130" s="20" t="n">
        <v>0.09304718508131808</v>
      </c>
      <c r="R130" s="20" t="n">
        <v>0.1011020395574324</v>
      </c>
      <c r="S130" s="21" t="n">
        <v>4</v>
      </c>
      <c r="T130" s="20" t="n"/>
      <c r="U130" s="20" t="n">
        <v>0.07525705534893896</v>
      </c>
      <c r="V130" s="20" t="n">
        <v>-0.0330189788575057</v>
      </c>
      <c r="W130" s="20" t="n">
        <v>0.08032898943793963</v>
      </c>
      <c r="X130" s="20" t="n">
        <v>0.2496216743958994</v>
      </c>
      <c r="Y130" s="14" t="n">
        <v>2</v>
      </c>
      <c r="Z130" s="19">
        <f>IF(OR(Y130="",F130="",F130=0),"",Y130/F130)</f>
        <v/>
      </c>
      <c r="AA130" s="22" t="n">
        <v>22.466</v>
      </c>
      <c r="AB130" s="20" t="n">
        <v>0.005</v>
      </c>
      <c r="AC130" s="20" t="n">
        <v>0.1107417620079181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2026-09-08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Bristol-Myers Squibb</t>
        </is>
      </c>
      <c r="C131" s="12" t="inlineStr">
        <is>
          <t>BMY</t>
        </is>
      </c>
      <c r="D131" s="11" t="inlineStr">
        <is>
          <t>Farmaceutica</t>
        </is>
      </c>
      <c r="E131" s="13" t="inlineStr">
        <is>
          <t>Salute</t>
        </is>
      </c>
      <c r="F131" s="14" t="n">
        <v>65.05500000000001</v>
      </c>
      <c r="G131" s="15" t="inlineStr">
        <is>
          <t>USD</t>
        </is>
      </c>
      <c r="H131" s="14" t="n">
        <v>55.94729988810541</v>
      </c>
      <c r="I131" s="16" t="n">
        <v>114284.3677714313</v>
      </c>
      <c r="J131" s="16" t="n">
        <v>132888.8</v>
      </c>
      <c r="K131" s="14" t="n">
        <v>4.54</v>
      </c>
      <c r="L131" s="14" t="n">
        <v>6.55796</v>
      </c>
      <c r="M131" s="17">
        <f>IF(OR(F131="",K131="",K131&lt;=0),"",F131/K131)</f>
        <v/>
      </c>
      <c r="N131" s="18" t="n">
        <v>5.954691</v>
      </c>
      <c r="O131" s="19">
        <f>IF(OR(N131="",M131="",M131&lt;=0),"",N131/M131)</f>
        <v/>
      </c>
      <c r="P131" s="20" t="n">
        <v>0.46598998</v>
      </c>
      <c r="Q131" s="20" t="n">
        <v>0.07761266271412175</v>
      </c>
      <c r="R131" s="20" t="n">
        <v>0.3666158804610691</v>
      </c>
      <c r="S131" s="21" t="n">
        <v>4</v>
      </c>
      <c r="T131" s="20" t="n"/>
      <c r="U131" s="20" t="n">
        <v>0.3818545986033671</v>
      </c>
      <c r="V131" s="20" t="n">
        <v>-0.5477808386899296</v>
      </c>
      <c r="W131" s="20" t="n">
        <v>0.2726809378185525</v>
      </c>
      <c r="X131" s="20" t="n">
        <v>0.203695953124497</v>
      </c>
      <c r="Y131" s="14" t="n">
        <v>2.52</v>
      </c>
      <c r="Z131" s="19">
        <f>IF(OR(Y131="",F131="",F131=0),"",Y131/F131)</f>
        <v/>
      </c>
      <c r="AA131" s="22" t="n">
        <v>201.859</v>
      </c>
      <c r="AB131" s="20" t="n">
        <v>0.057</v>
      </c>
      <c r="AC131" s="20" t="n">
        <v>0.1925925899367154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2026-09-08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Duke Energy</t>
        </is>
      </c>
      <c r="C132" s="12" t="inlineStr">
        <is>
          <t>DUK</t>
        </is>
      </c>
      <c r="D132" s="11" t="inlineStr">
        <is>
          <t>Utility</t>
        </is>
      </c>
      <c r="E132" s="13" t="inlineStr">
        <is>
          <t>Utility</t>
        </is>
      </c>
      <c r="F132" s="14" t="n">
        <v>121.31</v>
      </c>
      <c r="G132" s="15" t="inlineStr">
        <is>
          <t>USD</t>
        </is>
      </c>
      <c r="H132" s="14" t="n">
        <v>104.3265997913468</v>
      </c>
      <c r="I132" s="16" t="n">
        <v>81343.7018373126</v>
      </c>
      <c r="J132" s="16" t="n">
        <v>94585.7</v>
      </c>
      <c r="K132" s="14" t="n">
        <v>6.64</v>
      </c>
      <c r="L132" s="14" t="n">
        <v>7.17232</v>
      </c>
      <c r="M132" s="17">
        <f>IF(OR(F132="",K132="",K132&lt;=0),"",F132/K132)</f>
        <v/>
      </c>
      <c r="N132" s="18" t="n">
        <v>1.7594929</v>
      </c>
      <c r="O132" s="19">
        <f>IF(OR(N132="",M132="",M132&lt;=0),"",N132/M132)</f>
        <v/>
      </c>
      <c r="P132" s="20" t="n">
        <v>0.098570004</v>
      </c>
      <c r="Q132" s="20" t="n">
        <v>0.0739075032235007</v>
      </c>
      <c r="R132" s="20" t="n">
        <v>0.01935651027259411</v>
      </c>
      <c r="S132" s="21" t="n">
        <v>4</v>
      </c>
      <c r="T132" s="20" t="n"/>
      <c r="U132" s="20" t="n">
        <v>0.09582963620230701</v>
      </c>
      <c r="V132" s="20" t="n">
        <v>0.09025076306182298</v>
      </c>
      <c r="W132" s="20" t="n">
        <v>0.05784854716865875</v>
      </c>
      <c r="X132" s="20" t="n">
        <v>0.05170106646121406</v>
      </c>
      <c r="Y132" s="14" t="n">
        <v>4.34</v>
      </c>
      <c r="Z132" s="19">
        <f>IF(OR(Y132="",F132="",F132=0),"",Y132/F132)</f>
        <v/>
      </c>
      <c r="AA132" s="22" t="n">
        <v>162.155</v>
      </c>
      <c r="AB132" s="20" t="n">
        <v>0.011</v>
      </c>
      <c r="AC132" s="20" t="n">
        <v>0.1603126841827713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2026-09-08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Danaher</t>
        </is>
      </c>
      <c r="C133" s="12" t="inlineStr">
        <is>
          <t>DHR</t>
        </is>
      </c>
      <c r="D133" s="11" t="inlineStr">
        <is>
          <t>Strumentazione life science</t>
        </is>
      </c>
      <c r="E133" s="13" t="inlineStr">
        <is>
          <t>Salute</t>
        </is>
      </c>
      <c r="F133" s="14" t="n">
        <v>206.21</v>
      </c>
      <c r="G133" s="15" t="inlineStr">
        <is>
          <t>USD</t>
        </is>
      </c>
      <c r="H133" s="14" t="n">
        <v>177.3405996453188</v>
      </c>
      <c r="I133" s="16" t="n">
        <v>124668.007750664</v>
      </c>
      <c r="J133" s="16" t="n">
        <v>144962.8</v>
      </c>
      <c r="K133" s="14" t="n">
        <v>5.61</v>
      </c>
      <c r="L133" s="14" t="n">
        <v>9.295730000000001</v>
      </c>
      <c r="M133" s="17">
        <f>IF(OR(F133="",K133="",K133&lt;=0),"",F133/K133)</f>
        <v/>
      </c>
      <c r="N133" s="18" t="n">
        <v>2.7565973</v>
      </c>
      <c r="O133" s="19">
        <f>IF(OR(N133="",M133="",M133&lt;=0),"",N133/M133)</f>
        <v/>
      </c>
      <c r="P133" s="20" t="n">
        <v>0.07605000000000001</v>
      </c>
      <c r="Q133" s="20" t="n">
        <v>0.09512670597719992</v>
      </c>
      <c r="R133" s="20" t="n">
        <v>0.02908220905236598</v>
      </c>
      <c r="S133" s="21" t="n">
        <v>4</v>
      </c>
      <c r="T133" s="20" t="n"/>
      <c r="U133" s="20" t="n">
        <v>0.06879354322914684</v>
      </c>
      <c r="V133" s="20" t="n">
        <v>0.07869931170902045</v>
      </c>
      <c r="W133" s="20" t="n">
        <v>0.08907003701903302</v>
      </c>
      <c r="X133" s="20" t="n">
        <v>0.1439439319515994</v>
      </c>
      <c r="Y133" s="14" t="n">
        <v>1.6</v>
      </c>
      <c r="Z133" s="19">
        <f>IF(OR(Y133="",F133="",F133=0),"",Y133/F133)</f>
        <v/>
      </c>
      <c r="AA133" s="22" t="n">
        <v>52.97</v>
      </c>
      <c r="AB133" s="20" t="n">
        <v>0.055</v>
      </c>
      <c r="AC133" s="20" t="n">
        <v>0.1624063874959297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2026-09-08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73.3305</v>
      </c>
      <c r="G134" s="15" t="inlineStr">
        <is>
          <t>USD</t>
        </is>
      </c>
      <c r="H134" s="14" t="n">
        <v>63.06422987387155</v>
      </c>
      <c r="I134" s="16" t="n">
        <v>128812.519742375</v>
      </c>
      <c r="J134" s="16" t="n">
        <v>149782</v>
      </c>
      <c r="K134" s="14" t="n">
        <v>4.56</v>
      </c>
      <c r="L134" s="14" t="n">
        <v>4.38141</v>
      </c>
      <c r="M134" s="17">
        <f>IF(OR(F134="",K134="",K134&lt;=0),"",F134/K134)</f>
        <v/>
      </c>
      <c r="N134" s="18" t="n">
        <v>5.476512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2026-09-08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191.435</v>
      </c>
      <c r="G135" s="15" t="inlineStr">
        <is>
          <t>USD</t>
        </is>
      </c>
      <c r="H135" s="14" t="n">
        <v>164.6340996707318</v>
      </c>
      <c r="I135" s="16" t="n">
        <v>62176.36587564728</v>
      </c>
      <c r="J135" s="16" t="n">
        <v>72298.10000000001</v>
      </c>
      <c r="K135" s="14" t="n">
        <v>2.05</v>
      </c>
      <c r="L135" s="14" t="n">
        <v>2.8913</v>
      </c>
      <c r="M135" s="17">
        <f>IF(OR(F135="",K135="",K135&lt;=0),"",F135/K135)</f>
        <v/>
      </c>
      <c r="N135" s="18" t="n">
        <v>2.6526299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2026-09-08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61.21</v>
      </c>
      <c r="G136" s="15" t="inlineStr">
        <is>
          <t>USD</t>
        </is>
      </c>
      <c r="H136" s="14" t="n">
        <v>52.6405998947188</v>
      </c>
      <c r="I136" s="16" t="n">
        <v>49809.47990038104</v>
      </c>
      <c r="J136" s="16" t="n">
        <v>57918</v>
      </c>
      <c r="K136" s="14" t="n">
        <v>1.37</v>
      </c>
      <c r="L136" s="14" t="n">
        <v>1.55856</v>
      </c>
      <c r="M136" s="17">
        <f>IF(OR(F136="",K136="",K136&lt;=0),"",F136/K136)</f>
        <v/>
      </c>
      <c r="N136" s="18" t="n">
        <v>1.4644241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2026-09-08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85.56</v>
      </c>
      <c r="G137" s="15" t="inlineStr">
        <is>
          <t>USD</t>
        </is>
      </c>
      <c r="H137" s="14" t="n">
        <v>73.5815998528368</v>
      </c>
      <c r="I137" s="16" t="n">
        <v>48115.02190376996</v>
      </c>
      <c r="J137" s="16" t="n">
        <v>55947.7</v>
      </c>
      <c r="K137" s="14" t="n">
        <v>3.45</v>
      </c>
      <c r="L137" s="14" t="n">
        <v>5.53597</v>
      </c>
      <c r="M137" s="17">
        <f>IF(OR(F137="",K137="",K137&lt;=0),"",F137/K137)</f>
        <v/>
      </c>
      <c r="N137" s="18" t="n">
        <v>1.711337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2026-09-08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3M</t>
        </is>
      </c>
      <c r="C138" s="12" t="inlineStr">
        <is>
          <t>MMM</t>
        </is>
      </c>
      <c r="D138" s="11" t="inlineStr">
        <is>
          <t>Conglomerata industriale</t>
        </is>
      </c>
      <c r="E138" s="13" t="inlineStr">
        <is>
          <t>Industriale</t>
        </is>
      </c>
      <c r="F138" s="14" t="n">
        <v>166.25</v>
      </c>
      <c r="G138" s="15" t="inlineStr">
        <is>
          <t>USD</t>
        </is>
      </c>
      <c r="H138" s="14" t="n">
        <v>142.97499971405</v>
      </c>
      <c r="I138" s="16" t="n">
        <v>73735.4538525291</v>
      </c>
      <c r="J138" s="16" t="n">
        <v>85738.89999999999</v>
      </c>
      <c r="K138" s="14" t="n">
        <v>5.63</v>
      </c>
      <c r="L138" s="14" t="n">
        <v>9.778079999999999</v>
      </c>
      <c r="M138" s="17">
        <f>IF(OR(F138="",K138="",K138&lt;=0),"",F138/K138)</f>
        <v/>
      </c>
      <c r="N138" s="18" t="n">
        <v>29.044374</v>
      </c>
      <c r="O138" s="19">
        <f>IF(OR(N138="",M138="",M138&lt;=0),"",N138/M138)</f>
        <v/>
      </c>
      <c r="P138" s="20" t="n">
        <v>0.81891996</v>
      </c>
      <c r="Q138" s="20" t="n">
        <v>0.1786461650131368</v>
      </c>
      <c r="R138" s="20" t="n">
        <v>0.9748490004280096</v>
      </c>
      <c r="S138" s="21" t="n">
        <v>4</v>
      </c>
      <c r="T138" s="20" t="n"/>
      <c r="U138" s="20" t="n">
        <v>0.6911952360697575</v>
      </c>
      <c r="V138" s="20" t="n">
        <v>1.086153045288912</v>
      </c>
      <c r="W138" s="20" t="n">
        <v>-1.455169544414396</v>
      </c>
      <c r="X138" s="20" t="n">
        <v>0.3924059231082733</v>
      </c>
      <c r="Y138" s="14" t="n">
        <v>3.12</v>
      </c>
      <c r="Z138" s="19">
        <f>IF(OR(Y138="",F138="",F138=0),"",Y138/F138)</f>
        <v/>
      </c>
      <c r="AA138" s="22" t="n">
        <v>437.937</v>
      </c>
      <c r="AB138" s="20" t="n">
        <v>0.025</v>
      </c>
      <c r="AC138" s="20" t="n">
        <v>0.1201298675645342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2026-09-08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248.345</v>
      </c>
      <c r="G139" s="15" t="inlineStr">
        <is>
          <t>USD</t>
        </is>
      </c>
      <c r="H139" s="14" t="n">
        <v>213.5766995728466</v>
      </c>
      <c r="I139" s="16" t="n">
        <v>175773.5936484528</v>
      </c>
      <c r="J139" s="16" t="n">
        <v>204387.9</v>
      </c>
      <c r="K139" s="14" t="n">
        <v>10.91</v>
      </c>
      <c r="L139" s="14" t="n">
        <v>16.00824</v>
      </c>
      <c r="M139" s="17">
        <f>IF(OR(F139="",K139="",K139&lt;=0),"",F139/K139)</f>
        <v/>
      </c>
      <c r="N139" s="18" t="n">
        <v>5.325635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2026-09-08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96.084</v>
      </c>
      <c r="G140" s="15" t="inlineStr">
        <is>
          <t>USD</t>
        </is>
      </c>
      <c r="H140" s="14" t="n">
        <v>82.63223983473553</v>
      </c>
      <c r="I140" s="16" t="n">
        <v>105684.1957886316</v>
      </c>
      <c r="J140" s="16" t="n">
        <v>122888.6</v>
      </c>
      <c r="K140" s="14" t="n">
        <v>3.79</v>
      </c>
      <c r="L140" s="14" t="n">
        <v>8.51266</v>
      </c>
      <c r="M140" s="17">
        <f>IF(OR(F140="",K140="",K140&lt;=0),"",F140/K140)</f>
        <v/>
      </c>
      <c r="N140" s="18" t="n">
        <v>1.5406718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2026-09-08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154.84</v>
      </c>
      <c r="G141" s="15" t="inlineStr">
        <is>
          <t>USD</t>
        </is>
      </c>
      <c r="H141" s="14" t="n">
        <v>133.1623997336752</v>
      </c>
      <c r="I141" s="16" t="n">
        <v>44694.02791061195</v>
      </c>
      <c r="J141" s="16" t="n">
        <v>51969.8</v>
      </c>
      <c r="K141" s="14" t="n">
        <v>5.93</v>
      </c>
      <c r="L141" s="14" t="n">
        <v>10.36561</v>
      </c>
      <c r="M141" s="17">
        <f>IF(OR(F141="",K141="",K141&lt;=0),"",F141/K141)</f>
        <v/>
      </c>
      <c r="N141" s="18" t="n">
        <v>17.30636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2026-09-08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509.81</v>
      </c>
      <c r="G142" s="15" t="inlineStr">
        <is>
          <t>USD</t>
        </is>
      </c>
      <c r="H142" s="14" t="n">
        <v>438.4365991231268</v>
      </c>
      <c r="I142" s="16" t="n">
        <v>715736.8045685265</v>
      </c>
      <c r="J142" s="16" t="n">
        <v>832252.1</v>
      </c>
      <c r="K142" s="14" t="n">
        <v>3.92</v>
      </c>
      <c r="L142" s="14" t="n">
        <v>15.51307</v>
      </c>
      <c r="M142" s="17">
        <f>IF(OR(F142="",K142="",K142&lt;=0),"",F142/K142)</f>
        <v/>
      </c>
      <c r="N142" s="18" t="n">
        <v>12.376732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2026-09-08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210.21</v>
      </c>
      <c r="G143" s="15" t="inlineStr">
        <is>
          <t>USD</t>
        </is>
      </c>
      <c r="H143" s="14" t="n">
        <v>180.7805996384388</v>
      </c>
      <c r="I143" s="16" t="n">
        <v>185107.6036297848</v>
      </c>
      <c r="J143" s="16" t="n">
        <v>215241.4</v>
      </c>
      <c r="K143" s="14" t="n">
        <v>0.04</v>
      </c>
      <c r="L143" s="14" t="n">
        <v>1.6036</v>
      </c>
      <c r="M143" s="17">
        <f>IF(OR(F143="",K143="",K143&lt;=0),"",F143/K143)</f>
        <v/>
      </c>
      <c r="N143" s="18" t="n">
        <v>42.185432</v>
      </c>
      <c r="O143" s="19">
        <f>IF(OR(N143="",M143="",M143&lt;=0),"",N143/M143)</f>
        <v/>
      </c>
      <c r="P143" s="20" t="n">
        <v>0.01461</v>
      </c>
      <c r="Q143" s="20" t="n">
        <v>-0.03380291957831719</v>
      </c>
      <c r="R143" s="20" t="n">
        <v>0.05799500312740814</v>
      </c>
      <c r="S143" s="21" t="n">
        <v>4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2026-09-08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336.175</v>
      </c>
      <c r="G144" s="15" t="inlineStr">
        <is>
          <t>USD</t>
        </is>
      </c>
      <c r="H144" s="14" t="n">
        <v>289.110499421779</v>
      </c>
      <c r="I144" s="16" t="n">
        <v>235625.0355287499</v>
      </c>
      <c r="J144" s="16" t="n">
        <v>273982.6</v>
      </c>
      <c r="K144" s="14" t="n">
        <v>1.17</v>
      </c>
      <c r="L144" s="14" t="n">
        <v>4.8828</v>
      </c>
      <c r="M144" s="17">
        <f>IF(OR(F144="",K144="",K144&lt;=0),"",F144/K144)</f>
        <v/>
      </c>
      <c r="N144" s="18" t="n">
        <v>9.878202</v>
      </c>
      <c r="O144" s="19">
        <f>IF(OR(N144="",M144="",M144&lt;=0),"",N144/M144)</f>
        <v/>
      </c>
      <c r="P144" s="20" t="n">
        <v>0.01739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9.093999999999999</v>
      </c>
      <c r="AB144" s="20" t="n">
        <v>0.344</v>
      </c>
      <c r="AC144" s="20" t="n">
        <v>0.03329176381282872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2026-09-08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86.05</v>
      </c>
      <c r="G145" s="15" t="inlineStr">
        <is>
          <t>USD</t>
        </is>
      </c>
      <c r="H145" s="14" t="n">
        <v>74.00299985199401</v>
      </c>
      <c r="I145" s="16" t="n">
        <v>66932.16586613568</v>
      </c>
      <c r="J145" s="16" t="n">
        <v>77828.10000000001</v>
      </c>
      <c r="K145" s="14" t="n">
        <v>2.24</v>
      </c>
      <c r="L145" s="14" t="n">
        <v>14.83885</v>
      </c>
      <c r="M145" s="17">
        <f>IF(OR(F145="",K145="",K145&lt;=0),"",F145/K145)</f>
        <v/>
      </c>
      <c r="N145" s="18" t="n">
        <v>1.2171835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2026-09-08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107.22</v>
      </c>
      <c r="G146" s="15" t="inlineStr">
        <is>
          <t>USD</t>
        </is>
      </c>
      <c r="H146" s="14" t="n">
        <v>92.20919981558161</v>
      </c>
      <c r="I146" s="16" t="n">
        <v>85163.56382967287</v>
      </c>
      <c r="J146" s="16" t="n">
        <v>99027.39999999999</v>
      </c>
      <c r="K146" s="14" t="n">
        <v>3.13</v>
      </c>
      <c r="L146" s="14" t="n">
        <v>7.40643</v>
      </c>
      <c r="M146" s="17">
        <f>IF(OR(F146="",K146="",K146&lt;=0),"",F146/K146)</f>
        <v/>
      </c>
      <c r="N146" s="18" t="n">
        <v>3.377008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2026-09-08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967.705</v>
      </c>
      <c r="G147" s="15" t="inlineStr">
        <is>
          <t>USD</t>
        </is>
      </c>
      <c r="H147" s="14" t="n">
        <v>832.2262983355475</v>
      </c>
      <c r="I147" s="16" t="n">
        <v>221649.7775567005</v>
      </c>
      <c r="J147" s="16" t="n">
        <v>257732.3</v>
      </c>
      <c r="K147" s="14" t="n">
        <v>34.85</v>
      </c>
      <c r="L147" s="14" t="n">
        <v>25.27552</v>
      </c>
      <c r="M147" s="17">
        <f>IF(OR(F147="",K147="",K147&lt;=0),"",F147/K147)</f>
        <v/>
      </c>
      <c r="N147" s="18" t="n">
        <v>21.55485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2026-09-08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213.5</v>
      </c>
      <c r="G148" s="15" t="inlineStr">
        <is>
          <t>USD</t>
        </is>
      </c>
      <c r="H148" s="14" t="n">
        <v>183.60999963278</v>
      </c>
      <c r="I148" s="16" t="n">
        <v>27129.12994574174</v>
      </c>
      <c r="J148" s="16" t="n">
        <v>31545.5</v>
      </c>
      <c r="K148" s="14" t="n">
        <v>5.63</v>
      </c>
      <c r="L148" s="14" t="n">
        <v>16.54371</v>
      </c>
      <c r="M148" s="17">
        <f>IF(OR(F148="",K148="",K148&lt;=0),"",F148/K148)</f>
        <v/>
      </c>
      <c r="N148" s="18" t="n">
        <v>1.6730664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2026-09-08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104.5861</v>
      </c>
      <c r="G149" s="15" t="inlineStr">
        <is>
          <t>USD</t>
        </is>
      </c>
      <c r="H149" s="14" t="n">
        <v>89.94404582011191</v>
      </c>
      <c r="I149" s="16" t="n">
        <v>155305.1636893897</v>
      </c>
      <c r="J149" s="16" t="n">
        <v>180587.4</v>
      </c>
      <c r="K149" s="14" t="n">
        <v>4.85</v>
      </c>
      <c r="L149" s="14" t="n">
        <v>7.47471</v>
      </c>
      <c r="M149" s="17">
        <f>IF(OR(F149="",K149="",K149&lt;=0),"",F149/K149)</f>
        <v/>
      </c>
      <c r="N149" s="18" t="n">
        <v>1.6443838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>
        <v>1.5</v>
      </c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2026-09-08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171.72</v>
      </c>
      <c r="G150" s="15" t="inlineStr">
        <is>
          <t>USD</t>
        </is>
      </c>
      <c r="H150" s="14" t="n">
        <v>147.6791997046416</v>
      </c>
      <c r="I150" s="16" t="n">
        <v>355005.7632899885</v>
      </c>
      <c r="J150" s="16" t="n">
        <v>412797.4</v>
      </c>
      <c r="K150" s="14" t="n">
        <v>1.17</v>
      </c>
      <c r="L150" s="14" t="n">
        <v>2.32597</v>
      </c>
      <c r="M150" s="17">
        <f>IF(OR(F150="",K150="",K150&lt;=0),"",F150/K150)</f>
        <v/>
      </c>
      <c r="N150" s="18" t="n">
        <v>42.22714</v>
      </c>
      <c r="O150" s="19">
        <f>IF(OR(N150="",M150="",M150&lt;=0),"",N150/M150)</f>
        <v/>
      </c>
      <c r="P150" s="20" t="n">
        <v>0.38097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2.139</v>
      </c>
      <c r="AB150" s="20" t="n">
        <v>0.928</v>
      </c>
      <c r="AC150" s="20" t="n">
        <v>0.6740539307143913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2026-09-08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1016.155</v>
      </c>
      <c r="G151" s="15" t="inlineStr">
        <is>
          <t>USD</t>
        </is>
      </c>
      <c r="H151" s="14" t="n">
        <v>873.8932982522134</v>
      </c>
      <c r="I151" s="16" t="n">
        <v>986964.2920260715</v>
      </c>
      <c r="J151" s="16" t="n">
        <v>1147632.9</v>
      </c>
      <c r="K151" s="14" t="n">
        <v>44.22</v>
      </c>
      <c r="L151" s="14" t="n">
        <v>155.02524</v>
      </c>
      <c r="M151" s="17">
        <f>IF(OR(F151="",K151="",K151&lt;=0),"",F151/K151)</f>
        <v/>
      </c>
      <c r="N151" s="18" t="n">
        <v>11.389901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2026-09-08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27.925</v>
      </c>
      <c r="G152" s="15" t="inlineStr">
        <is>
          <t>USD</t>
        </is>
      </c>
      <c r="H152" s="14" t="n">
        <v>24.015499951969</v>
      </c>
      <c r="I152" s="16" t="n">
        <v>136880.523726239</v>
      </c>
      <c r="J152" s="16" t="n">
        <v>159163.4</v>
      </c>
      <c r="K152" s="14" t="n">
        <v>0.76</v>
      </c>
      <c r="L152" s="14" t="n">
        <v>2.8954</v>
      </c>
      <c r="M152" s="17">
        <f>IF(OR(F152="",K152="",K152&lt;=0),"",F152/K152)</f>
        <v/>
      </c>
      <c r="N152" s="18" t="n">
        <v>1.8681428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2026-09-08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228.8</v>
      </c>
      <c r="G153" s="15" t="inlineStr">
        <is>
          <t>USD</t>
        </is>
      </c>
      <c r="H153" s="14" t="n">
        <v>196.767999606464</v>
      </c>
      <c r="I153" s="16" t="n">
        <v>176836.2956463274</v>
      </c>
      <c r="J153" s="16" t="n">
        <v>205623.6</v>
      </c>
      <c r="K153" s="14" t="n">
        <v>3.02</v>
      </c>
      <c r="L153" s="14" t="n">
        <v>6.72085</v>
      </c>
      <c r="M153" s="17">
        <f>IF(OR(F153="",K153="",K153&lt;=0),"",F153/K153)</f>
        <v/>
      </c>
      <c r="N153" s="18" t="n">
        <v>10.997885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2026-09-08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101.05</v>
      </c>
      <c r="G154" s="15" t="inlineStr">
        <is>
          <t>USD</t>
        </is>
      </c>
      <c r="H154" s="14" t="n">
        <v>86.90299982619401</v>
      </c>
      <c r="I154" s="16" t="n">
        <v>31441.34193711731</v>
      </c>
      <c r="J154" s="16" t="n">
        <v>36559.7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9.605513999999999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2026-09-08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299.38</v>
      </c>
      <c r="G155" s="15" t="inlineStr">
        <is>
          <t>USD</t>
        </is>
      </c>
      <c r="H155" s="14" t="n">
        <v>257.4667994850664</v>
      </c>
      <c r="I155" s="16" t="n">
        <v>57334.13588533174</v>
      </c>
      <c r="J155" s="16" t="n">
        <v>66667.60000000001</v>
      </c>
      <c r="K155" s="14" t="n">
        <v>-0.21</v>
      </c>
      <c r="L155" s="14" t="n">
        <v>14.43529</v>
      </c>
      <c r="M155" s="17">
        <f>IF(OR(F155="",K155="",K155&lt;=0),"",F155/K155)</f>
        <v/>
      </c>
      <c r="N155" s="18" t="n">
        <v>4.801835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2026-09-08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68.12</v>
      </c>
      <c r="G156" s="15" t="inlineStr">
        <is>
          <t>USD</t>
        </is>
      </c>
      <c r="H156" s="14" t="n">
        <v>58.58319988283361</v>
      </c>
      <c r="I156" s="16" t="n">
        <v>97818.97980436205</v>
      </c>
      <c r="J156" s="16" t="n">
        <v>113743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-42.628284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2026-09-08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526.15</v>
      </c>
      <c r="G157" s="15" t="inlineStr">
        <is>
          <t>USD</t>
        </is>
      </c>
      <c r="H157" s="14" t="n">
        <v>452.488999095022</v>
      </c>
      <c r="I157" s="16" t="n">
        <v>292372.3074152554</v>
      </c>
      <c r="J157" s="16" t="n">
        <v>339967.8</v>
      </c>
      <c r="K157" s="14" t="n">
        <v>17.19</v>
      </c>
      <c r="L157" s="14" t="n">
        <v>28.60667</v>
      </c>
      <c r="M157" s="17">
        <f>IF(OR(F157="",K157="",K157&lt;=0),"",F157/K157)</f>
        <v/>
      </c>
      <c r="N157" s="18" t="n">
        <v>-237.86168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2026-09-08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29.68</v>
      </c>
      <c r="G158" s="15" t="inlineStr">
        <is>
          <t>USD</t>
        </is>
      </c>
      <c r="H158" s="14" t="n">
        <v>25.5247999489504</v>
      </c>
      <c r="I158" s="16" t="n">
        <v>18437.62596312475</v>
      </c>
      <c r="J158" s="16" t="n">
        <v>21439.1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1.3517946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2026-09-08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14.21</v>
      </c>
      <c r="G159" s="15" t="inlineStr">
        <is>
          <t>USD</t>
        </is>
      </c>
      <c r="H159" s="14" t="n">
        <v>12.2205999755588</v>
      </c>
      <c r="I159" s="16" t="n">
        <v>48730.78190253844</v>
      </c>
      <c r="J159" s="16" t="n">
        <v>56663.7</v>
      </c>
      <c r="K159" s="14" t="n">
        <v>-1.87</v>
      </c>
      <c r="L159" s="14" t="n">
        <v>1.91536</v>
      </c>
      <c r="M159" s="17">
        <f>IF(OR(F159="",K159="",K159&lt;=0),"",F159/K159)</f>
        <v/>
      </c>
      <c r="N159" s="18" t="n">
        <v>1.5862916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2026-09-08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146.13</v>
      </c>
      <c r="G160" s="15" t="inlineStr">
        <is>
          <t>USD</t>
        </is>
      </c>
      <c r="H160" s="14" t="n">
        <v>125.6717997486564</v>
      </c>
      <c r="I160" s="16" t="n">
        <v>155827.4416883451</v>
      </c>
      <c r="J160" s="16" t="n">
        <v>181194.7</v>
      </c>
      <c r="K160" s="14" t="n">
        <v>-2.66</v>
      </c>
      <c r="L160" s="14" t="n">
        <v>9.888059999999999</v>
      </c>
      <c r="M160" s="17">
        <f>IF(OR(F160="",K160="",K160&lt;=0),"",F160/K160)</f>
        <v/>
      </c>
      <c r="N160" s="18" t="n">
        <v>15.330467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2026-09-08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105.23</v>
      </c>
      <c r="G161" s="15" t="inlineStr">
        <is>
          <t>USD</t>
        </is>
      </c>
      <c r="H161" s="14" t="n">
        <v>90.49779981900441</v>
      </c>
      <c r="I161" s="16" t="n">
        <v>478380.9330432382</v>
      </c>
      <c r="J161" s="16" t="n">
        <v>556256.9</v>
      </c>
      <c r="K161" s="14" t="n">
        <v>-2.09</v>
      </c>
      <c r="L161" s="14" t="n">
        <v>2.04217</v>
      </c>
      <c r="M161" s="17">
        <f>IF(OR(F161="",K161="",K161&lt;=0),"",F161/K161)</f>
        <v/>
      </c>
      <c r="N161" s="18" t="n">
        <v>6.0619855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2026-09-08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201.595</v>
      </c>
      <c r="G162" s="15" t="inlineStr">
        <is>
          <t>USD</t>
        </is>
      </c>
      <c r="H162" s="14" t="n">
        <v>173.3716996532566</v>
      </c>
      <c r="I162" s="16" t="n">
        <v>97270.9018054582</v>
      </c>
      <c r="J162" s="16" t="n">
        <v>113105.7</v>
      </c>
      <c r="K162" s="14" t="n">
        <v>11.84</v>
      </c>
      <c r="L162" s="14" t="n">
        <v>13.03906</v>
      </c>
      <c r="M162" s="17">
        <f>IF(OR(F162="",K162="",K162&lt;=0),"",F162/K162)</f>
        <v/>
      </c>
      <c r="N162" s="18" t="n">
        <v>-15.206683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2026-09-08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256.12</v>
      </c>
      <c r="G163" s="15" t="inlineStr">
        <is>
          <t>USD</t>
        </is>
      </c>
      <c r="H163" s="14" t="n">
        <v>220.2631995594736</v>
      </c>
      <c r="I163" s="16" t="n">
        <v>155867.4316882651</v>
      </c>
      <c r="J163" s="16" t="n">
        <v>181241.2</v>
      </c>
      <c r="K163" s="14" t="n">
        <v>12.3</v>
      </c>
      <c r="L163" s="14" t="n">
        <v>13.97841</v>
      </c>
      <c r="M163" s="17">
        <f>IF(OR(F163="",K163="",K163&lt;=0),"",F163/K163)</f>
        <v/>
      </c>
      <c r="N163" s="18" t="n">
        <v>-177.1231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2026-09-08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900.51</v>
      </c>
      <c r="G164" s="15" t="inlineStr">
        <is>
          <t>USD</t>
        </is>
      </c>
      <c r="H164" s="14" t="n">
        <v>774.4385984511229</v>
      </c>
      <c r="I164" s="16" t="n">
        <v>90292.08781941583</v>
      </c>
      <c r="J164" s="16" t="n">
        <v>104990.8</v>
      </c>
      <c r="K164" s="14" t="n">
        <v>37.32</v>
      </c>
      <c r="L164" s="14" t="n">
        <v>50.47155</v>
      </c>
      <c r="M164" s="17">
        <f>IF(OR(F164="",K164="",K164&lt;=0),"",F164/K164)</f>
        <v/>
      </c>
      <c r="N164" s="18" t="n">
        <v>-24.63641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2026-09-08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144.175</v>
      </c>
      <c r="G165" s="15" t="inlineStr">
        <is>
          <t>USD</t>
        </is>
      </c>
      <c r="H165" s="14" t="n">
        <v>123.990499752019</v>
      </c>
      <c r="I165" s="16" t="n">
        <v>49501.42790099715</v>
      </c>
      <c r="J165" s="16" t="n">
        <v>57559.8</v>
      </c>
      <c r="K165" s="14" t="n">
        <v>-7.98</v>
      </c>
      <c r="L165" s="14" t="n">
        <v>-4.59257</v>
      </c>
      <c r="M165" s="17">
        <f>IF(OR(F165="",K165="",K165&lt;=0),"",F165/K165)</f>
        <v/>
      </c>
      <c r="N165" s="18" t="n">
        <v>8.508409500000001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2026-09-08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185.955</v>
      </c>
      <c r="G166" s="15" t="inlineStr">
        <is>
          <t>USD</t>
        </is>
      </c>
      <c r="H166" s="14" t="n">
        <v>159.9212996801574</v>
      </c>
      <c r="I166" s="16" t="n">
        <v>249255.4335014892</v>
      </c>
      <c r="J166" s="16" t="n">
        <v>289831.9</v>
      </c>
      <c r="K166" s="14" t="n">
        <v>7.28</v>
      </c>
      <c r="L166" s="14" t="n">
        <v>9.16878</v>
      </c>
      <c r="M166" s="17">
        <f>IF(OR(F166="",K166="",K166&lt;=0),"",F166/K166)</f>
        <v/>
      </c>
      <c r="N166" s="18" t="n">
        <v>-33.767025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2026-09-08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102.4195</v>
      </c>
      <c r="G167" s="15" t="inlineStr">
        <is>
          <t>USD</t>
        </is>
      </c>
      <c r="H167" s="14" t="n">
        <v>88.08076982383847</v>
      </c>
      <c r="I167" s="16" t="n">
        <v>100412.0517991759</v>
      </c>
      <c r="J167" s="16" t="n">
        <v>116758.2</v>
      </c>
      <c r="K167" s="14" t="n">
        <v>1.73</v>
      </c>
      <c r="L167" s="14" t="n">
        <v>3.12132</v>
      </c>
      <c r="M167" s="17">
        <f>IF(OR(F167="",K167="",K167&lt;=0),"",F167/K167)</f>
        <v/>
      </c>
      <c r="N167" s="18" t="n">
        <v>-15.211571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2026-09-08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2026-09-08T17:01:08Z</dcterms:created>
  <dcterms:modified xsi:type="dcterms:W3CDTF">2026-09-08T17:01:08Z</dcterms:modified>
</cp:coreProperties>
</file>
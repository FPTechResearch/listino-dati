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BMED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CE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UCG/" TargetMode="External" Id="rId17" /><Relationship Type="http://schemas.openxmlformats.org/officeDocument/2006/relationships/hyperlink" Target="https://www.tradingview.com/symbols/MIL-ISP/" TargetMode="External" Id="rId18" /><Relationship Type="http://schemas.openxmlformats.org/officeDocument/2006/relationships/hyperlink" Target="https://www.tradingview.com/symbols/MIL-IRE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FBK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RE/" TargetMode="External" Id="rId24" /><Relationship Type="http://schemas.openxmlformats.org/officeDocument/2006/relationships/hyperlink" Target="https://www.tradingview.com/symbols/MIL-ACE/" TargetMode="External" Id="rId25" /><Relationship Type="http://schemas.openxmlformats.org/officeDocument/2006/relationships/hyperlink" Target="https://www.tradingview.com/symbols/MIL-G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BAM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PRO/" TargetMode="External" Id="rId30" /><Relationship Type="http://schemas.openxmlformats.org/officeDocument/2006/relationships/hyperlink" Target="https://www.tradingview.com/symbols/MIL-MB/" TargetMode="External" Id="rId31" /><Relationship Type="http://schemas.openxmlformats.org/officeDocument/2006/relationships/hyperlink" Target="https://www.tradingview.com/symbols/MIL-MONC/" TargetMode="External" Id="rId32" /><Relationship Type="http://schemas.openxmlformats.org/officeDocument/2006/relationships/hyperlink" Target="https://www.tradingview.com/symbols/MIL-MFEB/" TargetMode="External" Id="rId33" /><Relationship Type="http://schemas.openxmlformats.org/officeDocument/2006/relationships/hyperlink" Target="https://www.tradingview.com/symbols/MIL-PIRC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DAN/" TargetMode="External" Id="rId38" /><Relationship Type="http://schemas.openxmlformats.org/officeDocument/2006/relationships/hyperlink" Target="https://www.tradingview.com/symbols/MIL-PRY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SIX-BION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FCT/" TargetMode="External" Id="rId50" /><Relationship Type="http://schemas.openxmlformats.org/officeDocument/2006/relationships/hyperlink" Target="https://www.tradingview.com/symbols/MIL-STMMI/" TargetMode="External" Id="rId51" /><Relationship Type="http://schemas.openxmlformats.org/officeDocument/2006/relationships/hyperlink" Target="https://www.tradingview.com/symbols/MIL-AMP/" TargetMode="External" Id="rId52" /><Relationship Type="http://schemas.openxmlformats.org/officeDocument/2006/relationships/hyperlink" Target="https://www.tradingview.com/symbols/MIL-CPR/" TargetMode="External" Id="rId53" /><Relationship Type="http://schemas.openxmlformats.org/officeDocument/2006/relationships/hyperlink" Target="https://www.tradingview.com/symbols/MIL-IVG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PRT/" TargetMode="External" Id="rId56" /><Relationship Type="http://schemas.openxmlformats.org/officeDocument/2006/relationships/hyperlink" Target="https://www.tradingview.com/symbols/MIL-TI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RHM/" TargetMode="External" Id="rId9" /><Relationship Type="http://schemas.openxmlformats.org/officeDocument/2006/relationships/hyperlink" Target="https://www.tradingview.com/symbols/XETR-BMW/" TargetMode="External" Id="rId10" /><Relationship Type="http://schemas.openxmlformats.org/officeDocument/2006/relationships/hyperlink" Target="https://www.tradingview.com/symbols/XETR-CBK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MBG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VOW3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ADS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FRE/" TargetMode="External" Id="rId34" /><Relationship Type="http://schemas.openxmlformats.org/officeDocument/2006/relationships/hyperlink" Target="https://www.tradingview.com/symbols/XETR-ENR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SGO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PUB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MC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RI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CAP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VIE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AI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/" TargetMode="External" Id="rId6" /><Relationship Type="http://schemas.openxmlformats.org/officeDocument/2006/relationships/hyperlink" Target="https://www.tradingview.com/symbols/EURONEXT-ABN/" TargetMode="External" Id="rId7" /><Relationship Type="http://schemas.openxmlformats.org/officeDocument/2006/relationships/hyperlink" Target="https://www.tradingview.com/symbols/EURONEXT-UMG/" TargetMode="External" Id="rId8" /><Relationship Type="http://schemas.openxmlformats.org/officeDocument/2006/relationships/hyperlink" Target="https://www.tradingview.com/symbols/EURONEXT-NN/" TargetMode="External" Id="rId9" /><Relationship Type="http://schemas.openxmlformats.org/officeDocument/2006/relationships/hyperlink" Target="https://www.tradingview.com/symbols/EURONEXT-KPN/" TargetMode="External" Id="rId10" /><Relationship Type="http://schemas.openxmlformats.org/officeDocument/2006/relationships/hyperlink" Target="https://www.tradingview.com/symbols/EURONEXT-ASM/" TargetMode="External" Id="rId11" /><Relationship Type="http://schemas.openxmlformats.org/officeDocument/2006/relationships/hyperlink" Target="https://www.tradingview.com/symbols/EURONEXT-ADYEN/" TargetMode="External" Id="rId12" /><Relationship Type="http://schemas.openxmlformats.org/officeDocument/2006/relationships/hyperlink" Target="https://www.tradingview.com/symbols/EURONEXT-AGN/" TargetMode="External" Id="rId13" /><Relationship Type="http://schemas.openxmlformats.org/officeDocument/2006/relationships/hyperlink" Target="https://www.tradingview.com/symbols/EURONEXT-AKZA/" TargetMode="External" Id="rId14" /><Relationship Type="http://schemas.openxmlformats.org/officeDocument/2006/relationships/hyperlink" Target="https://www.tradingview.com/symbols/EURONEXT-IMCD/" TargetMode="External" Id="rId15" /><Relationship Type="http://schemas.openxmlformats.org/officeDocument/2006/relationships/hyperlink" Target="https://www.tradingview.com/symbols/EURONEXT-HEIA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LOGN/" TargetMode="External" Id="rId7" /><Relationship Type="http://schemas.openxmlformats.org/officeDocument/2006/relationships/hyperlink" Target="https://www.tradingview.com/symbols/SIX-KNI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LHN/" TargetMode="External" Id="rId15" /><Relationship Type="http://schemas.openxmlformats.org/officeDocument/2006/relationships/hyperlink" Target="https://www.tradingview.com/symbols/SIX-SIKA/" TargetMode="External" Id="rId16" /><Relationship Type="http://schemas.openxmlformats.org/officeDocument/2006/relationships/hyperlink" Target="https://www.tradingview.com/symbols/SIX-STM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MPC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GOOGL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MCO/" TargetMode="External" Id="rId13" /><Relationship Type="http://schemas.openxmlformats.org/officeDocument/2006/relationships/hyperlink" Target="https://www.tradingview.com/symbols/TGT/" TargetMode="External" Id="rId14" /><Relationship Type="http://schemas.openxmlformats.org/officeDocument/2006/relationships/hyperlink" Target="https://www.tradingview.com/symbols/LRCX/" TargetMode="External" Id="rId15" /><Relationship Type="http://schemas.openxmlformats.org/officeDocument/2006/relationships/hyperlink" Target="https://www.tradingview.com/symbols/AAPL/" TargetMode="External" Id="rId16" /><Relationship Type="http://schemas.openxmlformats.org/officeDocument/2006/relationships/hyperlink" Target="https://www.tradingview.com/symbols/UPS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LMT/" TargetMode="External" Id="rId21" /><Relationship Type="http://schemas.openxmlformats.org/officeDocument/2006/relationships/hyperlink" Target="https://www.tradingview.com/symbols/MA/" TargetMode="External" Id="rId22" /><Relationship Type="http://schemas.openxmlformats.org/officeDocument/2006/relationships/hyperlink" Target="https://www.tradingview.com/symbols/TRV/" TargetMode="External" Id="rId23" /><Relationship Type="http://schemas.openxmlformats.org/officeDocument/2006/relationships/hyperlink" Target="https://www.tradingview.com/symbols/KLAC/" TargetMode="External" Id="rId24" /><Relationship Type="http://schemas.openxmlformats.org/officeDocument/2006/relationships/hyperlink" Target="https://www.tradingview.com/symbols/AMAT/" TargetMode="External" Id="rId25" /><Relationship Type="http://schemas.openxmlformats.org/officeDocument/2006/relationships/hyperlink" Target="https://www.tradingview.com/symbols/LLY/" TargetMode="External" Id="rId26" /><Relationship Type="http://schemas.openxmlformats.org/officeDocument/2006/relationships/hyperlink" Target="https://www.tradingview.com/symbols/URI/" TargetMode="External" Id="rId27" /><Relationship Type="http://schemas.openxmlformats.org/officeDocument/2006/relationships/hyperlink" Target="https://www.tradingview.com/symbols/JPM/" TargetMode="External" Id="rId28" /><Relationship Type="http://schemas.openxmlformats.org/officeDocument/2006/relationships/hyperlink" Target="https://www.tradingview.com/symbols/BAC/" TargetMode="External" Id="rId29" /><Relationship Type="http://schemas.openxmlformats.org/officeDocument/2006/relationships/hyperlink" Target="https://www.tradingview.com/symbols/NKE/" TargetMode="External" Id="rId30" /><Relationship Type="http://schemas.openxmlformats.org/officeDocument/2006/relationships/hyperlink" Target="https://www.tradingview.com/symbols/NOC/" TargetMode="External" Id="rId31" /><Relationship Type="http://schemas.openxmlformats.org/officeDocument/2006/relationships/hyperlink" Target="https://www.tradingview.com/symbols/UNP/" TargetMode="External" Id="rId32" /><Relationship Type="http://schemas.openxmlformats.org/officeDocument/2006/relationships/hyperlink" Target="https://www.tradingview.com/symbols/ABNB/" TargetMode="External" Id="rId33" /><Relationship Type="http://schemas.openxmlformats.org/officeDocument/2006/relationships/hyperlink" Target="https://www.tradingview.com/symbols/NFLX/" TargetMode="External" Id="rId34" /><Relationship Type="http://schemas.openxmlformats.org/officeDocument/2006/relationships/hyperlink" Target="https://www.tradingview.com/symbols/KO/" TargetMode="External" Id="rId35" /><Relationship Type="http://schemas.openxmlformats.org/officeDocument/2006/relationships/hyperlink" Target="https://www.tradingview.com/symbols/SHW/" TargetMode="External" Id="rId36" /><Relationship Type="http://schemas.openxmlformats.org/officeDocument/2006/relationships/hyperlink" Target="https://www.tradingview.com/symbols/TXN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CMG/" TargetMode="External" Id="rId39" /><Relationship Type="http://schemas.openxmlformats.org/officeDocument/2006/relationships/hyperlink" Target="https://www.tradingview.com/symbols/COST/" TargetMode="External" Id="rId40" /><Relationship Type="http://schemas.openxmlformats.org/officeDocument/2006/relationships/hyperlink" Target="https://www.tradingview.com/symbols/ITW/" TargetMode="External" Id="rId41" /><Relationship Type="http://schemas.openxmlformats.org/officeDocument/2006/relationships/hyperlink" Target="https://www.tradingview.com/symbols/BX/" TargetMode="External" Id="rId42" /><Relationship Type="http://schemas.openxmlformats.org/officeDocument/2006/relationships/hyperlink" Target="https://www.tradingview.com/symbols/BKNG/" TargetMode="External" Id="rId43" /><Relationship Type="http://schemas.openxmlformats.org/officeDocument/2006/relationships/hyperlink" Target="https://www.tradingview.com/symbols/TJX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NVDA/" TargetMode="External" Id="rId46" /><Relationship Type="http://schemas.openxmlformats.org/officeDocument/2006/relationships/hyperlink" Target="https://www.tradingview.com/symbols/CSX/" TargetMode="External" Id="rId47" /><Relationship Type="http://schemas.openxmlformats.org/officeDocument/2006/relationships/hyperlink" Target="https://www.tradingview.com/symbols/CDNS/" TargetMode="External" Id="rId48" /><Relationship Type="http://schemas.openxmlformats.org/officeDocument/2006/relationships/hyperlink" Target="https://www.tradingview.com/symbols/META/" TargetMode="External" Id="rId49" /><Relationship Type="http://schemas.openxmlformats.org/officeDocument/2006/relationships/hyperlink" Target="https://www.tradingview.com/symbols/WFC/" TargetMode="External" Id="rId50" /><Relationship Type="http://schemas.openxmlformats.org/officeDocument/2006/relationships/hyperlink" Target="https://www.tradingview.com/symbols/WM/" TargetMode="External" Id="rId51" /><Relationship Type="http://schemas.openxmlformats.org/officeDocument/2006/relationships/hyperlink" Target="https://www.tradingview.com/symbols/CSCO/" TargetMode="External" Id="rId52" /><Relationship Type="http://schemas.openxmlformats.org/officeDocument/2006/relationships/hyperlink" Target="https://www.tradingview.com/symbols/PG/" TargetMode="External" Id="rId53" /><Relationship Type="http://schemas.openxmlformats.org/officeDocument/2006/relationships/hyperlink" Target="https://www.tradingview.com/symbols/FDX/" TargetMode="External" Id="rId54" /><Relationship Type="http://schemas.openxmlformats.org/officeDocument/2006/relationships/hyperlink" Target="https://www.tradingview.com/symbols/MSFT/" TargetMode="External" Id="rId55" /><Relationship Type="http://schemas.openxmlformats.org/officeDocument/2006/relationships/hyperlink" Target="https://www.tradingview.com/symbols/AVGO/" TargetMode="External" Id="rId56" /><Relationship Type="http://schemas.openxmlformats.org/officeDocument/2006/relationships/hyperlink" Target="https://www.tradingview.com/symbols/PSX/" TargetMode="External" Id="rId57" /><Relationship Type="http://schemas.openxmlformats.org/officeDocument/2006/relationships/hyperlink" Target="https://www.tradingview.com/symbols/AMGN/" TargetMode="External" Id="rId58" /><Relationship Type="http://schemas.openxmlformats.org/officeDocument/2006/relationships/hyperlink" Target="https://www.tradingview.com/symbols/GS/" TargetMode="External" Id="rId59" /><Relationship Type="http://schemas.openxmlformats.org/officeDocument/2006/relationships/hyperlink" Target="https://www.tradingview.com/symbols/MS/" TargetMode="External" Id="rId60" /><Relationship Type="http://schemas.openxmlformats.org/officeDocument/2006/relationships/hyperlink" Target="https://www.tradingview.com/symbols/ABBV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VLO/" TargetMode="External" Id="rId65" /><Relationship Type="http://schemas.openxmlformats.org/officeDocument/2006/relationships/hyperlink" Target="https://www.tradingview.com/symbols/COP/" TargetMode="External" Id="rId66" /><Relationship Type="http://schemas.openxmlformats.org/officeDocument/2006/relationships/hyperlink" Target="https://www.tradingview.com/symbols/AMT/" TargetMode="External" Id="rId67" /><Relationship Type="http://schemas.openxmlformats.org/officeDocument/2006/relationships/hyperlink" Target="https://www.tradingview.com/symbols/PH/" TargetMode="External" Id="rId68" /><Relationship Type="http://schemas.openxmlformats.org/officeDocument/2006/relationships/hyperlink" Target="https://www.tradingview.com/symbols/BA/" TargetMode="External" Id="rId69" /><Relationship Type="http://schemas.openxmlformats.org/officeDocument/2006/relationships/hyperlink" Target="https://www.tradingview.com/symbols/INTU/" TargetMode="External" Id="rId70" /><Relationship Type="http://schemas.openxmlformats.org/officeDocument/2006/relationships/hyperlink" Target="https://www.tradingview.com/symbols/REGN/" TargetMode="External" Id="rId71" /><Relationship Type="http://schemas.openxmlformats.org/officeDocument/2006/relationships/hyperlink" Target="https://www.tradingview.com/symbols/SCHW/" TargetMode="External" Id="rId72" /><Relationship Type="http://schemas.openxmlformats.org/officeDocument/2006/relationships/hyperlink" Target="https://www.tradingview.com/symbols/C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QCOM/" TargetMode="External" Id="rId75" /><Relationship Type="http://schemas.openxmlformats.org/officeDocument/2006/relationships/hyperlink" Target="https://www.tradingview.com/symbols/ETN/" TargetMode="External" Id="rId76" /><Relationship Type="http://schemas.openxmlformats.org/officeDocument/2006/relationships/hyperlink" Target="https://www.tradingview.com/symbols/NEE/" TargetMode="External" Id="rId77" /><Relationship Type="http://schemas.openxmlformats.org/officeDocument/2006/relationships/hyperlink" Target="https://www.tradingview.com/symbols/DE/" TargetMode="External" Id="rId78" /><Relationship Type="http://schemas.openxmlformats.org/officeDocument/2006/relationships/hyperlink" Target="https://www.tradingview.com/symbols/WMB/" TargetMode="External" Id="rId79" /><Relationship Type="http://schemas.openxmlformats.org/officeDocument/2006/relationships/hyperlink" Target="https://www.tradingview.com/symbols/NSC/" TargetMode="External" Id="rId80" /><Relationship Type="http://schemas.openxmlformats.org/officeDocument/2006/relationships/hyperlink" Target="https://www.tradingview.com/symbols/ECL/" TargetMode="External" Id="rId81" /><Relationship Type="http://schemas.openxmlformats.org/officeDocument/2006/relationships/hyperlink" Target="https://www.tradingview.com/symbols/CMI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KMB/" TargetMode="External" Id="rId84" /><Relationship Type="http://schemas.openxmlformats.org/officeDocument/2006/relationships/hyperlink" Target="https://www.tradingview.com/symbols/WMT/" TargetMode="External" Id="rId85" /><Relationship Type="http://schemas.openxmlformats.org/officeDocument/2006/relationships/hyperlink" Target="https://www.tradingview.com/symbols/GD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ELV/" TargetMode="External" Id="rId89" /><Relationship Type="http://schemas.openxmlformats.org/officeDocument/2006/relationships/hyperlink" Target="https://www.tradingview.com/symbols/NUE/" TargetMode="External" Id="rId90" /><Relationship Type="http://schemas.openxmlformats.org/officeDocument/2006/relationships/hyperlink" Target="https://www.tradingview.com/symbols/SYK/" TargetMode="External" Id="rId91" /><Relationship Type="http://schemas.openxmlformats.org/officeDocument/2006/relationships/hyperlink" Target="https://www.tradingview.com/symbols/SLB/" TargetMode="External" Id="rId92" /><Relationship Type="http://schemas.openxmlformats.org/officeDocument/2006/relationships/hyperlink" Target="https://www.tradingview.com/symbols/BLK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MRVL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BRK.B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MET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OXY/" TargetMode="External" Id="rId105" /><Relationship Type="http://schemas.openxmlformats.org/officeDocument/2006/relationships/hyperlink" Target="https://www.tradingview.com/symbols/CVX/" TargetMode="External" Id="rId106" /><Relationship Type="http://schemas.openxmlformats.org/officeDocument/2006/relationships/hyperlink" Target="https://www.tradingview.com/symbols/ABT/" TargetMode="External" Id="rId107" /><Relationship Type="http://schemas.openxmlformats.org/officeDocument/2006/relationships/hyperlink" Target="https://www.tradingview.com/symbols/MRK/" TargetMode="External" Id="rId108" /><Relationship Type="http://schemas.openxmlformats.org/officeDocument/2006/relationships/hyperlink" Target="https://www.tradingview.com/symbols/BSX/" TargetMode="External" Id="rId109" /><Relationship Type="http://schemas.openxmlformats.org/officeDocument/2006/relationships/hyperlink" Target="https://www.tradingview.com/symbols/MDT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PANW/" TargetMode="External" Id="rId112" /><Relationship Type="http://schemas.openxmlformats.org/officeDocument/2006/relationships/hyperlink" Target="https://www.tradingview.com/symbols/SPGI/" TargetMode="External" Id="rId113" /><Relationship Type="http://schemas.openxmlformats.org/officeDocument/2006/relationships/hyperlink" Target="https://www.tradingview.com/symbols/PCAR/" TargetMode="External" Id="rId114" /><Relationship Type="http://schemas.openxmlformats.org/officeDocument/2006/relationships/hyperlink" Target="https://www.tradingview.com/symbols/EQIX/" TargetMode="External" Id="rId115" /><Relationship Type="http://schemas.openxmlformats.org/officeDocument/2006/relationships/hyperlink" Target="https://www.tradingview.com/symbols/SNPS/" TargetMode="External" Id="rId116" /><Relationship Type="http://schemas.openxmlformats.org/officeDocument/2006/relationships/hyperlink" Target="https://www.tradingview.com/symbols/SO/" TargetMode="External" Id="rId117" /><Relationship Type="http://schemas.openxmlformats.org/officeDocument/2006/relationships/hyperlink" Target="https://www.tradingview.com/symbols/PLD/" TargetMode="External" Id="rId118" /><Relationship Type="http://schemas.openxmlformats.org/officeDocument/2006/relationships/hyperlink" Target="https://www.tradingview.com/symbols/RTX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VRTX/" TargetMode="External" Id="rId121" /><Relationship Type="http://schemas.openxmlformats.org/officeDocument/2006/relationships/hyperlink" Target="https://www.tradingview.com/symbols/BMY/" TargetMode="External" Id="rId122" /><Relationship Type="http://schemas.openxmlformats.org/officeDocument/2006/relationships/hyperlink" Target="https://www.tradingview.com/symbols/ADI/" TargetMode="External" Id="rId123" /><Relationship Type="http://schemas.openxmlformats.org/officeDocument/2006/relationships/hyperlink" Target="https://www.tradingview.com/symbols/CEG/" TargetMode="External" Id="rId124" /><Relationship Type="http://schemas.openxmlformats.org/officeDocument/2006/relationships/hyperlink" Target="https://www.tradingview.com/symbols/AMZN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MU/" TargetMode="External" Id="rId127" /><Relationship Type="http://schemas.openxmlformats.org/officeDocument/2006/relationships/hyperlink" Target="https://www.tradingview.com/symbols/DUK/" TargetMode="External" Id="rId128" /><Relationship Type="http://schemas.openxmlformats.org/officeDocument/2006/relationships/hyperlink" Target="https://www.tradingview.com/symbols/TSLA/" TargetMode="External" Id="rId129" /><Relationship Type="http://schemas.openxmlformats.org/officeDocument/2006/relationships/hyperlink" Target="https://www.tradingview.com/symbols/UBER/" TargetMode="External" Id="rId130" /><Relationship Type="http://schemas.openxmlformats.org/officeDocument/2006/relationships/hyperlink" Target="https://www.tradingview.com/symbols/KMI/" TargetMode="External" Id="rId131" /><Relationship Type="http://schemas.openxmlformats.org/officeDocument/2006/relationships/hyperlink" Target="https://www.tradingview.com/symbols/FCX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AIG/" TargetMode="External" Id="rId134" /><Relationship Type="http://schemas.openxmlformats.org/officeDocument/2006/relationships/hyperlink" Target="https://www.tradingview.com/symbols/DHR/" TargetMode="External" Id="rId135" /><Relationship Type="http://schemas.openxmlformats.org/officeDocument/2006/relationships/hyperlink" Target="https://www.tradingview.com/symbols/AEP/" TargetMode="External" Id="rId136" /><Relationship Type="http://schemas.openxmlformats.org/officeDocument/2006/relationships/hyperlink" Target="https://www.tradingview.com/symbols/DLR/" TargetMode="External" Id="rId137" /><Relationship Type="http://schemas.openxmlformats.org/officeDocument/2006/relationships/hyperlink" Target="https://www.tradingview.com/symbols/O/" TargetMode="External" Id="rId138" /><Relationship Type="http://schemas.openxmlformats.org/officeDocument/2006/relationships/hyperlink" Target="https://www.tradingview.com/symbols/SRE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RM/" TargetMode="External" Id="rId141" /><Relationship Type="http://schemas.openxmlformats.org/officeDocument/2006/relationships/hyperlink" Target="https://www.tradingview.com/symbols/CVS/" TargetMode="External" Id="rId142" /><Relationship Type="http://schemas.openxmlformats.org/officeDocument/2006/relationships/hyperlink" Target="https://www.tradingview.com/symbols/VST/" TargetMode="External" Id="rId143" /><Relationship Type="http://schemas.openxmlformats.org/officeDocument/2006/relationships/hyperlink" Target="https://www.tradingview.com/symbols/AMD/" TargetMode="External" Id="rId144" /><Relationship Type="http://schemas.openxmlformats.org/officeDocument/2006/relationships/hyperlink" Target="https://www.tradingview.com/symbols/CRWD/" TargetMode="External" Id="rId145" /><Relationship Type="http://schemas.openxmlformats.org/officeDocument/2006/relationships/hyperlink" Target="https://www.tradingview.com/symbols/GM/" TargetMode="External" Id="rId146" /><Relationship Type="http://schemas.openxmlformats.org/officeDocument/2006/relationships/hyperlink" Target="https://www.tradingview.com/symbols/KKR/" TargetMode="External" Id="rId147" /><Relationship Type="http://schemas.openxmlformats.org/officeDocument/2006/relationships/hyperlink" Target="https://www.tradingview.com/symbols/GEV/" TargetMode="External" Id="rId148" /><Relationship Type="http://schemas.openxmlformats.org/officeDocument/2006/relationships/hyperlink" Target="https://www.tradingview.com/symbols/BIIB/" TargetMode="External" Id="rId149" /><Relationship Type="http://schemas.openxmlformats.org/officeDocument/2006/relationships/hyperlink" Target="https://www.tradingview.com/symbols/DIS/" TargetMode="External" Id="rId150" /><Relationship Type="http://schemas.openxmlformats.org/officeDocument/2006/relationships/hyperlink" Target="https://www.tradingview.com/symbols/PLTR/" TargetMode="External" Id="rId151" /><Relationship Type="http://schemas.openxmlformats.org/officeDocument/2006/relationships/hyperlink" Target="https://www.tradingview.com/symbols/PFE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36.62</v>
      </c>
      <c r="G2" s="15" t="inlineStr">
        <is>
          <t>EUR</t>
        </is>
      </c>
      <c r="H2" s="14" t="n">
        <v>36.62</v>
      </c>
      <c r="I2" s="16" t="n">
        <v>5136</v>
      </c>
      <c r="J2" s="16" t="n">
        <v>5136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2.6301801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2026-10-08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80.09999999999999</v>
      </c>
      <c r="G3" s="15" t="inlineStr">
        <is>
          <t>EUR</t>
        </is>
      </c>
      <c r="H3" s="14" t="n">
        <v>80.09999999999999</v>
      </c>
      <c r="I3" s="16" t="n">
        <v>5446.8</v>
      </c>
      <c r="J3" s="16" t="n">
        <v>5446.8</v>
      </c>
      <c r="K3" s="14" t="n">
        <v>111944.91</v>
      </c>
      <c r="L3" s="14" t="n">
        <v>2.62486</v>
      </c>
      <c r="M3" s="17">
        <f>IF(OR(F3="",K3="",K3&lt;=0),"",F3/K3)</f>
        <v/>
      </c>
      <c r="N3" s="18" t="n">
        <v>9.940433000000001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60.1</v>
      </c>
      <c r="G4" s="15" t="inlineStr">
        <is>
          <t>EUR</t>
        </is>
      </c>
      <c r="H4" s="14" t="n">
        <v>60.1</v>
      </c>
      <c r="I4" s="16" t="n">
        <v>6856.4</v>
      </c>
      <c r="J4" s="16" t="n">
        <v>6856.4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4.8778505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2.85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Mediolanum</t>
        </is>
      </c>
      <c r="C5" s="12" t="inlineStr">
        <is>
          <t>BMED.MI</t>
        </is>
      </c>
      <c r="D5" s="11" t="inlineStr">
        <is>
          <t>Banca</t>
        </is>
      </c>
      <c r="E5" s="13" t="inlineStr">
        <is>
          <t>Finanziario</t>
        </is>
      </c>
      <c r="F5" s="14" t="n">
        <v>22.71</v>
      </c>
      <c r="G5" s="15" t="inlineStr">
        <is>
          <t>EUR</t>
        </is>
      </c>
      <c r="H5" s="14" t="n">
        <v>22.71</v>
      </c>
      <c r="I5" s="16" t="n">
        <v>16789.8</v>
      </c>
      <c r="J5" s="16" t="n">
        <v>16789.8</v>
      </c>
      <c r="K5" s="14" t="n">
        <v>1.77</v>
      </c>
      <c r="L5" s="14" t="n">
        <v>1.57559</v>
      </c>
      <c r="M5" s="17">
        <f>IF(OR(F5="",K5="",K5&lt;=0),"",F5/K5)</f>
        <v/>
      </c>
      <c r="N5" s="18" t="n">
        <v>3.6741624</v>
      </c>
      <c r="O5" s="19">
        <f>IF(OR(N5="",M5="",M5&lt;=0),"",N5/M5)</f>
        <v/>
      </c>
      <c r="P5" s="20" t="n">
        <v>0.30062</v>
      </c>
      <c r="Q5" s="20" t="n">
        <v>0.2408436712214453</v>
      </c>
      <c r="R5" s="20" t="n">
        <v>0.04285069479521749</v>
      </c>
      <c r="S5" s="21" t="n">
        <v>4</v>
      </c>
      <c r="T5" s="20" t="n"/>
      <c r="U5" s="20" t="n">
        <v>0.2754358183510404</v>
      </c>
      <c r="V5" s="20" t="n">
        <v>0.2781189451824767</v>
      </c>
      <c r="W5" s="20" t="n">
        <v>0.2378963395219322</v>
      </c>
      <c r="X5" s="20" t="n">
        <v>0.1719235818303319</v>
      </c>
      <c r="Y5" s="14" t="n">
        <v>1.3</v>
      </c>
      <c r="Z5" s="19">
        <f>IF(OR(Y5="",F5="",F5=0),"",Y5/F5)</f>
        <v/>
      </c>
      <c r="AA5" s="22" t="n"/>
      <c r="AB5" s="20" t="n">
        <v>0.29</v>
      </c>
      <c r="AC5" s="20" t="n">
        <v>0.5392967454789669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2.065</v>
      </c>
      <c r="G6" s="15" t="inlineStr">
        <is>
          <t>EUR</t>
        </is>
      </c>
      <c r="H6" s="14" t="n">
        <v>2.065</v>
      </c>
      <c r="I6" s="16" t="n">
        <v>538.7</v>
      </c>
      <c r="J6" s="16" t="n">
        <v>538.7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1.8503584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8.15</v>
      </c>
      <c r="G7" s="15" t="inlineStr">
        <is>
          <t>EUR</t>
        </is>
      </c>
      <c r="H7" s="14" t="n">
        <v>8.15</v>
      </c>
      <c r="I7" s="16" t="n">
        <v>8284.700000000001</v>
      </c>
      <c r="J7" s="16" t="n">
        <v>8284.700000000001</v>
      </c>
      <c r="K7" s="14" t="n">
        <v>0.68</v>
      </c>
      <c r="L7" s="14" t="n">
        <v>0.79921</v>
      </c>
      <c r="M7" s="17">
        <f>IF(OR(F7="",K7="",K7&lt;=0),"",F7/K7)</f>
        <v/>
      </c>
      <c r="N7" s="18" t="n">
        <v>2.1973577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2.27</v>
      </c>
      <c r="G8" s="15" t="inlineStr">
        <is>
          <t>EUR</t>
        </is>
      </c>
      <c r="H8" s="14" t="n">
        <v>2.27</v>
      </c>
      <c r="I8" s="16" t="n">
        <v>7107.4</v>
      </c>
      <c r="J8" s="16" t="n">
        <v>7107.4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1.3658243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12.55</v>
      </c>
      <c r="G9" s="15" t="inlineStr">
        <is>
          <t>EUR</t>
        </is>
      </c>
      <c r="H9" s="14" t="n">
        <v>12.55</v>
      </c>
      <c r="I9" s="16" t="n">
        <v>4108.6</v>
      </c>
      <c r="J9" s="16" t="n">
        <v>4108.6</v>
      </c>
      <c r="K9" s="14" t="n">
        <v>0.83</v>
      </c>
      <c r="L9" s="14" t="n">
        <v>1.02473</v>
      </c>
      <c r="M9" s="17">
        <f>IF(OR(F9="",K9="",K9&lt;=0),"",F9/K9)</f>
        <v/>
      </c>
      <c r="N9" s="18" t="n">
        <v>7.074408</v>
      </c>
      <c r="O9" s="19">
        <f>IF(OR(N9="",M9="",M9&lt;=0),"",N9/M9)</f>
        <v/>
      </c>
      <c r="P9" s="20" t="n">
        <v>0.48770002</v>
      </c>
      <c r="Q9" s="20" t="n">
        <v>0.2798475537626282</v>
      </c>
      <c r="R9" s="20" t="n">
        <v>0.07298807403400039</v>
      </c>
      <c r="S9" s="21" t="n">
        <v>4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2026-10-08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13.212</v>
      </c>
      <c r="G10" s="15" t="inlineStr">
        <is>
          <t>EUR</t>
        </is>
      </c>
      <c r="H10" s="14" t="n">
        <v>13.212</v>
      </c>
      <c r="I10" s="16" t="n">
        <v>27674.6</v>
      </c>
      <c r="J10" s="16" t="n">
        <v>27674.6</v>
      </c>
      <c r="K10" s="14" t="n">
        <v>1.12</v>
      </c>
      <c r="L10" s="14" t="n">
        <v>1.30016</v>
      </c>
      <c r="M10" s="17">
        <f>IF(OR(F10="",K10="",K10&lt;=0),"",F10/K10)</f>
        <v/>
      </c>
      <c r="N10" s="18" t="n">
        <v>1.529875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>
        <v>0.66</v>
      </c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25.43</v>
      </c>
      <c r="G11" s="15" t="inlineStr">
        <is>
          <t>EUR</t>
        </is>
      </c>
      <c r="H11" s="14" t="n">
        <v>25.43</v>
      </c>
      <c r="I11" s="16" t="n">
        <v>18238.6</v>
      </c>
      <c r="J11" s="16" t="n">
        <v>18238.6</v>
      </c>
      <c r="K11" s="14" t="n">
        <v>2.39</v>
      </c>
      <c r="L11" s="14" t="n">
        <v>2.26656</v>
      </c>
      <c r="M11" s="17">
        <f>IF(OR(F11="",K11="",K11&lt;=0),"",F11/K11)</f>
        <v/>
      </c>
      <c r="N11" s="18" t="n">
        <v>1.8159097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1.12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3.46</v>
      </c>
      <c r="G12" s="15" t="inlineStr">
        <is>
          <t>EUR</t>
        </is>
      </c>
      <c r="H12" s="14" t="n">
        <v>3.46</v>
      </c>
      <c r="I12" s="16" t="n">
        <v>5115.2</v>
      </c>
      <c r="J12" s="16" t="n">
        <v>5115.2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1.2527153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Credito Emiliano</t>
        </is>
      </c>
      <c r="C13" s="12" t="inlineStr">
        <is>
          <t>CE.MI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19.86</v>
      </c>
      <c r="G13" s="15" t="inlineStr">
        <is>
          <t>EUR</t>
        </is>
      </c>
      <c r="H13" s="14" t="n">
        <v>19.86</v>
      </c>
      <c r="I13" s="16" t="n">
        <v>6754.1</v>
      </c>
      <c r="J13" s="16" t="n">
        <v>6754.1</v>
      </c>
      <c r="K13" s="14" t="n">
        <v>1.66</v>
      </c>
      <c r="L13" s="14" t="n">
        <v>1.70789</v>
      </c>
      <c r="M13" s="17">
        <f>IF(OR(F13="",K13="",K13&lt;=0),"",F13/K13)</f>
        <v/>
      </c>
      <c r="N13" s="18" t="n">
        <v>1.4300116</v>
      </c>
      <c r="O13" s="19">
        <f>IF(OR(N13="",M13="",M13&lt;=0),"",N13/M13)</f>
        <v/>
      </c>
      <c r="P13" s="20" t="n">
        <v>0.12286</v>
      </c>
      <c r="Q13" s="20" t="n">
        <v>0.1300062824285416</v>
      </c>
      <c r="R13" s="20" t="n">
        <v>0.01959756211205863</v>
      </c>
      <c r="S13" s="21" t="n">
        <v>4</v>
      </c>
      <c r="T13" s="20" t="n"/>
      <c r="U13" s="20" t="n">
        <v>0.1332810045412384</v>
      </c>
      <c r="V13" s="20" t="n">
        <v>0.1444498517998922</v>
      </c>
      <c r="W13" s="20" t="n">
        <v>0.1452297895230177</v>
      </c>
      <c r="X13" s="20" t="n">
        <v>0.09706448385001806</v>
      </c>
      <c r="Y13" s="14" t="n">
        <v>0.75</v>
      </c>
      <c r="Z13" s="19">
        <f>IF(OR(Y13="",F13="",F13=0),"",Y13/F13)</f>
        <v/>
      </c>
      <c r="AA13" s="22" t="n"/>
      <c r="AB13" s="20" t="n">
        <v>0.165</v>
      </c>
      <c r="AC13" s="20" t="n">
        <v>0.2710626925445219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0.826</v>
      </c>
      <c r="G14" s="15" t="inlineStr">
        <is>
          <t>EUR</t>
        </is>
      </c>
      <c r="H14" s="14" t="n">
        <v>0.826</v>
      </c>
      <c r="I14" s="16" t="n">
        <v>427.4</v>
      </c>
      <c r="J14" s="16" t="n">
        <v>427.4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0.92913383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23.88</v>
      </c>
      <c r="G15" s="15" t="inlineStr">
        <is>
          <t>EUR</t>
        </is>
      </c>
      <c r="H15" s="14" t="n">
        <v>23.88</v>
      </c>
      <c r="I15" s="16" t="n">
        <v>38144.9</v>
      </c>
      <c r="J15" s="16" t="n">
        <v>38144.9</v>
      </c>
      <c r="K15" s="14" t="n">
        <v>1.85</v>
      </c>
      <c r="L15" s="14" t="n">
        <v>1.98583</v>
      </c>
      <c r="M15" s="17">
        <f>IF(OR(F15="",K15="",K15&lt;=0),"",F15/K15)</f>
        <v/>
      </c>
      <c r="N15" s="18" t="n">
        <v>2.4079862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2026-10-08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342.8</v>
      </c>
      <c r="G16" s="15" t="inlineStr">
        <is>
          <t>EUR</t>
        </is>
      </c>
      <c r="H16" s="14" t="n">
        <v>342.8</v>
      </c>
      <c r="I16" s="16" t="n">
        <v>60127.1</v>
      </c>
      <c r="J16" s="16" t="n">
        <v>60127.1</v>
      </c>
      <c r="K16" s="14" t="n">
        <v>9.23</v>
      </c>
      <c r="L16" s="14" t="n">
        <v>11.05319</v>
      </c>
      <c r="M16" s="17">
        <f>IF(OR(F16="",K16="",K16&lt;=0),"",F16/K16)</f>
        <v/>
      </c>
      <c r="N16" s="18" t="n">
        <v>16.483938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36</v>
      </c>
      <c r="G17" s="15" t="inlineStr">
        <is>
          <t>EUR</t>
        </is>
      </c>
      <c r="H17" s="14" t="n">
        <v>36</v>
      </c>
      <c r="I17" s="16" t="n">
        <v>6354.4</v>
      </c>
      <c r="J17" s="16" t="n">
        <v>6354.4</v>
      </c>
      <c r="K17" s="14" t="n">
        <v>4.76</v>
      </c>
      <c r="L17" s="14" t="n">
        <v>4.83455</v>
      </c>
      <c r="M17" s="17">
        <f>IF(OR(F17="",K17="",K17&lt;=0),"",F17/K17)</f>
        <v/>
      </c>
      <c r="N17" s="18" t="n">
        <v>0.8727273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UniCredit</t>
        </is>
      </c>
      <c r="C18" s="12" t="inlineStr">
        <is>
          <t>UCG.MI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75.33</v>
      </c>
      <c r="G18" s="15" t="inlineStr">
        <is>
          <t>EUR</t>
        </is>
      </c>
      <c r="H18" s="14" t="n">
        <v>75.33</v>
      </c>
      <c r="I18" s="16" t="n">
        <v>113594.1</v>
      </c>
      <c r="J18" s="16" t="n">
        <v>113594.1</v>
      </c>
      <c r="K18" s="14" t="n">
        <v>6.98</v>
      </c>
      <c r="L18" s="14" t="n">
        <v>8.40887</v>
      </c>
      <c r="M18" s="17">
        <f>IF(OR(F18="",K18="",K18&lt;=0),"",F18/K18)</f>
        <v/>
      </c>
      <c r="N18" s="18" t="n">
        <v>1.602732</v>
      </c>
      <c r="O18" s="19">
        <f>IF(OR(N18="",M18="",M18&lt;=0),"",N18/M18)</f>
        <v/>
      </c>
      <c r="P18" s="20" t="n">
        <v>0.15779</v>
      </c>
      <c r="Q18" s="20" t="n">
        <v>0.1417934441062063</v>
      </c>
      <c r="R18" s="20" t="n">
        <v>0.02344442801155508</v>
      </c>
      <c r="S18" s="21" t="n">
        <v>4</v>
      </c>
      <c r="T18" s="20" t="n"/>
      <c r="U18" s="20" t="n">
        <v>0.1611998050538317</v>
      </c>
      <c r="V18" s="20" t="n">
        <v>0.1556509344821511</v>
      </c>
      <c r="W18" s="20" t="n">
        <v>0.1483637385102764</v>
      </c>
      <c r="X18" s="20" t="n">
        <v>0.1019592983785661</v>
      </c>
      <c r="Y18" s="14" t="n">
        <v>3.15</v>
      </c>
      <c r="Z18" s="19">
        <f>IF(OR(Y18="",F18="",F18=0),"",Y18/F18)</f>
        <v/>
      </c>
      <c r="AA18" s="22" t="n"/>
      <c r="AB18" s="20" t="n">
        <v>-0.092</v>
      </c>
      <c r="AC18" s="20" t="n">
        <v>0.4284915506210312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Intesa Sanpaolo</t>
        </is>
      </c>
      <c r="C19" s="12" t="inlineStr">
        <is>
          <t>ISP.MI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6.06</v>
      </c>
      <c r="G19" s="15" t="inlineStr">
        <is>
          <t>EUR</t>
        </is>
      </c>
      <c r="H19" s="14" t="n">
        <v>6.06</v>
      </c>
      <c r="I19" s="16" t="n">
        <v>105167.3</v>
      </c>
      <c r="J19" s="16" t="n">
        <v>105167.3</v>
      </c>
      <c r="K19" s="14" t="n">
        <v>0.5600000000000001</v>
      </c>
      <c r="L19" s="14" t="n">
        <v>0.65382</v>
      </c>
      <c r="M19" s="17">
        <f>IF(OR(F19="",K19="",K19&lt;=0),"",F19/K19)</f>
        <v/>
      </c>
      <c r="N19" s="18" t="n">
        <v>1.549872</v>
      </c>
      <c r="O19" s="19">
        <f>IF(OR(N19="",M19="",M19&lt;=0),"",N19/M19)</f>
        <v/>
      </c>
      <c r="P19" s="20" t="n">
        <v>0.14261</v>
      </c>
      <c r="Q19" s="20" t="n">
        <v>0.1170723447862178</v>
      </c>
      <c r="R19" s="20" t="n">
        <v>0.0273636203726556</v>
      </c>
      <c r="S19" s="21" t="n">
        <v>4</v>
      </c>
      <c r="T19" s="20" t="n"/>
      <c r="U19" s="20" t="n">
        <v>0.1429031367859443</v>
      </c>
      <c r="V19" s="20" t="n">
        <v>0.1329630538848656</v>
      </c>
      <c r="W19" s="20" t="n">
        <v>0.1207573128214749</v>
      </c>
      <c r="X19" s="20" t="n">
        <v>0.07166587565258661</v>
      </c>
      <c r="Y19" s="14" t="n">
        <v>0.38</v>
      </c>
      <c r="Z19" s="19">
        <f>IF(OR(Y19="",F19="",F19=0),"",Y19/F19)</f>
        <v/>
      </c>
      <c r="AA19" s="22" t="n"/>
      <c r="AB19" s="20" t="n">
        <v>0.064</v>
      </c>
      <c r="AC19" s="20" t="n">
        <v>0.3385677664131235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Iren</t>
        </is>
      </c>
      <c r="C20" s="12" t="inlineStr">
        <is>
          <t>IRE.MI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2.392</v>
      </c>
      <c r="G20" s="15" t="inlineStr">
        <is>
          <t>EUR</t>
        </is>
      </c>
      <c r="H20" s="14" t="n">
        <v>2.392</v>
      </c>
      <c r="I20" s="16" t="n">
        <v>3069.1</v>
      </c>
      <c r="J20" s="16" t="n">
        <v>3069.1</v>
      </c>
      <c r="K20" s="14" t="n">
        <v>0.23</v>
      </c>
      <c r="L20" s="14" t="n">
        <v>0.24707</v>
      </c>
      <c r="M20" s="17">
        <f>IF(OR(F20="",K20="",K20&lt;=0),"",F20/K20)</f>
        <v/>
      </c>
      <c r="N20" s="18" t="n">
        <v>1.0409051</v>
      </c>
      <c r="O20" s="19">
        <f>IF(OR(N20="",M20="",M20&lt;=0),"",N20/M20)</f>
        <v/>
      </c>
      <c r="P20" s="20" t="n">
        <v>0.08586001</v>
      </c>
      <c r="Q20" s="20" t="n">
        <v>0.08833789201631842</v>
      </c>
      <c r="R20" s="20" t="n">
        <v>0.004159652247824652</v>
      </c>
      <c r="S20" s="21" t="n">
        <v>4</v>
      </c>
      <c r="T20" s="20" t="n"/>
      <c r="U20" s="20" t="n">
        <v>0.086886861999682</v>
      </c>
      <c r="V20" s="20" t="n">
        <v>0.09334796927981129</v>
      </c>
      <c r="W20" s="20" t="n">
        <v>0.09078158140807809</v>
      </c>
      <c r="X20" s="20" t="n">
        <v>0.08233515537770233</v>
      </c>
      <c r="Y20" s="14" t="n">
        <v>0.14</v>
      </c>
      <c r="Z20" s="19">
        <f>IF(OR(Y20="",F20="",F20=0),"",Y20/F20)</f>
        <v/>
      </c>
      <c r="AA20" s="22" t="n">
        <v>129.504</v>
      </c>
      <c r="AB20" s="20" t="n">
        <v>0.028</v>
      </c>
      <c r="AC20" s="20" t="n">
        <v>0.04642093273543158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2026-10-08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2.156</v>
      </c>
      <c r="G21" s="15" t="inlineStr">
        <is>
          <t>EUR</t>
        </is>
      </c>
      <c r="H21" s="14" t="n">
        <v>2.156</v>
      </c>
      <c r="I21" s="16" t="n">
        <v>1511.1</v>
      </c>
      <c r="J21" s="16" t="n">
        <v>1511.1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0.43301865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FinecoBank</t>
        </is>
      </c>
      <c r="C22" s="12" t="inlineStr">
        <is>
          <t>FBK.MI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21.02</v>
      </c>
      <c r="G22" s="15" t="inlineStr">
        <is>
          <t>EUR</t>
        </is>
      </c>
      <c r="H22" s="14" t="n">
        <v>21.02</v>
      </c>
      <c r="I22" s="16" t="n">
        <v>12860.4</v>
      </c>
      <c r="J22" s="16" t="n">
        <v>12860.4</v>
      </c>
      <c r="K22" s="14" t="n">
        <v>1.1</v>
      </c>
      <c r="L22" s="14" t="n">
        <v>1.28801</v>
      </c>
      <c r="M22" s="17">
        <f>IF(OR(F22="",K22="",K22&lt;=0),"",F22/K22)</f>
        <v/>
      </c>
      <c r="N22" s="18" t="n">
        <v>5.3663516</v>
      </c>
      <c r="O22" s="19">
        <f>IF(OR(N22="",M22="",M22&lt;=0),"",N22/M22)</f>
        <v/>
      </c>
      <c r="P22" s="20" t="n">
        <v>0.28855</v>
      </c>
      <c r="Q22" s="20" t="n">
        <v>0.28855</v>
      </c>
      <c r="R22" s="20" t="n"/>
      <c r="S22" s="21" t="n">
        <v>0</v>
      </c>
      <c r="T22" s="20" t="n"/>
      <c r="U22" s="20" t="n">
        <v>0.2534112396233302</v>
      </c>
      <c r="V22" s="20" t="n">
        <v>0.2730011819301958</v>
      </c>
      <c r="W22" s="20" t="n">
        <v>0.2775357273693247</v>
      </c>
      <c r="X22" s="20" t="n">
        <v>0.2243015456996635</v>
      </c>
      <c r="Y22" s="14" t="n">
        <v>0.79</v>
      </c>
      <c r="Z22" s="19">
        <f>IF(OR(Y22="",F22="",F22=0),"",Y22/F22)</f>
        <v/>
      </c>
      <c r="AA22" s="22" t="n"/>
      <c r="AB22" s="20" t="n">
        <v>0.18</v>
      </c>
      <c r="AC22" s="20" t="n">
        <v>0.4311898534625156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2026-10-08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10.42</v>
      </c>
      <c r="G23" s="15" t="inlineStr">
        <is>
          <t>EUR</t>
        </is>
      </c>
      <c r="H23" s="14" t="n">
        <v>10.42</v>
      </c>
      <c r="I23" s="16" t="n">
        <v>636.5</v>
      </c>
      <c r="J23" s="16" t="n">
        <v>636.5</v>
      </c>
      <c r="K23" s="14" t="n">
        <v>4.22</v>
      </c>
      <c r="L23" s="14" t="n">
        <v>1.99664</v>
      </c>
      <c r="M23" s="17">
        <f>IF(OR(F23="",K23="",K23&lt;=0),"",F23/K23)</f>
        <v/>
      </c>
      <c r="N23" s="18" t="n">
        <v>0.31047943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2026-10-08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10.86</v>
      </c>
      <c r="G24" s="15" t="inlineStr">
        <is>
          <t>EUR</t>
        </is>
      </c>
      <c r="H24" s="14" t="n">
        <v>10.86</v>
      </c>
      <c r="I24" s="16" t="n">
        <v>32997.2</v>
      </c>
      <c r="J24" s="16" t="n">
        <v>32997.2</v>
      </c>
      <c r="K24" s="14" t="n">
        <v>1.19</v>
      </c>
      <c r="L24" s="14" t="n">
        <v>0.89188</v>
      </c>
      <c r="M24" s="17">
        <f>IF(OR(F24="",K24="",K24&lt;=0),"",F24/K24)</f>
        <v/>
      </c>
      <c r="N24" s="18" t="n">
        <v>1.2497123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2026-10-08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Brembo</t>
        </is>
      </c>
      <c r="C25" s="12" t="inlineStr">
        <is>
          <t>BRE.MI</t>
        </is>
      </c>
      <c r="D25" s="11" t="inlineStr">
        <is>
          <t>Componentistica auto</t>
        </is>
      </c>
      <c r="E25" s="13" t="inlineStr">
        <is>
          <t>Industriale</t>
        </is>
      </c>
      <c r="F25" s="14" t="n">
        <v>9.83</v>
      </c>
      <c r="G25" s="15" t="inlineStr">
        <is>
          <t>EUR</t>
        </is>
      </c>
      <c r="H25" s="14" t="n">
        <v>9.83</v>
      </c>
      <c r="I25" s="16" t="n">
        <v>3127</v>
      </c>
      <c r="J25" s="16" t="n">
        <v>3127</v>
      </c>
      <c r="K25" s="14" t="n">
        <v>0.72</v>
      </c>
      <c r="L25" s="14" t="n">
        <v>0.8465200000000001</v>
      </c>
      <c r="M25" s="17">
        <f>IF(OR(F25="",K25="",K25&lt;=0),"",F25/K25)</f>
        <v/>
      </c>
      <c r="N25" s="18" t="n">
        <v>1.3346912</v>
      </c>
      <c r="O25" s="19">
        <f>IF(OR(N25="",M25="",M25&lt;=0),"",N25/M25)</f>
        <v/>
      </c>
      <c r="P25" s="20" t="n">
        <v>0.101330005</v>
      </c>
      <c r="Q25" s="20" t="n">
        <v>0.1265656568780933</v>
      </c>
      <c r="R25" s="20" t="n">
        <v>0.02514618444892005</v>
      </c>
      <c r="S25" s="21" t="n">
        <v>4</v>
      </c>
      <c r="T25" s="20" t="n"/>
      <c r="U25" s="20" t="n">
        <v>0.09128864491291784</v>
      </c>
      <c r="V25" s="20" t="n">
        <v>0.1144501964284625</v>
      </c>
      <c r="W25" s="20" t="n">
        <v>0.1475189755270711</v>
      </c>
      <c r="X25" s="20" t="n">
        <v>0.153004810643922</v>
      </c>
      <c r="Y25" s="14" t="n">
        <v>0.3</v>
      </c>
      <c r="Z25" s="19">
        <f>IF(OR(Y25="",F25="",F25=0),"",Y25/F25)</f>
        <v/>
      </c>
      <c r="AA25" s="22" t="n">
        <v>58.738</v>
      </c>
      <c r="AB25" s="20" t="n">
        <v>0.061</v>
      </c>
      <c r="AC25" s="20" t="n">
        <v>0.06153502074835945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2026-10-08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Acea</t>
        </is>
      </c>
      <c r="C26" s="12" t="inlineStr">
        <is>
          <t>ACE.MI</t>
        </is>
      </c>
      <c r="D26" s="11" t="inlineStr">
        <is>
          <t>Utility</t>
        </is>
      </c>
      <c r="E26" s="13" t="inlineStr">
        <is>
          <t>Utility</t>
        </is>
      </c>
      <c r="F26" s="14" t="n">
        <v>19.89</v>
      </c>
      <c r="G26" s="15" t="inlineStr">
        <is>
          <t>EUR</t>
        </is>
      </c>
      <c r="H26" s="14" t="n">
        <v>19.89</v>
      </c>
      <c r="I26" s="16" t="n">
        <v>4227.6</v>
      </c>
      <c r="J26" s="16" t="n">
        <v>4227.6</v>
      </c>
      <c r="K26" s="14" t="n">
        <v>1.7</v>
      </c>
      <c r="L26" s="14" t="n">
        <v>1.58975</v>
      </c>
      <c r="M26" s="17">
        <f>IF(OR(F26="",K26="",K26&lt;=0),"",F26/K26)</f>
        <v/>
      </c>
      <c r="N26" s="18" t="n">
        <v>1.4186875</v>
      </c>
      <c r="O26" s="19">
        <f>IF(OR(N26="",M26="",M26&lt;=0),"",N26/M26)</f>
        <v/>
      </c>
      <c r="P26" s="20" t="n">
        <v>0.124309994</v>
      </c>
      <c r="Q26" s="20" t="n">
        <v>0.124309994</v>
      </c>
      <c r="R26" s="20" t="n"/>
      <c r="S26" s="21" t="n">
        <v>0</v>
      </c>
      <c r="T26" s="20" t="n"/>
      <c r="U26" s="20" t="n">
        <v>0.172816869044327</v>
      </c>
      <c r="V26" s="20" t="n">
        <v>0.1323776847677043</v>
      </c>
      <c r="W26" s="20" t="n">
        <v>0.1236319980683815</v>
      </c>
      <c r="X26" s="20" t="n">
        <v>0.1220830561942121</v>
      </c>
      <c r="Y26" s="14" t="n">
        <v>0.95</v>
      </c>
      <c r="Z26" s="19">
        <f>IF(OR(Y26="",F26="",F26=0),"",Y26/F26)</f>
        <v/>
      </c>
      <c r="AA26" s="22" t="n">
        <v>169.549</v>
      </c>
      <c r="AB26" s="20" t="n">
        <v>0.063</v>
      </c>
      <c r="AC26" s="20" t="n">
        <v>0.1313480180950612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2026-10-08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Assicurazioni Generali</t>
        </is>
      </c>
      <c r="C27" s="12" t="inlineStr">
        <is>
          <t>G.MI</t>
        </is>
      </c>
      <c r="D27" s="11" t="inlineStr">
        <is>
          <t>Assicurazione</t>
        </is>
      </c>
      <c r="E27" s="13" t="inlineStr">
        <is>
          <t>Finanziario</t>
        </is>
      </c>
      <c r="F27" s="14" t="n">
        <v>41.02</v>
      </c>
      <c r="G27" s="15" t="inlineStr">
        <is>
          <t>EUR</t>
        </is>
      </c>
      <c r="H27" s="14" t="n">
        <v>41.02</v>
      </c>
      <c r="I27" s="16" t="n">
        <v>61727.9</v>
      </c>
      <c r="J27" s="16" t="n">
        <v>61727.9</v>
      </c>
      <c r="K27" s="14" t="n">
        <v>2.95</v>
      </c>
      <c r="L27" s="14" t="n">
        <v>3.40268</v>
      </c>
      <c r="M27" s="17">
        <f>IF(OR(F27="",K27="",K27&lt;=0),"",F27/K27)</f>
        <v/>
      </c>
      <c r="N27" s="18" t="n">
        <v>1.9320804</v>
      </c>
      <c r="O27" s="19">
        <f>IF(OR(N27="",M27="",M27&lt;=0),"",N27/M27)</f>
        <v/>
      </c>
      <c r="P27" s="20" t="n">
        <v>0.1514</v>
      </c>
      <c r="Q27" s="20" t="n">
        <v>0.1164672974509258</v>
      </c>
      <c r="R27" s="20" t="n">
        <v>0.01905215662104418</v>
      </c>
      <c r="S27" s="21" t="n">
        <v>4</v>
      </c>
      <c r="T27" s="20" t="n"/>
      <c r="U27" s="20" t="n">
        <v>0.1301147704590818</v>
      </c>
      <c r="V27" s="20" t="n">
        <v>0.1225443417025898</v>
      </c>
      <c r="W27" s="20" t="n">
        <v>0.1293451620697988</v>
      </c>
      <c r="X27" s="20" t="n">
        <v>0.08386491557223265</v>
      </c>
      <c r="Y27" s="14" t="n">
        <v>1.64</v>
      </c>
      <c r="Z27" s="19">
        <f>IF(OR(Y27="",F27="",F27=0),"",Y27/F27)</f>
        <v/>
      </c>
      <c r="AA27" s="22" t="n">
        <v>118.93</v>
      </c>
      <c r="AB27" s="20" t="n">
        <v>0.054</v>
      </c>
      <c r="AC27" s="20" t="n">
        <v>0.06105243451634225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2026-10-08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53</v>
      </c>
      <c r="G28" s="15" t="inlineStr">
        <is>
          <t>EUR</t>
        </is>
      </c>
      <c r="H28" s="14" t="n">
        <v>53</v>
      </c>
      <c r="I28" s="16" t="n">
        <v>11024</v>
      </c>
      <c r="J28" s="16" t="n">
        <v>11024</v>
      </c>
      <c r="K28" s="14" t="n">
        <v>2.38</v>
      </c>
      <c r="L28" s="14" t="n">
        <v>3.7615</v>
      </c>
      <c r="M28" s="17">
        <f>IF(OR(F28="",K28="",K28&lt;=0),"",F28/K28)</f>
        <v/>
      </c>
      <c r="N28" s="18" t="n">
        <v>5.094684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2026-10-08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Banco BPM</t>
        </is>
      </c>
      <c r="C29" s="12" t="inlineStr">
        <is>
          <t>BAMI.MI</t>
        </is>
      </c>
      <c r="D29" s="11" t="inlineStr">
        <is>
          <t>Banca</t>
        </is>
      </c>
      <c r="E29" s="13" t="inlineStr">
        <is>
          <t>Finanziario</t>
        </is>
      </c>
      <c r="F29" s="14" t="n">
        <v>14.6</v>
      </c>
      <c r="G29" s="15" t="inlineStr">
        <is>
          <t>EUR</t>
        </is>
      </c>
      <c r="H29" s="14" t="n">
        <v>14.6</v>
      </c>
      <c r="I29" s="16" t="n">
        <v>21978.9</v>
      </c>
      <c r="J29" s="16" t="n">
        <v>21978.9</v>
      </c>
      <c r="K29" s="14" t="n">
        <v>1.27</v>
      </c>
      <c r="L29" s="14" t="n">
        <v>1.42879</v>
      </c>
      <c r="M29" s="17">
        <f>IF(OR(F29="",K29="",K29&lt;=0),"",F29/K29)</f>
        <v/>
      </c>
      <c r="N29" s="18" t="n">
        <v>1.407229</v>
      </c>
      <c r="O29" s="19">
        <f>IF(OR(N29="",M29="",M29&lt;=0),"",N29/M29)</f>
        <v/>
      </c>
      <c r="P29" s="20" t="n">
        <v>0.12613</v>
      </c>
      <c r="Q29" s="20" t="n">
        <v>0.1021211334100729</v>
      </c>
      <c r="R29" s="20" t="n">
        <v>0.03350975211730548</v>
      </c>
      <c r="S29" s="21" t="n">
        <v>4</v>
      </c>
      <c r="T29" s="20" t="n"/>
      <c r="U29" s="20" t="n">
        <v>0.1342812323198498</v>
      </c>
      <c r="V29" s="20" t="n">
        <v>0.1314982535880892</v>
      </c>
      <c r="W29" s="20" t="n">
        <v>0.09007299567491081</v>
      </c>
      <c r="X29" s="20" t="n">
        <v>0.05263205205744168</v>
      </c>
      <c r="Y29" s="14" t="n">
        <v>1</v>
      </c>
      <c r="Z29" s="19">
        <f>IF(OR(Y29="",F29="",F29=0),"",Y29/F29)</f>
        <v/>
      </c>
      <c r="AA29" s="22" t="n"/>
      <c r="AB29" s="20" t="n">
        <v>-0.055</v>
      </c>
      <c r="AC29" s="20" t="n">
        <v>0.2903556501009414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2026-10-08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9.128</v>
      </c>
      <c r="G30" s="15" t="inlineStr">
        <is>
          <t>EUR</t>
        </is>
      </c>
      <c r="H30" s="14" t="n">
        <v>9.128</v>
      </c>
      <c r="I30" s="16" t="n">
        <v>18309.9</v>
      </c>
      <c r="J30" s="16" t="n">
        <v>18309.9</v>
      </c>
      <c r="K30" s="14" t="n">
        <v>0.51</v>
      </c>
      <c r="L30" s="14" t="n">
        <v>0.55998</v>
      </c>
      <c r="M30" s="17">
        <f>IF(OR(F30="",K30="",K30&lt;=0),"",F30/K30)</f>
        <v/>
      </c>
      <c r="N30" s="18" t="n">
        <v>3.0796223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2026-10-08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Banca Profilo</t>
        </is>
      </c>
      <c r="C31" s="12" t="inlineStr">
        <is>
          <t>PRO.MI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1.508</v>
      </c>
      <c r="G31" s="15" t="inlineStr">
        <is>
          <t>EUR</t>
        </is>
      </c>
      <c r="H31" s="14" t="n">
        <v>1.508</v>
      </c>
      <c r="I31" s="16" t="n">
        <v>99.59999999999999</v>
      </c>
      <c r="J31" s="16" t="n">
        <v>99.59999999999999</v>
      </c>
      <c r="K31" s="14" t="n">
        <v>0.13</v>
      </c>
      <c r="L31" s="14" t="n">
        <v>0.158</v>
      </c>
      <c r="M31" s="17">
        <f>IF(OR(F31="",K31="",K31&lt;=0),"",F31/K31)</f>
        <v/>
      </c>
      <c r="N31" s="18" t="n">
        <v>0.6172738</v>
      </c>
      <c r="O31" s="19">
        <f>IF(OR(N31="",M31="",M31&lt;=0),"",N31/M31)</f>
        <v/>
      </c>
      <c r="P31" s="20" t="n">
        <v>0.05441</v>
      </c>
      <c r="Q31" s="20" t="n">
        <v>0.06503077574268615</v>
      </c>
      <c r="R31" s="20" t="n">
        <v>0.006357036968247848</v>
      </c>
      <c r="S31" s="21" t="n">
        <v>4</v>
      </c>
      <c r="T31" s="20" t="n"/>
      <c r="U31" s="20" t="n">
        <v>0.060088543950598</v>
      </c>
      <c r="V31" s="20" t="n">
        <v>0.05765696403735347</v>
      </c>
      <c r="W31" s="20" t="n">
        <v>0.07306048899843912</v>
      </c>
      <c r="X31" s="20" t="n">
        <v>0.06931710598435398</v>
      </c>
      <c r="Y31" s="14" t="n">
        <v>0.07000000000000001</v>
      </c>
      <c r="Z31" s="19">
        <f>IF(OR(Y31="",F31="",F31=0),"",Y31/F31)</f>
        <v/>
      </c>
      <c r="AA31" s="22" t="n"/>
      <c r="AB31" s="20" t="n">
        <v>-0.28</v>
      </c>
      <c r="AC31" s="20" t="n">
        <v>0.127950402243708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2026-10-08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Mediobanca</t>
        </is>
      </c>
      <c r="C32" s="12" t="inlineStr">
        <is>
          <t>MB.MI</t>
        </is>
      </c>
      <c r="D32" s="11" t="inlineStr">
        <is>
          <t>Banca</t>
        </is>
      </c>
      <c r="E32" s="13" t="inlineStr">
        <is>
          <t>Finanziario</t>
        </is>
      </c>
      <c r="F32" s="14" t="n">
        <v>24.79</v>
      </c>
      <c r="G32" s="15" t="inlineStr">
        <is>
          <t>EUR</t>
        </is>
      </c>
      <c r="H32" s="14" t="n">
        <v>24.79</v>
      </c>
      <c r="I32" s="16" t="n">
        <v>19994</v>
      </c>
      <c r="J32" s="16" t="n">
        <v>19994</v>
      </c>
      <c r="K32" s="14" t="n">
        <v>1.51</v>
      </c>
      <c r="L32" s="14" t="n">
        <v>1.86656</v>
      </c>
      <c r="M32" s="17">
        <f>IF(OR(F32="",K32="",K32&lt;=0),"",F32/K32)</f>
        <v/>
      </c>
      <c r="N32" s="18" t="n">
        <v>1.7269245</v>
      </c>
      <c r="O32" s="19">
        <f>IF(OR(N32="",M32="",M32&lt;=0),"",N32/M32)</f>
        <v/>
      </c>
      <c r="P32" s="20" t="n">
        <v>0.0919960661733171</v>
      </c>
      <c r="Q32" s="20" t="n">
        <v>0.1017707532112722</v>
      </c>
      <c r="R32" s="20" t="n">
        <v>0.01405535340424778</v>
      </c>
      <c r="S32" s="21" t="n">
        <v>4</v>
      </c>
      <c r="T32" s="20" t="n"/>
      <c r="U32" s="20" t="n">
        <v>0.1171754223438182</v>
      </c>
      <c r="V32" s="20" t="n">
        <v>0.1141322843602949</v>
      </c>
      <c r="W32" s="20" t="n">
        <v>0.09059131861966614</v>
      </c>
      <c r="X32" s="20" t="n">
        <v>0.08518398752130946</v>
      </c>
      <c r="Y32" s="14" t="n">
        <v>1.26</v>
      </c>
      <c r="Z32" s="19">
        <f>IF(OR(Y32="",F32="",F32=0),"",Y32/F32)</f>
        <v/>
      </c>
      <c r="AA32" s="22" t="n"/>
      <c r="AB32" s="20" t="n">
        <v>0.151</v>
      </c>
      <c r="AC32" s="20" t="n">
        <v>0.3277628735719196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2026-10-08</t>
        </is>
      </c>
      <c r="AI32" s="11" t="inlineStr">
        <is>
          <t>yahoo</t>
        </is>
      </c>
      <c r="AJ32" s="23" t="inlineStr">
        <is>
          <t>Coinvolta nel risiko bancario: verificare se ancora quotata</t>
        </is>
      </c>
    </row>
    <row r="33">
      <c r="A33" s="10">
        <f>IF(AD33="","",RANK(AD33,AD$2:AD$67))</f>
        <v/>
      </c>
      <c r="B33" s="11" t="inlineStr">
        <is>
          <t>Moncler</t>
        </is>
      </c>
      <c r="C33" s="12" t="inlineStr">
        <is>
          <t>MONC.MI</t>
        </is>
      </c>
      <c r="D33" s="11" t="inlineStr">
        <is>
          <t>Lusso</t>
        </is>
      </c>
      <c r="E33" s="13" t="inlineStr">
        <is>
          <t>Consumi</t>
        </is>
      </c>
      <c r="F33" s="14" t="n">
        <v>43.01</v>
      </c>
      <c r="G33" s="15" t="inlineStr">
        <is>
          <t>EUR</t>
        </is>
      </c>
      <c r="H33" s="14" t="n">
        <v>43.01</v>
      </c>
      <c r="I33" s="16" t="n">
        <v>11698.3</v>
      </c>
      <c r="J33" s="16" t="n">
        <v>11698.3</v>
      </c>
      <c r="K33" s="14" t="n">
        <v>2.35</v>
      </c>
      <c r="L33" s="14" t="n">
        <v>2.54473</v>
      </c>
      <c r="M33" s="17">
        <f>IF(OR(F33="",K33="",K33&lt;=0),"",F33/K33)</f>
        <v/>
      </c>
      <c r="N33" s="18" t="n">
        <v>3.2061124</v>
      </c>
      <c r="O33" s="19">
        <f>IF(OR(N33="",M33="",M33&lt;=0),"",N33/M33)</f>
        <v/>
      </c>
      <c r="P33" s="20" t="n">
        <v>0.18122</v>
      </c>
      <c r="Q33" s="20" t="n">
        <v>0.1851349369556408</v>
      </c>
      <c r="R33" s="20" t="n">
        <v>0.01692053914808814</v>
      </c>
      <c r="S33" s="21" t="n">
        <v>4</v>
      </c>
      <c r="T33" s="20" t="n"/>
      <c r="U33" s="20" t="n">
        <v>0.1627843667574618</v>
      </c>
      <c r="V33" s="20" t="n">
        <v>0.1783303314020599</v>
      </c>
      <c r="W33" s="20" t="n">
        <v>0.1903756142405816</v>
      </c>
      <c r="X33" s="20" t="n">
        <v>0.2090494354224597</v>
      </c>
      <c r="Y33" s="14" t="n">
        <v>1.4</v>
      </c>
      <c r="Z33" s="19">
        <f>IF(OR(Y33="",F33="",F33=0),"",Y33/F33)</f>
        <v/>
      </c>
      <c r="AA33" s="22" t="n">
        <v>33.88</v>
      </c>
      <c r="AB33" s="20" t="n">
        <v>0.052</v>
      </c>
      <c r="AC33" s="20" t="n">
        <v>0.2036704706831905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2026-10-08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MFE-MediaForEurope B</t>
        </is>
      </c>
      <c r="C34" s="12" t="inlineStr">
        <is>
          <t>MFEB.MI</t>
        </is>
      </c>
      <c r="D34" s="11" t="inlineStr">
        <is>
          <t>Media / TV</t>
        </is>
      </c>
      <c r="E34" s="13" t="inlineStr">
        <is>
          <t>Industriale</t>
        </is>
      </c>
      <c r="F34" s="14" t="n">
        <v>2.826</v>
      </c>
      <c r="G34" s="15" t="inlineStr">
        <is>
          <t>EUR</t>
        </is>
      </c>
      <c r="H34" s="14" t="n">
        <v>2.826</v>
      </c>
      <c r="I34" s="16" t="n">
        <v>1977.2</v>
      </c>
      <c r="J34" s="16" t="n">
        <v>1977.2</v>
      </c>
      <c r="K34" s="14" t="n">
        <v>0.19</v>
      </c>
      <c r="L34" s="14" t="n">
        <v>0.5222</v>
      </c>
      <c r="M34" s="17">
        <f>IF(OR(F34="",K34="",K34&lt;=0),"",F34/K34)</f>
        <v/>
      </c>
      <c r="N34" s="18" t="n">
        <v>0.5675838600000001</v>
      </c>
      <c r="O34" s="19">
        <f>IF(OR(N34="",M34="",M34&lt;=0),"",N34/M34)</f>
        <v/>
      </c>
      <c r="P34" s="20" t="n">
        <v>0.055760004</v>
      </c>
      <c r="Q34" s="20" t="n">
        <v>0.07215163334997049</v>
      </c>
      <c r="R34" s="20" t="n">
        <v>0.01470500804818441</v>
      </c>
      <c r="S34" s="21" t="n">
        <v>4</v>
      </c>
      <c r="T34" s="20" t="n"/>
      <c r="U34" s="20" t="n">
        <v>0.08632122864934692</v>
      </c>
      <c r="V34" s="20" t="n">
        <v>0.04807055460661624</v>
      </c>
      <c r="W34" s="20" t="n">
        <v>0.07291485134711234</v>
      </c>
      <c r="X34" s="20" t="n">
        <v>0.08129989879680648</v>
      </c>
      <c r="Y34" s="14" t="n">
        <v>0.22</v>
      </c>
      <c r="Z34" s="19">
        <f>IF(OR(Y34="",F34="",F34=0),"",Y34/F34)</f>
        <v/>
      </c>
      <c r="AA34" s="22" t="n">
        <v>88.622</v>
      </c>
      <c r="AB34" s="20" t="n">
        <v>0.945</v>
      </c>
      <c r="AC34" s="20" t="n">
        <v>0.0410969196093163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2026-10-08</t>
        </is>
      </c>
      <c r="AI34" s="11" t="inlineStr">
        <is>
          <t>yahoo</t>
        </is>
      </c>
      <c r="AJ34" s="23" t="inlineStr">
        <is>
          <t>Stessa societa' di MFEA, voto multiplo</t>
        </is>
      </c>
    </row>
    <row r="35">
      <c r="A35" s="10">
        <f>IF(AD35="","",RANK(AD35,AD$2:AD$67))</f>
        <v/>
      </c>
      <c r="B35" s="11" t="inlineStr">
        <is>
          <t>Pirelli &amp; C.</t>
        </is>
      </c>
      <c r="C35" s="12" t="inlineStr">
        <is>
          <t>PIRC.MI</t>
        </is>
      </c>
      <c r="D35" s="11" t="inlineStr">
        <is>
          <t>Componentistica auto</t>
        </is>
      </c>
      <c r="E35" s="13" t="inlineStr">
        <is>
          <t>Industriale</t>
        </is>
      </c>
      <c r="F35" s="14" t="n">
        <v>6.595</v>
      </c>
      <c r="G35" s="15" t="inlineStr">
        <is>
          <t>EUR</t>
        </is>
      </c>
      <c r="H35" s="14" t="n">
        <v>6.595</v>
      </c>
      <c r="I35" s="16" t="n">
        <v>7154.8</v>
      </c>
      <c r="J35" s="16" t="n">
        <v>7154.8</v>
      </c>
      <c r="K35" s="14" t="n">
        <v>0.5</v>
      </c>
      <c r="L35" s="14" t="n">
        <v>0.57562</v>
      </c>
      <c r="M35" s="17">
        <f>IF(OR(F35="",K35="",K35&lt;=0),"",F35/K35)</f>
        <v/>
      </c>
      <c r="N35" s="18" t="n">
        <v>1.118555</v>
      </c>
      <c r="O35" s="19">
        <f>IF(OR(N35="",M35="",M35&lt;=0),"",N35/M35)</f>
        <v/>
      </c>
      <c r="P35" s="20" t="n">
        <v>0.09134</v>
      </c>
      <c r="Q35" s="20" t="n">
        <v>0.08155451507945152</v>
      </c>
      <c r="R35" s="20" t="n">
        <v>0.003416455326785165</v>
      </c>
      <c r="S35" s="21" t="n">
        <v>4</v>
      </c>
      <c r="T35" s="20" t="n"/>
      <c r="U35" s="20" t="n">
        <v>0.07925120200425369</v>
      </c>
      <c r="V35" s="20" t="n">
        <v>0.08130215905953905</v>
      </c>
      <c r="W35" s="20" t="n">
        <v>0.08719434521702397</v>
      </c>
      <c r="X35" s="20" t="n">
        <v>0.0784703540369894</v>
      </c>
      <c r="Y35" s="14" t="n">
        <v>0.24</v>
      </c>
      <c r="Z35" s="19">
        <f>IF(OR(Y35="",F35="",F35=0),"",Y35/F35)</f>
        <v/>
      </c>
      <c r="AA35" s="22" t="n">
        <v>46.887</v>
      </c>
      <c r="AB35" s="20" t="n">
        <v>0.005</v>
      </c>
      <c r="AC35" s="20" t="n">
        <v>0.07636557921605651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2026-10-08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1.867</v>
      </c>
      <c r="G36" s="15" t="inlineStr">
        <is>
          <t>EUR</t>
        </is>
      </c>
      <c r="H36" s="14" t="n">
        <v>1.867</v>
      </c>
      <c r="I36" s="16" t="n">
        <v>1846.1</v>
      </c>
      <c r="J36" s="16" t="n">
        <v>1846.1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1.0512388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2026-10-08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5.6</v>
      </c>
      <c r="G37" s="15" t="inlineStr">
        <is>
          <t>EUR</t>
        </is>
      </c>
      <c r="H37" s="14" t="n">
        <v>5.6</v>
      </c>
      <c r="I37" s="16" t="n">
        <v>18795.9</v>
      </c>
      <c r="J37" s="16" t="n">
        <v>18795.9</v>
      </c>
      <c r="K37" s="14" t="n">
        <v>0.33</v>
      </c>
      <c r="L37" s="14" t="n">
        <v>0.43696</v>
      </c>
      <c r="M37" s="17">
        <f>IF(OR(F37="",K37="",K37&lt;=0),"",F37/K37)</f>
        <v/>
      </c>
      <c r="N37" s="18" t="n">
        <v>2.2718053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>
        <v>0.3</v>
      </c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2026-10-08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25.25</v>
      </c>
      <c r="G38" s="15" t="inlineStr">
        <is>
          <t>EUR</t>
        </is>
      </c>
      <c r="H38" s="14" t="n">
        <v>25.25</v>
      </c>
      <c r="I38" s="16" t="n">
        <v>25493.4</v>
      </c>
      <c r="J38" s="16" t="n">
        <v>25493.4</v>
      </c>
      <c r="K38" s="14" t="n">
        <v>1.61</v>
      </c>
      <c r="L38" s="14" t="n">
        <v>1.9015738</v>
      </c>
      <c r="M38" s="17">
        <f>IF(OR(F38="",K38="",K38&lt;=0),"",F38/K38)</f>
        <v/>
      </c>
      <c r="N38" s="18" t="n">
        <v>1.6916493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2026-10-08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Danieli &amp; C. ord.</t>
        </is>
      </c>
      <c r="C39" s="12" t="inlineStr">
        <is>
          <t>DAN.MI</t>
        </is>
      </c>
      <c r="D39" s="11" t="inlineStr">
        <is>
          <t>Impiantistica</t>
        </is>
      </c>
      <c r="E39" s="13" t="inlineStr">
        <is>
          <t>Industriale</t>
        </is>
      </c>
      <c r="F39" s="14" t="n">
        <v>47.66</v>
      </c>
      <c r="G39" s="15" t="inlineStr">
        <is>
          <t>EUR</t>
        </is>
      </c>
      <c r="H39" s="14" t="n">
        <v>47.66</v>
      </c>
      <c r="I39" s="16" t="n">
        <v>3411.2</v>
      </c>
      <c r="J39" s="16" t="n">
        <v>3411.2</v>
      </c>
      <c r="K39" s="14" t="n">
        <v>3.22</v>
      </c>
      <c r="L39" s="14" t="n">
        <v>4.40998</v>
      </c>
      <c r="M39" s="17">
        <f>IF(OR(F39="",K39="",K39&lt;=0),"",F39/K39)</f>
        <v/>
      </c>
      <c r="N39" s="18" t="n">
        <v>1.1950852</v>
      </c>
      <c r="O39" s="19">
        <f>IF(OR(N39="",M39="",M39&lt;=0),"",N39/M39)</f>
        <v/>
      </c>
      <c r="P39" s="20" t="n">
        <v>0.08036</v>
      </c>
      <c r="Q39" s="20" t="n">
        <v>0.0968440934016148</v>
      </c>
      <c r="R39" s="20" t="n">
        <v>0.00397470844110338</v>
      </c>
      <c r="S39" s="21" t="n">
        <v>3</v>
      </c>
      <c r="T39" s="20" t="n"/>
      <c r="U39" s="20" t="n"/>
      <c r="V39" s="20" t="n">
        <v>0.09166035137508417</v>
      </c>
      <c r="W39" s="20" t="n">
        <v>0.1013185357254691</v>
      </c>
      <c r="X39" s="20" t="n">
        <v>0.09755339310429112</v>
      </c>
      <c r="Y39" s="14" t="n">
        <v>0.31</v>
      </c>
      <c r="Z39" s="19">
        <f>IF(OR(Y39="",F39="",F39=0),"",Y39/F39)</f>
        <v/>
      </c>
      <c r="AA39" s="22" t="n">
        <v>29.397</v>
      </c>
      <c r="AB39" s="20" t="n">
        <v>-0.048</v>
      </c>
      <c r="AC39" s="20" t="n">
        <v>0.05336443329885146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2026-10-08</t>
        </is>
      </c>
      <c r="AI39" s="11" t="inlineStr">
        <is>
          <t>yahoo</t>
        </is>
      </c>
      <c r="AJ39" s="23" t="inlineStr">
        <is>
          <t>Verificare se posizione e' su risparmio (DANR.MI)</t>
        </is>
      </c>
    </row>
    <row r="40">
      <c r="A40" s="10">
        <f>IF(AD40="","",RANK(AD40,AD$2:AD$67))</f>
        <v/>
      </c>
      <c r="B40" s="11" t="inlineStr">
        <is>
          <t>Prysmian</t>
        </is>
      </c>
      <c r="C40" s="12" t="inlineStr">
        <is>
          <t>PRY.MI</t>
        </is>
      </c>
      <c r="D40" s="11" t="inlineStr">
        <is>
          <t>Cavi / Elettrificazione</t>
        </is>
      </c>
      <c r="E40" s="13" t="inlineStr">
        <is>
          <t>Industriale</t>
        </is>
      </c>
      <c r="F40" s="14" t="n">
        <v>122.3</v>
      </c>
      <c r="G40" s="15" t="inlineStr">
        <is>
          <t>EUR</t>
        </is>
      </c>
      <c r="H40" s="14" t="n">
        <v>122.3</v>
      </c>
      <c r="I40" s="16" t="n">
        <v>36601.2</v>
      </c>
      <c r="J40" s="16" t="n">
        <v>36601.2</v>
      </c>
      <c r="K40" s="14" t="n">
        <v>4.7</v>
      </c>
      <c r="L40" s="14" t="n">
        <v>6.12932</v>
      </c>
      <c r="M40" s="17">
        <f>IF(OR(F40="",K40="",K40&lt;=0),"",F40/K40)</f>
        <v/>
      </c>
      <c r="N40" s="18" t="n">
        <v>5.039143</v>
      </c>
      <c r="O40" s="19">
        <f>IF(OR(N40="",M40="",M40&lt;=0),"",N40/M40)</f>
        <v/>
      </c>
      <c r="P40" s="20" t="n">
        <v>0.22361</v>
      </c>
      <c r="Q40" s="20" t="n">
        <v>0.154992902694697</v>
      </c>
      <c r="R40" s="20" t="n">
        <v>0.02380716722865209</v>
      </c>
      <c r="S40" s="21" t="n">
        <v>4</v>
      </c>
      <c r="T40" s="20" t="n"/>
      <c r="U40" s="20" t="n">
        <v>0.1961692925548347</v>
      </c>
      <c r="V40" s="20" t="n">
        <v>0.14330646746609</v>
      </c>
      <c r="W40" s="20" t="n">
        <v>0.1399100766992859</v>
      </c>
      <c r="X40" s="20" t="n">
        <v>0.1405857740585774</v>
      </c>
      <c r="Y40" s="14" t="n">
        <v>0.9</v>
      </c>
      <c r="Z40" s="19">
        <f>IF(OR(Y40="",F40="",F40=0),"",Y40/F40)</f>
        <v/>
      </c>
      <c r="AA40" s="22" t="n">
        <v>74.976</v>
      </c>
      <c r="AB40" s="20" t="n">
        <v>0.226</v>
      </c>
      <c r="AC40" s="20" t="n">
        <v>0.06936387094147582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2026-10-08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24.41</v>
      </c>
      <c r="G41" s="15" t="inlineStr">
        <is>
          <t>EUR</t>
        </is>
      </c>
      <c r="H41" s="14" t="n">
        <v>24.41</v>
      </c>
      <c r="I41" s="16" t="n">
        <v>5639.4</v>
      </c>
      <c r="J41" s="16" t="n">
        <v>5639.4</v>
      </c>
      <c r="K41" s="14" t="n">
        <v>0.9</v>
      </c>
      <c r="L41" s="14" t="n">
        <v>2.24474</v>
      </c>
      <c r="M41" s="17">
        <f>IF(OR(F41="",K41="",K41&lt;=0),"",F41/K41)</f>
        <v/>
      </c>
      <c r="N41" s="18" t="n">
        <v>25.347872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>
        <v>0.44</v>
      </c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2026-10-08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16.48</v>
      </c>
      <c r="G42" s="15" t="inlineStr">
        <is>
          <t>EUR</t>
        </is>
      </c>
      <c r="H42" s="14" t="n">
        <v>16.48</v>
      </c>
      <c r="I42" s="16" t="n">
        <v>2166.7</v>
      </c>
      <c r="J42" s="16" t="n">
        <v>2166.7</v>
      </c>
      <c r="K42" s="14" t="n">
        <v>1.02</v>
      </c>
      <c r="L42" s="14" t="n"/>
      <c r="M42" s="17">
        <f>IF(OR(F42="",K42="",K42&lt;=0),"",F42/K42)</f>
        <v/>
      </c>
      <c r="N42" s="18" t="n">
        <v>1.4475186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2026-10-08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45.8</v>
      </c>
      <c r="G43" s="15" t="inlineStr">
        <is>
          <t>EUR</t>
        </is>
      </c>
      <c r="H43" s="14" t="n">
        <v>45.8</v>
      </c>
      <c r="I43" s="16" t="n">
        <v>26417.3</v>
      </c>
      <c r="J43" s="16" t="n">
        <v>26417.3</v>
      </c>
      <c r="K43" s="14" t="n">
        <v>2</v>
      </c>
      <c r="L43" s="14" t="n">
        <v>2.86097</v>
      </c>
      <c r="M43" s="17">
        <f>IF(OR(F43="",K43="",K43&lt;=0),"",F43/K43)</f>
        <v/>
      </c>
      <c r="N43" s="18" t="n">
        <v>2.736452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2026-10-08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35.18</v>
      </c>
      <c r="G44" s="15" t="inlineStr">
        <is>
          <t>EUR</t>
        </is>
      </c>
      <c r="H44" s="14" t="n">
        <v>35.18</v>
      </c>
      <c r="I44" s="16" t="n">
        <v>3697.2</v>
      </c>
      <c r="J44" s="16" t="n">
        <v>3697.2</v>
      </c>
      <c r="K44" s="14" t="n">
        <v>2</v>
      </c>
      <c r="L44" s="14" t="n">
        <v>2.38935</v>
      </c>
      <c r="M44" s="17">
        <f>IF(OR(F44="",K44="",K44&lt;=0),"",F44/K44)</f>
        <v/>
      </c>
      <c r="N44" s="18" t="n">
        <v>1.7161813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2026-10-08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BB Biotech</t>
        </is>
      </c>
      <c r="C45" s="12" t="inlineStr">
        <is>
          <t>BION.SW</t>
        </is>
      </c>
      <c r="D45" s="11" t="inlineStr">
        <is>
          <t>Veicolo biotech</t>
        </is>
      </c>
      <c r="E45" s="13" t="inlineStr">
        <is>
          <t>Veicolo</t>
        </is>
      </c>
      <c r="F45" s="14" t="n">
        <v>47.8</v>
      </c>
      <c r="G45" s="15" t="inlineStr">
        <is>
          <t>CHF</t>
        </is>
      </c>
      <c r="H45" s="14" t="n">
        <v>51.28535255997596</v>
      </c>
      <c r="I45" s="16" t="n">
        <v>2828.312089609888</v>
      </c>
      <c r="J45" s="16" t="n">
        <v>2636.1</v>
      </c>
      <c r="K45" s="14" t="n">
        <v>24.55</v>
      </c>
      <c r="L45" s="14" t="n">
        <v>-0.65777</v>
      </c>
      <c r="M45" s="17">
        <f>IF(OR(F45="",K45="",K45&lt;=0),"",F45/K45)</f>
        <v/>
      </c>
      <c r="N45" s="18" t="n">
        <v>0.8546397</v>
      </c>
      <c r="O45" s="19">
        <f>IF(OR(N45="",M45="",M45&lt;=0),"",N45/M45)</f>
        <v/>
      </c>
      <c r="P45" s="20" t="n">
        <v>0.54764</v>
      </c>
      <c r="Q45" s="20" t="n">
        <v>0.004777857685230683</v>
      </c>
      <c r="R45" s="20" t="n">
        <v>0.1322398198407014</v>
      </c>
      <c r="S45" s="21" t="n">
        <v>4</v>
      </c>
      <c r="T45" s="20" t="n"/>
      <c r="U45" s="20" t="n">
        <v>0.2080524401851888</v>
      </c>
      <c r="V45" s="20" t="n">
        <v>0.033197421851627</v>
      </c>
      <c r="W45" s="20" t="n">
        <v>-0.08893142569118598</v>
      </c>
      <c r="X45" s="20" t="n">
        <v>-0.1332070056047071</v>
      </c>
      <c r="Y45" s="14" t="n">
        <v>2.25</v>
      </c>
      <c r="Z45" s="19">
        <f>IF(OR(Y45="",F45="",F45=0),"",Y45/F45)</f>
        <v/>
      </c>
      <c r="AA45" s="22" t="n"/>
      <c r="AB45" s="20" t="n">
        <v>1162.577</v>
      </c>
      <c r="AC45" s="20" t="n">
        <v>2.29826056588763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2026-10-08</t>
        </is>
      </c>
      <c r="AI45" s="11" t="inlineStr">
        <is>
          <t>yahoo</t>
        </is>
      </c>
      <c r="AJ45" s="23" t="inlineStr">
        <is>
          <t>Quotata Zurigo/Xetra, NAV-driven: ROE poco significativo</t>
        </is>
      </c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8.757999999999999</v>
      </c>
      <c r="G46" s="15" t="inlineStr">
        <is>
          <t>EUR</t>
        </is>
      </c>
      <c r="H46" s="14" t="n">
        <v>8.757999999999999</v>
      </c>
      <c r="I46" s="16" t="n">
        <v>86885.2</v>
      </c>
      <c r="J46" s="16" t="n">
        <v>86885.2</v>
      </c>
      <c r="K46" s="14" t="n">
        <v>0.42</v>
      </c>
      <c r="L46" s="14" t="n">
        <v>0.75644</v>
      </c>
      <c r="M46" s="17">
        <f>IF(OR(F46="",K46="",K46&lt;=0),"",F46/K46)</f>
        <v/>
      </c>
      <c r="N46" s="18" t="n">
        <v>3.5200968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2026-10-08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6.725</v>
      </c>
      <c r="G47" s="15" t="inlineStr">
        <is>
          <t>EUR</t>
        </is>
      </c>
      <c r="H47" s="14" t="n">
        <v>6.725</v>
      </c>
      <c r="I47" s="16" t="n">
        <v>6069.3</v>
      </c>
      <c r="J47" s="16" t="n">
        <v>6069.3</v>
      </c>
      <c r="K47" s="14" t="n">
        <v>0.37</v>
      </c>
      <c r="L47" s="14" t="n">
        <v>0.35627</v>
      </c>
      <c r="M47" s="17">
        <f>IF(OR(F47="",K47="",K47&lt;=0),"",F47/K47)</f>
        <v/>
      </c>
      <c r="N47" s="18" t="n">
        <v>1.9991081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2026-10-08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75.42</v>
      </c>
      <c r="G48" s="15" t="inlineStr">
        <is>
          <t>EUR</t>
        </is>
      </c>
      <c r="H48" s="14" t="n">
        <v>75.42</v>
      </c>
      <c r="I48" s="16" t="n">
        <v>3729</v>
      </c>
      <c r="J48" s="16" t="n">
        <v>3729</v>
      </c>
      <c r="K48" s="14" t="n">
        <v>2.72</v>
      </c>
      <c r="L48" s="14" t="n">
        <v>4.3339</v>
      </c>
      <c r="M48" s="17">
        <f>IF(OR(F48="",K48="",K48&lt;=0),"",F48/K48)</f>
        <v/>
      </c>
      <c r="N48" s="18" t="n">
        <v>2.6225746</v>
      </c>
      <c r="O48" s="19">
        <f>IF(OR(N48="",M48="",M48&lt;=0),"",N48/M48)</f>
        <v/>
      </c>
      <c r="P48" s="20" t="n">
        <v>0.091630004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68.18300000000001</v>
      </c>
      <c r="AB48" s="20" t="n">
        <v>0.027</v>
      </c>
      <c r="AC48" s="20" t="n">
        <v>0.1176280589596295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2026-10-08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12.215</v>
      </c>
      <c r="G49" s="15" t="inlineStr">
        <is>
          <t>USD</t>
        </is>
      </c>
      <c r="H49" s="14" t="n">
        <v>10.89333750457939</v>
      </c>
      <c r="I49" s="16" t="n">
        <v>17518.25247144545</v>
      </c>
      <c r="J49" s="16" t="n">
        <v>19643.7</v>
      </c>
      <c r="K49" s="14" t="n">
        <v>0.25</v>
      </c>
      <c r="L49" s="14" t="n">
        <v>0.68515</v>
      </c>
      <c r="M49" s="17">
        <f>IF(OR(F49="",K49="",K49&lt;=0),"",F49/K49)</f>
        <v/>
      </c>
      <c r="N49" s="18" t="n">
        <v>1.9494096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2026-10-08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24.88</v>
      </c>
      <c r="G50" s="15" t="inlineStr">
        <is>
          <t>EUR</t>
        </is>
      </c>
      <c r="H50" s="14" t="n">
        <v>24.88</v>
      </c>
      <c r="I50" s="16" t="n">
        <v>71253.3</v>
      </c>
      <c r="J50" s="16" t="n">
        <v>71253.3</v>
      </c>
      <c r="K50" s="14" t="n">
        <v>1.23</v>
      </c>
      <c r="L50" s="14" t="n">
        <v>2.61595</v>
      </c>
      <c r="M50" s="17">
        <f>IF(OR(F50="",K50="",K50&lt;=0),"",F50/K50)</f>
        <v/>
      </c>
      <c r="N50" s="18" t="n">
        <v>1.5762796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>
        <v>1.08</v>
      </c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2026-10-08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Fincantieri</t>
        </is>
      </c>
      <c r="C51" s="12" t="inlineStr">
        <is>
          <t>FCT.MI</t>
        </is>
      </c>
      <c r="D51" s="11" t="inlineStr">
        <is>
          <t>Cantieristica</t>
        </is>
      </c>
      <c r="E51" s="13" t="inlineStr">
        <is>
          <t>Industriale</t>
        </is>
      </c>
      <c r="F51" s="14" t="n">
        <v>11.68</v>
      </c>
      <c r="G51" s="15" t="inlineStr">
        <is>
          <t>EUR</t>
        </is>
      </c>
      <c r="H51" s="14" t="n">
        <v>11.68</v>
      </c>
      <c r="I51" s="16" t="n">
        <v>4200.5</v>
      </c>
      <c r="J51" s="16" t="n">
        <v>4200.5</v>
      </c>
      <c r="K51" s="14" t="n">
        <v>0.53</v>
      </c>
      <c r="L51" s="14" t="n">
        <v>0.82133</v>
      </c>
      <c r="M51" s="17">
        <f>IF(OR(F51="",K51="",K51&lt;=0),"",F51/K51)</f>
        <v/>
      </c>
      <c r="N51" s="18" t="n">
        <v>2.5909495</v>
      </c>
      <c r="O51" s="19">
        <f>IF(OR(N51="",M51="",M51&lt;=0),"",N51/M51)</f>
        <v/>
      </c>
      <c r="P51" s="20" t="n">
        <v>0.14936</v>
      </c>
      <c r="Q51" s="20" t="n">
        <v>0.14936</v>
      </c>
      <c r="R51" s="20" t="n"/>
      <c r="S51" s="21" t="n">
        <v>0</v>
      </c>
      <c r="T51" s="20" t="n"/>
      <c r="U51" s="20" t="n">
        <v>0.1233359538258522</v>
      </c>
      <c r="V51" s="20" t="n">
        <v>0.03865147746282063</v>
      </c>
      <c r="W51" s="20" t="n">
        <v>-0.1219754340598448</v>
      </c>
      <c r="X51" s="20" t="n">
        <v>-0.5275365289199737</v>
      </c>
      <c r="Y51" s="14" t="n"/>
      <c r="Z51" s="19">
        <f>IF(OR(Y51="",F51="",F51=0),"",Y51/F51)</f>
        <v/>
      </c>
      <c r="AA51" s="22" t="n">
        <v>157.274</v>
      </c>
      <c r="AB51" s="20" t="n">
        <v>-0.027</v>
      </c>
      <c r="AC51" s="20" t="n">
        <v>0.02169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2026-10-08</t>
        </is>
      </c>
      <c r="AI51" s="11" t="inlineStr">
        <is>
          <t>yahoo</t>
        </is>
      </c>
      <c r="AJ51" s="23" t="inlineStr">
        <is>
          <t>Prezzo storico pre-raggruppamento 2025</t>
        </is>
      </c>
    </row>
    <row r="52">
      <c r="A52" s="10">
        <f>IF(AD52="","",RANK(AD52,AD$2:AD$67))</f>
        <v/>
      </c>
      <c r="B52" s="11" t="inlineStr">
        <is>
          <t>STMicroelectronics</t>
        </is>
      </c>
      <c r="C52" s="12" t="inlineStr">
        <is>
          <t>STMMI.MI</t>
        </is>
      </c>
      <c r="D52" s="11" t="inlineStr">
        <is>
          <t>Semiconduttori</t>
        </is>
      </c>
      <c r="E52" s="13" t="inlineStr">
        <is>
          <t>Tecnologia</t>
        </is>
      </c>
      <c r="F52" s="14" t="n">
        <v>48.005</v>
      </c>
      <c r="G52" s="15" t="inlineStr">
        <is>
          <t>EUR</t>
        </is>
      </c>
      <c r="H52" s="14" t="n">
        <v>48.005</v>
      </c>
      <c r="I52" s="16" t="n">
        <v>42998</v>
      </c>
      <c r="J52" s="16" t="n">
        <v>42998</v>
      </c>
      <c r="K52" s="14" t="n">
        <v>0.03</v>
      </c>
      <c r="L52" s="14" t="n">
        <v>1.42</v>
      </c>
      <c r="M52" s="17">
        <f>IF(OR(F52="",K52="",K52&lt;=0),"",F52/K52)</f>
        <v/>
      </c>
      <c r="N52" s="18" t="n">
        <v>2.823548</v>
      </c>
      <c r="O52" s="19">
        <f>IF(OR(N52="",M52="",M52&lt;=0),"",N52/M52)</f>
        <v/>
      </c>
      <c r="P52" s="20" t="n">
        <v>0.02686</v>
      </c>
      <c r="Q52" s="20" t="n">
        <v>0.1655610564349585</v>
      </c>
      <c r="R52" s="20" t="n">
        <v>0.1215552570620177</v>
      </c>
      <c r="S52" s="21" t="n">
        <v>4</v>
      </c>
      <c r="T52" s="20" t="n"/>
      <c r="U52" s="20" t="n">
        <v>0.009311195871662552</v>
      </c>
      <c r="V52" s="20" t="n">
        <v>0.08923147458307067</v>
      </c>
      <c r="W52" s="20" t="n">
        <v>0.2517185725387052</v>
      </c>
      <c r="X52" s="20" t="n">
        <v>0.3119829827463956</v>
      </c>
      <c r="Y52" s="14" t="n">
        <v>0.32</v>
      </c>
      <c r="Z52" s="19">
        <f>IF(OR(Y52="",F52="",F52=0),"",Y52/F52)</f>
        <v/>
      </c>
      <c r="AA52" s="22" t="n">
        <v>23.446</v>
      </c>
      <c r="AB52" s="20" t="n">
        <v>0.261</v>
      </c>
      <c r="AC52" s="20" t="n">
        <v>0.03949152542372882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2026-10-08</t>
        </is>
      </c>
      <c r="AI52" s="11" t="inlineStr">
        <is>
          <t>yahoo</t>
        </is>
      </c>
      <c r="AJ52" s="23" t="inlineStr">
        <is>
          <t>Bilancio in USD</t>
        </is>
      </c>
    </row>
    <row r="53">
      <c r="A53" s="10">
        <f>IF(AD53="","",RANK(AD53,AD$2:AD$67))</f>
        <v/>
      </c>
      <c r="B53" s="11" t="inlineStr">
        <is>
          <t>Amplifon</t>
        </is>
      </c>
      <c r="C53" s="12" t="inlineStr">
        <is>
          <t>AMP.MI</t>
        </is>
      </c>
      <c r="D53" s="11" t="inlineStr">
        <is>
          <t>Dispositivi medicali</t>
        </is>
      </c>
      <c r="E53" s="13" t="inlineStr">
        <is>
          <t>Salute</t>
        </is>
      </c>
      <c r="F53" s="14" t="n">
        <v>12.04</v>
      </c>
      <c r="G53" s="15" t="inlineStr">
        <is>
          <t>EUR</t>
        </is>
      </c>
      <c r="H53" s="14" t="n">
        <v>12.04</v>
      </c>
      <c r="I53" s="16" t="n">
        <v>3199.6</v>
      </c>
      <c r="J53" s="16" t="n">
        <v>3199.6</v>
      </c>
      <c r="K53" s="14" t="n">
        <v>0.31</v>
      </c>
      <c r="L53" s="14" t="n">
        <v>0.87932</v>
      </c>
      <c r="M53" s="17">
        <f>IF(OR(F53="",K53="",K53&lt;=0),"",F53/K53)</f>
        <v/>
      </c>
      <c r="N53" s="18" t="n">
        <v>2.113764</v>
      </c>
      <c r="O53" s="19">
        <f>IF(OR(N53="",M53="",M53&lt;=0),"",N53/M53)</f>
        <v/>
      </c>
      <c r="P53" s="20" t="n">
        <v>0.05737</v>
      </c>
      <c r="Q53" s="20" t="n">
        <v>0.1326830497258543</v>
      </c>
      <c r="R53" s="20" t="n">
        <v>0.02890399099608494</v>
      </c>
      <c r="S53" s="21" t="n">
        <v>4</v>
      </c>
      <c r="T53" s="20" t="n"/>
      <c r="U53" s="20" t="n">
        <v>0.0914974143820864</v>
      </c>
      <c r="V53" s="20" t="n">
        <v>0.1264119540661668</v>
      </c>
      <c r="W53" s="20" t="n">
        <v>0.140917724192243</v>
      </c>
      <c r="X53" s="20" t="n">
        <v>0.1719051062629212</v>
      </c>
      <c r="Y53" s="14" t="n">
        <v>0.29</v>
      </c>
      <c r="Z53" s="19">
        <f>IF(OR(Y53="",F53="",F53=0),"",Y53/F53)</f>
        <v/>
      </c>
      <c r="AA53" s="22" t="n">
        <v>117.681</v>
      </c>
      <c r="AB53" s="20" t="n">
        <v>0.022</v>
      </c>
      <c r="AC53" s="20" t="n">
        <v>0.03017399888550552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2026-10-08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Davide Campari-Milano</t>
        </is>
      </c>
      <c r="C54" s="12" t="inlineStr">
        <is>
          <t>CPR.MI</t>
        </is>
      </c>
      <c r="D54" s="11" t="inlineStr">
        <is>
          <t>Bevande</t>
        </is>
      </c>
      <c r="E54" s="13" t="inlineStr">
        <is>
          <t>Consumi</t>
        </is>
      </c>
      <c r="F54" s="14" t="n">
        <v>6.072</v>
      </c>
      <c r="G54" s="15" t="inlineStr">
        <is>
          <t>EUR</t>
        </is>
      </c>
      <c r="H54" s="14" t="n">
        <v>6.072</v>
      </c>
      <c r="I54" s="16" t="n">
        <v>7282.5</v>
      </c>
      <c r="J54" s="16" t="n">
        <v>7282.5</v>
      </c>
      <c r="K54" s="14" t="n">
        <v>0.15</v>
      </c>
      <c r="L54" s="14" t="n">
        <v>0.35152</v>
      </c>
      <c r="M54" s="17">
        <f>IF(OR(F54="",K54="",K54&lt;=0),"",F54/K54)</f>
        <v/>
      </c>
      <c r="N54" s="18" t="n">
        <v>1.8245192</v>
      </c>
      <c r="O54" s="19">
        <f>IF(OR(N54="",M54="",M54&lt;=0),"",N54/M54)</f>
        <v/>
      </c>
      <c r="P54" s="20" t="n">
        <v>0.06676</v>
      </c>
      <c r="Q54" s="20" t="n">
        <v>0.09484329341283899</v>
      </c>
      <c r="R54" s="20" t="n">
        <v>0.02757068204192986</v>
      </c>
      <c r="S54" s="21" t="n">
        <v>4</v>
      </c>
      <c r="T54" s="20" t="n"/>
      <c r="U54" s="20" t="n">
        <v>0.08964999482240861</v>
      </c>
      <c r="V54" s="20" t="n">
        <v>0.05230928905033731</v>
      </c>
      <c r="W54" s="20" t="n">
        <v>0.1129837276083687</v>
      </c>
      <c r="X54" s="20" t="n">
        <v>0.1244301621702414</v>
      </c>
      <c r="Y54" s="14" t="n">
        <v>0.1</v>
      </c>
      <c r="Z54" s="19">
        <f>IF(OR(Y54="",F54="",F54=0),"",Y54/F54)</f>
        <v/>
      </c>
      <c r="AA54" s="22" t="n">
        <v>70.273</v>
      </c>
      <c r="AB54" s="20" t="n">
        <v>-0.01</v>
      </c>
      <c r="AC54" s="20" t="n">
        <v>0.0882632493199174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2026-10-08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Iveco Group</t>
        </is>
      </c>
      <c r="C55" s="12" t="inlineStr">
        <is>
          <t>IVG.MI</t>
        </is>
      </c>
      <c r="D55" s="11" t="inlineStr">
        <is>
          <t>Veicoli industriali</t>
        </is>
      </c>
      <c r="E55" s="13" t="inlineStr">
        <is>
          <t>Industriale</t>
        </is>
      </c>
      <c r="F55" s="14" t="n">
        <v>14.32</v>
      </c>
      <c r="G55" s="15" t="inlineStr">
        <is>
          <t>EUR</t>
        </is>
      </c>
      <c r="H55" s="14" t="n">
        <v>14.32</v>
      </c>
      <c r="I55" s="16" t="n">
        <v>3814.1</v>
      </c>
      <c r="J55" s="16" t="n">
        <v>3814.1</v>
      </c>
      <c r="K55" s="14" t="n">
        <v>0.23</v>
      </c>
      <c r="L55" s="14" t="n">
        <v>2.04691</v>
      </c>
      <c r="M55" s="17">
        <f>IF(OR(F55="",K55="",K55&lt;=0),"",F55/K55)</f>
        <v/>
      </c>
      <c r="N55" s="18" t="n">
        <v>1.545435</v>
      </c>
      <c r="O55" s="19">
        <f>IF(OR(N55="",M55="",M55&lt;=0),"",N55/M55)</f>
        <v/>
      </c>
      <c r="P55" s="20" t="n">
        <v>0.02429</v>
      </c>
      <c r="Q55" s="20" t="n">
        <v>0.09726813021820266</v>
      </c>
      <c r="R55" s="20" t="n">
        <v>0.02406301283286296</v>
      </c>
      <c r="S55" s="21" t="n">
        <v>4</v>
      </c>
      <c r="T55" s="20" t="n"/>
      <c r="U55" s="20" t="n">
        <v>0.1047101449275362</v>
      </c>
      <c r="V55" s="20" t="n">
        <v>0.1293071507965913</v>
      </c>
      <c r="W55" s="20" t="n">
        <v>0.09260832625318606</v>
      </c>
      <c r="X55" s="20" t="n">
        <v>0.06244689889549702</v>
      </c>
      <c r="Y55" s="14" t="n">
        <v>0.33</v>
      </c>
      <c r="Z55" s="19">
        <f>IF(OR(Y55="",F55="",F55=0),"",Y55/F55)</f>
        <v/>
      </c>
      <c r="AA55" s="22" t="n">
        <v>233.426</v>
      </c>
      <c r="AB55" s="20" t="n">
        <v>0.073</v>
      </c>
      <c r="AC55" s="20" t="n">
        <v>0.004691689008042895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2026-10-08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22.08</v>
      </c>
      <c r="G56" s="15" t="inlineStr">
        <is>
          <t>EUR</t>
        </is>
      </c>
      <c r="H56" s="14" t="n">
        <v>22.08</v>
      </c>
      <c r="I56" s="16" t="n">
        <v>3209.4</v>
      </c>
      <c r="J56" s="16" t="n">
        <v>3209.4</v>
      </c>
      <c r="K56" s="14" t="n">
        <v>0.55</v>
      </c>
      <c r="L56" s="14" t="n">
        <v>1.16663</v>
      </c>
      <c r="M56" s="17">
        <f>IF(OR(F56="",K56="",K56&lt;=0),"",F56/K56)</f>
        <v/>
      </c>
      <c r="N56" s="18" t="n">
        <v>1.6985923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2026-10-08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Esprinet</t>
        </is>
      </c>
      <c r="C57" s="12" t="inlineStr">
        <is>
          <t>PRT.MI</t>
        </is>
      </c>
      <c r="D57" s="11" t="inlineStr">
        <is>
          <t>Distribuzione IT</t>
        </is>
      </c>
      <c r="E57" s="13" t="inlineStr">
        <is>
          <t>Tecnologia</t>
        </is>
      </c>
      <c r="F57" s="14" t="n">
        <v>7.965</v>
      </c>
      <c r="G57" s="15" t="inlineStr">
        <is>
          <t>EUR</t>
        </is>
      </c>
      <c r="H57" s="14" t="n">
        <v>7.965</v>
      </c>
      <c r="I57" s="16" t="n">
        <v>393.8</v>
      </c>
      <c r="J57" s="16" t="n">
        <v>393.8</v>
      </c>
      <c r="K57" s="14" t="n">
        <v>0.44</v>
      </c>
      <c r="L57" s="14" t="n">
        <v>0.63139</v>
      </c>
      <c r="M57" s="17">
        <f>IF(OR(F57="",K57="",K57&lt;=0),"",F57/K57)</f>
        <v/>
      </c>
      <c r="N57" s="18" t="n">
        <v>1.0450013</v>
      </c>
      <c r="O57" s="19">
        <f>IF(OR(N57="",M57="",M57&lt;=0),"",N57/M57)</f>
        <v/>
      </c>
      <c r="P57" s="20" t="n">
        <v>0.05738</v>
      </c>
      <c r="Q57" s="20" t="n">
        <v>0.04761574922132365</v>
      </c>
      <c r="R57" s="20" t="n">
        <v>0.05268191971291874</v>
      </c>
      <c r="S57" s="21" t="n">
        <v>4</v>
      </c>
      <c r="T57" s="20" t="n"/>
      <c r="U57" s="20" t="n">
        <v>0.05179603050299125</v>
      </c>
      <c r="V57" s="20" t="n">
        <v>0.0552888011982109</v>
      </c>
      <c r="W57" s="20" t="n">
        <v>-0.03232084047794018</v>
      </c>
      <c r="X57" s="20" t="n">
        <v>0.1156990056620326</v>
      </c>
      <c r="Y57" s="14" t="n">
        <v>0.35</v>
      </c>
      <c r="Z57" s="19">
        <f>IF(OR(Y57="",F57="",F57=0),"",Y57/F57)</f>
        <v/>
      </c>
      <c r="AA57" s="22" t="n">
        <v>118.59</v>
      </c>
      <c r="AB57" s="20" t="n">
        <v>0.057</v>
      </c>
      <c r="AC57" s="20" t="n">
        <v>0.005013921086660221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2026-10-08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Telecom Italia ord.</t>
        </is>
      </c>
      <c r="C58" s="12" t="inlineStr">
        <is>
          <t>TIT.MI</t>
        </is>
      </c>
      <c r="D58" s="11" t="inlineStr">
        <is>
          <t>Telecomunicazioni</t>
        </is>
      </c>
      <c r="E58" s="13" t="inlineStr">
        <is>
          <t>Industriale</t>
        </is>
      </c>
      <c r="F58" s="14" t="n">
        <v>5.625</v>
      </c>
      <c r="G58" s="15" t="inlineStr">
        <is>
          <t>EUR</t>
        </is>
      </c>
      <c r="H58" s="14" t="n">
        <v>5.625</v>
      </c>
      <c r="I58" s="16" t="n">
        <v>11999.6</v>
      </c>
      <c r="J58" s="16" t="n">
        <v>11999.6</v>
      </c>
      <c r="K58" s="14" t="n">
        <v>0.21</v>
      </c>
      <c r="L58" s="14" t="n">
        <v>0.28418</v>
      </c>
      <c r="M58" s="17">
        <f>IF(OR(F58="",K58="",K58&lt;=0),"",F58/K58)</f>
        <v/>
      </c>
      <c r="N58" s="18" t="n">
        <v>1.0380144</v>
      </c>
      <c r="O58" s="19">
        <f>IF(OR(N58="",M58="",M58&lt;=0),"",N58/M58)</f>
        <v/>
      </c>
      <c r="P58" s="20" t="n">
        <v>0.03897</v>
      </c>
      <c r="Q58" s="20" t="n">
        <v>-0.08162966379239703</v>
      </c>
      <c r="R58" s="20" t="n">
        <v>0.07970027299822047</v>
      </c>
      <c r="S58" s="21" t="n">
        <v>4</v>
      </c>
      <c r="T58" s="20" t="n"/>
      <c r="U58" s="20" t="n">
        <v>0.02430640805303216</v>
      </c>
      <c r="V58" s="20" t="n">
        <v>-0.05101614117253492</v>
      </c>
      <c r="W58" s="20" t="n">
        <v>-0.1055987102447604</v>
      </c>
      <c r="X58" s="20" t="n">
        <v>-0.194210211805325</v>
      </c>
      <c r="Y58" s="14" t="n"/>
      <c r="Z58" s="19">
        <f>IF(OR(Y58="",F58="",F58=0),"",Y58/F58)</f>
        <v/>
      </c>
      <c r="AA58" s="22" t="n">
        <v>104.611</v>
      </c>
      <c r="AB58" s="20" t="n">
        <v>0.064</v>
      </c>
      <c r="AC58" s="20" t="n">
        <v>0.02067860783457114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2026-10-08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6.82</v>
      </c>
      <c r="G59" s="15" t="inlineStr">
        <is>
          <t>EUR</t>
        </is>
      </c>
      <c r="H59" s="14" t="n">
        <v>6.82</v>
      </c>
      <c r="I59" s="16" t="n">
        <v>1123.7</v>
      </c>
      <c r="J59" s="16" t="n">
        <v>1123.7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1.9276427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2026-10-08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4.406</v>
      </c>
      <c r="G60" s="15" t="inlineStr">
        <is>
          <t>EUR</t>
        </is>
      </c>
      <c r="H60" s="14" t="n">
        <v>4.406</v>
      </c>
      <c r="I60" s="16" t="n">
        <v>8548.9</v>
      </c>
      <c r="J60" s="16" t="n">
        <v>8548.9</v>
      </c>
      <c r="K60" s="14" t="n">
        <v>0.13</v>
      </c>
      <c r="L60" s="14" t="n">
        <v>0.30143</v>
      </c>
      <c r="M60" s="17">
        <f>IF(OR(F60="",K60="",K60&lt;=0),"",F60/K60)</f>
        <v/>
      </c>
      <c r="N60" s="18" t="n">
        <v>3.6963089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2026-10-08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68.59999999999999</v>
      </c>
      <c r="G61" s="15" t="inlineStr">
        <is>
          <t>EUR</t>
        </is>
      </c>
      <c r="H61" s="14" t="n">
        <v>68.59999999999999</v>
      </c>
      <c r="I61" s="16" t="n">
        <v>22581.8</v>
      </c>
      <c r="J61" s="16" t="n">
        <v>22581.8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0.43449068</v>
      </c>
      <c r="O61" s="19">
        <f>IF(OR(N61="",M61="",M61&lt;=0),"",N61/M61)</f>
        <v/>
      </c>
      <c r="P61" s="20" t="n">
        <v>-0.12553</v>
      </c>
      <c r="Q61" s="20" t="n">
        <v>-0.12553</v>
      </c>
      <c r="R61" s="20" t="n"/>
      <c r="S61" s="21" t="n">
        <v>0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0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2026-10-08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8.648</v>
      </c>
      <c r="G62" s="15" t="inlineStr">
        <is>
          <t>EUR</t>
        </is>
      </c>
      <c r="H62" s="14" t="n">
        <v>8.648</v>
      </c>
      <c r="I62" s="16" t="n">
        <v>1591.7</v>
      </c>
      <c r="J62" s="16" t="n">
        <v>1591.7</v>
      </c>
      <c r="K62" s="14" t="n">
        <v>-6.23</v>
      </c>
      <c r="L62" s="14" t="n">
        <v>2.09923</v>
      </c>
      <c r="M62" s="17">
        <f>IF(OR(F62="",K62="",K62&lt;=0),"",F62/K62)</f>
        <v/>
      </c>
      <c r="N62" s="18" t="n">
        <v>0.8342657999999999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2026-10-08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</v>
      </c>
      <c r="G63" s="15" t="inlineStr">
        <is>
          <t>EUR</t>
        </is>
      </c>
      <c r="H63" s="14" t="n">
        <v>0.26</v>
      </c>
      <c r="I63" s="16" t="n">
        <v>95.2</v>
      </c>
      <c r="J63" s="16" t="n">
        <v>95.2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1.2560385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2026-10-08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1.73</v>
      </c>
      <c r="G64" s="15" t="inlineStr">
        <is>
          <t>EUR</t>
        </is>
      </c>
      <c r="H64" s="14" t="n">
        <v>1.73</v>
      </c>
      <c r="I64" s="16" t="n">
        <v>721.5</v>
      </c>
      <c r="J64" s="16" t="n">
        <v>721.5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61.785713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2026-10-08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4.129</v>
      </c>
      <c r="G65" s="15" t="inlineStr">
        <is>
          <t>EUR</t>
        </is>
      </c>
      <c r="H65" s="14" t="n">
        <v>4.129</v>
      </c>
      <c r="I65" s="16" t="n">
        <v>4850.4</v>
      </c>
      <c r="J65" s="16" t="n">
        <v>4850.4</v>
      </c>
      <c r="K65" s="14" t="n">
        <v>-2.8</v>
      </c>
      <c r="L65" s="14" t="n">
        <v>0.66339</v>
      </c>
      <c r="M65" s="17">
        <f>IF(OR(F65="",K65="",K65&lt;=0),"",F65/K65)</f>
        <v/>
      </c>
      <c r="N65" s="18" t="n">
        <v>0.71324927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2026-10-08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0.034</v>
      </c>
      <c r="G66" s="15" t="inlineStr">
        <is>
          <t>EUR</t>
        </is>
      </c>
      <c r="H66" s="14" t="n">
        <v>0.034</v>
      </c>
      <c r="I66" s="16" t="n">
        <v>61.2</v>
      </c>
      <c r="J66" s="16" t="n">
        <v>61.2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2026-10-08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4.0015</v>
      </c>
      <c r="G67" s="15" t="inlineStr">
        <is>
          <t>EUR</t>
        </is>
      </c>
      <c r="H67" s="14" t="n">
        <v>4.0015</v>
      </c>
      <c r="I67" s="16" t="n">
        <v>11608.1</v>
      </c>
      <c r="J67" s="16" t="n">
        <v>11608.1</v>
      </c>
      <c r="K67" s="14" t="n">
        <v>-7.49</v>
      </c>
      <c r="L67" s="14" t="n">
        <v>1.07023</v>
      </c>
      <c r="M67" s="17">
        <f>IF(OR(F67="",K67="",K67&lt;=0),"",F67/K67)</f>
        <v/>
      </c>
      <c r="N67" s="18" t="n">
        <v>0.20649706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2026-10-08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516.6</v>
      </c>
      <c r="G2" s="15" t="inlineStr">
        <is>
          <t>EUR</t>
        </is>
      </c>
      <c r="H2" s="14" t="n">
        <v>516.6</v>
      </c>
      <c r="I2" s="16" t="n">
        <v>64995.7</v>
      </c>
      <c r="J2" s="16" t="n">
        <v>64995.7</v>
      </c>
      <c r="K2" s="14" t="n">
        <v>53.29</v>
      </c>
      <c r="L2" s="14" t="n">
        <v>51.61599</v>
      </c>
      <c r="M2" s="17">
        <f>IF(OR(F2="",K2="",K2&lt;=0),"",F2/K2)</f>
        <v/>
      </c>
      <c r="N2" s="18" t="n">
        <v>1.9366447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2026-10-07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413.4</v>
      </c>
      <c r="G3" s="15" t="inlineStr">
        <is>
          <t>EUR</t>
        </is>
      </c>
      <c r="H3" s="14" t="n">
        <v>413.4</v>
      </c>
      <c r="I3" s="16" t="n">
        <v>156796.9</v>
      </c>
      <c r="J3" s="16" t="n">
        <v>156796.9</v>
      </c>
      <c r="K3" s="14" t="n">
        <v>30.5</v>
      </c>
      <c r="L3" s="14" t="n">
        <v>33.35562</v>
      </c>
      <c r="M3" s="17">
        <f>IF(OR(F3="",K3="",K3&lt;=0),"",F3/K3)</f>
        <v/>
      </c>
      <c r="N3" s="18" t="n">
        <v>2.4854205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262.4</v>
      </c>
      <c r="G4" s="15" t="inlineStr">
        <is>
          <t>EUR</t>
        </is>
      </c>
      <c r="H4" s="14" t="n">
        <v>262.4</v>
      </c>
      <c r="I4" s="16" t="n">
        <v>31644.7</v>
      </c>
      <c r="J4" s="16" t="n">
        <v>31644.7</v>
      </c>
      <c r="K4" s="14" t="n">
        <v>22.67</v>
      </c>
      <c r="L4" s="14" t="n">
        <v>23.56741</v>
      </c>
      <c r="M4" s="17">
        <f>IF(OR(F4="",K4="",K4&lt;=0),"",F4/K4)</f>
        <v/>
      </c>
      <c r="N4" s="18" t="n">
        <v>2.3853896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29.66</v>
      </c>
      <c r="G5" s="15" t="inlineStr">
        <is>
          <t>EUR</t>
        </is>
      </c>
      <c r="H5" s="14" t="n">
        <v>29.66</v>
      </c>
      <c r="I5" s="16" t="n">
        <v>55731.1</v>
      </c>
      <c r="J5" s="16" t="n">
        <v>55731.1</v>
      </c>
      <c r="K5" s="14" t="n">
        <v>3.29</v>
      </c>
      <c r="L5" s="14" t="n">
        <v>3.83665</v>
      </c>
      <c r="M5" s="17">
        <f>IF(OR(F5="",K5="",K5&lt;=0),"",F5/K5)</f>
        <v/>
      </c>
      <c r="N5" s="18" t="n">
        <v>0.70703214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26.83</v>
      </c>
      <c r="G6" s="15" t="inlineStr">
        <is>
          <t>EUR</t>
        </is>
      </c>
      <c r="H6" s="14" t="n">
        <v>26.83</v>
      </c>
      <c r="I6" s="16" t="n">
        <v>128317.4</v>
      </c>
      <c r="J6" s="16" t="n">
        <v>128317.4</v>
      </c>
      <c r="K6" s="14" t="n">
        <v>1.78</v>
      </c>
      <c r="L6" s="14" t="n">
        <v>2.55963</v>
      </c>
      <c r="M6" s="17">
        <f>IF(OR(F6="",K6="",K6&lt;=0),"",F6/K6)</f>
        <v/>
      </c>
      <c r="N6" s="18" t="n">
        <v>2.1439986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54.94</v>
      </c>
      <c r="G7" s="15" t="inlineStr">
        <is>
          <t>EUR</t>
        </is>
      </c>
      <c r="H7" s="14" t="n">
        <v>54.94</v>
      </c>
      <c r="I7" s="16" t="n">
        <v>61491.2</v>
      </c>
      <c r="J7" s="16" t="n">
        <v>61491.2</v>
      </c>
      <c r="K7" s="14" t="n">
        <v>3.26</v>
      </c>
      <c r="L7" s="14" t="n">
        <v>3.87351</v>
      </c>
      <c r="M7" s="17">
        <f>IF(OR(F7="",K7="",K7&lt;=0),"",F7/K7)</f>
        <v/>
      </c>
      <c r="N7" s="18" t="n">
        <v>2.736192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139.8</v>
      </c>
      <c r="G8" s="15" t="inlineStr">
        <is>
          <t>EUR</t>
        </is>
      </c>
      <c r="H8" s="14" t="n">
        <v>139.8</v>
      </c>
      <c r="I8" s="16" t="n">
        <v>24577.1</v>
      </c>
      <c r="J8" s="16" t="n">
        <v>24577.1</v>
      </c>
      <c r="K8" s="14" t="n">
        <v>11.45</v>
      </c>
      <c r="L8" s="14" t="n">
        <v>14.38566</v>
      </c>
      <c r="M8" s="17">
        <f>IF(OR(F8="",K8="",K8&lt;=0),"",F8/K8)</f>
        <v/>
      </c>
      <c r="N8" s="18" t="n">
        <v>1.3189425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292.6</v>
      </c>
      <c r="G9" s="15" t="inlineStr">
        <is>
          <t>EUR</t>
        </is>
      </c>
      <c r="H9" s="14" t="n">
        <v>292.6</v>
      </c>
      <c r="I9" s="16" t="n">
        <v>52752.2</v>
      </c>
      <c r="J9" s="16" t="n">
        <v>52752.2</v>
      </c>
      <c r="K9" s="14" t="n">
        <v>11.6</v>
      </c>
      <c r="L9" s="14" t="n">
        <v>13.62053</v>
      </c>
      <c r="M9" s="17">
        <f>IF(OR(F9="",K9="",K9&lt;=0),"",F9/K9)</f>
        <v/>
      </c>
      <c r="N9" s="18" t="n">
        <v>5.093834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2026-10-08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Rheinmetall</t>
        </is>
      </c>
      <c r="C10" s="12" t="inlineStr">
        <is>
          <t>RHM.DE</t>
        </is>
      </c>
      <c r="D10" s="11" t="inlineStr">
        <is>
          <t>Difesa</t>
        </is>
      </c>
      <c r="E10" s="13" t="inlineStr">
        <is>
          <t>Industriale</t>
        </is>
      </c>
      <c r="F10" s="14" t="n">
        <v>934.9</v>
      </c>
      <c r="G10" s="15" t="inlineStr">
        <is>
          <t>EUR</t>
        </is>
      </c>
      <c r="H10" s="14" t="n">
        <v>934.9</v>
      </c>
      <c r="I10" s="16" t="n">
        <v>43630</v>
      </c>
      <c r="J10" s="16" t="n">
        <v>43630</v>
      </c>
      <c r="K10" s="14" t="n">
        <v>25.75</v>
      </c>
      <c r="L10" s="14" t="n">
        <v>53.21502</v>
      </c>
      <c r="M10" s="17">
        <f>IF(OR(F10="",K10="",K10&lt;=0),"",F10/K10)</f>
        <v/>
      </c>
      <c r="N10" s="18" t="n">
        <v>8.774614</v>
      </c>
      <c r="O10" s="19">
        <f>IF(OR(N10="",M10="",M10&lt;=0),"",N10/M10)</f>
        <v/>
      </c>
      <c r="P10" s="20" t="n">
        <v>0.25688</v>
      </c>
      <c r="Q10" s="20" t="n">
        <v>0.161353791016542</v>
      </c>
      <c r="R10" s="20" t="n">
        <v>0.01411120214297162</v>
      </c>
      <c r="S10" s="21" t="n">
        <v>4</v>
      </c>
      <c r="T10" s="20" t="n"/>
      <c r="U10" s="20" t="n">
        <v>0.1388944322490521</v>
      </c>
      <c r="V10" s="20" t="n">
        <v>0.177037037037037</v>
      </c>
      <c r="W10" s="20" t="n">
        <v>0.1613389626055489</v>
      </c>
      <c r="X10" s="20" t="n">
        <v>0.16814473217453</v>
      </c>
      <c r="Y10" s="14" t="n">
        <v>11.5</v>
      </c>
      <c r="Z10" s="19">
        <f>IF(OR(Y10="",F10="",F10=0),"",Y10/F10)</f>
        <v/>
      </c>
      <c r="AA10" s="22" t="n">
        <v>51.63</v>
      </c>
      <c r="AB10" s="20" t="n">
        <v>0.6879999999999999</v>
      </c>
      <c r="AC10" s="20" t="n">
        <v>0.1217916456970307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BMW</t>
        </is>
      </c>
      <c r="C11" s="12" t="inlineStr">
        <is>
          <t>BMW.DE</t>
        </is>
      </c>
      <c r="D11" s="11" t="inlineStr">
        <is>
          <t>Auto</t>
        </is>
      </c>
      <c r="E11" s="13" t="inlineStr">
        <is>
          <t>Consumi</t>
        </is>
      </c>
      <c r="F11" s="14" t="n">
        <v>52.18</v>
      </c>
      <c r="G11" s="15" t="inlineStr">
        <is>
          <t>EUR</t>
        </is>
      </c>
      <c r="H11" s="14" t="n">
        <v>52.18</v>
      </c>
      <c r="I11" s="16" t="n">
        <v>31233.7</v>
      </c>
      <c r="J11" s="16" t="n">
        <v>31233.7</v>
      </c>
      <c r="K11" s="14" t="n">
        <v>10.39</v>
      </c>
      <c r="L11" s="14" t="n">
        <v>8.643929999999999</v>
      </c>
      <c r="M11" s="17">
        <f>IF(OR(F11="",K11="",K11&lt;=0),"",F11/K11)</f>
        <v/>
      </c>
      <c r="N11" s="18" t="n">
        <v>0.32773295</v>
      </c>
      <c r="O11" s="19">
        <f>IF(OR(N11="",M11="",M11&lt;=0),"",N11/M11)</f>
        <v/>
      </c>
      <c r="P11" s="20" t="n">
        <v>0.06592000000000001</v>
      </c>
      <c r="Q11" s="20" t="n">
        <v>0.1217802745892722</v>
      </c>
      <c r="R11" s="20" t="n">
        <v>0.05245569366129516</v>
      </c>
      <c r="S11" s="21" t="n">
        <v>4</v>
      </c>
      <c r="T11" s="20" t="n"/>
      <c r="U11" s="20" t="n">
        <v>0.07621973520591033</v>
      </c>
      <c r="V11" s="20" t="n">
        <v>0.07896874830742566</v>
      </c>
      <c r="W11" s="20" t="n">
        <v>0.1260100897361489</v>
      </c>
      <c r="X11" s="20" t="n">
        <v>0.205922525107604</v>
      </c>
      <c r="Y11" s="14" t="n">
        <v>4.4</v>
      </c>
      <c r="Z11" s="19">
        <f>IF(OR(Y11="",F11="",F11=0),"",Y11/F11)</f>
        <v/>
      </c>
      <c r="AA11" s="22" t="n">
        <v>119.855</v>
      </c>
      <c r="AB11" s="20" t="n">
        <v>-0.079</v>
      </c>
      <c r="AC11" s="20" t="n">
        <v>0.04723011145496916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Commerzbank</t>
        </is>
      </c>
      <c r="C12" s="12" t="inlineStr">
        <is>
          <t>CBK.DE</t>
        </is>
      </c>
      <c r="D12" s="11" t="inlineStr">
        <is>
          <t>Banca</t>
        </is>
      </c>
      <c r="E12" s="13" t="inlineStr">
        <is>
          <t>Finanziario</t>
        </is>
      </c>
      <c r="F12" s="14" t="n">
        <v>37.64</v>
      </c>
      <c r="G12" s="15" t="inlineStr">
        <is>
          <t>EUR</t>
        </is>
      </c>
      <c r="H12" s="14" t="n">
        <v>37.64</v>
      </c>
      <c r="I12" s="16" t="n">
        <v>40683.1</v>
      </c>
      <c r="J12" s="16" t="n">
        <v>40683.1</v>
      </c>
      <c r="K12" s="14" t="n">
        <v>2.61</v>
      </c>
      <c r="L12" s="14" t="n">
        <v>3.91935</v>
      </c>
      <c r="M12" s="17">
        <f>IF(OR(F12="",K12="",K12&lt;=0),"",F12/K12)</f>
        <v/>
      </c>
      <c r="N12" s="18" t="n">
        <v>1.204827</v>
      </c>
      <c r="O12" s="19">
        <f>IF(OR(N12="",M12="",M12&lt;=0),"",N12/M12)</f>
        <v/>
      </c>
      <c r="P12" s="20" t="n">
        <v>0.09666</v>
      </c>
      <c r="Q12" s="20" t="n">
        <v>0.06813536415307286</v>
      </c>
      <c r="R12" s="20" t="n">
        <v>0.0122202754534199</v>
      </c>
      <c r="S12" s="21" t="n">
        <v>4</v>
      </c>
      <c r="T12" s="20" t="n"/>
      <c r="U12" s="20" t="n">
        <v>0.07759614531910491</v>
      </c>
      <c r="V12" s="20" t="n">
        <v>0.07766624115121272</v>
      </c>
      <c r="W12" s="20" t="n">
        <v>0.06951737934483621</v>
      </c>
      <c r="X12" s="20" t="n">
        <v>0.04776169079713763</v>
      </c>
      <c r="Y12" s="14" t="n">
        <v>1.1</v>
      </c>
      <c r="Z12" s="19">
        <f>IF(OR(Y12="",F12="",F12=0),"",Y12/F12)</f>
        <v/>
      </c>
      <c r="AA12" s="22" t="n"/>
      <c r="AB12" s="20" t="n">
        <v>0.101</v>
      </c>
      <c r="AC12" s="20" t="n">
        <v>0.2217411473635379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67.34999999999999</v>
      </c>
      <c r="G13" s="15" t="inlineStr">
        <is>
          <t>EUR</t>
        </is>
      </c>
      <c r="H13" s="14" t="n">
        <v>67.34999999999999</v>
      </c>
      <c r="I13" s="16" t="n">
        <v>10964.7</v>
      </c>
      <c r="J13" s="16" t="n">
        <v>10964.7</v>
      </c>
      <c r="K13" s="14" t="n">
        <v>2.68</v>
      </c>
      <c r="L13" s="14" t="n">
        <v>3.74378</v>
      </c>
      <c r="M13" s="17">
        <f>IF(OR(F13="",K13="",K13&lt;=0),"",F13/K13)</f>
        <v/>
      </c>
      <c r="N13" s="18" t="n">
        <v>4.381343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36.72</v>
      </c>
      <c r="G14" s="15" t="inlineStr">
        <is>
          <t>EUR</t>
        </is>
      </c>
      <c r="H14" s="14" t="n">
        <v>36.72</v>
      </c>
      <c r="I14" s="16" t="n">
        <v>9861.700000000001</v>
      </c>
      <c r="J14" s="16" t="n">
        <v>9861.700000000001</v>
      </c>
      <c r="K14" s="14" t="n">
        <v>3.32</v>
      </c>
      <c r="L14" s="14" t="n">
        <v>4.26469</v>
      </c>
      <c r="M14" s="17">
        <f>IF(OR(F14="",K14="",K14&lt;=0),"",F14/K14)</f>
        <v/>
      </c>
      <c r="N14" s="18" t="n">
        <v>0.77819693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Mercedes-Benz Group</t>
        </is>
      </c>
      <c r="C15" s="12" t="inlineStr">
        <is>
          <t>MBG.DE</t>
        </is>
      </c>
      <c r="D15" s="11" t="inlineStr">
        <is>
          <t>Auto</t>
        </is>
      </c>
      <c r="E15" s="13" t="inlineStr">
        <is>
          <t>Consumi</t>
        </is>
      </c>
      <c r="F15" s="14" t="n">
        <v>39.025</v>
      </c>
      <c r="G15" s="15" t="inlineStr">
        <is>
          <t>EUR</t>
        </is>
      </c>
      <c r="H15" s="14" t="n">
        <v>39.025</v>
      </c>
      <c r="I15" s="16" t="n">
        <v>37043.8</v>
      </c>
      <c r="J15" s="16" t="n">
        <v>37043.8</v>
      </c>
      <c r="K15" s="14" t="n">
        <v>5.28</v>
      </c>
      <c r="L15" s="14" t="n">
        <v>6.74821</v>
      </c>
      <c r="M15" s="17">
        <f>IF(OR(F15="",K15="",K15&lt;=0),"",F15/K15)</f>
        <v/>
      </c>
      <c r="N15" s="18" t="n">
        <v>0.39329016</v>
      </c>
      <c r="O15" s="19">
        <f>IF(OR(N15="",M15="",M15&lt;=0),"",N15/M15)</f>
        <v/>
      </c>
      <c r="P15" s="20" t="n">
        <v>0.055960003</v>
      </c>
      <c r="Q15" s="20" t="n">
        <v>0.055960003</v>
      </c>
      <c r="R15" s="20" t="n"/>
      <c r="S15" s="21" t="n">
        <v>0</v>
      </c>
      <c r="T15" s="20" t="n"/>
      <c r="U15" s="20" t="n">
        <v>0.05512722905519157</v>
      </c>
      <c r="V15" s="20" t="n">
        <v>0.1101970310391363</v>
      </c>
      <c r="W15" s="20" t="n">
        <v>0.1553942880803722</v>
      </c>
      <c r="X15" s="20" t="n">
        <v>0.1697711174852192</v>
      </c>
      <c r="Y15" s="14" t="n">
        <v>3.5</v>
      </c>
      <c r="Z15" s="19">
        <f>IF(OR(Y15="",F15="",F15=0),"",Y15/F15)</f>
        <v/>
      </c>
      <c r="AA15" s="22" t="n">
        <v>110.208</v>
      </c>
      <c r="AB15" s="20" t="n">
        <v>-0.033</v>
      </c>
      <c r="AC15" s="20" t="n">
        <v>0.03805194657146747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2026-10-08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57.24</v>
      </c>
      <c r="G16" s="15" t="inlineStr">
        <is>
          <t>EUR</t>
        </is>
      </c>
      <c r="H16" s="14" t="n">
        <v>57.24</v>
      </c>
      <c r="I16" s="16" t="n">
        <v>44646.4</v>
      </c>
      <c r="J16" s="16" t="n">
        <v>44646.4</v>
      </c>
      <c r="K16" s="14" t="n">
        <v>4.51</v>
      </c>
      <c r="L16" s="14" t="n">
        <v>3.33641</v>
      </c>
      <c r="M16" s="17">
        <f>IF(OR(F16="",K16="",K16&lt;=0),"",F16/K16)</f>
        <v/>
      </c>
      <c r="N16" s="18" t="n">
        <v>1.026616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Volkswagen VZ</t>
        </is>
      </c>
      <c r="C17" s="12" t="inlineStr">
        <is>
          <t>VOW3.DE</t>
        </is>
      </c>
      <c r="D17" s="11" t="inlineStr">
        <is>
          <t>Auto</t>
        </is>
      </c>
      <c r="E17" s="13" t="inlineStr">
        <is>
          <t>Consumi</t>
        </is>
      </c>
      <c r="F17" s="14" t="n">
        <v>66.59999999999999</v>
      </c>
      <c r="G17" s="15" t="inlineStr">
        <is>
          <t>EUR</t>
        </is>
      </c>
      <c r="H17" s="14" t="n">
        <v>66.59999999999999</v>
      </c>
      <c r="I17" s="16" t="n">
        <v>33386.3</v>
      </c>
      <c r="J17" s="16" t="n">
        <v>33386.3</v>
      </c>
      <c r="K17" s="14" t="n">
        <v>10.44</v>
      </c>
      <c r="L17" s="14" t="n">
        <v>22.03575</v>
      </c>
      <c r="M17" s="17">
        <f>IF(OR(F17="",K17="",K17&lt;=0),"",F17/K17)</f>
        <v/>
      </c>
      <c r="N17" s="18" t="n">
        <v>0.1904054</v>
      </c>
      <c r="O17" s="19">
        <f>IF(OR(N17="",M17="",M17&lt;=0),"",N17/M17)</f>
        <v/>
      </c>
      <c r="P17" s="20" t="n">
        <v>0.027609998</v>
      </c>
      <c r="Q17" s="20" t="n">
        <v>0.07227850342214182</v>
      </c>
      <c r="R17" s="20" t="n">
        <v>0.02322045052510603</v>
      </c>
      <c r="S17" s="21" t="n">
        <v>4</v>
      </c>
      <c r="T17" s="20" t="n"/>
      <c r="U17" s="20" t="n">
        <v>0.03889481986647333</v>
      </c>
      <c r="V17" s="20" t="n">
        <v>0.0622675458325562</v>
      </c>
      <c r="W17" s="20" t="n">
        <v>0.09448584884093092</v>
      </c>
      <c r="X17" s="20" t="n">
        <v>0.09346579914860681</v>
      </c>
      <c r="Y17" s="14" t="n">
        <v>5.26</v>
      </c>
      <c r="Z17" s="19">
        <f>IF(OR(Y17="",F17="",F17=0),"",Y17/F17)</f>
        <v/>
      </c>
      <c r="AA17" s="22" t="n">
        <v>138.745</v>
      </c>
      <c r="AB17" s="20" t="n">
        <v>0.02</v>
      </c>
      <c r="AC17" s="20" t="n">
        <v>0.01628390239598898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16.965</v>
      </c>
      <c r="G18" s="15" t="inlineStr">
        <is>
          <t>EUR</t>
        </is>
      </c>
      <c r="H18" s="14" t="n">
        <v>16.965</v>
      </c>
      <c r="I18" s="16" t="n">
        <v>44351.3</v>
      </c>
      <c r="J18" s="16" t="n">
        <v>44351.3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2.0898004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16.205</v>
      </c>
      <c r="G19" s="15" t="inlineStr">
        <is>
          <t>EUR</t>
        </is>
      </c>
      <c r="H19" s="14" t="n">
        <v>16.205</v>
      </c>
      <c r="I19" s="16" t="n">
        <v>13748.9</v>
      </c>
      <c r="J19" s="16" t="n">
        <v>13748.9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0.50448287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73.84</v>
      </c>
      <c r="G20" s="15" t="inlineStr">
        <is>
          <t>EUR</t>
        </is>
      </c>
      <c r="H20" s="14" t="n">
        <v>73.84</v>
      </c>
      <c r="I20" s="16" t="n">
        <v>29894.2</v>
      </c>
      <c r="J20" s="16" t="n">
        <v>29894.2</v>
      </c>
      <c r="K20" s="14" t="n">
        <v>4.69</v>
      </c>
      <c r="L20" s="14" t="n">
        <v>5.88165</v>
      </c>
      <c r="M20" s="17">
        <f>IF(OR(F20="",K20="",K20&lt;=0),"",F20/K20)</f>
        <v/>
      </c>
      <c r="N20" s="18" t="n">
        <v>1.4271632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2026-10-08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264.25</v>
      </c>
      <c r="G21" s="15" t="inlineStr">
        <is>
          <t>EUR</t>
        </is>
      </c>
      <c r="H21" s="14" t="n">
        <v>264.25</v>
      </c>
      <c r="I21" s="16" t="n">
        <v>202273.6</v>
      </c>
      <c r="J21" s="16" t="n">
        <v>202273.6</v>
      </c>
      <c r="K21" s="14" t="n">
        <v>10</v>
      </c>
      <c r="L21" s="14" t="n">
        <v>12.91372</v>
      </c>
      <c r="M21" s="17">
        <f>IF(OR(F21="",K21="",K21&lt;=0),"",F21/K21)</f>
        <v/>
      </c>
      <c r="N21" s="18" t="n">
        <v>2.9965074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77.56</v>
      </c>
      <c r="G22" s="15" t="inlineStr">
        <is>
          <t>EUR</t>
        </is>
      </c>
      <c r="H22" s="14" t="n">
        <v>77.56</v>
      </c>
      <c r="I22" s="16" t="n">
        <v>16948.7</v>
      </c>
      <c r="J22" s="16" t="n">
        <v>16948.7</v>
      </c>
      <c r="K22" s="14" t="n">
        <v>4.3</v>
      </c>
      <c r="L22" s="14" t="n">
        <v>3.99155</v>
      </c>
      <c r="M22" s="17">
        <f>IF(OR(F22="",K22="",K22&lt;=0),"",F22/K22)</f>
        <v/>
      </c>
      <c r="N22" s="18" t="n">
        <v>1.8792857</v>
      </c>
      <c r="O22" s="19">
        <f>IF(OR(N22="",M22="",M22&lt;=0),"",N22/M22)</f>
        <v/>
      </c>
      <c r="P22" s="20" t="n">
        <v>0.10887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1.221</v>
      </c>
      <c r="AB22" s="20" t="n">
        <v>-0.045</v>
      </c>
      <c r="AC22" s="20" t="n">
        <v>0.0952090946000812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2026-10-08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61.26</v>
      </c>
      <c r="G23" s="15" t="inlineStr">
        <is>
          <t>EUR</t>
        </is>
      </c>
      <c r="H23" s="14" t="n">
        <v>61.26</v>
      </c>
      <c r="I23" s="16" t="n">
        <v>8845</v>
      </c>
      <c r="J23" s="16" t="n">
        <v>8845</v>
      </c>
      <c r="K23" s="14" t="n">
        <v>2.52</v>
      </c>
      <c r="L23" s="14" t="n">
        <v>4.17161</v>
      </c>
      <c r="M23" s="17">
        <f>IF(OR(F23="",K23="",K23&lt;=0),"",F23/K23)</f>
        <v/>
      </c>
      <c r="N23" s="18" t="n">
        <v>1.9948549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2026-10-08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58.9</v>
      </c>
      <c r="G24" s="15" t="inlineStr">
        <is>
          <t>EUR</t>
        </is>
      </c>
      <c r="H24" s="14" t="n">
        <v>58.9</v>
      </c>
      <c r="I24" s="16" t="n">
        <v>76540.5</v>
      </c>
      <c r="J24" s="16" t="n">
        <v>76540.5</v>
      </c>
      <c r="K24" s="14" t="n">
        <v>0.92</v>
      </c>
      <c r="L24" s="14" t="n">
        <v>2.85226</v>
      </c>
      <c r="M24" s="17">
        <f>IF(OR(F24="",K24="",K24&lt;=0),"",F24/K24)</f>
        <v/>
      </c>
      <c r="N24" s="18" t="n">
        <v>4.408023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2026-10-08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38.26</v>
      </c>
      <c r="G25" s="15" t="inlineStr">
        <is>
          <t>EUR</t>
        </is>
      </c>
      <c r="H25" s="14" t="n">
        <v>38.26</v>
      </c>
      <c r="I25" s="16" t="n">
        <v>42820.6</v>
      </c>
      <c r="J25" s="16" t="n">
        <v>42820.6</v>
      </c>
      <c r="K25" s="14" t="n">
        <v>1.97</v>
      </c>
      <c r="L25" s="14" t="n">
        <v>2.37777</v>
      </c>
      <c r="M25" s="17">
        <f>IF(OR(F25="",K25="",K25&lt;=0),"",F25/K25)</f>
        <v/>
      </c>
      <c r="N25" s="18" t="n">
        <v>2.2332475</v>
      </c>
      <c r="O25" s="19">
        <f>IF(OR(N25="",M25="",M25&lt;=0),"",N25/M25)</f>
        <v/>
      </c>
      <c r="P25" s="20" t="n">
        <v>0.121470004</v>
      </c>
      <c r="Q25" s="20" t="n">
        <v>0.09763647386737051</v>
      </c>
      <c r="R25" s="20" t="n">
        <v>0.0101557957764117</v>
      </c>
      <c r="S25" s="21" t="n">
        <v>3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2026-10-08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Adidas</t>
        </is>
      </c>
      <c r="C26" s="12" t="inlineStr">
        <is>
          <t>ADS.DE</t>
        </is>
      </c>
      <c r="D26" s="11" t="inlineStr">
        <is>
          <t>Abbigliamento sportivo</t>
        </is>
      </c>
      <c r="E26" s="13" t="inlineStr">
        <is>
          <t>Consumi</t>
        </is>
      </c>
      <c r="F26" s="14" t="n">
        <v>146.5</v>
      </c>
      <c r="G26" s="15" t="inlineStr">
        <is>
          <t>EUR</t>
        </is>
      </c>
      <c r="H26" s="14" t="n">
        <v>146.5</v>
      </c>
      <c r="I26" s="16" t="n">
        <v>25646.7</v>
      </c>
      <c r="J26" s="16" t="n">
        <v>25646.7</v>
      </c>
      <c r="K26" s="14" t="n">
        <v>7.8</v>
      </c>
      <c r="L26" s="14" t="n">
        <v>11.60475</v>
      </c>
      <c r="M26" s="17">
        <f>IF(OR(F26="",K26="",K26&lt;=0),"",F26/K26)</f>
        <v/>
      </c>
      <c r="N26" s="18" t="n">
        <v>4.3060374</v>
      </c>
      <c r="O26" s="19">
        <f>IF(OR(N26="",M26="",M26&lt;=0),"",N26/M26)</f>
        <v/>
      </c>
      <c r="P26" s="20" t="n">
        <v>0.24324</v>
      </c>
      <c r="Q26" s="20" t="n">
        <v>0.1194393818870109</v>
      </c>
      <c r="R26" s="20" t="n">
        <v>0.08878007631670452</v>
      </c>
      <c r="S26" s="21" t="n">
        <v>4</v>
      </c>
      <c r="T26" s="20" t="n"/>
      <c r="U26" s="20" t="n">
        <v>0.231994459833795</v>
      </c>
      <c r="V26" s="20" t="n">
        <v>0.139517896274653</v>
      </c>
      <c r="W26" s="20" t="n">
        <v>-0.01637554585152838</v>
      </c>
      <c r="X26" s="20" t="n">
        <v>0.122620717291124</v>
      </c>
      <c r="Y26" s="14" t="n">
        <v>2.8</v>
      </c>
      <c r="Z26" s="19">
        <f>IF(OR(Y26="",F26="",F26=0),"",Y26/F26)</f>
        <v/>
      </c>
      <c r="AA26" s="22" t="n">
        <v>94.127</v>
      </c>
      <c r="AB26" s="20" t="n">
        <v>0.133</v>
      </c>
      <c r="AC26" s="20" t="n">
        <v>0.05566079303534723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2026-10-08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135.7</v>
      </c>
      <c r="G27" s="15" t="inlineStr">
        <is>
          <t>EUR</t>
        </is>
      </c>
      <c r="H27" s="14" t="n">
        <v>135.7</v>
      </c>
      <c r="I27" s="16" t="n">
        <v>58999.4</v>
      </c>
      <c r="J27" s="16" t="n">
        <v>58999.4</v>
      </c>
      <c r="K27" s="14" t="n">
        <v>5.45</v>
      </c>
      <c r="L27" s="14" t="n">
        <v>8.9146</v>
      </c>
      <c r="M27" s="17">
        <f>IF(OR(F27="",K27="",K27&lt;=0),"",F27/K27)</f>
        <v/>
      </c>
      <c r="N27" s="18" t="n">
        <v>1.9502729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2026-10-08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184.62</v>
      </c>
      <c r="G28" s="15" t="inlineStr">
        <is>
          <t>EUR</t>
        </is>
      </c>
      <c r="H28" s="14" t="n">
        <v>184.62</v>
      </c>
      <c r="I28" s="16" t="n">
        <v>213089.2</v>
      </c>
      <c r="J28" s="16" t="n">
        <v>213089.2</v>
      </c>
      <c r="K28" s="14" t="n">
        <v>6.68</v>
      </c>
      <c r="L28" s="14" t="n">
        <v>8.36656</v>
      </c>
      <c r="M28" s="17">
        <f>IF(OR(F28="",K28="",K28&lt;=0),"",F28/K28)</f>
        <v/>
      </c>
      <c r="N28" s="18" t="n">
        <v>4.7625437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2026-10-08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343.7</v>
      </c>
      <c r="G29" s="15" t="inlineStr">
        <is>
          <t>EUR</t>
        </is>
      </c>
      <c r="H29" s="14" t="n">
        <v>343.7</v>
      </c>
      <c r="I29" s="16" t="n">
        <v>18515.3</v>
      </c>
      <c r="J29" s="16" t="n">
        <v>18515.3</v>
      </c>
      <c r="K29" s="14" t="n">
        <v>17.25</v>
      </c>
      <c r="L29" s="14" t="n">
        <v>20.67265</v>
      </c>
      <c r="M29" s="17">
        <f>IF(OR(F29="",K29="",K29&lt;=0),"",F29/K29)</f>
        <v/>
      </c>
      <c r="N29" s="18" t="n">
        <v>4.0755587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2026-10-08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40.69</v>
      </c>
      <c r="G30" s="15" t="inlineStr">
        <is>
          <t>EUR</t>
        </is>
      </c>
      <c r="H30" s="14" t="n">
        <v>40.69</v>
      </c>
      <c r="I30" s="16" t="n">
        <v>30933.1</v>
      </c>
      <c r="J30" s="16" t="n">
        <v>30933.1</v>
      </c>
      <c r="K30" s="14" t="n">
        <v>1.44</v>
      </c>
      <c r="L30" s="14" t="n">
        <v>4.82596</v>
      </c>
      <c r="M30" s="17">
        <f>IF(OR(F30="",K30="",K30&lt;=0),"",F30/K30)</f>
        <v/>
      </c>
      <c r="N30" s="18" t="n">
        <v>1.3704951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2026-10-08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90.94</v>
      </c>
      <c r="G31" s="15" t="inlineStr">
        <is>
          <t>EUR</t>
        </is>
      </c>
      <c r="H31" s="14" t="n">
        <v>90.94</v>
      </c>
      <c r="I31" s="16" t="n">
        <v>12475.2</v>
      </c>
      <c r="J31" s="16" t="n">
        <v>12475.2</v>
      </c>
      <c r="K31" s="14" t="n">
        <v>1.75</v>
      </c>
      <c r="L31" s="14" t="n">
        <v>4.3862</v>
      </c>
      <c r="M31" s="17">
        <f>IF(OR(F31="",K31="",K31&lt;=0),"",F31/K31)</f>
        <v/>
      </c>
      <c r="N31" s="18" t="n">
        <v>3.3411713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2026-10-08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22.81</v>
      </c>
      <c r="G32" s="15" t="inlineStr">
        <is>
          <t>EUR</t>
        </is>
      </c>
      <c r="H32" s="14" t="n">
        <v>22.81</v>
      </c>
      <c r="I32" s="16" t="n">
        <v>5570.7</v>
      </c>
      <c r="J32" s="16" t="n">
        <v>5570.7</v>
      </c>
      <c r="K32" s="14" t="n">
        <v>0.37</v>
      </c>
      <c r="L32" s="14" t="n">
        <v>1.85536</v>
      </c>
      <c r="M32" s="17">
        <f>IF(OR(F32="",K32="",K32&lt;=0),"",F32/K32)</f>
        <v/>
      </c>
      <c r="N32" s="18" t="n">
        <v>2.2137034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2026-10-08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40.96</v>
      </c>
      <c r="G33" s="15" t="inlineStr">
        <is>
          <t>EUR</t>
        </is>
      </c>
      <c r="H33" s="14" t="n">
        <v>40.96</v>
      </c>
      <c r="I33" s="16" t="n">
        <v>37314.6</v>
      </c>
      <c r="J33" s="16" t="n">
        <v>37314.6</v>
      </c>
      <c r="K33" s="14" t="n">
        <v>0.92</v>
      </c>
      <c r="L33" s="14" t="n">
        <v>1.89327</v>
      </c>
      <c r="M33" s="17">
        <f>IF(OR(F33="",K33="",K33&lt;=0),"",F33/K33)</f>
        <v/>
      </c>
      <c r="N33" s="18" t="n">
        <v>1.6327181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2026-10-08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39.575</v>
      </c>
      <c r="G34" s="15" t="inlineStr">
        <is>
          <t>EUR</t>
        </is>
      </c>
      <c r="H34" s="14" t="n">
        <v>39.575</v>
      </c>
      <c r="I34" s="16" t="n">
        <v>8172</v>
      </c>
      <c r="J34" s="16" t="n">
        <v>8172</v>
      </c>
      <c r="K34" s="14" t="n">
        <v>1.69</v>
      </c>
      <c r="L34" s="14" t="n">
        <v>2.2423</v>
      </c>
      <c r="M34" s="17">
        <f>IF(OR(F34="",K34="",K34&lt;=0),"",F34/K34)</f>
        <v/>
      </c>
      <c r="N34" s="18" t="n">
        <v>2.7394147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2026-10-08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Fresenius</t>
        </is>
      </c>
      <c r="C35" s="12" t="inlineStr">
        <is>
          <t>FRE.DE</t>
        </is>
      </c>
      <c r="D35" s="11" t="inlineStr">
        <is>
          <t>Servizi sanitari</t>
        </is>
      </c>
      <c r="E35" s="13" t="inlineStr">
        <is>
          <t>Salute</t>
        </is>
      </c>
      <c r="F35" s="14" t="n">
        <v>41.59</v>
      </c>
      <c r="G35" s="15" t="inlineStr">
        <is>
          <t>EUR</t>
        </is>
      </c>
      <c r="H35" s="14" t="n">
        <v>41.59</v>
      </c>
      <c r="I35" s="16" t="n">
        <v>23425</v>
      </c>
      <c r="J35" s="16" t="n">
        <v>23425</v>
      </c>
      <c r="K35" s="14" t="n">
        <v>2.77</v>
      </c>
      <c r="L35" s="14" t="n">
        <v>3.95467</v>
      </c>
      <c r="M35" s="17">
        <f>IF(OR(F35="",K35="",K35&lt;=0),"",F35/K35)</f>
        <v/>
      </c>
      <c r="N35" s="18" t="n">
        <v>1.1891352</v>
      </c>
      <c r="O35" s="19">
        <f>IF(OR(N35="",M35="",M35&lt;=0),"",N35/M35)</f>
        <v/>
      </c>
      <c r="P35" s="20" t="n">
        <v>0.08287</v>
      </c>
      <c r="Q35" s="20" t="n">
        <v>0.03155169278766157</v>
      </c>
      <c r="R35" s="20" t="n">
        <v>0.04022010242586282</v>
      </c>
      <c r="S35" s="21" t="n">
        <v>4</v>
      </c>
      <c r="T35" s="20" t="n"/>
      <c r="U35" s="20" t="n">
        <v>0.0661641541038526</v>
      </c>
      <c r="V35" s="20" t="n">
        <v>0.02410193429536383</v>
      </c>
      <c r="W35" s="20" t="n">
        <v>-0.03126480341070582</v>
      </c>
      <c r="X35" s="20" t="n">
        <v>0.06720548616213569</v>
      </c>
      <c r="Y35" s="14" t="n">
        <v>1.05</v>
      </c>
      <c r="Z35" s="19">
        <f>IF(OR(Y35="",F35="",F35=0),"",Y35/F35)</f>
        <v/>
      </c>
      <c r="AA35" s="22" t="n">
        <v>55.978</v>
      </c>
      <c r="AB35" s="20" t="n">
        <v>0.052</v>
      </c>
      <c r="AC35" s="20" t="n">
        <v>0.06833384619420277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2026-10-08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Siemens Energy</t>
        </is>
      </c>
      <c r="C36" s="12" t="inlineStr">
        <is>
          <t>ENR.DE</t>
        </is>
      </c>
      <c r="D36" s="11" t="inlineStr">
        <is>
          <t>Elettrificazione / Energia</t>
        </is>
      </c>
      <c r="E36" s="13" t="inlineStr">
        <is>
          <t>Industriale</t>
        </is>
      </c>
      <c r="F36" s="14" t="n">
        <v>142.5</v>
      </c>
      <c r="G36" s="15" t="inlineStr">
        <is>
          <t>EUR</t>
        </is>
      </c>
      <c r="H36" s="14" t="n">
        <v>142.5</v>
      </c>
      <c r="I36" s="16" t="n">
        <v>121245.9</v>
      </c>
      <c r="J36" s="16" t="n">
        <v>121245.9</v>
      </c>
      <c r="K36" s="14" t="n">
        <v>3.1</v>
      </c>
      <c r="L36" s="14" t="n">
        <v>6.23069</v>
      </c>
      <c r="M36" s="17">
        <f>IF(OR(F36="",K36="",K36&lt;=0),"",F36/K36)</f>
        <v/>
      </c>
      <c r="N36" s="18" t="n">
        <v>11.303244</v>
      </c>
      <c r="O36" s="19">
        <f>IF(OR(N36="",M36="",M36&lt;=0),"",N36/M36)</f>
        <v/>
      </c>
      <c r="P36" s="20" t="n">
        <v>0.27749002</v>
      </c>
      <c r="Q36" s="20" t="n">
        <v>-0.07313166554355918</v>
      </c>
      <c r="R36" s="20" t="n">
        <v>0.2735379738789365</v>
      </c>
      <c r="S36" s="21" t="n">
        <v>4</v>
      </c>
      <c r="T36" s="20" t="n"/>
      <c r="U36" s="20" t="n">
        <v>0.1372682263857878</v>
      </c>
      <c r="V36" s="20" t="n">
        <v>0.1304683195592287</v>
      </c>
      <c r="W36" s="20" t="n">
        <v>-0.5329883570504528</v>
      </c>
      <c r="X36" s="20" t="n">
        <v>-0.02727485106880037</v>
      </c>
      <c r="Y36" s="14" t="n">
        <v>0.7</v>
      </c>
      <c r="Z36" s="19">
        <f>IF(OR(Y36="",F36="",F36=0),"",Y36/F36)</f>
        <v/>
      </c>
      <c r="AA36" s="22" t="n">
        <v>26.488</v>
      </c>
      <c r="AB36" s="20" t="n">
        <v>0.175</v>
      </c>
      <c r="AC36" s="20" t="n">
        <v>0.06888962817002328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2026-10-08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24.55</v>
      </c>
      <c r="G37" s="15" t="inlineStr">
        <is>
          <t>EUR</t>
        </is>
      </c>
      <c r="H37" s="14" t="n">
        <v>24.55</v>
      </c>
      <c r="I37" s="16" t="n">
        <v>7518.4</v>
      </c>
      <c r="J37" s="16" t="n">
        <v>7518.4</v>
      </c>
      <c r="K37" s="14" t="n">
        <v>0.31</v>
      </c>
      <c r="L37" s="14" t="n">
        <v>13.85479</v>
      </c>
      <c r="M37" s="17">
        <f>IF(OR(F37="",K37="",K37&lt;=0),"",F37/K37)</f>
        <v/>
      </c>
      <c r="N37" s="18" t="n">
        <v>0.2104478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2026-10-08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246.9</v>
      </c>
      <c r="G38" s="15" t="inlineStr">
        <is>
          <t>EUR</t>
        </is>
      </c>
      <c r="H38" s="14" t="n">
        <v>246.9</v>
      </c>
      <c r="I38" s="16" t="n">
        <v>17049</v>
      </c>
      <c r="J38" s="16" t="n">
        <v>17049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6.2986298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2026-10-08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51.77</v>
      </c>
      <c r="G39" s="15" t="inlineStr">
        <is>
          <t>EUR</t>
        </is>
      </c>
      <c r="H39" s="14" t="n">
        <v>51.77</v>
      </c>
      <c r="I39" s="16" t="n">
        <v>45781.5</v>
      </c>
      <c r="J39" s="16" t="n">
        <v>45781.5</v>
      </c>
      <c r="K39" s="14" t="n">
        <v>2.4</v>
      </c>
      <c r="L39" s="14" t="n">
        <v>2.96209</v>
      </c>
      <c r="M39" s="17">
        <f>IF(OR(F39="",K39="",K39&lt;=0),"",F39/K39)</f>
        <v/>
      </c>
      <c r="N39" s="18" t="n">
        <v>1.2360919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2026-10-08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42.59</v>
      </c>
      <c r="G40" s="15" t="inlineStr">
        <is>
          <t>EUR</t>
        </is>
      </c>
      <c r="H40" s="14" t="n">
        <v>42.59</v>
      </c>
      <c r="I40" s="16" t="n">
        <v>41841.4</v>
      </c>
      <c r="J40" s="16" t="n">
        <v>41841.4</v>
      </c>
      <c r="K40" s="14" t="n">
        <v>-1.76</v>
      </c>
      <c r="L40" s="14" t="n">
        <v>4.83607</v>
      </c>
      <c r="M40" s="17">
        <f>IF(OR(F40="",K40="",K40&lt;=0),"",F40/K40)</f>
        <v/>
      </c>
      <c r="N40" s="18" t="n">
        <v>1.4143393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2026-10-08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68.09999999999999</v>
      </c>
      <c r="G41" s="15" t="inlineStr">
        <is>
          <t>EUR</t>
        </is>
      </c>
      <c r="H41" s="14" t="n">
        <v>68.09999999999999</v>
      </c>
      <c r="I41" s="16" t="n">
        <v>13620.4</v>
      </c>
      <c r="J41" s="16" t="n">
        <v>13620.4</v>
      </c>
      <c r="K41" s="14" t="n">
        <v>-2.35</v>
      </c>
      <c r="L41" s="14" t="n">
        <v>6.43426</v>
      </c>
      <c r="M41" s="17">
        <f>IF(OR(F41="",K41="",K41&lt;=0),"",F41/K41)</f>
        <v/>
      </c>
      <c r="N41" s="18" t="n">
        <v>3.2413135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2026-10-08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2026-10-08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432.4</v>
      </c>
      <c r="G43" s="15" t="inlineStr">
        <is>
          <t>EUR</t>
        </is>
      </c>
      <c r="H43" s="14" t="n">
        <v>432.4</v>
      </c>
      <c r="I43" s="16" t="n">
        <v>199327.8</v>
      </c>
      <c r="J43" s="16" t="n">
        <v>199327.8</v>
      </c>
      <c r="K43" s="14" t="n"/>
      <c r="L43" s="14" t="n"/>
      <c r="M43" s="17">
        <f>IF(OR(F43="",K43="",K43&lt;=0),"",F43/K43)</f>
        <v/>
      </c>
      <c r="N43" s="18" t="n">
        <v>5.923071</v>
      </c>
      <c r="O43" s="19">
        <f>IF(OR(N43="",M43="",M43&lt;=0),"",N43/M43)</f>
        <v/>
      </c>
      <c r="P43" s="20" t="n"/>
      <c r="Q43" s="20" t="n"/>
      <c r="R43" s="20" t="n"/>
      <c r="S43" s="21" t="n">
        <v>0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2026-10-08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22.4</v>
      </c>
      <c r="G44" s="15" t="inlineStr">
        <is>
          <t>EUR</t>
        </is>
      </c>
      <c r="H44" s="14" t="n">
        <v>22.4</v>
      </c>
      <c r="I44" s="16" t="n">
        <v>3297.5</v>
      </c>
      <c r="J44" s="16" t="n">
        <v>3297.5</v>
      </c>
      <c r="K44" s="14" t="n">
        <v>-3.01</v>
      </c>
      <c r="L44" s="14" t="n">
        <v>0.2658</v>
      </c>
      <c r="M44" s="17">
        <f>IF(OR(F44="",K44="",K44&lt;=0),"",F44/K44)</f>
        <v/>
      </c>
      <c r="N44" s="18" t="n">
        <v>1.8038331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2026-10-08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77.58</v>
      </c>
      <c r="G2" s="15" t="inlineStr">
        <is>
          <t>EUR</t>
        </is>
      </c>
      <c r="H2" s="14" t="n">
        <v>77.58</v>
      </c>
      <c r="I2" s="16" t="n">
        <v>171255.9</v>
      </c>
      <c r="J2" s="16" t="n">
        <v>171255.9</v>
      </c>
      <c r="K2" s="14" t="n">
        <v>6.85</v>
      </c>
      <c r="L2" s="14" t="n">
        <v>9.683154</v>
      </c>
      <c r="M2" s="17">
        <f>IF(OR(F2="",K2="",K2&lt;=0),"",F2/K2)</f>
        <v/>
      </c>
      <c r="N2" s="18" t="n">
        <v>1.51255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2026-10-08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89.2</v>
      </c>
      <c r="G3" s="15" t="inlineStr">
        <is>
          <t>EUR</t>
        </is>
      </c>
      <c r="H3" s="14" t="n">
        <v>89.2</v>
      </c>
      <c r="I3" s="16" t="n">
        <v>97763.2</v>
      </c>
      <c r="J3" s="16" t="n">
        <v>97763.2</v>
      </c>
      <c r="K3" s="14" t="n">
        <v>11.23</v>
      </c>
      <c r="L3" s="14" t="n">
        <v>13.29371</v>
      </c>
      <c r="M3" s="17">
        <f>IF(OR(F3="",K3="",K3&lt;=0),"",F3/K3)</f>
        <v/>
      </c>
      <c r="N3" s="18" t="n">
        <v>0.8140171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106.95</v>
      </c>
      <c r="G4" s="15" t="inlineStr">
        <is>
          <t>EUR</t>
        </is>
      </c>
      <c r="H4" s="14" t="n">
        <v>106.95</v>
      </c>
      <c r="I4" s="16" t="n">
        <v>59074.7</v>
      </c>
      <c r="J4" s="16" t="n">
        <v>59074.7</v>
      </c>
      <c r="K4" s="14" t="n">
        <v>9.01</v>
      </c>
      <c r="L4" s="14" t="n">
        <v>10.05592</v>
      </c>
      <c r="M4" s="17">
        <f>IF(OR(F4="",K4="",K4&lt;=0),"",F4/K4)</f>
        <v/>
      </c>
      <c r="N4" s="18" t="n">
        <v>1.9374298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41.42</v>
      </c>
      <c r="G5" s="15" t="inlineStr">
        <is>
          <t>EUR</t>
        </is>
      </c>
      <c r="H5" s="14" t="n">
        <v>41.42</v>
      </c>
      <c r="I5" s="16" t="n">
        <v>86607.60000000001</v>
      </c>
      <c r="J5" s="16" t="n">
        <v>86607.60000000001</v>
      </c>
      <c r="K5" s="14" t="n">
        <v>3.71</v>
      </c>
      <c r="L5" s="14" t="n">
        <v>4.48165</v>
      </c>
      <c r="M5" s="17">
        <f>IF(OR(F5="",K5="",K5&lt;=0),"",F5/K5)</f>
        <v/>
      </c>
      <c r="N5" s="18" t="n">
        <v>1.8749716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69.95999999999999</v>
      </c>
      <c r="G6" s="15" t="inlineStr">
        <is>
          <t>EUR</t>
        </is>
      </c>
      <c r="H6" s="14" t="n">
        <v>69.95999999999999</v>
      </c>
      <c r="I6" s="16" t="n">
        <v>4067</v>
      </c>
      <c r="J6" s="16" t="n">
        <v>4067</v>
      </c>
      <c r="K6" s="14" t="n">
        <v>7.91</v>
      </c>
      <c r="L6" s="14" t="n">
        <v>14.20672</v>
      </c>
      <c r="M6" s="17">
        <f>IF(OR(F6="",K6="",K6&lt;=0),"",F6/K6)</f>
        <v/>
      </c>
      <c r="N6" s="18" t="n">
        <v>0.9699558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16.215</v>
      </c>
      <c r="G7" s="15" t="inlineStr">
        <is>
          <t>EUR</t>
        </is>
      </c>
      <c r="H7" s="14" t="n">
        <v>16.215</v>
      </c>
      <c r="I7" s="16" t="n">
        <v>49185.6</v>
      </c>
      <c r="J7" s="16" t="n">
        <v>49185.6</v>
      </c>
      <c r="K7" s="14" t="n">
        <v>1.98</v>
      </c>
      <c r="L7" s="14" t="n">
        <v>2.48866</v>
      </c>
      <c r="M7" s="17">
        <f>IF(OR(F7="",K7="",K7&lt;=0),"",F7/K7)</f>
        <v/>
      </c>
      <c r="N7" s="18" t="n">
        <v>0.6989224000000001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1.13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Saint-Gobain</t>
        </is>
      </c>
      <c r="C8" s="12" t="inlineStr">
        <is>
          <t>SGO.PA</t>
        </is>
      </c>
      <c r="D8" s="11" t="inlineStr">
        <is>
          <t>Materiali da costruzione</t>
        </is>
      </c>
      <c r="E8" s="13" t="inlineStr">
        <is>
          <t>Materiali</t>
        </is>
      </c>
      <c r="F8" s="14" t="n">
        <v>64.76000000000001</v>
      </c>
      <c r="G8" s="15" t="inlineStr">
        <is>
          <t>EUR</t>
        </is>
      </c>
      <c r="H8" s="14" t="n">
        <v>64.76000000000001</v>
      </c>
      <c r="I8" s="16" t="n">
        <v>31626.2</v>
      </c>
      <c r="J8" s="16" t="n">
        <v>31626.2</v>
      </c>
      <c r="K8" s="14" t="n">
        <v>5.39</v>
      </c>
      <c r="L8" s="14" t="n">
        <v>6.80623</v>
      </c>
      <c r="M8" s="17">
        <f>IF(OR(F8="",K8="",K8&lt;=0),"",F8/K8)</f>
        <v/>
      </c>
      <c r="N8" s="18" t="n">
        <v>1.247688</v>
      </c>
      <c r="O8" s="19">
        <f>IF(OR(N8="",M8="",M8&lt;=0),"",N8/M8)</f>
        <v/>
      </c>
      <c r="P8" s="20" t="n">
        <v>0.11038999</v>
      </c>
      <c r="Q8" s="20" t="n">
        <v>0.1193836987434596</v>
      </c>
      <c r="R8" s="20" t="n">
        <v>0.007575505655233246</v>
      </c>
      <c r="S8" s="21" t="n">
        <v>4</v>
      </c>
      <c r="T8" s="20" t="n"/>
      <c r="U8" s="20" t="n">
        <v>0.1174768754329489</v>
      </c>
      <c r="V8" s="20" t="n">
        <v>0.1131489954247066</v>
      </c>
      <c r="W8" s="20" t="n">
        <v>0.114682249817385</v>
      </c>
      <c r="X8" s="20" t="n">
        <v>0.1322266742987979</v>
      </c>
      <c r="Y8" s="14" t="n">
        <v>2.3</v>
      </c>
      <c r="Z8" s="19">
        <f>IF(OR(Y8="",F8="",F8=0),"",Y8/F8)</f>
        <v/>
      </c>
      <c r="AA8" s="22" t="n">
        <v>66.318</v>
      </c>
      <c r="AB8" s="20" t="n">
        <v>-0.011</v>
      </c>
      <c r="AC8" s="20" t="n">
        <v>0.0574618691564658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187.44</v>
      </c>
      <c r="G9" s="15" t="inlineStr">
        <is>
          <t>EUR</t>
        </is>
      </c>
      <c r="H9" s="14" t="n">
        <v>187.44</v>
      </c>
      <c r="I9" s="16" t="n">
        <v>148355.1</v>
      </c>
      <c r="J9" s="16" t="n">
        <v>148355.1</v>
      </c>
      <c r="K9" s="14" t="n">
        <v>7.51</v>
      </c>
      <c r="L9" s="14" t="n">
        <v>8.696669999999999</v>
      </c>
      <c r="M9" s="17">
        <f>IF(OR(F9="",K9="",K9&lt;=0),"",F9/K9)</f>
        <v/>
      </c>
      <c r="N9" s="18" t="n">
        <v>5.733688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2026-10-07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1262.5</v>
      </c>
      <c r="G10" s="15" t="inlineStr">
        <is>
          <t>EUR</t>
        </is>
      </c>
      <c r="H10" s="14" t="n">
        <v>1262.5</v>
      </c>
      <c r="I10" s="16" t="n">
        <v>132236.2</v>
      </c>
      <c r="J10" s="16" t="n">
        <v>132236.2</v>
      </c>
      <c r="K10" s="14" t="n">
        <v>43</v>
      </c>
      <c r="L10" s="14" t="n">
        <v>49.27967</v>
      </c>
      <c r="M10" s="17">
        <f>IF(OR(F10="",K10="",K10&lt;=0),"",F10/K10)</f>
        <v/>
      </c>
      <c r="N10" s="18" t="n">
        <v>6.9514036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Publicis Groupe</t>
        </is>
      </c>
      <c r="C11" s="12" t="inlineStr">
        <is>
          <t>PUB.PA</t>
        </is>
      </c>
      <c r="D11" s="11" t="inlineStr">
        <is>
          <t>Pubblicita'</t>
        </is>
      </c>
      <c r="E11" s="13" t="inlineStr">
        <is>
          <t>Consumi</t>
        </is>
      </c>
      <c r="F11" s="14" t="n">
        <v>95.28</v>
      </c>
      <c r="G11" s="15" t="inlineStr">
        <is>
          <t>EUR</t>
        </is>
      </c>
      <c r="H11" s="14" t="n">
        <v>95.28</v>
      </c>
      <c r="I11" s="16" t="n">
        <v>23793.4</v>
      </c>
      <c r="J11" s="16" t="n">
        <v>23793.4</v>
      </c>
      <c r="K11" s="14" t="n">
        <v>6.42</v>
      </c>
      <c r="L11" s="14" t="n">
        <v>8.547269999999999</v>
      </c>
      <c r="M11" s="17">
        <f>IF(OR(F11="",K11="",K11&lt;=0),"",F11/K11)</f>
        <v/>
      </c>
      <c r="N11" s="18" t="n">
        <v>2.2619472</v>
      </c>
      <c r="O11" s="19">
        <f>IF(OR(N11="",M11="",M11&lt;=0),"",N11/M11)</f>
        <v/>
      </c>
      <c r="P11" s="20" t="n">
        <v>0.16179001</v>
      </c>
      <c r="Q11" s="20" t="n">
        <v>0.1422971525426779</v>
      </c>
      <c r="R11" s="20" t="n">
        <v>0.01246907095352854</v>
      </c>
      <c r="S11" s="21" t="n">
        <v>4</v>
      </c>
      <c r="T11" s="20" t="n"/>
      <c r="U11" s="20" t="n">
        <v>0.1582272422705083</v>
      </c>
      <c r="V11" s="20" t="n">
        <v>0.1500904159132007</v>
      </c>
      <c r="W11" s="20" t="n">
        <v>0.1340416836943196</v>
      </c>
      <c r="X11" s="20" t="n">
        <v>0.1268292682926829</v>
      </c>
      <c r="Y11" s="14" t="n">
        <v>3.75</v>
      </c>
      <c r="Z11" s="19">
        <f>IF(OR(Y11="",F11="",F11=0),"",Y11/F11)</f>
        <v/>
      </c>
      <c r="AA11" s="22" t="n">
        <v>51.925</v>
      </c>
      <c r="AB11" s="20" t="n">
        <v>0.03</v>
      </c>
      <c r="AC11" s="20" t="n">
        <v>0.0932237484912926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16.15</v>
      </c>
      <c r="G12" s="15" t="inlineStr">
        <is>
          <t>EUR</t>
        </is>
      </c>
      <c r="H12" s="14" t="n">
        <v>16.15</v>
      </c>
      <c r="I12" s="16" t="n">
        <v>11428</v>
      </c>
      <c r="J12" s="16" t="n">
        <v>11428</v>
      </c>
      <c r="K12" s="14" t="n">
        <v>2.15</v>
      </c>
      <c r="L12" s="14" t="n">
        <v>1.87277</v>
      </c>
      <c r="M12" s="17">
        <f>IF(OR(F12="",K12="",K12&lt;=0),"",F12/K12)</f>
        <v/>
      </c>
      <c r="N12" s="18" t="n">
        <v>1.0326086</v>
      </c>
      <c r="O12" s="19">
        <f>IF(OR(N12="",M12="",M12&lt;=0),"",N12/M12)</f>
        <v/>
      </c>
      <c r="P12" s="20" t="n">
        <v>0.08428001</v>
      </c>
      <c r="Q12" s="20" t="n">
        <v>0.08428001</v>
      </c>
      <c r="R12" s="20" t="n"/>
      <c r="S12" s="21" t="n">
        <v>0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0.0088599995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LVMH</t>
        </is>
      </c>
      <c r="C13" s="12" t="inlineStr">
        <is>
          <t>MC.PA</t>
        </is>
      </c>
      <c r="D13" s="11" t="inlineStr">
        <is>
          <t>Lusso</t>
        </is>
      </c>
      <c r="E13" s="13" t="inlineStr">
        <is>
          <t>Consumi</t>
        </is>
      </c>
      <c r="F13" s="14" t="n">
        <v>380.9</v>
      </c>
      <c r="G13" s="15" t="inlineStr">
        <is>
          <t>EUR</t>
        </is>
      </c>
      <c r="H13" s="14" t="n">
        <v>380.9</v>
      </c>
      <c r="I13" s="16" t="n">
        <v>187770.5</v>
      </c>
      <c r="J13" s="16" t="n">
        <v>187770.5</v>
      </c>
      <c r="K13" s="14" t="n">
        <v>21.94</v>
      </c>
      <c r="L13" s="14" t="n">
        <v>24.61616</v>
      </c>
      <c r="M13" s="17">
        <f>IF(OR(F13="",K13="",K13&lt;=0),"",F13/K13)</f>
        <v/>
      </c>
      <c r="N13" s="18" t="n">
        <v>2.7582262</v>
      </c>
      <c r="O13" s="19">
        <f>IF(OR(N13="",M13="",M13&lt;=0),"",N13/M13)</f>
        <v/>
      </c>
      <c r="P13" s="20" t="n">
        <v>0.16586</v>
      </c>
      <c r="Q13" s="20" t="n">
        <v>0.2128358261370027</v>
      </c>
      <c r="R13" s="20" t="n">
        <v>0.04031392768938293</v>
      </c>
      <c r="S13" s="21" t="n">
        <v>4</v>
      </c>
      <c r="T13" s="20" t="n"/>
      <c r="U13" s="20" t="n">
        <v>0.1612224330092483</v>
      </c>
      <c r="V13" s="20" t="n">
        <v>0.1858791119273664</v>
      </c>
      <c r="W13" s="20" t="n">
        <v>0.2486847927626727</v>
      </c>
      <c r="X13" s="20" t="n">
        <v>0.2555569668487235</v>
      </c>
      <c r="Y13" s="14" t="n">
        <v>13</v>
      </c>
      <c r="Z13" s="19">
        <f>IF(OR(Y13="",F13="",F13=0),"",Y13/F13)</f>
        <v/>
      </c>
      <c r="AA13" s="22" t="n">
        <v>53.306</v>
      </c>
      <c r="AB13" s="20" t="n">
        <v>-0.029</v>
      </c>
      <c r="AC13" s="20" t="n">
        <v>0.1346046713774797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62.5</v>
      </c>
      <c r="G14" s="15" t="inlineStr">
        <is>
          <t>EUR</t>
        </is>
      </c>
      <c r="H14" s="14" t="n">
        <v>62.5</v>
      </c>
      <c r="I14" s="16" t="n">
        <v>45292.2</v>
      </c>
      <c r="J14" s="16" t="n">
        <v>45292.2</v>
      </c>
      <c r="K14" s="14" t="n">
        <v>7.79</v>
      </c>
      <c r="L14" s="14" t="n">
        <v>9.172470000000001</v>
      </c>
      <c r="M14" s="17">
        <f>IF(OR(F14="",K14="",K14&lt;=0),"",F14/K14)</f>
        <v/>
      </c>
      <c r="N14" s="18" t="n">
        <v>0.6378983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Pernod Ricard</t>
        </is>
      </c>
      <c r="C15" s="12" t="inlineStr">
        <is>
          <t>RI.PA</t>
        </is>
      </c>
      <c r="D15" s="11" t="inlineStr">
        <is>
          <t>Bevande</t>
        </is>
      </c>
      <c r="E15" s="13" t="inlineStr">
        <is>
          <t>Consumi</t>
        </is>
      </c>
      <c r="F15" s="14" t="n">
        <v>61.1</v>
      </c>
      <c r="G15" s="15" t="inlineStr">
        <is>
          <t>EUR</t>
        </is>
      </c>
      <c r="H15" s="14" t="n">
        <v>61.1</v>
      </c>
      <c r="I15" s="16" t="n">
        <v>15385.8</v>
      </c>
      <c r="J15" s="16" t="n">
        <v>15385.8</v>
      </c>
      <c r="K15" s="14" t="n">
        <v>4.77</v>
      </c>
      <c r="L15" s="14" t="n">
        <v>5.95827</v>
      </c>
      <c r="M15" s="17">
        <f>IF(OR(F15="",K15="",K15&lt;=0),"",F15/K15)</f>
        <v/>
      </c>
      <c r="N15" s="18" t="n">
        <v>0.9921086</v>
      </c>
      <c r="O15" s="19">
        <f>IF(OR(N15="",M15="",M15&lt;=0),"",N15/M15)</f>
        <v/>
      </c>
      <c r="P15" s="20" t="n">
        <v>0.07563</v>
      </c>
      <c r="Q15" s="20" t="n">
        <v>0.1055357582218678</v>
      </c>
      <c r="R15" s="20" t="n">
        <v>0.02446691744383145</v>
      </c>
      <c r="S15" s="21" t="n">
        <v>4</v>
      </c>
      <c r="T15" s="20" t="n">
        <v>0.07761290322580645</v>
      </c>
      <c r="U15" s="20" t="n">
        <v>0.1068892979226926</v>
      </c>
      <c r="V15" s="20" t="n">
        <v>0.09372023620547336</v>
      </c>
      <c r="W15" s="20" t="n">
        <v>0.1439205955334988</v>
      </c>
      <c r="X15" s="20" t="n">
        <v>0.1251881585549423</v>
      </c>
      <c r="Y15" s="14" t="n">
        <v>4.7</v>
      </c>
      <c r="Z15" s="19">
        <f>IF(OR(Y15="",F15="",F15=0),"",Y15/F15)</f>
        <v/>
      </c>
      <c r="AA15" s="22" t="n">
        <v>76.64400000000001</v>
      </c>
      <c r="AB15" s="20" t="n">
        <v>-0.132</v>
      </c>
      <c r="AC15" s="20" t="n">
        <v>0.1279378989684143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2026-10-08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138</v>
      </c>
      <c r="G16" s="15" t="inlineStr">
        <is>
          <t>EUR</t>
        </is>
      </c>
      <c r="H16" s="14" t="n">
        <v>138</v>
      </c>
      <c r="I16" s="16" t="n">
        <v>36171.7</v>
      </c>
      <c r="J16" s="16" t="n">
        <v>36171.7</v>
      </c>
      <c r="K16" s="14" t="n">
        <v>4.97</v>
      </c>
      <c r="L16" s="14" t="n">
        <v>6.86233</v>
      </c>
      <c r="M16" s="17">
        <f>IF(OR(F16="",K16="",K16&lt;=0),"",F16/K16)</f>
        <v/>
      </c>
      <c r="N16" s="18" t="n">
        <v>4.8272004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Capgemini</t>
        </is>
      </c>
      <c r="C17" s="12" t="inlineStr">
        <is>
          <t>CAP.PA</t>
        </is>
      </c>
      <c r="D17" s="11" t="inlineStr">
        <is>
          <t>Servizi IT</t>
        </is>
      </c>
      <c r="E17" s="13" t="inlineStr">
        <is>
          <t>Tecnologia</t>
        </is>
      </c>
      <c r="F17" s="14" t="n">
        <v>110.85</v>
      </c>
      <c r="G17" s="15" t="inlineStr">
        <is>
          <t>EUR</t>
        </is>
      </c>
      <c r="H17" s="14" t="n">
        <v>110.85</v>
      </c>
      <c r="I17" s="16" t="n">
        <v>18401.3</v>
      </c>
      <c r="J17" s="16" t="n">
        <v>18401.3</v>
      </c>
      <c r="K17" s="14" t="n">
        <v>7.87</v>
      </c>
      <c r="L17" s="14" t="n">
        <v>13.80407</v>
      </c>
      <c r="M17" s="17">
        <f>IF(OR(F17="",K17="",K17&lt;=0),"",F17/K17)</f>
        <v/>
      </c>
      <c r="N17" s="18" t="n">
        <v>1.6065682</v>
      </c>
      <c r="O17" s="19">
        <f>IF(OR(N17="",M17="",M17&lt;=0),"",N17/M17)</f>
        <v/>
      </c>
      <c r="P17" s="20" t="n">
        <v>0.12202</v>
      </c>
      <c r="Q17" s="20" t="n">
        <v>0.12202</v>
      </c>
      <c r="R17" s="20" t="n"/>
      <c r="S17" s="21" t="n">
        <v>0</v>
      </c>
      <c r="T17" s="20" t="n"/>
      <c r="U17" s="20" t="n">
        <v>0.137448489010989</v>
      </c>
      <c r="V17" s="20" t="n">
        <v>0.1419108280254777</v>
      </c>
      <c r="W17" s="20" t="n">
        <v>0.1590778649320834</v>
      </c>
      <c r="X17" s="20" t="n">
        <v>0.1590418422946438</v>
      </c>
      <c r="Y17" s="14" t="n">
        <v>3.4</v>
      </c>
      <c r="Z17" s="19">
        <f>IF(OR(Y17="",F17="",F17=0),"",Y17/F17)</f>
        <v/>
      </c>
      <c r="AA17" s="22" t="n">
        <v>87.509</v>
      </c>
      <c r="AB17" s="20" t="n">
        <v>0.08799999999999999</v>
      </c>
      <c r="AC17" s="20" t="n">
        <v>0.05866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374.05</v>
      </c>
      <c r="G18" s="15" t="inlineStr">
        <is>
          <t>EUR</t>
        </is>
      </c>
      <c r="H18" s="14" t="n">
        <v>374.05</v>
      </c>
      <c r="I18" s="16" t="n">
        <v>199143.9</v>
      </c>
      <c r="J18" s="16" t="n">
        <v>199143.9</v>
      </c>
      <c r="K18" s="14" t="n">
        <v>11.78</v>
      </c>
      <c r="L18" s="14" t="n">
        <v>14.92794</v>
      </c>
      <c r="M18" s="17">
        <f>IF(OR(F18="",K18="",K18&lt;=0),"",F18/K18)</f>
        <v/>
      </c>
      <c r="N18" s="18" t="n">
        <v>5.8847127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26.04</v>
      </c>
      <c r="G19" s="15" t="inlineStr">
        <is>
          <t>EUR</t>
        </is>
      </c>
      <c r="H19" s="14" t="n">
        <v>26.04</v>
      </c>
      <c r="I19" s="16" t="n">
        <v>7535.3</v>
      </c>
      <c r="J19" s="16" t="n">
        <v>7535.3</v>
      </c>
      <c r="K19" s="14" t="n">
        <v>3.27</v>
      </c>
      <c r="L19" s="14" t="n">
        <v>6.68637</v>
      </c>
      <c r="M19" s="17">
        <f>IF(OR(F19="",K19="",K19&lt;=0),"",F19/K19)</f>
        <v/>
      </c>
      <c r="N19" s="18" t="n">
        <v>0.36729857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215.7</v>
      </c>
      <c r="G20" s="15" t="inlineStr">
        <is>
          <t>EUR</t>
        </is>
      </c>
      <c r="H20" s="14" t="n">
        <v>215.7</v>
      </c>
      <c r="I20" s="16" t="n">
        <v>44360.4</v>
      </c>
      <c r="J20" s="16" t="n">
        <v>44360.4</v>
      </c>
      <c r="K20" s="14" t="n">
        <v>7.26</v>
      </c>
      <c r="L20" s="14" t="n">
        <v>12.39466</v>
      </c>
      <c r="M20" s="17">
        <f>IF(OR(F20="",K20="",K20&lt;=0),"",F20/K20)</f>
        <v/>
      </c>
      <c r="N20" s="18" t="n">
        <v>5.5350266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2026-10-08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261.1</v>
      </c>
      <c r="G21" s="15" t="inlineStr">
        <is>
          <t>EUR</t>
        </is>
      </c>
      <c r="H21" s="14" t="n">
        <v>261.1</v>
      </c>
      <c r="I21" s="16" t="n">
        <v>147077.9</v>
      </c>
      <c r="J21" s="16" t="n">
        <v>147077.9</v>
      </c>
      <c r="K21" s="14" t="n">
        <v>8.32</v>
      </c>
      <c r="L21" s="14" t="n">
        <v>12.35489</v>
      </c>
      <c r="M21" s="17">
        <f>IF(OR(F21="",K21="",K21&lt;=0),"",F21/K21)</f>
        <v/>
      </c>
      <c r="N21" s="18" t="n">
        <v>6.0018854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14.225</v>
      </c>
      <c r="G22" s="15" t="inlineStr">
        <is>
          <t>EUR</t>
        </is>
      </c>
      <c r="H22" s="14" t="n">
        <v>14.225</v>
      </c>
      <c r="I22" s="16" t="n">
        <v>37806.8</v>
      </c>
      <c r="J22" s="16" t="n">
        <v>37806.8</v>
      </c>
      <c r="K22" s="14" t="n">
        <v>1.07</v>
      </c>
      <c r="L22" s="14" t="n">
        <v>1.1465</v>
      </c>
      <c r="M22" s="17">
        <f>IF(OR(F22="",K22="",K22&lt;=0),"",F22/K22)</f>
        <v/>
      </c>
      <c r="N22" s="18" t="n">
        <v>1.1879907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2026-10-08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85.98</v>
      </c>
      <c r="G23" s="15" t="inlineStr">
        <is>
          <t>EUR</t>
        </is>
      </c>
      <c r="H23" s="14" t="n">
        <v>85.98</v>
      </c>
      <c r="I23" s="16" t="n">
        <v>12426</v>
      </c>
      <c r="J23" s="16" t="n">
        <v>12426</v>
      </c>
      <c r="K23" s="14" t="n">
        <v>10.8</v>
      </c>
      <c r="L23" s="14" t="n">
        <v>9.4032</v>
      </c>
      <c r="M23" s="17">
        <f>IF(OR(F23="",K23="",K23&lt;=0),"",F23/K23)</f>
        <v/>
      </c>
      <c r="N23" s="18" t="n">
        <v>0.7566198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2026-10-08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21.59</v>
      </c>
      <c r="G24" s="15" t="inlineStr">
        <is>
          <t>EUR</t>
        </is>
      </c>
      <c r="H24" s="14" t="n">
        <v>21.59</v>
      </c>
      <c r="I24" s="16" t="n">
        <v>28370.4</v>
      </c>
      <c r="J24" s="16" t="n">
        <v>28370.4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3.067633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2026-10-08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70.93000000000001</v>
      </c>
      <c r="G25" s="15" t="inlineStr">
        <is>
          <t>EUR</t>
        </is>
      </c>
      <c r="H25" s="14" t="n">
        <v>70.93000000000001</v>
      </c>
      <c r="I25" s="16" t="n">
        <v>84979</v>
      </c>
      <c r="J25" s="16" t="n">
        <v>84979</v>
      </c>
      <c r="K25" s="14" t="n">
        <v>3.25</v>
      </c>
      <c r="L25" s="14" t="n">
        <v>9.04716</v>
      </c>
      <c r="M25" s="17">
        <f>IF(OR(F25="",K25="",K25&lt;=0),"",F25/K25)</f>
        <v/>
      </c>
      <c r="N25" s="18" t="n">
        <v>1.2279062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2026-10-08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22.71</v>
      </c>
      <c r="G26" s="15" t="inlineStr">
        <is>
          <t>EUR</t>
        </is>
      </c>
      <c r="H26" s="14" t="n">
        <v>22.71</v>
      </c>
      <c r="I26" s="16" t="n">
        <v>57697.2</v>
      </c>
      <c r="J26" s="16" t="n">
        <v>57697.2</v>
      </c>
      <c r="K26" s="14" t="n">
        <v>1.63</v>
      </c>
      <c r="L26" s="14" t="n">
        <v>2.11061</v>
      </c>
      <c r="M26" s="17">
        <f>IF(OR(F26="",K26="",K26&lt;=0),"",F26/K26)</f>
        <v/>
      </c>
      <c r="N26" s="18" t="n">
        <v>1.692881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2026-10-08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Veolia Environnement</t>
        </is>
      </c>
      <c r="C27" s="12" t="inlineStr">
        <is>
          <t>VIE.PA</t>
        </is>
      </c>
      <c r="D27" s="11" t="inlineStr">
        <is>
          <t>Servizi ambientali</t>
        </is>
      </c>
      <c r="E27" s="13" t="inlineStr">
        <is>
          <t>Utility</t>
        </is>
      </c>
      <c r="F27" s="14" t="n">
        <v>30.89</v>
      </c>
      <c r="G27" s="15" t="inlineStr">
        <is>
          <t>EUR</t>
        </is>
      </c>
      <c r="H27" s="14" t="n">
        <v>30.89</v>
      </c>
      <c r="I27" s="16" t="n">
        <v>22922.4</v>
      </c>
      <c r="J27" s="16" t="n">
        <v>22922.4</v>
      </c>
      <c r="K27" s="14" t="n">
        <v>1.72</v>
      </c>
      <c r="L27" s="14" t="n">
        <v>2.62209</v>
      </c>
      <c r="M27" s="17">
        <f>IF(OR(F27="",K27="",K27&lt;=0),"",F27/K27)</f>
        <v/>
      </c>
      <c r="N27" s="18" t="n">
        <v>2.3064287</v>
      </c>
      <c r="O27" s="19">
        <f>IF(OR(N27="",M27="",M27&lt;=0),"",N27/M27)</f>
        <v/>
      </c>
      <c r="P27" s="20" t="n">
        <v>0.13434</v>
      </c>
      <c r="Q27" s="20" t="n">
        <v>0.0829168956244568</v>
      </c>
      <c r="R27" s="20" t="n">
        <v>0.0193846987479301</v>
      </c>
      <c r="S27" s="21" t="n">
        <v>4</v>
      </c>
      <c r="T27" s="20" t="n"/>
      <c r="U27" s="20" t="n">
        <v>0.1121142330723169</v>
      </c>
      <c r="V27" s="20" t="n">
        <v>0.08501742160278745</v>
      </c>
      <c r="W27" s="20" t="n">
        <v>0.07611079522378361</v>
      </c>
      <c r="X27" s="20" t="n">
        <v>0.05842513259893921</v>
      </c>
      <c r="Y27" s="14" t="n">
        <v>1.5</v>
      </c>
      <c r="Z27" s="19">
        <f>IF(OR(Y27="",F27="",F27=0),"",Y27/F27)</f>
        <v/>
      </c>
      <c r="AA27" s="22" t="n">
        <v>250.259</v>
      </c>
      <c r="AB27" s="20" t="n">
        <v>0.007</v>
      </c>
      <c r="AC27" s="20" t="n">
        <v>0.02824578790882061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2026-10-08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143</v>
      </c>
      <c r="G28" s="15" t="inlineStr">
        <is>
          <t>EUR</t>
        </is>
      </c>
      <c r="H28" s="14" t="n">
        <v>143</v>
      </c>
      <c r="I28" s="16" t="n">
        <v>65598.2</v>
      </c>
      <c r="J28" s="16" t="n">
        <v>65598.2</v>
      </c>
      <c r="K28" s="14" t="n">
        <v>5.35</v>
      </c>
      <c r="L28" s="14" t="n">
        <v>7.88735</v>
      </c>
      <c r="M28" s="17">
        <f>IF(OR(F28="",K28="",K28&lt;=0),"",F28/K28)</f>
        <v/>
      </c>
      <c r="N28" s="18" t="n">
        <v>1.6758467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2026-10-08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Air Liquide</t>
        </is>
      </c>
      <c r="C29" s="12" t="inlineStr">
        <is>
          <t>AI.PA</t>
        </is>
      </c>
      <c r="D29" s="11" t="inlineStr">
        <is>
          <t>Gas industriali</t>
        </is>
      </c>
      <c r="E29" s="13" t="inlineStr">
        <is>
          <t>Materiali</t>
        </is>
      </c>
      <c r="F29" s="14" t="n">
        <v>167.94</v>
      </c>
      <c r="G29" s="15" t="inlineStr">
        <is>
          <t>EUR</t>
        </is>
      </c>
      <c r="H29" s="14" t="n">
        <v>167.94</v>
      </c>
      <c r="I29" s="16" t="n">
        <v>107173.3</v>
      </c>
      <c r="J29" s="16" t="n">
        <v>107173.3</v>
      </c>
      <c r="K29" s="14" t="n">
        <v>5.55</v>
      </c>
      <c r="L29" s="14" t="n">
        <v>7.15508</v>
      </c>
      <c r="M29" s="17">
        <f>IF(OR(F29="",K29="",K29&lt;=0),"",F29/K29)</f>
        <v/>
      </c>
      <c r="N29" s="18" t="n">
        <v>4.030915</v>
      </c>
      <c r="O29" s="19">
        <f>IF(OR(N29="",M29="",M29&lt;=0),"",N29/M29)</f>
        <v/>
      </c>
      <c r="P29" s="20" t="n">
        <v>0.13967</v>
      </c>
      <c r="Q29" s="20" t="n">
        <v>0.13967</v>
      </c>
      <c r="R29" s="20" t="n"/>
      <c r="S29" s="21" t="n">
        <v>0</v>
      </c>
      <c r="T29" s="20" t="n"/>
      <c r="U29" s="20" t="n">
        <v>0.1341997947653726</v>
      </c>
      <c r="V29" s="20" t="n">
        <v>0.1230863737900223</v>
      </c>
      <c r="W29" s="20" t="n">
        <v>0.1265546944061838</v>
      </c>
      <c r="X29" s="20" t="n">
        <v>0.1162265549957028</v>
      </c>
      <c r="Y29" s="14" t="n">
        <v>3.36</v>
      </c>
      <c r="Z29" s="19">
        <f>IF(OR(Y29="",F29="",F29=0),"",Y29/F29)</f>
        <v/>
      </c>
      <c r="AA29" s="22" t="n">
        <v>63.307</v>
      </c>
      <c r="AB29" s="20" t="n">
        <v>0.008</v>
      </c>
      <c r="AC29" s="20" t="n">
        <v>0.13087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2026-10-08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75.7</v>
      </c>
      <c r="G30" s="15" t="inlineStr">
        <is>
          <t>EUR</t>
        </is>
      </c>
      <c r="H30" s="14" t="n">
        <v>75.7</v>
      </c>
      <c r="I30" s="16" t="n">
        <v>12953.2</v>
      </c>
      <c r="J30" s="16" t="n">
        <v>12953.2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3.629999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2026-10-08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59.28</v>
      </c>
      <c r="G31" s="15" t="inlineStr">
        <is>
          <t>EUR</t>
        </is>
      </c>
      <c r="H31" s="14" t="n">
        <v>59.28</v>
      </c>
      <c r="I31" s="16" t="n">
        <v>38182</v>
      </c>
      <c r="J31" s="16" t="n">
        <v>38182</v>
      </c>
      <c r="K31" s="14" t="n">
        <v>3.02</v>
      </c>
      <c r="L31" s="14" t="n">
        <v>4.2282</v>
      </c>
      <c r="M31" s="17">
        <f>IF(OR(F31="",K31="",K31&lt;=0),"",F31/K31)</f>
        <v/>
      </c>
      <c r="N31" s="18" t="n">
        <v>2.1656377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2026-10-08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310.8</v>
      </c>
      <c r="G32" s="15" t="inlineStr">
        <is>
          <t>EUR</t>
        </is>
      </c>
      <c r="H32" s="14" t="n">
        <v>310.8</v>
      </c>
      <c r="I32" s="16" t="n">
        <v>128788</v>
      </c>
      <c r="J32" s="16" t="n">
        <v>128788</v>
      </c>
      <c r="K32" s="14" t="n">
        <v>9.31</v>
      </c>
      <c r="L32" s="14" t="n">
        <v>12.93614</v>
      </c>
      <c r="M32" s="17">
        <f>IF(OR(F32="",K32="",K32&lt;=0),"",F32/K32)</f>
        <v/>
      </c>
      <c r="N32" s="18" t="n">
        <v>8.878731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2026-10-08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27.66</v>
      </c>
      <c r="G33" s="15" t="inlineStr">
        <is>
          <t>EUR</t>
        </is>
      </c>
      <c r="H33" s="14" t="n">
        <v>27.66</v>
      </c>
      <c r="I33" s="16" t="n">
        <v>6336.7</v>
      </c>
      <c r="J33" s="16" t="n">
        <v>6336.7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-6.4944825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2026-10-08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206.55</v>
      </c>
      <c r="G34" s="15" t="inlineStr">
        <is>
          <t>EUR</t>
        </is>
      </c>
      <c r="H34" s="14" t="n">
        <v>206.55</v>
      </c>
      <c r="I34" s="16" t="n">
        <v>25326.8</v>
      </c>
      <c r="J34" s="16" t="n">
        <v>25326.8</v>
      </c>
      <c r="K34" s="14" t="n">
        <v>-2.98</v>
      </c>
      <c r="L34" s="14" t="n">
        <v>9.73516</v>
      </c>
      <c r="M34" s="17">
        <f>IF(OR(F34="",K34="",K34&lt;=0),"",F34/K34)</f>
        <v/>
      </c>
      <c r="N34" s="18" t="n">
        <v>1.7488527</v>
      </c>
      <c r="O34" s="19">
        <f>IF(OR(N34="",M34="",M34&lt;=0),"",N34/M34)</f>
        <v/>
      </c>
      <c r="P34" s="20" t="n">
        <v>-0.01601</v>
      </c>
      <c r="Q34" s="20" t="n">
        <v>-0.01601</v>
      </c>
      <c r="R34" s="20" t="n"/>
      <c r="S34" s="21" t="n">
        <v>0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2026-10-08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33.08</v>
      </c>
      <c r="G35" s="15" t="inlineStr">
        <is>
          <t>EUR</t>
        </is>
      </c>
      <c r="H35" s="14" t="n">
        <v>33.08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0.39440113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2026-10-08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10.214</v>
      </c>
      <c r="G36" s="15" t="inlineStr">
        <is>
          <t>EUR</t>
        </is>
      </c>
      <c r="H36" s="14" t="n">
        <v>10.214</v>
      </c>
      <c r="I36" s="16" t="n">
        <v>577.7</v>
      </c>
      <c r="J36" s="16" t="n">
        <v>577.7</v>
      </c>
      <c r="K36" s="14" t="n">
        <v>-37.13</v>
      </c>
      <c r="L36" s="14" t="n">
        <v>3.40679</v>
      </c>
      <c r="M36" s="17">
        <f>IF(OR(F36="",K36="",K36&lt;=0),"",F36/K36)</f>
        <v/>
      </c>
      <c r="N36" s="18" t="n">
        <v>0.15498066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2026-10-08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34.855</v>
      </c>
      <c r="G2" s="15" t="inlineStr">
        <is>
          <t>EUR</t>
        </is>
      </c>
      <c r="H2" s="14" t="n">
        <v>34.855</v>
      </c>
      <c r="I2" s="16" t="n">
        <v>72845.39999999999</v>
      </c>
      <c r="J2" s="16" t="n">
        <v>72845.39999999999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1.611722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2026-10-08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71.78</v>
      </c>
      <c r="G3" s="15" t="inlineStr">
        <is>
          <t>EUR</t>
        </is>
      </c>
      <c r="H3" s="14" t="n">
        <v>71.78</v>
      </c>
      <c r="I3" s="16" t="n">
        <v>15966.5</v>
      </c>
      <c r="J3" s="16" t="n">
        <v>15966.5</v>
      </c>
      <c r="K3" s="14" t="n">
        <v>5.85</v>
      </c>
      <c r="L3" s="14" t="n">
        <v>6.18056</v>
      </c>
      <c r="M3" s="17">
        <f>IF(OR(F3="",K3="",K3&lt;=0),"",F3/K3)</f>
        <v/>
      </c>
      <c r="N3" s="18" t="n">
        <v>17.045832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179.9</v>
      </c>
      <c r="G4" s="15" t="inlineStr">
        <is>
          <t>EUR</t>
        </is>
      </c>
      <c r="H4" s="14" t="n">
        <v>179.9</v>
      </c>
      <c r="I4" s="16" t="n">
        <v>14233.9</v>
      </c>
      <c r="J4" s="16" t="n">
        <v>14233.9</v>
      </c>
      <c r="K4" s="14" t="n">
        <v>2.62</v>
      </c>
      <c r="L4" s="14" t="n">
        <v>6.58916</v>
      </c>
      <c r="M4" s="17">
        <f>IF(OR(F4="",K4="",K4&lt;=0),"",F4/K4)</f>
        <v/>
      </c>
      <c r="N4" s="18" t="n">
        <v>25.363033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1630.6</v>
      </c>
      <c r="G5" s="15" t="inlineStr">
        <is>
          <t>EUR</t>
        </is>
      </c>
      <c r="H5" s="14" t="n">
        <v>1630.6</v>
      </c>
      <c r="I5" s="16" t="n">
        <v>626313.5</v>
      </c>
      <c r="J5" s="16" t="n">
        <v>626313.5</v>
      </c>
      <c r="K5" s="14" t="n">
        <v>26.41</v>
      </c>
      <c r="L5" s="14" t="n">
        <v>51.92357</v>
      </c>
      <c r="M5" s="17">
        <f>IF(OR(F5="",K5="",K5&lt;=0),"",F5/K5)</f>
        <v/>
      </c>
      <c r="N5" s="18" t="n">
        <v>28.696632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29.425</v>
      </c>
      <c r="G6" s="15" t="inlineStr">
        <is>
          <t>EUR</t>
        </is>
      </c>
      <c r="H6" s="14" t="n">
        <v>29.425</v>
      </c>
      <c r="I6" s="16" t="n">
        <v>83711.89999999999</v>
      </c>
      <c r="J6" s="16" t="n">
        <v>83711.89999999999</v>
      </c>
      <c r="K6" s="14" t="n">
        <v>2.29</v>
      </c>
      <c r="L6" s="14" t="n">
        <v>2.91551</v>
      </c>
      <c r="M6" s="17">
        <f>IF(OR(F6="",K6="",K6&lt;=0),"",F6/K6)</f>
        <v/>
      </c>
      <c r="N6" s="18" t="n">
        <v>1.6747296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Ahold Delhaize</t>
        </is>
      </c>
      <c r="C7" s="12" t="inlineStr">
        <is>
          <t>AD.AS</t>
        </is>
      </c>
      <c r="D7" s="11" t="inlineStr">
        <is>
          <t>Grande distribuzione</t>
        </is>
      </c>
      <c r="E7" s="13" t="inlineStr">
        <is>
          <t>Consumi</t>
        </is>
      </c>
      <c r="F7" s="14" t="n">
        <v>32.13</v>
      </c>
      <c r="G7" s="15" t="inlineStr">
        <is>
          <t>EUR</t>
        </is>
      </c>
      <c r="H7" s="14" t="n">
        <v>32.13</v>
      </c>
      <c r="I7" s="16" t="n">
        <v>28049.9</v>
      </c>
      <c r="J7" s="16" t="n">
        <v>28049.9</v>
      </c>
      <c r="K7" s="14" t="n">
        <v>2.52</v>
      </c>
      <c r="L7" s="14" t="n">
        <v>2.91782</v>
      </c>
      <c r="M7" s="17">
        <f>IF(OR(F7="",K7="",K7&lt;=0),"",F7/K7)</f>
        <v/>
      </c>
      <c r="N7" s="18" t="n">
        <v>1.9435036</v>
      </c>
      <c r="O7" s="19">
        <f>IF(OR(N7="",M7="",M7&lt;=0),"",N7/M7)</f>
        <v/>
      </c>
      <c r="P7" s="20" t="n">
        <v>0.15675999</v>
      </c>
      <c r="Q7" s="20" t="n">
        <v>0.1414791985361369</v>
      </c>
      <c r="R7" s="20" t="n">
        <v>0.02148899954676945</v>
      </c>
      <c r="S7" s="21" t="n">
        <v>4</v>
      </c>
      <c r="T7" s="20" t="n"/>
      <c r="U7" s="20" t="n">
        <v>0.1594927791475872</v>
      </c>
      <c r="V7" s="20" t="n">
        <v>0.1141452051248868</v>
      </c>
      <c r="W7" s="20" t="n">
        <v>0.1270077939681464</v>
      </c>
      <c r="X7" s="20" t="n">
        <v>0.1652710159039273</v>
      </c>
      <c r="Y7" s="14" t="n">
        <v>1.24</v>
      </c>
      <c r="Z7" s="19">
        <f>IF(OR(Y7="",F7="",F7=0),"",Y7/F7)</f>
        <v/>
      </c>
      <c r="AA7" s="22" t="n">
        <v>133.34</v>
      </c>
      <c r="AB7" s="20" t="n">
        <v>0.003</v>
      </c>
      <c r="AC7" s="20" t="n">
        <v>0.02423336936936937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ABN AMRO</t>
        </is>
      </c>
      <c r="C8" s="12" t="inlineStr">
        <is>
          <t>ABN.AS</t>
        </is>
      </c>
      <c r="D8" s="11" t="inlineStr">
        <is>
          <t>Banca</t>
        </is>
      </c>
      <c r="E8" s="13" t="inlineStr">
        <is>
          <t>Finanziario</t>
        </is>
      </c>
      <c r="F8" s="14" t="n">
        <v>39.85</v>
      </c>
      <c r="G8" s="15" t="inlineStr">
        <is>
          <t>EUR</t>
        </is>
      </c>
      <c r="H8" s="14" t="n">
        <v>39.85</v>
      </c>
      <c r="I8" s="16" t="n">
        <v>32475.2</v>
      </c>
      <c r="J8" s="16" t="n">
        <v>32475.2</v>
      </c>
      <c r="K8" s="14" t="n">
        <v>2.78</v>
      </c>
      <c r="L8" s="14" t="n">
        <v>3.74276</v>
      </c>
      <c r="M8" s="17">
        <f>IF(OR(F8="",K8="",K8&lt;=0),"",F8/K8)</f>
        <v/>
      </c>
      <c r="N8" s="18" t="n">
        <v>1.1879919</v>
      </c>
      <c r="O8" s="19">
        <f>IF(OR(N8="",M8="",M8&lt;=0),"",N8/M8)</f>
        <v/>
      </c>
      <c r="P8" s="20" t="n">
        <v>0.0912</v>
      </c>
      <c r="Q8" s="20" t="n">
        <v>0.09219355240720387</v>
      </c>
      <c r="R8" s="20" t="n">
        <v>0.01186740445601576</v>
      </c>
      <c r="S8" s="21" t="n">
        <v>4</v>
      </c>
      <c r="T8" s="20" t="n"/>
      <c r="U8" s="20" t="n">
        <v>0.08328402366863906</v>
      </c>
      <c r="V8" s="20" t="n">
        <v>0.09204780510227534</v>
      </c>
      <c r="W8" s="20" t="n">
        <v>0.1116030787056195</v>
      </c>
      <c r="X8" s="20" t="n">
        <v>0.08183930215228159</v>
      </c>
      <c r="Y8" s="14" t="n">
        <v>1.38</v>
      </c>
      <c r="Z8" s="19">
        <f>IF(OR(Y8="",F8="",F8=0),"",Y8/F8)</f>
        <v/>
      </c>
      <c r="AA8" s="22" t="n"/>
      <c r="AB8" s="20" t="n">
        <v>0.118</v>
      </c>
      <c r="AC8" s="20" t="n">
        <v>0.2616811653687586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Universal Music Group</t>
        </is>
      </c>
      <c r="C9" s="12" t="inlineStr">
        <is>
          <t>UMG.AS</t>
        </is>
      </c>
      <c r="D9" s="11" t="inlineStr">
        <is>
          <t>Musica / Media</t>
        </is>
      </c>
      <c r="E9" s="13" t="inlineStr">
        <is>
          <t>Consumi</t>
        </is>
      </c>
      <c r="F9" s="14" t="n">
        <v>14.68</v>
      </c>
      <c r="G9" s="15" t="inlineStr">
        <is>
          <t>EUR</t>
        </is>
      </c>
      <c r="H9" s="14" t="n">
        <v>14.68</v>
      </c>
      <c r="I9" s="16" t="n">
        <v>26397.7</v>
      </c>
      <c r="J9" s="16" t="n">
        <v>26397.7</v>
      </c>
      <c r="K9" s="14" t="n">
        <v>0.18</v>
      </c>
      <c r="L9" s="14" t="n">
        <v>1.08965</v>
      </c>
      <c r="M9" s="17">
        <f>IF(OR(F9="",K9="",K9&lt;=0),"",F9/K9)</f>
        <v/>
      </c>
      <c r="N9" s="18" t="n">
        <v>7.34</v>
      </c>
      <c r="O9" s="19">
        <f>IF(OR(N9="",M9="",M9&lt;=0),"",N9/M9)</f>
        <v/>
      </c>
      <c r="P9" s="20" t="n">
        <v>0.076680005</v>
      </c>
      <c r="Q9" s="20" t="n">
        <v>0.3890024739536239</v>
      </c>
      <c r="R9" s="20" t="n">
        <v>0.05546307097014871</v>
      </c>
      <c r="S9" s="21" t="n">
        <v>4</v>
      </c>
      <c r="T9" s="20" t="n"/>
      <c r="U9" s="20" t="n">
        <v>0.337442218798151</v>
      </c>
      <c r="V9" s="20" t="n">
        <v>0.4608926204153778</v>
      </c>
      <c r="W9" s="20" t="n">
        <v>0.425050641458474</v>
      </c>
      <c r="X9" s="20" t="n">
        <v>0.3326244151424926</v>
      </c>
      <c r="Y9" s="14" t="n">
        <v>0.52</v>
      </c>
      <c r="Z9" s="19">
        <f>IF(OR(Y9="",F9="",F9=0),"",Y9/F9)</f>
        <v/>
      </c>
      <c r="AA9" s="22" t="n">
        <v>152.303</v>
      </c>
      <c r="AB9" s="20" t="n">
        <v>0.053</v>
      </c>
      <c r="AC9" s="20" t="n">
        <v>0.02582553769888862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2026-10-08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NN Group</t>
        </is>
      </c>
      <c r="C10" s="12" t="inlineStr">
        <is>
          <t>NN.AS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75.28</v>
      </c>
      <c r="G10" s="15" t="inlineStr">
        <is>
          <t>EUR</t>
        </is>
      </c>
      <c r="H10" s="14" t="n">
        <v>75.28</v>
      </c>
      <c r="I10" s="16" t="n">
        <v>19575.7</v>
      </c>
      <c r="J10" s="16" t="n">
        <v>19575.7</v>
      </c>
      <c r="K10" s="14" t="n">
        <v>6.78</v>
      </c>
      <c r="L10" s="14" t="n">
        <v>8.888450000000001</v>
      </c>
      <c r="M10" s="17">
        <f>IF(OR(F10="",K10="",K10&lt;=0),"",F10/K10)</f>
        <v/>
      </c>
      <c r="N10" s="18" t="n">
        <v>0.9375895</v>
      </c>
      <c r="O10" s="19">
        <f>IF(OR(N10="",M10="",M10&lt;=0),"",N10/M10)</f>
        <v/>
      </c>
      <c r="P10" s="20" t="n">
        <v>0.08754000000000001</v>
      </c>
      <c r="Q10" s="20" t="n">
        <v>0.06580242932014836</v>
      </c>
      <c r="R10" s="20" t="n">
        <v>0.009869385546071139</v>
      </c>
      <c r="S10" s="21" t="n">
        <v>4</v>
      </c>
      <c r="T10" s="20" t="n"/>
      <c r="U10" s="20" t="n">
        <v>0.05640489981958029</v>
      </c>
      <c r="V10" s="20" t="n">
        <v>0.07339917466499744</v>
      </c>
      <c r="W10" s="20" t="n">
        <v>0.05570342205323194</v>
      </c>
      <c r="X10" s="20" t="n">
        <v>0.07770222074278378</v>
      </c>
      <c r="Y10" s="14" t="n">
        <v>4.05</v>
      </c>
      <c r="Z10" s="19">
        <f>IF(OR(Y10="",F10="",F10=0),"",Y10/F10)</f>
        <v/>
      </c>
      <c r="AA10" s="22" t="n">
        <v>62.156</v>
      </c>
      <c r="AB10" s="20" t="n">
        <v>-0.045</v>
      </c>
      <c r="AC10" s="20" t="n">
        <v>0.2079542878469793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KPN</t>
        </is>
      </c>
      <c r="C11" s="12" t="inlineStr">
        <is>
          <t>KPN.AS</t>
        </is>
      </c>
      <c r="D11" s="11" t="inlineStr">
        <is>
          <t>Telecomunicazioni</t>
        </is>
      </c>
      <c r="E11" s="13" t="inlineStr">
        <is>
          <t>Industriale</t>
        </is>
      </c>
      <c r="F11" s="14" t="n">
        <v>3.952</v>
      </c>
      <c r="G11" s="15" t="inlineStr">
        <is>
          <t>EUR</t>
        </is>
      </c>
      <c r="H11" s="14" t="n">
        <v>3.952</v>
      </c>
      <c r="I11" s="16" t="n">
        <v>14907.4</v>
      </c>
      <c r="J11" s="16" t="n">
        <v>14907.4</v>
      </c>
      <c r="K11" s="14" t="n">
        <v>0.22</v>
      </c>
      <c r="L11" s="14" t="n">
        <v>0.26973</v>
      </c>
      <c r="M11" s="17">
        <f>IF(OR(F11="",K11="",K11&lt;=0),"",F11/K11)</f>
        <v/>
      </c>
      <c r="N11" s="18" t="n">
        <v>6.5</v>
      </c>
      <c r="O11" s="19">
        <f>IF(OR(N11="",M11="",M11&lt;=0),"",N11/M11)</f>
        <v/>
      </c>
      <c r="P11" s="20" t="n">
        <v>0.26111</v>
      </c>
      <c r="Q11" s="20" t="n">
        <v>0.26111</v>
      </c>
      <c r="R11" s="20" t="n"/>
      <c r="S11" s="21" t="n">
        <v>0</v>
      </c>
      <c r="T11" s="20" t="n"/>
      <c r="U11" s="20" t="n">
        <v>0.243104918965027</v>
      </c>
      <c r="V11" s="20" t="n">
        <v>0.2401585952987822</v>
      </c>
      <c r="W11" s="20" t="n">
        <v>0.2372119168071951</v>
      </c>
      <c r="X11" s="20" t="n">
        <v>0.2084931506849315</v>
      </c>
      <c r="Y11" s="14" t="n">
        <v>0.19</v>
      </c>
      <c r="Z11" s="19">
        <f>IF(OR(Y11="",F11="",F11=0),"",Y11/F11)</f>
        <v/>
      </c>
      <c r="AA11" s="22" t="n">
        <v>218.133</v>
      </c>
      <c r="AB11" s="20" t="n">
        <v>0.005</v>
      </c>
      <c r="AC11" s="20" t="n">
        <v>0.1428324995687424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ASM International</t>
        </is>
      </c>
      <c r="C12" s="12" t="inlineStr">
        <is>
          <t>ASM.AS</t>
        </is>
      </c>
      <c r="D12" s="11" t="inlineStr">
        <is>
          <t>Apparecchiature semicond.</t>
        </is>
      </c>
      <c r="E12" s="13" t="inlineStr">
        <is>
          <t>Tecnologia</t>
        </is>
      </c>
      <c r="F12" s="14" t="n">
        <v>898.4</v>
      </c>
      <c r="G12" s="15" t="inlineStr">
        <is>
          <t>EUR</t>
        </is>
      </c>
      <c r="H12" s="14" t="n">
        <v>898.4</v>
      </c>
      <c r="I12" s="16" t="n">
        <v>43857.2</v>
      </c>
      <c r="J12" s="16" t="n">
        <v>43857.2</v>
      </c>
      <c r="K12" s="14" t="n">
        <v>21.86</v>
      </c>
      <c r="L12" s="14" t="n">
        <v>31.47526</v>
      </c>
      <c r="M12" s="17">
        <f>IF(OR(F12="",K12="",K12&lt;=0),"",F12/K12)</f>
        <v/>
      </c>
      <c r="N12" s="18" t="n">
        <v>9.894164</v>
      </c>
      <c r="O12" s="19">
        <f>IF(OR(N12="",M12="",M12&lt;=0),"",N12/M12)</f>
        <v/>
      </c>
      <c r="P12" s="20" t="n">
        <v>0.26798</v>
      </c>
      <c r="Q12" s="20" t="n">
        <v>0.1845634346496819</v>
      </c>
      <c r="R12" s="20" t="n">
        <v>0.03248999144975501</v>
      </c>
      <c r="S12" s="21" t="n">
        <v>4</v>
      </c>
      <c r="T12" s="20" t="n"/>
      <c r="U12" s="20" t="n">
        <v>0.1806630385940386</v>
      </c>
      <c r="V12" s="20" t="n">
        <v>0.1829899658411614</v>
      </c>
      <c r="W12" s="20" t="n">
        <v>0.2330700496558367</v>
      </c>
      <c r="X12" s="20" t="n">
        <v>0.1415306845076908</v>
      </c>
      <c r="Y12" s="14" t="n">
        <v>3.25</v>
      </c>
      <c r="Z12" s="19">
        <f>IF(OR(Y12="",F12="",F12=0),"",Y12/F12)</f>
        <v/>
      </c>
      <c r="AA12" s="22" t="n">
        <v>1.585</v>
      </c>
      <c r="AB12" s="20" t="n">
        <v>0.2</v>
      </c>
      <c r="AC12" s="20" t="n">
        <v>0.3384911029875205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Adyen</t>
        </is>
      </c>
      <c r="C13" s="12" t="inlineStr">
        <is>
          <t>ADYEN.AS</t>
        </is>
      </c>
      <c r="D13" s="11" t="inlineStr">
        <is>
          <t>Pagamenti</t>
        </is>
      </c>
      <c r="E13" s="13" t="inlineStr">
        <is>
          <t>Tecnologia</t>
        </is>
      </c>
      <c r="F13" s="14" t="n">
        <v>861.6</v>
      </c>
      <c r="G13" s="15" t="inlineStr">
        <is>
          <t>EUR</t>
        </is>
      </c>
      <c r="H13" s="14" t="n">
        <v>861.6</v>
      </c>
      <c r="I13" s="16" t="n">
        <v>27197.8</v>
      </c>
      <c r="J13" s="16" t="n">
        <v>27197.8</v>
      </c>
      <c r="K13" s="14" t="n">
        <v>35.58</v>
      </c>
      <c r="L13" s="14" t="n">
        <v>46.71759</v>
      </c>
      <c r="M13" s="17">
        <f>IF(OR(F13="",K13="",K13&lt;=0),"",F13/K13)</f>
        <v/>
      </c>
      <c r="N13" s="18" t="n">
        <v>4.6029572</v>
      </c>
      <c r="O13" s="19">
        <f>IF(OR(N13="",M13="",M13&lt;=0),"",N13/M13)</f>
        <v/>
      </c>
      <c r="P13" s="20" t="n">
        <v>0.21271</v>
      </c>
      <c r="Q13" s="20" t="n">
        <v>0.21271</v>
      </c>
      <c r="R13" s="20" t="n"/>
      <c r="S13" s="21" t="n">
        <v>0</v>
      </c>
      <c r="T13" s="20" t="n"/>
      <c r="U13" s="20" t="n">
        <v>0.2010293586497363</v>
      </c>
      <c r="V13" s="20" t="n">
        <v>0.2186358862669809</v>
      </c>
      <c r="W13" s="20" t="n">
        <v>0.2216285231969486</v>
      </c>
      <c r="X13" s="20" t="n">
        <v>0.2334958295668643</v>
      </c>
      <c r="Y13" s="14" t="n"/>
      <c r="Z13" s="19">
        <f>IF(OR(Y13="",F13="",F13=0),"",Y13/F13)</f>
        <v/>
      </c>
      <c r="AA13" s="22" t="n">
        <v>6.928</v>
      </c>
      <c r="AB13" s="20" t="n">
        <v>0.189</v>
      </c>
      <c r="AC13" s="20" t="n">
        <v>0.4252624805574225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Aegon</t>
        </is>
      </c>
      <c r="C14" s="12" t="inlineStr">
        <is>
          <t>AGN.AS</t>
        </is>
      </c>
      <c r="D14" s="11" t="inlineStr">
        <is>
          <t>Assicurazione vita</t>
        </is>
      </c>
      <c r="E14" s="13" t="inlineStr">
        <is>
          <t>Finanziario</t>
        </is>
      </c>
      <c r="F14" s="14" t="n">
        <v>7.386</v>
      </c>
      <c r="G14" s="15" t="inlineStr">
        <is>
          <t>EUR</t>
        </is>
      </c>
      <c r="H14" s="14" t="n">
        <v>7.386</v>
      </c>
      <c r="I14" s="16" t="n">
        <v>10931.2</v>
      </c>
      <c r="J14" s="16" t="n">
        <v>10931.2</v>
      </c>
      <c r="K14" s="14" t="n">
        <v>0.59</v>
      </c>
      <c r="L14" s="14" t="n">
        <v>0.92522</v>
      </c>
      <c r="M14" s="17">
        <f>IF(OR(F14="",K14="",K14&lt;=0),"",F14/K14)</f>
        <v/>
      </c>
      <c r="N14" s="18" t="n">
        <v>1.2301799</v>
      </c>
      <c r="O14" s="19">
        <f>IF(OR(N14="",M14="",M14&lt;=0),"",N14/M14)</f>
        <v/>
      </c>
      <c r="P14" s="20" t="n">
        <v>0.110690005</v>
      </c>
      <c r="Q14" s="20" t="n">
        <v>0.110690005</v>
      </c>
      <c r="R14" s="20" t="n"/>
      <c r="S14" s="21" t="n">
        <v>0</v>
      </c>
      <c r="T14" s="20" t="n"/>
      <c r="U14" s="20" t="n">
        <v>0.1038257173219979</v>
      </c>
      <c r="V14" s="20" t="n">
        <v>0.07488842930227495</v>
      </c>
      <c r="W14" s="20" t="n">
        <v>-0.01899002758328029</v>
      </c>
      <c r="X14" s="20" t="n">
        <v>-0.05298382598996096</v>
      </c>
      <c r="Y14" s="14" t="n">
        <v>0.42</v>
      </c>
      <c r="Z14" s="19">
        <f>IF(OR(Y14="",F14="",F14=0),"",Y14/F14)</f>
        <v/>
      </c>
      <c r="AA14" s="22" t="n">
        <v>42.673</v>
      </c>
      <c r="AB14" s="20" t="n">
        <v>-0.082</v>
      </c>
      <c r="AC14" s="20" t="n">
        <v>0.03610780226325194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Akzo Nobel</t>
        </is>
      </c>
      <c r="C15" s="12" t="inlineStr">
        <is>
          <t>AKZA.AS</t>
        </is>
      </c>
      <c r="D15" s="11" t="inlineStr">
        <is>
          <t>Vernici</t>
        </is>
      </c>
      <c r="E15" s="13" t="inlineStr">
        <is>
          <t>Materiali</t>
        </is>
      </c>
      <c r="F15" s="14" t="n">
        <v>57.74</v>
      </c>
      <c r="G15" s="15" t="inlineStr">
        <is>
          <t>EUR</t>
        </is>
      </c>
      <c r="H15" s="14" t="n">
        <v>57.74</v>
      </c>
      <c r="I15" s="16" t="n">
        <v>9896.6</v>
      </c>
      <c r="J15" s="16" t="n">
        <v>9896.6</v>
      </c>
      <c r="K15" s="14" t="n">
        <v>3.64</v>
      </c>
      <c r="L15" s="14" t="n">
        <v>4.2835</v>
      </c>
      <c r="M15" s="17">
        <f>IF(OR(F15="",K15="",K15&lt;=0),"",F15/K15)</f>
        <v/>
      </c>
      <c r="N15" s="18" t="n">
        <v>2.039274</v>
      </c>
      <c r="O15" s="19">
        <f>IF(OR(N15="",M15="",M15&lt;=0),"",N15/M15)</f>
        <v/>
      </c>
      <c r="P15" s="20" t="n">
        <v>0.14142999</v>
      </c>
      <c r="Q15" s="20" t="n">
        <v>0.1095739188578381</v>
      </c>
      <c r="R15" s="20" t="n">
        <v>0.02031009237336849</v>
      </c>
      <c r="S15" s="21" t="n">
        <v>4</v>
      </c>
      <c r="T15" s="20" t="n"/>
      <c r="U15" s="20" t="n">
        <v>0.1362953423481434</v>
      </c>
      <c r="V15" s="20" t="n">
        <v>0.1184958460865763</v>
      </c>
      <c r="W15" s="20" t="n">
        <v>0.1022674687644609</v>
      </c>
      <c r="X15" s="20" t="n">
        <v>0.08123701823217171</v>
      </c>
      <c r="Y15" s="14" t="n">
        <v>1.98</v>
      </c>
      <c r="Z15" s="19">
        <f>IF(OR(Y15="",F15="",F15=0),"",Y15/F15)</f>
        <v/>
      </c>
      <c r="AA15" s="22" t="n">
        <v>130.976</v>
      </c>
      <c r="AB15" s="20" t="n">
        <v>-0.014</v>
      </c>
      <c r="AC15" s="20" t="n">
        <v>0.06280763929907462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2026-10-07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IMCD</t>
        </is>
      </c>
      <c r="C16" s="12" t="inlineStr">
        <is>
          <t>IMCD.AS</t>
        </is>
      </c>
      <c r="D16" s="11" t="inlineStr">
        <is>
          <t>Distribuzione chimica</t>
        </is>
      </c>
      <c r="E16" s="13" t="inlineStr">
        <is>
          <t>Industriale</t>
        </is>
      </c>
      <c r="F16" s="14" t="n">
        <v>98.08</v>
      </c>
      <c r="G16" s="15" t="inlineStr">
        <is>
          <t>EUR</t>
        </is>
      </c>
      <c r="H16" s="14" t="n">
        <v>98.08</v>
      </c>
      <c r="I16" s="16" t="n">
        <v>5789.9</v>
      </c>
      <c r="J16" s="16" t="n">
        <v>5789.9</v>
      </c>
      <c r="K16" s="14" t="n">
        <v>3.89</v>
      </c>
      <c r="L16" s="14" t="n">
        <v>6.53018</v>
      </c>
      <c r="M16" s="17">
        <f>IF(OR(F16="",K16="",K16&lt;=0),"",F16/K16)</f>
        <v/>
      </c>
      <c r="N16" s="18" t="n">
        <v>2.7278543</v>
      </c>
      <c r="O16" s="19">
        <f>IF(OR(N16="",M16="",M16&lt;=0),"",N16/M16)</f>
        <v/>
      </c>
      <c r="P16" s="20" t="n">
        <v>0.11225</v>
      </c>
      <c r="Q16" s="20" t="n">
        <v>0.1472518322261252</v>
      </c>
      <c r="R16" s="20" t="n">
        <v>0.03244122481509759</v>
      </c>
      <c r="S16" s="21" t="n">
        <v>4</v>
      </c>
      <c r="T16" s="20" t="n"/>
      <c r="U16" s="20" t="n">
        <v>0.1066097892969804</v>
      </c>
      <c r="V16" s="20" t="n">
        <v>0.1256902408615362</v>
      </c>
      <c r="W16" s="20" t="n">
        <v>0.1694539770556378</v>
      </c>
      <c r="X16" s="20" t="n">
        <v>0.1872533216903464</v>
      </c>
      <c r="Y16" s="14" t="n">
        <v>1.81</v>
      </c>
      <c r="Z16" s="19">
        <f>IF(OR(Y16="",F16="",F16=0),"",Y16/F16)</f>
        <v/>
      </c>
      <c r="AA16" s="22" t="n">
        <v>85.125</v>
      </c>
      <c r="AB16" s="20" t="n">
        <v>0.066</v>
      </c>
      <c r="AC16" s="20" t="n">
        <v>0.04817180950993896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Heineken</t>
        </is>
      </c>
      <c r="C17" s="12" t="inlineStr">
        <is>
          <t>HEIA.AS</t>
        </is>
      </c>
      <c r="D17" s="11" t="inlineStr">
        <is>
          <t>Bevande</t>
        </is>
      </c>
      <c r="E17" s="13" t="inlineStr">
        <is>
          <t>Consumi</t>
        </is>
      </c>
      <c r="F17" s="14" t="n">
        <v>70.78</v>
      </c>
      <c r="G17" s="15" t="inlineStr">
        <is>
          <t>EUR</t>
        </is>
      </c>
      <c r="H17" s="14" t="n">
        <v>70.78</v>
      </c>
      <c r="I17" s="16" t="n">
        <v>39177.7</v>
      </c>
      <c r="J17" s="16" t="n">
        <v>39177.7</v>
      </c>
      <c r="K17" s="14" t="n">
        <v>4.1</v>
      </c>
      <c r="L17" s="14" t="n">
        <v>5.71692</v>
      </c>
      <c r="M17" s="17">
        <f>IF(OR(F17="",K17="",K17&lt;=0),"",F17/K17)</f>
        <v/>
      </c>
      <c r="N17" s="18" t="n">
        <v>2.0299997</v>
      </c>
      <c r="O17" s="19">
        <f>IF(OR(N17="",M17="",M17&lt;=0),"",N17/M17)</f>
        <v/>
      </c>
      <c r="P17" s="20" t="n">
        <v>0.121309996</v>
      </c>
      <c r="Q17" s="20" t="n">
        <v>0.1017136934542739</v>
      </c>
      <c r="R17" s="20" t="n">
        <v>0.03209687783167284</v>
      </c>
      <c r="S17" s="21" t="n">
        <v>4</v>
      </c>
      <c r="T17" s="20" t="n"/>
      <c r="U17" s="20" t="n">
        <v>0.1048503726777172</v>
      </c>
      <c r="V17" s="20" t="n">
        <v>0.0499463765895511</v>
      </c>
      <c r="W17" s="20" t="n">
        <v>0.1148783406461907</v>
      </c>
      <c r="X17" s="20" t="n">
        <v>0.1371796839036366</v>
      </c>
      <c r="Y17" s="14" t="n">
        <v>1.92</v>
      </c>
      <c r="Z17" s="19">
        <f>IF(OR(Y17="",F17="",F17=0),"",Y17/F17)</f>
        <v/>
      </c>
      <c r="AA17" s="22" t="n">
        <v>95.107</v>
      </c>
      <c r="AB17" s="20" t="n">
        <v>0.047</v>
      </c>
      <c r="AC17" s="20" t="n">
        <v>0.07880916328730915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34.5</v>
      </c>
      <c r="G18" s="15" t="inlineStr">
        <is>
          <t>EUR</t>
        </is>
      </c>
      <c r="H18" s="14" t="n">
        <v>34.5</v>
      </c>
      <c r="I18" s="16" t="n">
        <v>6053</v>
      </c>
      <c r="J18" s="16" t="n">
        <v>6053</v>
      </c>
      <c r="K18" s="14" t="n">
        <v>1.78</v>
      </c>
      <c r="L18" s="14" t="n">
        <v>2.89977</v>
      </c>
      <c r="M18" s="17">
        <f>IF(OR(F18="",K18="",K18&lt;=0),"",F18/K18)</f>
        <v/>
      </c>
      <c r="N18" s="18" t="n">
        <v>1.5510497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21.48</v>
      </c>
      <c r="G19" s="15" t="inlineStr">
        <is>
          <t>EUR</t>
        </is>
      </c>
      <c r="H19" s="14" t="n">
        <v>21.48</v>
      </c>
      <c r="I19" s="16" t="n">
        <v>20995.1</v>
      </c>
      <c r="J19" s="16" t="n">
        <v>20995.1</v>
      </c>
      <c r="K19" s="14" t="n">
        <v>1.15</v>
      </c>
      <c r="L19" s="14" t="n">
        <v>1.68169</v>
      </c>
      <c r="M19" s="17">
        <f>IF(OR(F19="",K19="",K19&lt;=0),"",F19/K19)</f>
        <v/>
      </c>
      <c r="N19" s="18" t="n">
        <v>1.8341728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55.58</v>
      </c>
      <c r="G20" s="15" t="inlineStr">
        <is>
          <t>EUR</t>
        </is>
      </c>
      <c r="H20" s="14" t="n">
        <v>55.58</v>
      </c>
      <c r="I20" s="16" t="n">
        <v>41820.7</v>
      </c>
      <c r="J20" s="16" t="n">
        <v>41820.7</v>
      </c>
      <c r="K20" s="14" t="n">
        <v>2.03</v>
      </c>
      <c r="L20" s="14" t="n">
        <v>6.4981766</v>
      </c>
      <c r="M20" s="17">
        <f>IF(OR(F20="",K20="",K20&lt;=0),"",F20/K20)</f>
        <v/>
      </c>
      <c r="N20" s="18" t="n">
        <v>0.8605107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2026-10-07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97.90000000000001</v>
      </c>
      <c r="G21" s="15" t="inlineStr">
        <is>
          <t>EUR</t>
        </is>
      </c>
      <c r="H21" s="14" t="n">
        <v>97.90000000000001</v>
      </c>
      <c r="I21" s="16" t="n">
        <v>23923</v>
      </c>
      <c r="J21" s="16" t="n">
        <v>23923</v>
      </c>
      <c r="K21" s="14" t="n">
        <v>-5.36</v>
      </c>
      <c r="L21" s="14" t="n">
        <v>4.11273</v>
      </c>
      <c r="M21" s="17">
        <f>IF(OR(F21="",K21="",K21&lt;=0),"",F21/K21)</f>
        <v/>
      </c>
      <c r="N21" s="18" t="n">
        <v>1.3740929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589.4</v>
      </c>
      <c r="G2" s="15" t="inlineStr">
        <is>
          <t>CHF</t>
        </is>
      </c>
      <c r="H2" s="14" t="n">
        <v>632.3762928629671</v>
      </c>
      <c r="I2" s="16" t="n">
        <v>16304.66503583537</v>
      </c>
      <c r="J2" s="16" t="n">
        <v>15196.6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10.369458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2026-10-08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572.8</v>
      </c>
      <c r="G3" s="15" t="inlineStr">
        <is>
          <t>CHF</t>
        </is>
      </c>
      <c r="H3" s="14" t="n">
        <v>614.5658984592935</v>
      </c>
      <c r="I3" s="16" t="n">
        <v>91797.24046178274</v>
      </c>
      <c r="J3" s="16" t="n">
        <v>85558.7</v>
      </c>
      <c r="K3" s="14" t="n">
        <v>39.19</v>
      </c>
      <c r="L3" s="14" t="n">
        <v>43.01317</v>
      </c>
      <c r="M3" s="17">
        <f>IF(OR(F3="",K3="",K3&lt;=0),"",F3/K3)</f>
        <v/>
      </c>
      <c r="N3" s="18" t="n">
        <v>3.3235698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523.8</v>
      </c>
      <c r="G4" s="15" t="inlineStr">
        <is>
          <t>CHF</t>
        </is>
      </c>
      <c r="H4" s="14" t="n">
        <v>561.9930475086906</v>
      </c>
      <c r="I4" s="16" t="n">
        <v>18185.16372687867</v>
      </c>
      <c r="J4" s="16" t="n">
        <v>16949.3</v>
      </c>
      <c r="K4" s="14" t="n">
        <v>18.86</v>
      </c>
      <c r="L4" s="14" t="n">
        <v>21.04945</v>
      </c>
      <c r="M4" s="17">
        <f>IF(OR(F4="",K4="",K4&lt;=0),"",F4/K4)</f>
        <v/>
      </c>
      <c r="N4" s="18" t="n">
        <v>15.291644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70.36</v>
      </c>
      <c r="G5" s="15" t="inlineStr">
        <is>
          <t>CHF</t>
        </is>
      </c>
      <c r="H5" s="14" t="n">
        <v>75.49032230376378</v>
      </c>
      <c r="I5" s="16" t="n">
        <v>15533.23891678469</v>
      </c>
      <c r="J5" s="16" t="n">
        <v>14477.6</v>
      </c>
      <c r="K5" s="14" t="n">
        <v>5.54</v>
      </c>
      <c r="L5" s="14" t="n">
        <v>6.2272</v>
      </c>
      <c r="M5" s="17">
        <f>IF(OR(F5="",K5="",K5&lt;=0),"",F5/K5)</f>
        <v/>
      </c>
      <c r="N5" s="18" t="n">
        <v>1.9631697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78.8</v>
      </c>
      <c r="G6" s="15" t="inlineStr">
        <is>
          <t>CHF</t>
        </is>
      </c>
      <c r="H6" s="14" t="n">
        <v>84.54572765117376</v>
      </c>
      <c r="I6" s="16" t="n">
        <v>152996.8670872495</v>
      </c>
      <c r="J6" s="16" t="n">
        <v>142599.2</v>
      </c>
      <c r="K6" s="14" t="n">
        <v>2.18</v>
      </c>
      <c r="L6" s="14" t="n">
        <v>2.9764047</v>
      </c>
      <c r="M6" s="17">
        <f>IF(OR(F6="",K6="",K6&lt;=0),"",F6/K6)</f>
        <v/>
      </c>
      <c r="N6" s="18" t="n">
        <v>10.804326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94.12</v>
      </c>
      <c r="G7" s="15" t="inlineStr">
        <is>
          <t>CHF</t>
        </is>
      </c>
      <c r="H7" s="14" t="n">
        <v>100.9827904381786</v>
      </c>
      <c r="I7" s="16" t="n">
        <v>19972.85524226428</v>
      </c>
      <c r="J7" s="16" t="n">
        <v>18615.5</v>
      </c>
      <c r="K7" s="14" t="n">
        <v>3.4</v>
      </c>
      <c r="L7" s="14" t="n">
        <v>4.50701</v>
      </c>
      <c r="M7" s="17">
        <f>IF(OR(F7="",K7="",K7&lt;=0),"",F7/K7)</f>
        <v/>
      </c>
      <c r="N7" s="18" t="n">
        <v>18.469387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Logitech International</t>
        </is>
      </c>
      <c r="C8" s="12" t="inlineStr">
        <is>
          <t>LOGN.SW</t>
        </is>
      </c>
      <c r="D8" s="11" t="inlineStr">
        <is>
          <t>Periferiche</t>
        </is>
      </c>
      <c r="E8" s="13" t="inlineStr">
        <is>
          <t>Tecnologia</t>
        </is>
      </c>
      <c r="F8" s="14" t="n">
        <v>84.12</v>
      </c>
      <c r="G8" s="15" t="inlineStr">
        <is>
          <t>CHF</t>
        </is>
      </c>
      <c r="H8" s="14" t="n">
        <v>90.25363718295353</v>
      </c>
      <c r="I8" s="16" t="n">
        <v>12923.26509591863</v>
      </c>
      <c r="J8" s="16" t="n">
        <v>12045</v>
      </c>
      <c r="K8" s="14" t="n">
        <v>4.33</v>
      </c>
      <c r="L8" s="14" t="n">
        <v>4.9989176</v>
      </c>
      <c r="M8" s="17">
        <f>IF(OR(F8="",K8="",K8&lt;=0),"",F8/K8)</f>
        <v/>
      </c>
      <c r="N8" s="18" t="n">
        <v>6.156305</v>
      </c>
      <c r="O8" s="19">
        <f>IF(OR(N8="",M8="",M8&lt;=0),"",N8/M8)</f>
        <v/>
      </c>
      <c r="P8" s="20" t="n">
        <v>0.35287997</v>
      </c>
      <c r="Q8" s="20" t="n">
        <v>0.2634996625637651</v>
      </c>
      <c r="R8" s="20" t="n">
        <v>0.06124827333549866</v>
      </c>
      <c r="S8" s="21" t="n">
        <v>4</v>
      </c>
      <c r="T8" s="20" t="n">
        <v>0.3216012162464039</v>
      </c>
      <c r="U8" s="20" t="n">
        <v>0.2968520555414539</v>
      </c>
      <c r="V8" s="20" t="n">
        <v>0.2740546539681857</v>
      </c>
      <c r="W8" s="20" t="n">
        <v>0.1614907244990166</v>
      </c>
      <c r="X8" s="20" t="n"/>
      <c r="Y8" s="14" t="n">
        <v>1.36</v>
      </c>
      <c r="Z8" s="19">
        <f>IF(OR(Y8="",F8="",F8=0),"",Y8/F8)</f>
        <v/>
      </c>
      <c r="AA8" s="22" t="n">
        <v>3.588</v>
      </c>
      <c r="AB8" s="20" t="n">
        <v>0.06900000000000001</v>
      </c>
      <c r="AC8" s="20" t="n">
        <v>0.1654427871981285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Kuehne + Nagel</t>
        </is>
      </c>
      <c r="C9" s="12" t="inlineStr">
        <is>
          <t>KNIN.SW</t>
        </is>
      </c>
      <c r="D9" s="11" t="inlineStr">
        <is>
          <t>Logistica</t>
        </is>
      </c>
      <c r="E9" s="13" t="inlineStr">
        <is>
          <t>Industriale</t>
        </is>
      </c>
      <c r="F9" s="14" t="n">
        <v>224.3</v>
      </c>
      <c r="G9" s="15" t="inlineStr">
        <is>
          <t>CHF</t>
        </is>
      </c>
      <c r="H9" s="14" t="n">
        <v>240.6549075146989</v>
      </c>
      <c r="I9" s="16" t="n">
        <v>28580.21114973606</v>
      </c>
      <c r="J9" s="16" t="n">
        <v>26637.9</v>
      </c>
      <c r="K9" s="14" t="n">
        <v>7.26</v>
      </c>
      <c r="L9" s="14" t="n">
        <v>9.51324</v>
      </c>
      <c r="M9" s="17">
        <f>IF(OR(F9="",K9="",K9&lt;=0),"",F9/K9)</f>
        <v/>
      </c>
      <c r="N9" s="18" t="n">
        <v>12.98784</v>
      </c>
      <c r="O9" s="19">
        <f>IF(OR(N9="",M9="",M9&lt;=0),"",N9/M9)</f>
        <v/>
      </c>
      <c r="P9" s="20" t="n">
        <v>0.44268</v>
      </c>
      <c r="Q9" s="20" t="n">
        <v>0.44268</v>
      </c>
      <c r="R9" s="20" t="n"/>
      <c r="S9" s="21" t="n">
        <v>0</v>
      </c>
      <c r="T9" s="20" t="n"/>
      <c r="U9" s="20" t="n">
        <v>0.4045871559633027</v>
      </c>
      <c r="V9" s="20" t="n">
        <v>0.3619368679129635</v>
      </c>
      <c r="W9" s="20" t="n">
        <v>0.4538534728829686</v>
      </c>
      <c r="X9" s="20" t="n">
        <v>0.6386473429951691</v>
      </c>
      <c r="Y9" s="14" t="n">
        <v>6</v>
      </c>
      <c r="Z9" s="19">
        <f>IF(OR(Y9="",F9="",F9=0),"",Y9/F9)</f>
        <v/>
      </c>
      <c r="AA9" s="22" t="n">
        <v>196.252</v>
      </c>
      <c r="AB9" s="20" t="n">
        <v>0.076</v>
      </c>
      <c r="AC9" s="20" t="n">
        <v>0.03529988560222259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2026-10-08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76</v>
      </c>
      <c r="G10" s="15" t="inlineStr">
        <is>
          <t>CHF</t>
        </is>
      </c>
      <c r="H10" s="14" t="n">
        <v>81.54156473971074</v>
      </c>
      <c r="I10" s="16" t="n">
        <v>209742.8221964723</v>
      </c>
      <c r="J10" s="16" t="n">
        <v>195488.7</v>
      </c>
      <c r="K10" s="14" t="n">
        <v>2.88</v>
      </c>
      <c r="L10" s="14" t="n">
        <v>4.82053</v>
      </c>
      <c r="M10" s="17">
        <f>IF(OR(F10="",K10="",K10&lt;=0),"",F10/K10)</f>
        <v/>
      </c>
      <c r="N10" s="18" t="n">
        <v>6.690141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142.3</v>
      </c>
      <c r="G11" s="15" t="inlineStr">
        <is>
          <t>CHF</t>
        </is>
      </c>
      <c r="H11" s="14" t="n">
        <v>152.6758508218531</v>
      </c>
      <c r="I11" s="16" t="n">
        <v>45027.14475773572</v>
      </c>
      <c r="J11" s="16" t="n">
        <v>41967.1</v>
      </c>
      <c r="K11" s="14" t="n">
        <v>13.03</v>
      </c>
      <c r="L11" s="14" t="n">
        <v>13.07584</v>
      </c>
      <c r="M11" s="17">
        <f>IF(OR(F11="",K11="",K11&lt;=0),"",F11/K11)</f>
        <v/>
      </c>
      <c r="N11" s="18" t="n">
        <v>2.0633707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255.4</v>
      </c>
      <c r="G12" s="15" t="inlineStr">
        <is>
          <t>CHF</t>
        </is>
      </c>
      <c r="H12" s="14" t="n">
        <v>274.022574138449</v>
      </c>
      <c r="I12" s="16" t="n">
        <v>16278.16402729496</v>
      </c>
      <c r="J12" s="16" t="n">
        <v>15171.9</v>
      </c>
      <c r="K12" s="14" t="n">
        <v>9.01</v>
      </c>
      <c r="L12" s="14" t="n">
        <v>12.20397</v>
      </c>
      <c r="M12" s="17">
        <f>IF(OR(F12="",K12="",K12&lt;=0),"",F12/K12)</f>
        <v/>
      </c>
      <c r="N12" s="18" t="n">
        <v>5.8042817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3409</v>
      </c>
      <c r="G13" s="15" t="inlineStr">
        <is>
          <t>CHF</t>
        </is>
      </c>
      <c r="H13" s="14" t="n">
        <v>3657.568344706236</v>
      </c>
      <c r="I13" s="16" t="n">
        <v>33764.21612806317</v>
      </c>
      <c r="J13" s="16" t="n">
        <v>31469.6</v>
      </c>
      <c r="K13" s="14" t="n">
        <v>102.7</v>
      </c>
      <c r="L13" s="14" t="n">
        <v>132.06004</v>
      </c>
      <c r="M13" s="17">
        <f>IF(OR(F13="",K13="",K13&lt;=0),"",F13/K13)</f>
        <v/>
      </c>
      <c r="N13" s="18" t="n">
        <v>7.1489234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117.72</v>
      </c>
      <c r="G14" s="15" t="inlineStr">
        <is>
          <t>CHF</t>
        </is>
      </c>
      <c r="H14" s="14" t="n">
        <v>126.3035921205098</v>
      </c>
      <c r="I14" s="16" t="n">
        <v>240067.1644993777</v>
      </c>
      <c r="J14" s="16" t="n">
        <v>223752.2</v>
      </c>
      <c r="K14" s="14" t="n">
        <v>5.25</v>
      </c>
      <c r="L14" s="14" t="n">
        <v>8.17947</v>
      </c>
      <c r="M14" s="17">
        <f>IF(OR(F14="",K14="",K14&lt;=0),"",F14/K14)</f>
        <v/>
      </c>
      <c r="N14" s="18" t="n">
        <v>6.477993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38.83</v>
      </c>
      <c r="G15" s="15" t="inlineStr">
        <is>
          <t>CHF</t>
        </is>
      </c>
      <c r="H15" s="14" t="n">
        <v>41.66130209003905</v>
      </c>
      <c r="I15" s="16" t="n">
        <v>127556.1134715248</v>
      </c>
      <c r="J15" s="16" t="n">
        <v>118887.4</v>
      </c>
      <c r="K15" s="14" t="n">
        <v>2.33</v>
      </c>
      <c r="L15" s="14" t="n">
        <v>3.54762</v>
      </c>
      <c r="M15" s="17">
        <f>IF(OR(F15="",K15="",K15&lt;=0),"",F15/K15)</f>
        <v/>
      </c>
      <c r="N15" s="18" t="n">
        <v>1.5934141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2026-10-08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Swiss Life Holding</t>
        </is>
      </c>
      <c r="C16" s="12" t="inlineStr">
        <is>
          <t>SLHN.SW</t>
        </is>
      </c>
      <c r="D16" s="11" t="inlineStr">
        <is>
          <t>Assicurazione vita</t>
        </is>
      </c>
      <c r="E16" s="13" t="inlineStr">
        <is>
          <t>Finanziario</t>
        </is>
      </c>
      <c r="F16" s="14" t="n">
        <v>881.4</v>
      </c>
      <c r="G16" s="15" t="inlineStr">
        <is>
          <t>CHF</t>
        </is>
      </c>
      <c r="H16" s="14" t="n">
        <v>945.66756791554</v>
      </c>
      <c r="I16" s="16" t="n">
        <v>26427.19196601004</v>
      </c>
      <c r="J16" s="16" t="n">
        <v>24631.2</v>
      </c>
      <c r="K16" s="14" t="n">
        <v>45.92</v>
      </c>
      <c r="L16" s="14" t="n">
        <v>51.40119</v>
      </c>
      <c r="M16" s="17">
        <f>IF(OR(F16="",K16="",K16&lt;=0),"",F16/K16)</f>
        <v/>
      </c>
      <c r="N16" s="18" t="n">
        <v>3.9010358</v>
      </c>
      <c r="O16" s="19">
        <f>IF(OR(N16="",M16="",M16&lt;=0),"",N16/M16)</f>
        <v/>
      </c>
      <c r="P16" s="20" t="n">
        <v>0.19368</v>
      </c>
      <c r="Q16" s="20" t="n">
        <v>0.1480861132410386</v>
      </c>
      <c r="R16" s="20" t="n">
        <v>0.01700739311090991</v>
      </c>
      <c r="S16" s="21" t="n">
        <v>4</v>
      </c>
      <c r="T16" s="20" t="n"/>
      <c r="U16" s="20" t="n">
        <v>0.1683533916849015</v>
      </c>
      <c r="V16" s="20" t="n">
        <v>0.161436170212766</v>
      </c>
      <c r="W16" s="20" t="n">
        <v>0.1324932713481771</v>
      </c>
      <c r="X16" s="20" t="n">
        <v>0.1300616197183098</v>
      </c>
      <c r="Y16" s="14" t="n">
        <v>36.5</v>
      </c>
      <c r="Z16" s="19">
        <f>IF(OR(Y16="",F16="",F16=0),"",Y16/F16)</f>
        <v/>
      </c>
      <c r="AA16" s="22" t="n">
        <v>257.891</v>
      </c>
      <c r="AB16" s="20" t="n">
        <v>0.034</v>
      </c>
      <c r="AC16" s="20" t="n">
        <v>0.07243200359631378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Sika</t>
        </is>
      </c>
      <c r="C17" s="12" t="inlineStr">
        <is>
          <t>SIKA.SW</t>
        </is>
      </c>
      <c r="D17" s="11" t="inlineStr">
        <is>
          <t>Chimica per costruzioni</t>
        </is>
      </c>
      <c r="E17" s="13" t="inlineStr">
        <is>
          <t>Materiali</t>
        </is>
      </c>
      <c r="F17" s="14" t="n">
        <v>170.85</v>
      </c>
      <c r="G17" s="15" t="inlineStr">
        <is>
          <t>CHF</t>
        </is>
      </c>
      <c r="H17" s="14" t="n">
        <v>183.3075833655208</v>
      </c>
      <c r="I17" s="16" t="n">
        <v>29409.68198789751</v>
      </c>
      <c r="J17" s="16" t="n">
        <v>27411</v>
      </c>
      <c r="K17" s="14" t="n">
        <v>6.48</v>
      </c>
      <c r="L17" s="14" t="n">
        <v>8.37008</v>
      </c>
      <c r="M17" s="17">
        <f>IF(OR(F17="",K17="",K17&lt;=0),"",F17/K17)</f>
        <v/>
      </c>
      <c r="N17" s="18" t="n">
        <v>4.022556</v>
      </c>
      <c r="O17" s="19">
        <f>IF(OR(N17="",M17="",M17&lt;=0),"",N17/M17)</f>
        <v/>
      </c>
      <c r="P17" s="20" t="n">
        <v>0.16042</v>
      </c>
      <c r="Q17" s="20" t="n">
        <v>0.1868506104877989</v>
      </c>
      <c r="R17" s="20" t="n">
        <v>0.02864567451687284</v>
      </c>
      <c r="S17" s="21" t="n">
        <v>4</v>
      </c>
      <c r="T17" s="20" t="n"/>
      <c r="U17" s="20" t="n">
        <v>0.1568415359653867</v>
      </c>
      <c r="V17" s="20" t="n">
        <v>0.1770987373450119</v>
      </c>
      <c r="W17" s="20" t="n">
        <v>0.1793797716370515</v>
      </c>
      <c r="X17" s="20" t="n">
        <v>0.2340823970037453</v>
      </c>
      <c r="Y17" s="14" t="n">
        <v>3.7</v>
      </c>
      <c r="Z17" s="19">
        <f>IF(OR(Y17="",F17="",F17=0),"",Y17/F17)</f>
        <v/>
      </c>
      <c r="AA17" s="22" t="n">
        <v>89.155</v>
      </c>
      <c r="AB17" s="20" t="n">
        <v>-0.015</v>
      </c>
      <c r="AC17" s="20" t="n">
        <v>0.09298028193156152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Straumann Holding</t>
        </is>
      </c>
      <c r="C18" s="12" t="inlineStr">
        <is>
          <t>STMN.SW</t>
        </is>
      </c>
      <c r="D18" s="11" t="inlineStr">
        <is>
          <t>Implantologia dentale</t>
        </is>
      </c>
      <c r="E18" s="13" t="inlineStr">
        <is>
          <t>Salute</t>
        </is>
      </c>
      <c r="F18" s="14" t="n">
        <v>87.81999999999999</v>
      </c>
      <c r="G18" s="15" t="inlineStr">
        <is>
          <t>CHF</t>
        </is>
      </c>
      <c r="H18" s="14" t="n">
        <v>94.22342388738679</v>
      </c>
      <c r="I18" s="16" t="n">
        <v>15024.0333032917</v>
      </c>
      <c r="J18" s="16" t="n">
        <v>14003</v>
      </c>
      <c r="K18" s="14" t="n">
        <v>2.31</v>
      </c>
      <c r="L18" s="14" t="n">
        <v>3.85884</v>
      </c>
      <c r="M18" s="17">
        <f>IF(OR(F18="",K18="",K18&lt;=0),"",F18/K18)</f>
        <v/>
      </c>
      <c r="N18" s="18" t="n">
        <v>6.1219935</v>
      </c>
      <c r="O18" s="19">
        <f>IF(OR(N18="",M18="",M18&lt;=0),"",N18/M18)</f>
        <v/>
      </c>
      <c r="P18" s="20" t="n">
        <v>0.17048</v>
      </c>
      <c r="Q18" s="20" t="n">
        <v>0.1809767786180531</v>
      </c>
      <c r="R18" s="20" t="n">
        <v>0.03693192782087251</v>
      </c>
      <c r="S18" s="21" t="n">
        <v>4</v>
      </c>
      <c r="T18" s="20" t="n"/>
      <c r="U18" s="20" t="n">
        <v>0.1647370296828064</v>
      </c>
      <c r="V18" s="20" t="n">
        <v>0.1903387576582092</v>
      </c>
      <c r="W18" s="20" t="n">
        <v>0.1340130782456395</v>
      </c>
      <c r="X18" s="20" t="n">
        <v>0.2348182488855572</v>
      </c>
      <c r="Y18" s="14" t="n">
        <v>1</v>
      </c>
      <c r="Z18" s="19">
        <f>IF(OR(Y18="",F18="",F18=0),"",Y18/F18)</f>
        <v/>
      </c>
      <c r="AA18" s="22" t="n">
        <v>20.764</v>
      </c>
      <c r="AB18" s="20" t="n">
        <v>0.023</v>
      </c>
      <c r="AC18" s="20" t="n">
        <v>0.1416968572495589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643.5</v>
      </c>
      <c r="G19" s="15" t="inlineStr">
        <is>
          <t>CHF</t>
        </is>
      </c>
      <c r="H19" s="14" t="n">
        <v>690.4210119737349</v>
      </c>
      <c r="I19" s="16" t="n">
        <v>35765.20321016265</v>
      </c>
      <c r="J19" s="16" t="n">
        <v>33334.6</v>
      </c>
      <c r="K19" s="14" t="n">
        <v>25.38</v>
      </c>
      <c r="L19" s="14" t="n">
        <v>31.26468</v>
      </c>
      <c r="M19" s="17">
        <f>IF(OR(F19="",K19="",K19&lt;=0),"",F19/K19)</f>
        <v/>
      </c>
      <c r="N19" s="18" t="n">
        <v>2.894125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62.84</v>
      </c>
      <c r="G20" s="15" t="inlineStr">
        <is>
          <t>CHF</t>
        </is>
      </c>
      <c r="H20" s="14" t="n">
        <v>67.42199905583452</v>
      </c>
      <c r="I20" s="16" t="n">
        <v>37292.8200506416</v>
      </c>
      <c r="J20" s="16" t="n">
        <v>34758.4</v>
      </c>
      <c r="K20" s="14" t="n">
        <v>0.7</v>
      </c>
      <c r="L20" s="14" t="n">
        <v>4.31781</v>
      </c>
      <c r="M20" s="17">
        <f>IF(OR(F20="",K20="",K20&lt;=0),"",F20/K20)</f>
        <v/>
      </c>
      <c r="N20" s="18" t="n">
        <v>2.2025938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2026-10-08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168.4</v>
      </c>
      <c r="G21" s="15" t="inlineStr">
        <is>
          <t>CHF</t>
        </is>
      </c>
      <c r="H21" s="14" t="n">
        <v>180.6789408179906</v>
      </c>
      <c r="I21" s="16" t="n">
        <v>106228.3807561907</v>
      </c>
      <c r="J21" s="16" t="n">
        <v>99009.10000000001</v>
      </c>
      <c r="K21" s="14" t="n">
        <v>5.47</v>
      </c>
      <c r="L21" s="14" t="n">
        <v>8.009199000000001</v>
      </c>
      <c r="M21" s="17">
        <f>IF(OR(F21="",K21="",K21&lt;=0),"",F21/K21)</f>
        <v/>
      </c>
      <c r="N21" s="18" t="n">
        <v>4.3922653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52.7</v>
      </c>
      <c r="G22" s="15" t="inlineStr">
        <is>
          <t>CHF</t>
        </is>
      </c>
      <c r="H22" s="14" t="n">
        <v>56.50020370092416</v>
      </c>
      <c r="I22" s="16" t="n">
        <v>27312.21991122928</v>
      </c>
      <c r="J22" s="16" t="n">
        <v>25475.2</v>
      </c>
      <c r="K22" s="14" t="n">
        <v>1.05</v>
      </c>
      <c r="L22" s="14" t="n">
        <v>3.6382835</v>
      </c>
      <c r="M22" s="17">
        <f>IF(OR(F22="",K22="",K22&lt;=0),"",F22/K22)</f>
        <v/>
      </c>
      <c r="N22" s="18" t="n">
        <v>1.4188172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2026-10-07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563.4</v>
      </c>
      <c r="G23" s="15" t="inlineStr">
        <is>
          <t>CHF</t>
        </is>
      </c>
      <c r="H23" s="14" t="n">
        <v>604.4804943993819</v>
      </c>
      <c r="I23" s="16" t="n">
        <v>42219.43264237585</v>
      </c>
      <c r="J23" s="16" t="n">
        <v>39350.2</v>
      </c>
      <c r="K23" s="14" t="n">
        <v>15.09</v>
      </c>
      <c r="L23" s="14" t="n">
        <v>22.0563</v>
      </c>
      <c r="M23" s="17">
        <f>IF(OR(F23="",K23="",K23&lt;=0),"",F23/K23)</f>
        <v/>
      </c>
      <c r="N23" s="18" t="n">
        <v>4.8413296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2026-10-08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206.005</v>
      </c>
      <c r="G2" s="15" t="inlineStr">
        <is>
          <t>USD</t>
        </is>
      </c>
      <c r="H2" s="14" t="n">
        <v>183.7152675096912</v>
      </c>
      <c r="I2" s="16" t="n">
        <v>58226.69485706049</v>
      </c>
      <c r="J2" s="16" t="n">
        <v>65291.2</v>
      </c>
      <c r="K2" s="14" t="n">
        <v>27.09</v>
      </c>
      <c r="L2" s="14" t="n">
        <v>9.841570000000001</v>
      </c>
      <c r="M2" s="17">
        <f>IF(OR(F2="",K2="",K2&lt;=0),"",F2/K2)</f>
        <v/>
      </c>
      <c r="N2" s="18" t="n">
        <v>3.5222359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2026-10-08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199.225</v>
      </c>
      <c r="G3" s="15" t="inlineStr">
        <is>
          <t>USD</t>
        </is>
      </c>
      <c r="H3" s="14" t="n">
        <v>177.6688632296217</v>
      </c>
      <c r="I3" s="16" t="n">
        <v>67447.28302415814</v>
      </c>
      <c r="J3" s="16" t="n">
        <v>75630.5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14.669392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2026-10-08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235.0437</v>
      </c>
      <c r="G4" s="15" t="inlineStr">
        <is>
          <t>USD</t>
        </is>
      </c>
      <c r="H4" s="14" t="n">
        <v>209.611981369227</v>
      </c>
      <c r="I4" s="16" t="n">
        <v>81580.9759788308</v>
      </c>
      <c r="J4" s="16" t="n">
        <v>91479</v>
      </c>
      <c r="K4" s="14" t="n">
        <v>17.91</v>
      </c>
      <c r="L4" s="14" t="n">
        <v>27.67328</v>
      </c>
      <c r="M4" s="17">
        <f>IF(OR(F4="",K4="",K4&lt;=0),"",F4/K4)</f>
        <v/>
      </c>
      <c r="N4" s="18" t="n">
        <v>7.8121347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2026-10-08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148.44</v>
      </c>
      <c r="G5" s="15" t="inlineStr">
        <is>
          <t>USD</t>
        </is>
      </c>
      <c r="H5" s="14" t="n">
        <v>132.3787981317859</v>
      </c>
      <c r="I5" s="16" t="n">
        <v>70508.74338596498</v>
      </c>
      <c r="J5" s="16" t="n">
        <v>79063.39999999999</v>
      </c>
      <c r="K5" s="14" t="n">
        <v>12.85</v>
      </c>
      <c r="L5" s="14" t="n">
        <v>15.33666</v>
      </c>
      <c r="M5" s="17">
        <f>IF(OR(F5="",K5="",K5&lt;=0),"",F5/K5)</f>
        <v/>
      </c>
      <c r="N5" s="18" t="n">
        <v>2.4480507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2026-10-08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73.3</v>
      </c>
      <c r="G6" s="15" t="inlineStr">
        <is>
          <t>USD</t>
        </is>
      </c>
      <c r="H6" s="14" t="n">
        <v>65.36894302788943</v>
      </c>
      <c r="I6" s="16" t="n">
        <v>27011.99899119579</v>
      </c>
      <c r="J6" s="16" t="n">
        <v>30289.3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9.350682000000001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2026-10-08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Marathon Petroleum</t>
        </is>
      </c>
      <c r="C7" s="12" t="inlineStr">
        <is>
          <t>MPC</t>
        </is>
      </c>
      <c r="D7" s="11" t="inlineStr">
        <is>
          <t>Raffinazione</t>
        </is>
      </c>
      <c r="E7" s="13" t="inlineStr">
        <is>
          <t>Energia</t>
        </is>
      </c>
      <c r="F7" s="14" t="n">
        <v>463.455</v>
      </c>
      <c r="G7" s="15" t="inlineStr">
        <is>
          <t>USD</t>
        </is>
      </c>
      <c r="H7" s="14" t="n">
        <v>413.3091881444815</v>
      </c>
      <c r="I7" s="16" t="n">
        <v>120660.0996889758</v>
      </c>
      <c r="J7" s="16" t="n">
        <v>135299.5</v>
      </c>
      <c r="K7" s="14" t="n">
        <v>28.88</v>
      </c>
      <c r="L7" s="14" t="n">
        <v>50.68686</v>
      </c>
      <c r="M7" s="17">
        <f>IF(OR(F7="",K7="",K7&lt;=0),"",F7/K7)</f>
        <v/>
      </c>
      <c r="N7" s="18" t="n">
        <v>6.8751664</v>
      </c>
      <c r="O7" s="19">
        <f>IF(OR(N7="",M7="",M7&lt;=0),"",N7/M7)</f>
        <v/>
      </c>
      <c r="P7" s="20" t="n">
        <v>0.42099</v>
      </c>
      <c r="Q7" s="20" t="n">
        <v>0.3370844086701393</v>
      </c>
      <c r="R7" s="20" t="n">
        <v>0.1318279662032452</v>
      </c>
      <c r="S7" s="21" t="n">
        <v>4</v>
      </c>
      <c r="T7" s="20" t="n"/>
      <c r="U7" s="20" t="n">
        <v>0.2337414808825228</v>
      </c>
      <c r="V7" s="20" t="n">
        <v>0.1941391941391941</v>
      </c>
      <c r="W7" s="20" t="n">
        <v>0.3966972627438125</v>
      </c>
      <c r="X7" s="20" t="n">
        <v>0.523759696915028</v>
      </c>
      <c r="Y7" s="14" t="n">
        <v>4</v>
      </c>
      <c r="Z7" s="19">
        <f>IF(OR(Y7="",F7="",F7=0),"",Y7/F7)</f>
        <v/>
      </c>
      <c r="AA7" s="22" t="n">
        <v>133.328</v>
      </c>
      <c r="AB7" s="20" t="n">
        <v>0.537</v>
      </c>
      <c r="AC7" s="20" t="n">
        <v>0.06440138864648566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2026-10-08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202.425</v>
      </c>
      <c r="G8" s="15" t="inlineStr">
        <is>
          <t>USD</t>
        </is>
      </c>
      <c r="H8" s="14" t="n">
        <v>180.5226233618079</v>
      </c>
      <c r="I8" s="16" t="n">
        <v>110469.4114369431</v>
      </c>
      <c r="J8" s="16" t="n">
        <v>123872.4</v>
      </c>
      <c r="K8" s="14" t="n">
        <v>13.56</v>
      </c>
      <c r="L8" s="14" t="n">
        <v>15.90406</v>
      </c>
      <c r="M8" s="17">
        <f>IF(OR(F8="",K8="",K8&lt;=0),"",F8/K8)</f>
        <v/>
      </c>
      <c r="N8" s="18" t="n">
        <v>3.8218637</v>
      </c>
      <c r="O8" s="19">
        <f>IF(OR(N8="",M8="",M8&lt;=0),"",N8/M8)</f>
        <v/>
      </c>
      <c r="P8" s="20" t="n">
        <v>0.26025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6.84</v>
      </c>
      <c r="Z8" s="19">
        <f>IF(OR(Y8="",F8="",F8=0),"",Y8/F8)</f>
        <v/>
      </c>
      <c r="AA8" s="22" t="n">
        <v>40.283</v>
      </c>
      <c r="AB8" s="20" t="n">
        <v>0.062</v>
      </c>
      <c r="AC8" s="20" t="n">
        <v>0.1200904027970557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2026-10-08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54.93</v>
      </c>
      <c r="G9" s="15" t="inlineStr">
        <is>
          <t>USD</t>
        </is>
      </c>
      <c r="H9" s="14" t="n">
        <v>48.9865762690582</v>
      </c>
      <c r="I9" s="16" t="n">
        <v>42226.46441592983</v>
      </c>
      <c r="J9" s="16" t="n">
        <v>47349.7</v>
      </c>
      <c r="K9" s="14" t="n">
        <v>5.29</v>
      </c>
      <c r="L9" s="14" t="n">
        <v>5.78532</v>
      </c>
      <c r="M9" s="17">
        <f>IF(OR(F9="",K9="",K9&lt;=0),"",F9/K9)</f>
        <v/>
      </c>
      <c r="N9" s="18" t="n">
        <v>2.388988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2026-10-08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Alphabet</t>
        </is>
      </c>
      <c r="C10" s="12" t="inlineStr">
        <is>
          <t>GOOGL</t>
        </is>
      </c>
      <c r="D10" s="11" t="inlineStr">
        <is>
          <t>Internet / Cloud</t>
        </is>
      </c>
      <c r="E10" s="13" t="inlineStr">
        <is>
          <t>Tecnologia</t>
        </is>
      </c>
      <c r="F10" s="14" t="n">
        <v>347.31</v>
      </c>
      <c r="G10" s="15" t="inlineStr">
        <is>
          <t>USD</t>
        </is>
      </c>
      <c r="H10" s="14" t="n">
        <v>309.7310723467432</v>
      </c>
      <c r="I10" s="16" t="n">
        <v>3787990.860119736</v>
      </c>
      <c r="J10" s="16" t="n">
        <v>4247578.7</v>
      </c>
      <c r="K10" s="14" t="n">
        <v>19.93</v>
      </c>
      <c r="L10" s="14" t="n">
        <v>15.21313</v>
      </c>
      <c r="M10" s="17">
        <f>IF(OR(F10="",K10="",K10&lt;=0),"",F10/K10)</f>
        <v/>
      </c>
      <c r="N10" s="18" t="n">
        <v>6.8239155</v>
      </c>
      <c r="O10" s="19">
        <f>IF(OR(N10="",M10="",M10&lt;=0),"",N10/M10)</f>
        <v/>
      </c>
      <c r="P10" s="20" t="n">
        <v>0.48676</v>
      </c>
      <c r="Q10" s="20" t="n">
        <v>0.280199841988681</v>
      </c>
      <c r="R10" s="20" t="n">
        <v>0.03440628523217517</v>
      </c>
      <c r="S10" s="21" t="n">
        <v>4</v>
      </c>
      <c r="T10" s="20" t="n"/>
      <c r="U10" s="20" t="n">
        <v>0.3182786895115167</v>
      </c>
      <c r="V10" s="20" t="n">
        <v>0.3079757847202569</v>
      </c>
      <c r="W10" s="20" t="n">
        <v>0.2604109690555758</v>
      </c>
      <c r="X10" s="20" t="n">
        <v>0.2341339246673746</v>
      </c>
      <c r="Y10" s="14" t="n">
        <v>0.88</v>
      </c>
      <c r="Z10" s="19">
        <f>IF(OR(Y10="",F10="",F10=0),"",Y10/F10)</f>
        <v/>
      </c>
      <c r="AA10" s="22" t="n">
        <v>18.859</v>
      </c>
      <c r="AB10" s="20" t="n">
        <v>0.242</v>
      </c>
      <c r="AC10" s="20" t="n">
        <v>0.6060009406905044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2026-10-08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219.16</v>
      </c>
      <c r="G11" s="15" t="inlineStr">
        <is>
          <t>USD</t>
        </is>
      </c>
      <c r="H11" s="14" t="n">
        <v>195.4468970531003</v>
      </c>
      <c r="I11" s="16" t="n">
        <v>113437.4111544209</v>
      </c>
      <c r="J11" s="16" t="n">
        <v>127200.5</v>
      </c>
      <c r="K11" s="14" t="n">
        <v>19.94</v>
      </c>
      <c r="L11" s="14" t="n">
        <v>16.365</v>
      </c>
      <c r="M11" s="17">
        <f>IF(OR(F11="",K11="",K11&lt;=0),"",F11/K11)</f>
        <v/>
      </c>
      <c r="N11" s="18" t="n">
        <v>3.7087305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2026-10-08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127.03</v>
      </c>
      <c r="G12" s="15" t="inlineStr">
        <is>
          <t>USD</t>
        </is>
      </c>
      <c r="H12" s="14" t="n">
        <v>113.2853592473778</v>
      </c>
      <c r="I12" s="16" t="n">
        <v>154747.8185679189</v>
      </c>
      <c r="J12" s="16" t="n">
        <v>173523</v>
      </c>
      <c r="K12" s="14" t="n">
        <v>7.63</v>
      </c>
      <c r="L12" s="14" t="n">
        <v>8.9102</v>
      </c>
      <c r="M12" s="17">
        <f>IF(OR(F12="",K12="",K12&lt;=0),"",F12/K12)</f>
        <v/>
      </c>
      <c r="N12" s="18" t="n">
        <v>7.8525066</v>
      </c>
      <c r="O12" s="19">
        <f>IF(OR(N12="",M12="",M12&lt;=0),"",N12/M12)</f>
        <v/>
      </c>
      <c r="P12" s="20" t="n">
        <v>0.51508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238.949</v>
      </c>
      <c r="AB12" s="20" t="n">
        <v>0.064</v>
      </c>
      <c r="AC12" s="20" t="n">
        <v>0.1112696334309289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2026-10-08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304.51</v>
      </c>
      <c r="G13" s="15" t="inlineStr">
        <is>
          <t>USD</t>
        </is>
      </c>
      <c r="H13" s="14" t="n">
        <v>271.5620305787532</v>
      </c>
      <c r="I13" s="16" t="n">
        <v>183388.5119745558</v>
      </c>
      <c r="J13" s="16" t="n">
        <v>205638.6</v>
      </c>
      <c r="K13" s="14" t="n">
        <v>16.48</v>
      </c>
      <c r="L13" s="14" t="n">
        <v>20.15986</v>
      </c>
      <c r="M13" s="17">
        <f>IF(OR(F13="",K13="",K13&lt;=0),"",F13/K13)</f>
        <v/>
      </c>
      <c r="N13" s="18" t="n">
        <v>5.996062</v>
      </c>
      <c r="O13" s="19">
        <f>IF(OR(N13="",M13="",M13&lt;=0),"",N13/M13)</f>
        <v/>
      </c>
      <c r="P13" s="20" t="n">
        <v>0.34377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172.38</v>
      </c>
      <c r="AB13" s="20" t="n">
        <v>0.128</v>
      </c>
      <c r="AC13" s="20" t="n">
        <v>0.1565969756610827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2026-10-08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Moody's</t>
        </is>
      </c>
      <c r="C14" s="12" t="inlineStr">
        <is>
          <t>MCO</t>
        </is>
      </c>
      <c r="D14" s="11" t="inlineStr">
        <is>
          <t>Dati e rating</t>
        </is>
      </c>
      <c r="E14" s="13" t="inlineStr">
        <is>
          <t>Finanziario</t>
        </is>
      </c>
      <c r="F14" s="14" t="n">
        <v>456.22</v>
      </c>
      <c r="G14" s="15" t="inlineStr">
        <is>
          <t>USD</t>
        </is>
      </c>
      <c r="H14" s="14" t="n">
        <v>406.8570148456169</v>
      </c>
      <c r="I14" s="16" t="n">
        <v>70459.8727437013</v>
      </c>
      <c r="J14" s="16" t="n">
        <v>79008.60000000001</v>
      </c>
      <c r="K14" s="14" t="n">
        <v>15.76</v>
      </c>
      <c r="L14" s="14" t="n">
        <v>18.9289</v>
      </c>
      <c r="M14" s="17">
        <f>IF(OR(F14="",K14="",K14&lt;=0),"",F14/K14)</f>
        <v/>
      </c>
      <c r="N14" s="18" t="n">
        <v>26.118969</v>
      </c>
      <c r="O14" s="19">
        <f>IF(OR(N14="",M14="",M14&lt;=0),"",N14/M14)</f>
        <v/>
      </c>
      <c r="P14" s="20" t="n">
        <v>0.76932</v>
      </c>
      <c r="Q14" s="20" t="n">
        <v>0.5534057442590806</v>
      </c>
      <c r="R14" s="20" t="n">
        <v>0.04536086460562505</v>
      </c>
      <c r="S14" s="21" t="n">
        <v>4</v>
      </c>
      <c r="T14" s="20" t="n"/>
      <c r="U14" s="20" t="n">
        <v>0.6065614208189443</v>
      </c>
      <c r="V14" s="20" t="n">
        <v>0.5772791023842917</v>
      </c>
      <c r="W14" s="20" t="n">
        <v>0.4843279083785413</v>
      </c>
      <c r="X14" s="20" t="n">
        <v>0.5454545454545454</v>
      </c>
      <c r="Y14" s="14" t="n">
        <v>4.12</v>
      </c>
      <c r="Z14" s="19">
        <f>IF(OR(Y14="",F14="",F14=0),"",Y14/F14)</f>
        <v/>
      </c>
      <c r="AA14" s="22" t="n">
        <v>240.682</v>
      </c>
      <c r="AB14" s="20" t="n">
        <v>0.151</v>
      </c>
      <c r="AC14" s="20" t="n">
        <v>0.3621404591863177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2026-10-08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Target</t>
        </is>
      </c>
      <c r="C15" s="12" t="inlineStr">
        <is>
          <t>TGT</t>
        </is>
      </c>
      <c r="D15" s="11" t="inlineStr">
        <is>
          <t>Grande distribuzione</t>
        </is>
      </c>
      <c r="E15" s="13" t="inlineStr">
        <is>
          <t>Consumi</t>
        </is>
      </c>
      <c r="F15" s="14" t="n">
        <v>155.125</v>
      </c>
      <c r="G15" s="15" t="inlineStr">
        <is>
          <t>USD</t>
        </is>
      </c>
      <c r="H15" s="14" t="n">
        <v>138.3404814079311</v>
      </c>
      <c r="I15" s="16" t="n">
        <v>62846.93251106991</v>
      </c>
      <c r="J15" s="16" t="n">
        <v>70472</v>
      </c>
      <c r="K15" s="14" t="n">
        <v>9.630000000000001</v>
      </c>
      <c r="L15" s="14" t="n">
        <v>9.545249999999999</v>
      </c>
      <c r="M15" s="17">
        <f>IF(OR(F15="",K15="",K15&lt;=0),"",F15/K15)</f>
        <v/>
      </c>
      <c r="N15" s="18" t="n">
        <v>3.9495125</v>
      </c>
      <c r="O15" s="19">
        <f>IF(OR(N15="",M15="",M15&lt;=0),"",N15/M15)</f>
        <v/>
      </c>
      <c r="P15" s="20" t="n">
        <v>0.26408002</v>
      </c>
      <c r="Q15" s="20" t="n">
        <v>0.265930196598988</v>
      </c>
      <c r="R15" s="20" t="n">
        <v>0.03014032785235156</v>
      </c>
      <c r="S15" s="21" t="n">
        <v>4</v>
      </c>
      <c r="T15" s="20" t="n">
        <v>0.2291988864831426</v>
      </c>
      <c r="U15" s="20" t="n">
        <v>0.278944497477158</v>
      </c>
      <c r="V15" s="20" t="n">
        <v>0.3080702799285289</v>
      </c>
      <c r="W15" s="20" t="n">
        <v>0.2475071225071225</v>
      </c>
      <c r="X15" s="20" t="n"/>
      <c r="Y15" s="14" t="n">
        <v>4.64</v>
      </c>
      <c r="Z15" s="19">
        <f>IF(OR(Y15="",F15="",F15=0),"",Y15/F15)</f>
        <v/>
      </c>
      <c r="AA15" s="22" t="n">
        <v>107.583</v>
      </c>
      <c r="AB15" s="20" t="n">
        <v>0.053</v>
      </c>
      <c r="AC15" s="20" t="n">
        <v>0.04191639625882802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2026-10-08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Lam Research</t>
        </is>
      </c>
      <c r="C16" s="12" t="inlineStr">
        <is>
          <t>LRCX</t>
        </is>
      </c>
      <c r="D16" s="11" t="inlineStr">
        <is>
          <t>Apparecchiature semicond.</t>
        </is>
      </c>
      <c r="E16" s="13" t="inlineStr">
        <is>
          <t>Tecnologia</t>
        </is>
      </c>
      <c r="F16" s="14" t="n">
        <v>322.669</v>
      </c>
      <c r="G16" s="15" t="inlineStr">
        <is>
          <t>USD</t>
        </is>
      </c>
      <c r="H16" s="14" t="n">
        <v>287.7562275288684</v>
      </c>
      <c r="I16" s="16" t="n">
        <v>360105.2003000728</v>
      </c>
      <c r="J16" s="16" t="n">
        <v>403795.9</v>
      </c>
      <c r="K16" s="14" t="n">
        <v>5.76</v>
      </c>
      <c r="L16" s="14" t="n">
        <v>11.76415</v>
      </c>
      <c r="M16" s="17">
        <f>IF(OR(F16="",K16="",K16&lt;=0),"",F16/K16)</f>
        <v/>
      </c>
      <c r="N16" s="18" t="n">
        <v>32.373734</v>
      </c>
      <c r="O16" s="19">
        <f>IF(OR(N16="",M16="",M16&lt;=0),"",N16/M16)</f>
        <v/>
      </c>
      <c r="P16" s="20" t="n">
        <v>0.65066004</v>
      </c>
      <c r="Q16" s="20" t="n">
        <v>0.5309012392377671</v>
      </c>
      <c r="R16" s="20" t="n">
        <v>0.05000376314785111</v>
      </c>
      <c r="S16" s="21" t="n">
        <v>4</v>
      </c>
      <c r="T16" s="20" t="n">
        <v>0.5825869637054072</v>
      </c>
      <c r="U16" s="20" t="n">
        <v>0.5433405001754783</v>
      </c>
      <c r="V16" s="20" t="n">
        <v>0.4482455201468384</v>
      </c>
      <c r="W16" s="20" t="n">
        <v>0.5494319729233443</v>
      </c>
      <c r="X16" s="20" t="n">
        <v>0.7335166506699354</v>
      </c>
      <c r="Y16" s="14" t="n">
        <v>1.32</v>
      </c>
      <c r="Z16" s="19">
        <f>IF(OR(Y16="",F16="",F16=0),"",Y16/F16)</f>
        <v/>
      </c>
      <c r="AA16" s="22" t="n">
        <v>33.049</v>
      </c>
      <c r="AB16" s="20" t="n">
        <v>0.3</v>
      </c>
      <c r="AC16" s="20" t="n">
        <v>0.3127229874801411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2026-10-08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Apple</t>
        </is>
      </c>
      <c r="C17" s="12" t="inlineStr">
        <is>
          <t>AAPL</t>
        </is>
      </c>
      <c r="D17" s="11" t="inlineStr">
        <is>
          <t>Hardware / Consumer tech</t>
        </is>
      </c>
      <c r="E17" s="13" t="inlineStr">
        <is>
          <t>Tecnologia</t>
        </is>
      </c>
      <c r="F17" s="14" t="n">
        <v>338.71</v>
      </c>
      <c r="G17" s="15" t="inlineStr">
        <is>
          <t>USD</t>
        </is>
      </c>
      <c r="H17" s="14" t="n">
        <v>302.0615919914929</v>
      </c>
      <c r="I17" s="16" t="n">
        <v>4408340.970114353</v>
      </c>
      <c r="J17" s="16" t="n">
        <v>4943194.4</v>
      </c>
      <c r="K17" s="14" t="n">
        <v>8.720000000000001</v>
      </c>
      <c r="L17" s="14" t="n">
        <v>9.582850000000001</v>
      </c>
      <c r="M17" s="17">
        <f>IF(OR(F17="",K17="",K17&lt;=0),"",F17/K17)</f>
        <v/>
      </c>
      <c r="N17" s="18" t="n">
        <v>46.02038</v>
      </c>
      <c r="O17" s="19">
        <f>IF(OR(N17="",M17="",M17&lt;=0),"",N17/M17)</f>
        <v/>
      </c>
      <c r="P17" s="20" t="n">
        <v>1.4875101</v>
      </c>
      <c r="Q17" s="20" t="n">
        <v>1.673853434253124</v>
      </c>
      <c r="R17" s="20" t="n">
        <v>0.1767542683955699</v>
      </c>
      <c r="S17" s="21" t="n">
        <v>4</v>
      </c>
      <c r="T17" s="20" t="n"/>
      <c r="U17" s="20" t="n">
        <v>1.519129833317511</v>
      </c>
      <c r="V17" s="20" t="n">
        <v>1.64593503072871</v>
      </c>
      <c r="W17" s="20" t="n">
        <v>1.560760145463908</v>
      </c>
      <c r="X17" s="20" t="n">
        <v>1.969588727502368</v>
      </c>
      <c r="Y17" s="14" t="n">
        <v>1.08</v>
      </c>
      <c r="Z17" s="19">
        <f>IF(OR(Y17="",F17="",F17=0),"",Y17/F17)</f>
        <v/>
      </c>
      <c r="AA17" s="22" t="n">
        <v>78.44499999999999</v>
      </c>
      <c r="AB17" s="20" t="n">
        <v>0.164</v>
      </c>
      <c r="AC17" s="20" t="n">
        <v>0.3098079752787983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2026-10-08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United Parcel Service</t>
        </is>
      </c>
      <c r="C18" s="12" t="inlineStr">
        <is>
          <t>UPS</t>
        </is>
      </c>
      <c r="D18" s="11" t="inlineStr">
        <is>
          <t>Logistica</t>
        </is>
      </c>
      <c r="E18" s="13" t="inlineStr">
        <is>
          <t>Industriale</t>
        </is>
      </c>
      <c r="F18" s="14" t="n">
        <v>94</v>
      </c>
      <c r="G18" s="15" t="inlineStr">
        <is>
          <t>USD</t>
        </is>
      </c>
      <c r="H18" s="14" t="n">
        <v>83.82920388296871</v>
      </c>
      <c r="I18" s="16" t="n">
        <v>71320.37060355955</v>
      </c>
      <c r="J18" s="16" t="n">
        <v>79973.5</v>
      </c>
      <c r="K18" s="14" t="n">
        <v>5.38</v>
      </c>
      <c r="L18" s="14" t="n">
        <v>8.05997</v>
      </c>
      <c r="M18" s="17">
        <f>IF(OR(F18="",K18="",K18&lt;=0),"",F18/K18)</f>
        <v/>
      </c>
      <c r="N18" s="18" t="n">
        <v>5.3092346</v>
      </c>
      <c r="O18" s="19">
        <f>IF(OR(N18="",M18="",M18&lt;=0),"",N18/M18)</f>
        <v/>
      </c>
      <c r="P18" s="20" t="n">
        <v>0.29602</v>
      </c>
      <c r="Q18" s="20" t="n">
        <v>0.4151223305037616</v>
      </c>
      <c r="R18" s="20" t="n">
        <v>0.09887106435484694</v>
      </c>
      <c r="S18" s="21" t="n">
        <v>4</v>
      </c>
      <c r="T18" s="20" t="n"/>
      <c r="U18" s="20" t="n">
        <v>0.3433783200838109</v>
      </c>
      <c r="V18" s="20" t="n">
        <v>0.3458547673166646</v>
      </c>
      <c r="W18" s="20" t="n">
        <v>0.3876112330983474</v>
      </c>
      <c r="X18" s="20" t="n">
        <v>0.5836450015162236</v>
      </c>
      <c r="Y18" s="14" t="n">
        <v>6.56</v>
      </c>
      <c r="Z18" s="19">
        <f>IF(OR(Y18="",F18="",F18=0),"",Y18/F18)</f>
        <v/>
      </c>
      <c r="AA18" s="22" t="n">
        <v>189.9</v>
      </c>
      <c r="AB18" s="20" t="n">
        <v>0.076</v>
      </c>
      <c r="AC18" s="20" t="n">
        <v>0.05154464614655824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2026-10-08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379.88</v>
      </c>
      <c r="G19" s="15" t="inlineStr">
        <is>
          <t>USD</t>
        </is>
      </c>
      <c r="H19" s="14" t="n">
        <v>338.7769996921506</v>
      </c>
      <c r="I19" s="16" t="n">
        <v>636004.7679197408</v>
      </c>
      <c r="J19" s="16" t="n">
        <v>713169.7</v>
      </c>
      <c r="K19" s="14" t="n">
        <v>11.75</v>
      </c>
      <c r="L19" s="14" t="n">
        <v>15.00423</v>
      </c>
      <c r="M19" s="17">
        <f>IF(OR(F19="",K19="",K19&lt;=0),"",F19/K19)</f>
        <v/>
      </c>
      <c r="N19" s="18" t="n">
        <v>20.131426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2026-10-08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210.955</v>
      </c>
      <c r="G20" s="15" t="inlineStr">
        <is>
          <t>USD</t>
        </is>
      </c>
      <c r="H20" s="14" t="n">
        <v>188.1296777141667</v>
      </c>
      <c r="I20" s="16" t="n">
        <v>237273.835050524</v>
      </c>
      <c r="J20" s="16" t="n">
        <v>266061.7</v>
      </c>
      <c r="K20" s="14" t="n">
        <v>3.17</v>
      </c>
      <c r="L20" s="14" t="n">
        <v>5.20199</v>
      </c>
      <c r="M20" s="17">
        <f>IF(OR(F20="",K20="",K20&lt;=0),"",F20/K20)</f>
        <v/>
      </c>
      <c r="N20" s="18" t="n">
        <v>17.979631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2026-10-08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797.63</v>
      </c>
      <c r="G21" s="15" t="inlineStr">
        <is>
          <t>USD</t>
        </is>
      </c>
      <c r="H21" s="14" t="n">
        <v>711.3264669486418</v>
      </c>
      <c r="I21" s="16" t="n">
        <v>326978.9310456641</v>
      </c>
      <c r="J21" s="16" t="n">
        <v>366650.5</v>
      </c>
      <c r="K21" s="14" t="n">
        <v>23.23</v>
      </c>
      <c r="L21" s="14" t="n">
        <v>32.41743</v>
      </c>
      <c r="M21" s="17">
        <f>IF(OR(F21="",K21="",K21&lt;=0),"",F21/K21)</f>
        <v/>
      </c>
      <c r="N21" s="18" t="n">
        <v>18.90432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2026-10-08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Lockheed Martin</t>
        </is>
      </c>
      <c r="C22" s="12" t="inlineStr">
        <is>
          <t>LMT</t>
        </is>
      </c>
      <c r="D22" s="11" t="inlineStr">
        <is>
          <t>Difesa</t>
        </is>
      </c>
      <c r="E22" s="13" t="inlineStr">
        <is>
          <t>Industriale</t>
        </is>
      </c>
      <c r="F22" s="14" t="n">
        <v>507.13</v>
      </c>
      <c r="G22" s="15" t="inlineStr">
        <is>
          <t>USD</t>
        </is>
      </c>
      <c r="H22" s="14" t="n">
        <v>452.2585549486162</v>
      </c>
      <c r="I22" s="16" t="n">
        <v>104377.0794547463</v>
      </c>
      <c r="J22" s="16" t="n">
        <v>117040.9</v>
      </c>
      <c r="K22" s="14" t="n">
        <v>27.13</v>
      </c>
      <c r="L22" s="14" t="n">
        <v>32.68858</v>
      </c>
      <c r="M22" s="17">
        <f>IF(OR(F22="",K22="",K22&lt;=0),"",F22/K22)</f>
        <v/>
      </c>
      <c r="N22" s="18" t="n">
        <v>13.302816</v>
      </c>
      <c r="O22" s="19">
        <f>IF(OR(N22="",M22="",M22&lt;=0),"",N22/M22)</f>
        <v/>
      </c>
      <c r="P22" s="20" t="n">
        <v>0.8916500000000001</v>
      </c>
      <c r="Q22" s="20" t="n">
        <v>0.8050196518940778</v>
      </c>
      <c r="R22" s="20" t="n">
        <v>0.1437100287177017</v>
      </c>
      <c r="S22" s="21" t="n">
        <v>4</v>
      </c>
      <c r="T22" s="20" t="n"/>
      <c r="U22" s="20" t="n">
        <v>0.746466299657789</v>
      </c>
      <c r="V22" s="20" t="n">
        <v>0.8425706616137691</v>
      </c>
      <c r="W22" s="20" t="n">
        <v>1.012435991221653</v>
      </c>
      <c r="X22" s="20" t="n">
        <v>0.6186056550830995</v>
      </c>
      <c r="Y22" s="14" t="n">
        <v>13.8</v>
      </c>
      <c r="Z22" s="19">
        <f>IF(OR(Y22="",F22="",F22=0),"",Y22/F22)</f>
        <v/>
      </c>
      <c r="AA22" s="22" t="n">
        <v>234.238</v>
      </c>
      <c r="AB22" s="20" t="n">
        <v>0.105</v>
      </c>
      <c r="AC22" s="20" t="n">
        <v>0.08377305276622961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2026-10-08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Mastercard</t>
        </is>
      </c>
      <c r="C23" s="12" t="inlineStr">
        <is>
          <t>MA</t>
        </is>
      </c>
      <c r="D23" s="11" t="inlineStr">
        <is>
          <t>Pagamenti</t>
        </is>
      </c>
      <c r="E23" s="13" t="inlineStr">
        <is>
          <t>Finanziario</t>
        </is>
      </c>
      <c r="F23" s="14" t="n">
        <v>580.96</v>
      </c>
      <c r="G23" s="15" t="inlineStr">
        <is>
          <t>USD</t>
        </is>
      </c>
      <c r="H23" s="14" t="n">
        <v>518.100151998399</v>
      </c>
      <c r="I23" s="16" t="n">
        <v>453860.9412628387</v>
      </c>
      <c r="J23" s="16" t="n">
        <v>508926.8</v>
      </c>
      <c r="K23" s="14" t="n">
        <v>18.18</v>
      </c>
      <c r="L23" s="14" t="n">
        <v>23.02481</v>
      </c>
      <c r="M23" s="17">
        <f>IF(OR(F23="",K23="",K23&lt;=0),"",F23/K23)</f>
        <v/>
      </c>
      <c r="N23" s="18" t="n">
        <v>90.83177000000001</v>
      </c>
      <c r="O23" s="19">
        <f>IF(OR(N23="",M23="",M23&lt;=0),"",N23/M23)</f>
        <v/>
      </c>
      <c r="P23" s="20" t="n">
        <v>2.41202</v>
      </c>
      <c r="Q23" s="20" t="n">
        <v>1.778040213012595</v>
      </c>
      <c r="R23" s="20" t="n">
        <v>0.1832547811414374</v>
      </c>
      <c r="S23" s="21" t="n">
        <v>4</v>
      </c>
      <c r="T23" s="20" t="n"/>
      <c r="U23" s="20" t="n">
        <v>1.934599974150187</v>
      </c>
      <c r="V23" s="20" t="n">
        <v>1.985196607555898</v>
      </c>
      <c r="W23" s="20" t="n">
        <v>1.615673257324289</v>
      </c>
      <c r="X23" s="20" t="n">
        <v>1.576691013020006</v>
      </c>
      <c r="Y23" s="14" t="n">
        <v>3.48</v>
      </c>
      <c r="Z23" s="19">
        <f>IF(OR(Y23="",F23="",F23=0),"",Y23/F23)</f>
        <v/>
      </c>
      <c r="AA23" s="22" t="n">
        <v>439.583</v>
      </c>
      <c r="AB23" s="20" t="n">
        <v>0.141</v>
      </c>
      <c r="AC23" s="20" t="n">
        <v>0.4957762937391357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2026-10-08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Travelers</t>
        </is>
      </c>
      <c r="C24" s="12" t="inlineStr">
        <is>
          <t>TRV</t>
        </is>
      </c>
      <c r="D24" s="11" t="inlineStr">
        <is>
          <t>Assicurazione</t>
        </is>
      </c>
      <c r="E24" s="13" t="inlineStr">
        <is>
          <t>Finanziario</t>
        </is>
      </c>
      <c r="F24" s="14" t="n">
        <v>370.895</v>
      </c>
      <c r="G24" s="15" t="inlineStr">
        <is>
          <t>USD</t>
        </is>
      </c>
      <c r="H24" s="14" t="n">
        <v>330.7641763209966</v>
      </c>
      <c r="I24" s="16" t="n">
        <v>68989.11611557585</v>
      </c>
      <c r="J24" s="16" t="n">
        <v>77359.39999999999</v>
      </c>
      <c r="K24" s="14" t="n">
        <v>37.23</v>
      </c>
      <c r="L24" s="14" t="n">
        <v>30.32642</v>
      </c>
      <c r="M24" s="17">
        <f>IF(OR(F24="",K24="",K24&lt;=0),"",F24/K24)</f>
        <v/>
      </c>
      <c r="N24" s="18" t="n">
        <v>2.3359344</v>
      </c>
      <c r="O24" s="19">
        <f>IF(OR(N24="",M24="",M24&lt;=0),"",N24/M24)</f>
        <v/>
      </c>
      <c r="P24" s="20" t="n">
        <v>0.26511</v>
      </c>
      <c r="Q24" s="20" t="n">
        <v>0.1556010112383756</v>
      </c>
      <c r="R24" s="20" t="n">
        <v>0.03026061633724604</v>
      </c>
      <c r="S24" s="21" t="n">
        <v>4</v>
      </c>
      <c r="T24" s="20" t="n"/>
      <c r="U24" s="20" t="n">
        <v>0.1911594819723962</v>
      </c>
      <c r="V24" s="20" t="n">
        <v>0.1794071202985932</v>
      </c>
      <c r="W24" s="20" t="n">
        <v>0.1200192608643313</v>
      </c>
      <c r="X24" s="20" t="n">
        <v>0.1318181818181818</v>
      </c>
      <c r="Y24" s="14" t="n">
        <v>5</v>
      </c>
      <c r="Z24" s="19">
        <f>IF(OR(Y24="",F24="",F24=0),"",Y24/F24)</f>
        <v/>
      </c>
      <c r="AA24" s="22" t="n">
        <v>27.378</v>
      </c>
      <c r="AB24" s="20" t="n">
        <v>0.003</v>
      </c>
      <c r="AC24" s="20" t="n">
        <v>0.1688170682395347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2026-10-08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KLA Corporation</t>
        </is>
      </c>
      <c r="C25" s="12" t="inlineStr">
        <is>
          <t>KLAC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196.17</v>
      </c>
      <c r="G25" s="15" t="inlineStr">
        <is>
          <t>USD</t>
        </is>
      </c>
      <c r="H25" s="14" t="n">
        <v>174.9444141034252</v>
      </c>
      <c r="I25" s="16" t="n">
        <v>228326.8511360997</v>
      </c>
      <c r="J25" s="16" t="n">
        <v>256029.2</v>
      </c>
      <c r="K25" s="14" t="n">
        <v>3.66</v>
      </c>
      <c r="L25" s="14" t="n">
        <v>6.74039</v>
      </c>
      <c r="M25" s="17">
        <f>IF(OR(F25="",K25="",K25&lt;=0),"",F25/K25)</f>
        <v/>
      </c>
      <c r="N25" s="18" t="n">
        <v>40.384933</v>
      </c>
      <c r="O25" s="19">
        <f>IF(OR(N25="",M25="",M25&lt;=0),"",N25/M25)</f>
        <v/>
      </c>
      <c r="P25" s="20" t="n">
        <v>0.87496</v>
      </c>
      <c r="Q25" s="20" t="n">
        <v>0.9016067947009443</v>
      </c>
      <c r="R25" s="20" t="n">
        <v>0.1538102798939616</v>
      </c>
      <c r="S25" s="21" t="n">
        <v>4</v>
      </c>
      <c r="T25" s="20" t="n">
        <v>0.7607729037988479</v>
      </c>
      <c r="U25" s="20" t="n">
        <v>0.8655692449130551</v>
      </c>
      <c r="V25" s="20" t="n">
        <v>0.8199605264095421</v>
      </c>
      <c r="W25" s="20" t="n">
        <v>1.160124503682332</v>
      </c>
      <c r="X25" s="20" t="n">
        <v>2.370431819008942</v>
      </c>
      <c r="Y25" s="14" t="n">
        <v>0.92</v>
      </c>
      <c r="Z25" s="19">
        <f>IF(OR(Y25="",F25="",F25=0),"",Y25/F25)</f>
        <v/>
      </c>
      <c r="AA25" s="22" t="n">
        <v>96.88</v>
      </c>
      <c r="AB25" s="20" t="n">
        <v>0.152</v>
      </c>
      <c r="AC25" s="20" t="n">
        <v>0.3557406191520203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2026-10-08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Applied Materials</t>
        </is>
      </c>
      <c r="C26" s="12" t="inlineStr">
        <is>
          <t>AMAT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521.9</v>
      </c>
      <c r="G26" s="15" t="inlineStr">
        <is>
          <t>USD</t>
        </is>
      </c>
      <c r="H26" s="14" t="n">
        <v>465.9001111589995</v>
      </c>
      <c r="I26" s="16" t="n">
        <v>369737.1319978304</v>
      </c>
      <c r="J26" s="16" t="n">
        <v>414178.5</v>
      </c>
      <c r="K26" s="14" t="n">
        <v>11.59</v>
      </c>
      <c r="L26" s="14" t="n">
        <v>18.4658</v>
      </c>
      <c r="M26" s="17">
        <f>IF(OR(F26="",K26="",K26&lt;=0),"",F26/K26)</f>
        <v/>
      </c>
      <c r="N26" s="18" t="n">
        <v>16.1624</v>
      </c>
      <c r="O26" s="19">
        <f>IF(OR(N26="",M26="",M26&lt;=0),"",N26/M26)</f>
        <v/>
      </c>
      <c r="P26" s="20" t="n">
        <v>0.41068</v>
      </c>
      <c r="Q26" s="20" t="n">
        <v>0.4187390558280515</v>
      </c>
      <c r="R26" s="20" t="n">
        <v>0.07244233633790677</v>
      </c>
      <c r="S26" s="21" t="n">
        <v>4</v>
      </c>
      <c r="T26" s="20" t="n"/>
      <c r="U26" s="20" t="n">
        <v>0.3427871662992897</v>
      </c>
      <c r="V26" s="20" t="n">
        <v>0.377716962265144</v>
      </c>
      <c r="W26" s="20" t="n">
        <v>0.4193528656186923</v>
      </c>
      <c r="X26" s="20" t="n">
        <v>0.5350992291290799</v>
      </c>
      <c r="Y26" s="14" t="n">
        <v>2.12</v>
      </c>
      <c r="Z26" s="19">
        <f>IF(OR(Y26="",F26="",F26=0),"",Y26/F26)</f>
        <v/>
      </c>
      <c r="AA26" s="22" t="n">
        <v>28.666</v>
      </c>
      <c r="AB26" s="20" t="n">
        <v>0.248</v>
      </c>
      <c r="AC26" s="20" t="n">
        <v>0.3266709080654258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2026-10-07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Eli Lilly</t>
        </is>
      </c>
      <c r="C27" s="12" t="inlineStr">
        <is>
          <t>LLY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1154.79</v>
      </c>
      <c r="G27" s="15" t="inlineStr">
        <is>
          <t>USD</t>
        </is>
      </c>
      <c r="H27" s="14" t="n">
        <v>1029.841769702271</v>
      </c>
      <c r="I27" s="16" t="n">
        <v>917956.7148797549</v>
      </c>
      <c r="J27" s="16" t="n">
        <v>1029330.2</v>
      </c>
      <c r="K27" s="14" t="n">
        <v>29.79</v>
      </c>
      <c r="L27" s="14" t="n">
        <v>47.59245</v>
      </c>
      <c r="M27" s="17">
        <f>IF(OR(F27="",K27="",K27&lt;=0),"",F27/K27)</f>
        <v/>
      </c>
      <c r="N27" s="18" t="n">
        <v>30.387613</v>
      </c>
      <c r="O27" s="19">
        <f>IF(OR(N27="",M27="",M27&lt;=0),"",N27/M27)</f>
        <v/>
      </c>
      <c r="P27" s="20" t="n">
        <v>1.02286</v>
      </c>
      <c r="Q27" s="20" t="n">
        <v>0.6481702467386419</v>
      </c>
      <c r="R27" s="20" t="n">
        <v>0.1178900700269788</v>
      </c>
      <c r="S27" s="21" t="n">
        <v>4</v>
      </c>
      <c r="T27" s="20" t="n"/>
      <c r="U27" s="20" t="n">
        <v>0.7778405879027699</v>
      </c>
      <c r="V27" s="20" t="n">
        <v>0.7420123318385651</v>
      </c>
      <c r="W27" s="20" t="n">
        <v>0.4864508582515619</v>
      </c>
      <c r="X27" s="20" t="n">
        <v>0.5863772089616707</v>
      </c>
      <c r="Y27" s="14" t="n">
        <v>6.92</v>
      </c>
      <c r="Z27" s="19">
        <f>IF(OR(Y27="",F27="",F27=0),"",Y27/F27)</f>
        <v/>
      </c>
      <c r="AA27" s="22" t="n">
        <v>162.071</v>
      </c>
      <c r="AB27" s="20" t="n">
        <v>0.477</v>
      </c>
      <c r="AC27" s="20" t="n">
        <v>0.4098098933705641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2026-10-08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United Rentals</t>
        </is>
      </c>
      <c r="C28" s="12" t="inlineStr">
        <is>
          <t>URI</t>
        </is>
      </c>
      <c r="D28" s="11" t="inlineStr">
        <is>
          <t>Noleggio attrezzature</t>
        </is>
      </c>
      <c r="E28" s="13" t="inlineStr">
        <is>
          <t>Industriale</t>
        </is>
      </c>
      <c r="F28" s="14" t="n">
        <v>1049.945</v>
      </c>
      <c r="G28" s="15" t="inlineStr">
        <is>
          <t>USD</t>
        </is>
      </c>
      <c r="H28" s="14" t="n">
        <v>936.3409943713147</v>
      </c>
      <c r="I28" s="16" t="n">
        <v>58280.20285953899</v>
      </c>
      <c r="J28" s="16" t="n">
        <v>65351.2</v>
      </c>
      <c r="K28" s="14" t="n">
        <v>41.59</v>
      </c>
      <c r="L28" s="14" t="n">
        <v>57.31793</v>
      </c>
      <c r="M28" s="17">
        <f>IF(OR(F28="",K28="",K28&lt;=0),"",F28/K28)</f>
        <v/>
      </c>
      <c r="N28" s="18" t="n">
        <v>7.0957565</v>
      </c>
      <c r="O28" s="19">
        <f>IF(OR(N28="",M28="",M28&lt;=0),"",N28/M28)</f>
        <v/>
      </c>
      <c r="P28" s="20" t="n">
        <v>0.28895</v>
      </c>
      <c r="Q28" s="20" t="n">
        <v>0.2932459241968061</v>
      </c>
      <c r="R28" s="20" t="n">
        <v>0.008747380113543703</v>
      </c>
      <c r="S28" s="21" t="n">
        <v>4</v>
      </c>
      <c r="T28" s="20" t="n"/>
      <c r="U28" s="20" t="n">
        <v>0.278099910793934</v>
      </c>
      <c r="V28" s="20" t="n">
        <v>0.298654604500116</v>
      </c>
      <c r="W28" s="20" t="n">
        <v>0.2981549815498155</v>
      </c>
      <c r="X28" s="20" t="n">
        <v>0.2980741999433588</v>
      </c>
      <c r="Y28" s="14" t="n">
        <v>7.88</v>
      </c>
      <c r="Z28" s="19">
        <f>IF(OR(Y28="",F28="",F28=0),"",Y28/F28)</f>
        <v/>
      </c>
      <c r="AA28" s="22" t="n">
        <v>166.793</v>
      </c>
      <c r="AB28" s="20" t="n">
        <v>0.118</v>
      </c>
      <c r="AC28" s="20" t="n">
        <v>0.1638611173364805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2026-10-08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JPMorgan Chase</t>
        </is>
      </c>
      <c r="C29" s="12" t="inlineStr">
        <is>
          <t>JPM</t>
        </is>
      </c>
      <c r="D29" s="11" t="inlineStr">
        <is>
          <t>Banca</t>
        </is>
      </c>
      <c r="E29" s="13" t="inlineStr">
        <is>
          <t>Finanziario</t>
        </is>
      </c>
      <c r="F29" s="14" t="n">
        <v>330.345</v>
      </c>
      <c r="G29" s="15" t="inlineStr">
        <is>
          <t>USD</t>
        </is>
      </c>
      <c r="H29" s="14" t="n">
        <v>294.60168464595</v>
      </c>
      <c r="I29" s="16" t="n">
        <v>783106.2037534793</v>
      </c>
      <c r="J29" s="16" t="n">
        <v>878118.6</v>
      </c>
      <c r="K29" s="14" t="n">
        <v>23.34</v>
      </c>
      <c r="L29" s="14" t="n">
        <v>25.02953</v>
      </c>
      <c r="M29" s="17">
        <f>IF(OR(F29="",K29="",K29&lt;=0),"",F29/K29)</f>
        <v/>
      </c>
      <c r="N29" s="18" t="n">
        <v>2.4836662</v>
      </c>
      <c r="O29" s="19">
        <f>IF(OR(N29="",M29="",M29&lt;=0),"",N29/M29)</f>
        <v/>
      </c>
      <c r="P29" s="20" t="n">
        <v>0.17789</v>
      </c>
      <c r="Q29" s="20" t="n">
        <v>0.1517527710837262</v>
      </c>
      <c r="R29" s="20" t="n">
        <v>0.01478123957270239</v>
      </c>
      <c r="S29" s="21" t="n">
        <v>4</v>
      </c>
      <c r="T29" s="20" t="n"/>
      <c r="U29" s="20" t="n">
        <v>0.1574007140531622</v>
      </c>
      <c r="V29" s="20" t="n">
        <v>0.1696001253052866</v>
      </c>
      <c r="W29" s="20" t="n">
        <v>0.1511293834902006</v>
      </c>
      <c r="X29" s="20" t="n">
        <v>0.1288808614862554</v>
      </c>
      <c r="Y29" s="14" t="n">
        <v>6.6</v>
      </c>
      <c r="Z29" s="19">
        <f>IF(OR(Y29="",F29="",F29=0),"",Y29/F29)</f>
        <v/>
      </c>
      <c r="AA29" s="22" t="n"/>
      <c r="AB29" s="20" t="n">
        <v>0.304</v>
      </c>
      <c r="AC29" s="20" t="n">
        <v>0.349931546409894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2026-10-08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Bank of America</t>
        </is>
      </c>
      <c r="C30" s="12" t="inlineStr">
        <is>
          <t>BAC</t>
        </is>
      </c>
      <c r="D30" s="11" t="inlineStr">
        <is>
          <t>Banca</t>
        </is>
      </c>
      <c r="E30" s="13" t="inlineStr">
        <is>
          <t>Finanziario</t>
        </is>
      </c>
      <c r="F30" s="14" t="n">
        <v>53.04</v>
      </c>
      <c r="G30" s="15" t="inlineStr">
        <is>
          <t>USD</t>
        </is>
      </c>
      <c r="H30" s="14" t="n">
        <v>47.30107419098575</v>
      </c>
      <c r="I30" s="16" t="n">
        <v>330764.5330410132</v>
      </c>
      <c r="J30" s="16" t="n">
        <v>370895.4</v>
      </c>
      <c r="K30" s="14" t="n">
        <v>4.33</v>
      </c>
      <c r="L30" s="14" t="n">
        <v>5.2446</v>
      </c>
      <c r="M30" s="17">
        <f>IF(OR(F30="",K30="",K30&lt;=0),"",F30/K30)</f>
        <v/>
      </c>
      <c r="N30" s="18" t="n">
        <v>1.3481776</v>
      </c>
      <c r="O30" s="19">
        <f>IF(OR(N30="",M30="",M30&lt;=0),"",N30/M30)</f>
        <v/>
      </c>
      <c r="P30" s="20" t="n">
        <v>0.111990005</v>
      </c>
      <c r="Q30" s="20" t="n">
        <v>0.09583073596940467</v>
      </c>
      <c r="R30" s="20" t="n">
        <v>0.004886619979617854</v>
      </c>
      <c r="S30" s="21" t="n">
        <v>4</v>
      </c>
      <c r="T30" s="20" t="n"/>
      <c r="U30" s="20" t="n">
        <v>0.1006090824850038</v>
      </c>
      <c r="V30" s="20" t="n">
        <v>0.09175644553906444</v>
      </c>
      <c r="W30" s="20" t="n">
        <v>0.0901949623859062</v>
      </c>
      <c r="X30" s="20" t="n">
        <v>0.1007624534676442</v>
      </c>
      <c r="Y30" s="14" t="n">
        <v>1.28</v>
      </c>
      <c r="Z30" s="19">
        <f>IF(OR(Y30="",F30="",F30=0),"",Y30/F30)</f>
        <v/>
      </c>
      <c r="AA30" s="22" t="n"/>
      <c r="AB30" s="20" t="n">
        <v>0.168</v>
      </c>
      <c r="AC30" s="20" t="n">
        <v>0.2840482035774601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2026-10-08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Nike</t>
        </is>
      </c>
      <c r="C31" s="12" t="inlineStr">
        <is>
          <t>NKE</t>
        </is>
      </c>
      <c r="D31" s="11" t="inlineStr">
        <is>
          <t>Abbigliamento sportivo</t>
        </is>
      </c>
      <c r="E31" s="13" t="inlineStr">
        <is>
          <t>Consumi</t>
        </is>
      </c>
      <c r="F31" s="14" t="n">
        <v>34.685</v>
      </c>
      <c r="G31" s="15" t="inlineStr">
        <is>
          <t>USD</t>
        </is>
      </c>
      <c r="H31" s="14" t="n">
        <v>30.93208443277415</v>
      </c>
      <c r="I31" s="16" t="n">
        <v>45943.66534811057</v>
      </c>
      <c r="J31" s="16" t="n">
        <v>51517.9</v>
      </c>
      <c r="K31" s="14" t="n">
        <v>2.08</v>
      </c>
      <c r="L31" s="14" t="n">
        <v>1.70102</v>
      </c>
      <c r="M31" s="17">
        <f>IF(OR(F31="",K31="",K31&lt;=0),"",F31/K31)</f>
        <v/>
      </c>
      <c r="N31" s="18" t="n">
        <v>3.4601955</v>
      </c>
      <c r="O31" s="19">
        <f>IF(OR(N31="",M31="",M31&lt;=0),"",N31/M31)</f>
        <v/>
      </c>
      <c r="P31" s="20" t="n">
        <v>0.21563</v>
      </c>
      <c r="Q31" s="20" t="n">
        <v>0.3024388129670675</v>
      </c>
      <c r="R31" s="20" t="n">
        <v>0.07793665822629463</v>
      </c>
      <c r="S31" s="21" t="n">
        <v>4</v>
      </c>
      <c r="T31" s="20" t="n">
        <v>0.2090817356205853</v>
      </c>
      <c r="U31" s="20" t="n">
        <v>0.2436237039279497</v>
      </c>
      <c r="V31" s="20" t="n">
        <v>0.395010395010395</v>
      </c>
      <c r="W31" s="20" t="n">
        <v>0.3620394173093402</v>
      </c>
      <c r="X31" s="20" t="n"/>
      <c r="Y31" s="14" t="n">
        <v>1.64</v>
      </c>
      <c r="Z31" s="19">
        <f>IF(OR(Y31="",F31="",F31=0),"",Y31/F31)</f>
        <v/>
      </c>
      <c r="AA31" s="22" t="n">
        <v>73.095</v>
      </c>
      <c r="AB31" s="20" t="n">
        <v>-0.043</v>
      </c>
      <c r="AC31" s="20" t="n">
        <v>0.06666235475667055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2026-10-08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Northrop Grumman</t>
        </is>
      </c>
      <c r="C32" s="12" t="inlineStr">
        <is>
          <t>NOC</t>
        </is>
      </c>
      <c r="D32" s="11" t="inlineStr">
        <is>
          <t>Difesa</t>
        </is>
      </c>
      <c r="E32" s="13" t="inlineStr">
        <is>
          <t>Industriale</t>
        </is>
      </c>
      <c r="F32" s="14" t="n">
        <v>485.5</v>
      </c>
      <c r="G32" s="15" t="inlineStr">
        <is>
          <t>USD</t>
        </is>
      </c>
      <c r="H32" s="14" t="n">
        <v>432.9689200551203</v>
      </c>
      <c r="I32" s="16" t="n">
        <v>61508.87572909112</v>
      </c>
      <c r="J32" s="16" t="n">
        <v>68971.60000000001</v>
      </c>
      <c r="K32" s="14" t="n">
        <v>31.46</v>
      </c>
      <c r="L32" s="14" t="n">
        <v>30.448</v>
      </c>
      <c r="M32" s="17">
        <f>IF(OR(F32="",K32="",K32&lt;=0),"",F32/K32)</f>
        <v/>
      </c>
      <c r="N32" s="18" t="n">
        <v>3.8566027</v>
      </c>
      <c r="O32" s="19">
        <f>IF(OR(N32="",M32="",M32&lt;=0),"",N32/M32)</f>
        <v/>
      </c>
      <c r="P32" s="20" t="n">
        <v>0.26958</v>
      </c>
      <c r="Q32" s="20" t="n">
        <v>0.2456284021316426</v>
      </c>
      <c r="R32" s="20" t="n">
        <v>0.06641956155607608</v>
      </c>
      <c r="S32" s="21" t="n">
        <v>4</v>
      </c>
      <c r="T32" s="20" t="n"/>
      <c r="U32" s="20" t="n">
        <v>0.250809643756747</v>
      </c>
      <c r="V32" s="20" t="n">
        <v>0.2729888816219752</v>
      </c>
      <c r="W32" s="20" t="n">
        <v>0.1389658668469077</v>
      </c>
      <c r="X32" s="20" t="n">
        <v>0.3197492163009404</v>
      </c>
      <c r="Y32" s="14" t="n">
        <v>9.880000000000001</v>
      </c>
      <c r="Z32" s="19">
        <f>IF(OR(Y32="",F32="",F32=0),"",Y32/F32)</f>
        <v/>
      </c>
      <c r="AA32" s="22" t="n">
        <v>95.348</v>
      </c>
      <c r="AB32" s="20" t="n">
        <v>0.051</v>
      </c>
      <c r="AC32" s="20" t="n">
        <v>0.1071649902273919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2026-10-08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Union Pacific</t>
        </is>
      </c>
      <c r="C33" s="12" t="inlineStr">
        <is>
          <t>UNP</t>
        </is>
      </c>
      <c r="D33" s="11" t="inlineStr">
        <is>
          <t>Ferrovie</t>
        </is>
      </c>
      <c r="E33" s="13" t="inlineStr">
        <is>
          <t>Industriale</t>
        </is>
      </c>
      <c r="F33" s="14" t="n">
        <v>278.01</v>
      </c>
      <c r="G33" s="15" t="inlineStr">
        <is>
          <t>USD</t>
        </is>
      </c>
      <c r="H33" s="14" t="n">
        <v>247.9293294840865</v>
      </c>
      <c r="I33" s="16" t="n">
        <v>147288.7138424132</v>
      </c>
      <c r="J33" s="16" t="n">
        <v>165158.9</v>
      </c>
      <c r="K33" s="14" t="n">
        <v>12.34</v>
      </c>
      <c r="L33" s="14" t="n">
        <v>14.2141</v>
      </c>
      <c r="M33" s="17">
        <f>IF(OR(F33="",K33="",K33&lt;=0),"",F33/K33)</f>
        <v/>
      </c>
      <c r="N33" s="18" t="n">
        <v>7.9874163</v>
      </c>
      <c r="O33" s="19">
        <f>IF(OR(N33="",M33="",M33&lt;=0),"",N33/M33)</f>
        <v/>
      </c>
      <c r="P33" s="20" t="n">
        <v>0.39696</v>
      </c>
      <c r="Q33" s="20" t="n">
        <v>0.4481773006556505</v>
      </c>
      <c r="R33" s="20" t="n">
        <v>0.07521532837259973</v>
      </c>
      <c r="S33" s="21" t="n">
        <v>4</v>
      </c>
      <c r="T33" s="20" t="n"/>
      <c r="U33" s="20" t="n">
        <v>0.3865273190014621</v>
      </c>
      <c r="V33" s="20" t="n">
        <v>0.3994671403197158</v>
      </c>
      <c r="W33" s="20" t="n">
        <v>0.4313632675142007</v>
      </c>
      <c r="X33" s="20" t="n">
        <v>0.5753514757872236</v>
      </c>
      <c r="Y33" s="14" t="n">
        <v>5.68</v>
      </c>
      <c r="Z33" s="19">
        <f>IF(OR(Y33="",F33="",F33=0),"",Y33/F33)</f>
        <v/>
      </c>
      <c r="AA33" s="22" t="n">
        <v>150.772</v>
      </c>
      <c r="AB33" s="20" t="n">
        <v>0.115</v>
      </c>
      <c r="AC33" s="20" t="n">
        <v>0.2990616022847817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2026-10-08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Airbnb</t>
        </is>
      </c>
      <c r="C34" s="12" t="inlineStr">
        <is>
          <t>ABNB</t>
        </is>
      </c>
      <c r="D34" s="11" t="inlineStr">
        <is>
          <t>Viaggi / Piattaforme</t>
        </is>
      </c>
      <c r="E34" s="13" t="inlineStr">
        <is>
          <t>Consumi</t>
        </is>
      </c>
      <c r="F34" s="14" t="n">
        <v>163.68</v>
      </c>
      <c r="G34" s="15" t="inlineStr">
        <is>
          <t>USD</t>
        </is>
      </c>
      <c r="H34" s="14" t="n">
        <v>145.9698307613226</v>
      </c>
      <c r="I34" s="16" t="n">
        <v>87404.60860858146</v>
      </c>
      <c r="J34" s="16" t="n">
        <v>98009.2</v>
      </c>
      <c r="K34" s="14" t="n">
        <v>4.39</v>
      </c>
      <c r="L34" s="14" t="n">
        <v>6.18736</v>
      </c>
      <c r="M34" s="17">
        <f>IF(OR(F34="",K34="",K34&lt;=0),"",F34/K34)</f>
        <v/>
      </c>
      <c r="N34" s="18" t="n">
        <v>12.382176</v>
      </c>
      <c r="O34" s="19">
        <f>IF(OR(N34="",M34="",M34&lt;=0),"",N34/M34)</f>
        <v/>
      </c>
      <c r="P34" s="20" t="n">
        <v>0.34542</v>
      </c>
      <c r="Q34" s="20" t="n">
        <v>0.3871020421928419</v>
      </c>
      <c r="R34" s="20" t="n">
        <v>0.1160358943905926</v>
      </c>
      <c r="S34" s="21" t="n">
        <v>4</v>
      </c>
      <c r="T34" s="20" t="n"/>
      <c r="U34" s="20" t="n">
        <v>0.3062568605927552</v>
      </c>
      <c r="V34" s="20" t="n">
        <v>0.3147883975273419</v>
      </c>
      <c r="W34" s="20" t="n">
        <v>0.5868952847519902</v>
      </c>
      <c r="X34" s="20" t="n">
        <v>0.3404676258992806</v>
      </c>
      <c r="Y34" s="14" t="n"/>
      <c r="Z34" s="19">
        <f>IF(OR(Y34="",F34="",F34=0),"",Y34/F34)</f>
        <v/>
      </c>
      <c r="AA34" s="22" t="n">
        <v>32.004</v>
      </c>
      <c r="AB34" s="20" t="n">
        <v>0.165</v>
      </c>
      <c r="AC34" s="20" t="n">
        <v>0.2198349860305531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2026-10-08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Netflix</t>
        </is>
      </c>
      <c r="C35" s="12" t="inlineStr">
        <is>
          <t>NFLX</t>
        </is>
      </c>
      <c r="D35" s="11" t="inlineStr">
        <is>
          <t>Streaming</t>
        </is>
      </c>
      <c r="E35" s="13" t="inlineStr">
        <is>
          <t>Consumi</t>
        </is>
      </c>
      <c r="F35" s="14" t="n">
        <v>71.0051</v>
      </c>
      <c r="G35" s="15" t="inlineStr">
        <is>
          <t>USD</t>
        </is>
      </c>
      <c r="H35" s="14" t="n">
        <v>63.32235111309129</v>
      </c>
      <c r="I35" s="16" t="n">
        <v>263670.402833213</v>
      </c>
      <c r="J35" s="16" t="n">
        <v>295660.9</v>
      </c>
      <c r="K35" s="14" t="n">
        <v>3.18</v>
      </c>
      <c r="L35" s="14" t="n">
        <v>3.80662</v>
      </c>
      <c r="M35" s="17">
        <f>IF(OR(F35="",K35="",K35&lt;=0),"",F35/K35)</f>
        <v/>
      </c>
      <c r="N35" s="18" t="n">
        <v>9.805979000000001</v>
      </c>
      <c r="O35" s="19">
        <f>IF(OR(N35="",M35="",M35&lt;=0),"",N35/M35)</f>
        <v/>
      </c>
      <c r="P35" s="20" t="n">
        <v>0.49541</v>
      </c>
      <c r="Q35" s="20" t="n">
        <v>0.3108822652973959</v>
      </c>
      <c r="R35" s="20" t="n">
        <v>0.07637252776064919</v>
      </c>
      <c r="S35" s="21" t="n">
        <v>4</v>
      </c>
      <c r="T35" s="20" t="n"/>
      <c r="U35" s="20" t="n">
        <v>0.4125868742290204</v>
      </c>
      <c r="V35" s="20" t="n">
        <v>0.3520766023750739</v>
      </c>
      <c r="W35" s="20" t="n">
        <v>0.262672808597771</v>
      </c>
      <c r="X35" s="20" t="n">
        <v>0.2161927759877186</v>
      </c>
      <c r="Y35" s="14" t="n"/>
      <c r="Z35" s="19">
        <f>IF(OR(Y35="",F35="",F35=0),"",Y35/F35)</f>
        <v/>
      </c>
      <c r="AA35" s="22" t="n">
        <v>55.236</v>
      </c>
      <c r="AB35" s="20" t="n">
        <v>0.134</v>
      </c>
      <c r="AC35" s="20" t="n">
        <v>0.3020966208645209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2026-10-08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Coca-Cola</t>
        </is>
      </c>
      <c r="C36" s="12" t="inlineStr">
        <is>
          <t>KO</t>
        </is>
      </c>
      <c r="D36" s="11" t="inlineStr">
        <is>
          <t>Bevande</t>
        </is>
      </c>
      <c r="E36" s="13" t="inlineStr">
        <is>
          <t>Consumi</t>
        </is>
      </c>
      <c r="F36" s="14" t="n">
        <v>87.655</v>
      </c>
      <c r="G36" s="15" t="inlineStr">
        <is>
          <t>USD</t>
        </is>
      </c>
      <c r="H36" s="14" t="n">
        <v>78.17073262086832</v>
      </c>
      <c r="I36" s="16" t="n">
        <v>336333.3783989621</v>
      </c>
      <c r="J36" s="16" t="n">
        <v>377139.9</v>
      </c>
      <c r="K36" s="14" t="n">
        <v>3.33</v>
      </c>
      <c r="L36" s="14" t="n">
        <v>3.52639</v>
      </c>
      <c r="M36" s="17">
        <f>IF(OR(F36="",K36="",K36&lt;=0),"",F36/K36)</f>
        <v/>
      </c>
      <c r="N36" s="18" t="n">
        <v>10.433877</v>
      </c>
      <c r="O36" s="19">
        <f>IF(OR(N36="",M36="",M36&lt;=0),"",N36/M36)</f>
        <v/>
      </c>
      <c r="P36" s="20" t="n">
        <v>0.42054</v>
      </c>
      <c r="Q36" s="20" t="n">
        <v>0.4110027875944097</v>
      </c>
      <c r="R36" s="20" t="n">
        <v>0.01145865829768229</v>
      </c>
      <c r="S36" s="21" t="n">
        <v>4</v>
      </c>
      <c r="T36" s="20" t="n"/>
      <c r="U36" s="20" t="n">
        <v>0.4074419472162641</v>
      </c>
      <c r="V36" s="20" t="n">
        <v>0.4277035725780496</v>
      </c>
      <c r="W36" s="20" t="n">
        <v>0.4130141474885317</v>
      </c>
      <c r="X36" s="20" t="n">
        <v>0.3958514830947936</v>
      </c>
      <c r="Y36" s="14" t="n">
        <v>2.12</v>
      </c>
      <c r="Z36" s="19">
        <f>IF(OR(Y36="",F36="",F36=0),"",Y36/F36)</f>
        <v/>
      </c>
      <c r="AA36" s="22" t="n">
        <v>115.519</v>
      </c>
      <c r="AB36" s="20" t="n">
        <v>0.067</v>
      </c>
      <c r="AC36" s="20" t="n">
        <v>0.2986170554640079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2026-10-08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Sherwin-Williams</t>
        </is>
      </c>
      <c r="C37" s="12" t="inlineStr">
        <is>
          <t>SHW</t>
        </is>
      </c>
      <c r="D37" s="11" t="inlineStr">
        <is>
          <t>Vernici</t>
        </is>
      </c>
      <c r="E37" s="13" t="inlineStr">
        <is>
          <t>Materiali</t>
        </is>
      </c>
      <c r="F37" s="14" t="n">
        <v>320.34</v>
      </c>
      <c r="G37" s="15" t="inlineStr">
        <is>
          <t>USD</t>
        </is>
      </c>
      <c r="H37" s="14" t="n">
        <v>285.6792252326617</v>
      </c>
      <c r="I37" s="16" t="n">
        <v>69350.91939233459</v>
      </c>
      <c r="J37" s="16" t="n">
        <v>77765.10000000001</v>
      </c>
      <c r="K37" s="14" t="n">
        <v>10.85</v>
      </c>
      <c r="L37" s="14" t="n">
        <v>13.54868</v>
      </c>
      <c r="M37" s="17">
        <f>IF(OR(F37="",K37="",K37&lt;=0),"",F37/K37)</f>
        <v/>
      </c>
      <c r="N37" s="18" t="n">
        <v>20.055094</v>
      </c>
      <c r="O37" s="19">
        <f>IF(OR(N37="",M37="",M37&lt;=0),"",N37/M37)</f>
        <v/>
      </c>
      <c r="P37" s="20" t="n">
        <v>0.65124</v>
      </c>
      <c r="Q37" s="20" t="n">
        <v>0.628633586608092</v>
      </c>
      <c r="R37" s="20" t="n">
        <v>0.04100468246861673</v>
      </c>
      <c r="S37" s="21" t="n">
        <v>4</v>
      </c>
      <c r="T37" s="20" t="n"/>
      <c r="U37" s="20" t="n">
        <v>0.5585759954765892</v>
      </c>
      <c r="V37" s="20" t="n">
        <v>0.661877962085308</v>
      </c>
      <c r="W37" s="20" t="n">
        <v>0.642876365789332</v>
      </c>
      <c r="X37" s="20" t="n">
        <v>0.6512040230811386</v>
      </c>
      <c r="Y37" s="14" t="n">
        <v>3.2</v>
      </c>
      <c r="Z37" s="19">
        <f>IF(OR(Y37="",F37="",F37=0),"",Y37/F37)</f>
        <v/>
      </c>
      <c r="AA37" s="22" t="n">
        <v>389.958</v>
      </c>
      <c r="AB37" s="20" t="n">
        <v>0.075</v>
      </c>
      <c r="AC37" s="20" t="n">
        <v>0.1140309547261212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2026-10-08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Texas Instruments</t>
        </is>
      </c>
      <c r="C38" s="12" t="inlineStr">
        <is>
          <t>TXN</t>
        </is>
      </c>
      <c r="D38" s="11" t="inlineStr">
        <is>
          <t>Semiconduttori</t>
        </is>
      </c>
      <c r="E38" s="13" t="inlineStr">
        <is>
          <t>Tecnologia</t>
        </is>
      </c>
      <c r="F38" s="14" t="n">
        <v>285.8</v>
      </c>
      <c r="G38" s="15" t="inlineStr">
        <is>
          <t>USD</t>
        </is>
      </c>
      <c r="H38" s="14" t="n">
        <v>254.8764518058772</v>
      </c>
      <c r="I38" s="16" t="n">
        <v>232765.3399416905</v>
      </c>
      <c r="J38" s="16" t="n">
        <v>261006.2</v>
      </c>
      <c r="K38" s="14" t="n">
        <v>6.57</v>
      </c>
      <c r="L38" s="14" t="n">
        <v>10.64485</v>
      </c>
      <c r="M38" s="17">
        <f>IF(OR(F38="",K38="",K38&lt;=0),"",F38/K38)</f>
        <v/>
      </c>
      <c r="N38" s="18" t="n">
        <v>14.490696</v>
      </c>
      <c r="O38" s="19">
        <f>IF(OR(N38="",M38="",M38&lt;=0),"",N38/M38)</f>
        <v/>
      </c>
      <c r="P38" s="20" t="n">
        <v>0.35176</v>
      </c>
      <c r="Q38" s="20" t="n">
        <v>0.3941751364874861</v>
      </c>
      <c r="R38" s="20" t="n">
        <v>0.124723387337169</v>
      </c>
      <c r="S38" s="21" t="n">
        <v>4</v>
      </c>
      <c r="T38" s="20" t="n"/>
      <c r="U38" s="20" t="n">
        <v>0.3073188717507528</v>
      </c>
      <c r="V38" s="20" t="n">
        <v>0.2839140980890966</v>
      </c>
      <c r="W38" s="20" t="n">
        <v>0.3852754926910102</v>
      </c>
      <c r="X38" s="20" t="n">
        <v>0.6001920834190848</v>
      </c>
      <c r="Y38" s="14" t="n">
        <v>6.08</v>
      </c>
      <c r="Z38" s="19">
        <f>IF(OR(Y38="",F38="",F38=0),"",Y38/F38)</f>
        <v/>
      </c>
      <c r="AA38" s="22" t="n">
        <v>78.036</v>
      </c>
      <c r="AB38" s="20" t="n">
        <v>0.228</v>
      </c>
      <c r="AC38" s="20" t="n">
        <v>0.3402895563850243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2026-10-08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336.97</v>
      </c>
      <c r="G39" s="15" t="inlineStr">
        <is>
          <t>USD</t>
        </is>
      </c>
      <c r="H39" s="14" t="n">
        <v>300.813106835118</v>
      </c>
      <c r="I39" s="16" t="n">
        <v>116053.6734067894</v>
      </c>
      <c r="J39" s="16" t="n">
        <v>130003</v>
      </c>
      <c r="K39" s="14" t="n">
        <v>28.23</v>
      </c>
      <c r="L39" s="14" t="n">
        <v>29.22097</v>
      </c>
      <c r="M39" s="17">
        <f>IF(OR(F39="",K39="",K39&lt;=0),"",F39/K39)</f>
        <v/>
      </c>
      <c r="N39" s="18" t="n">
        <v>1.7240727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2026-10-07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Chipotle Mexican Grill</t>
        </is>
      </c>
      <c r="C40" s="12" t="inlineStr">
        <is>
          <t>CMG</t>
        </is>
      </c>
      <c r="D40" s="11" t="inlineStr">
        <is>
          <t>Ristorazione</t>
        </is>
      </c>
      <c r="E40" s="13" t="inlineStr">
        <is>
          <t>Consumi</t>
        </is>
      </c>
      <c r="F40" s="14" t="n">
        <v>33.03</v>
      </c>
      <c r="G40" s="15" t="inlineStr">
        <is>
          <t>USD</t>
        </is>
      </c>
      <c r="H40" s="14" t="n">
        <v>29.45615536440911</v>
      </c>
      <c r="I40" s="16" t="n">
        <v>37274.38796654965</v>
      </c>
      <c r="J40" s="16" t="n">
        <v>41796.8</v>
      </c>
      <c r="K40" s="14" t="n">
        <v>1.09</v>
      </c>
      <c r="L40" s="14" t="n">
        <v>1.36869</v>
      </c>
      <c r="M40" s="17">
        <f>IF(OR(F40="",K40="",K40&lt;=0),"",F40/K40)</f>
        <v/>
      </c>
      <c r="N40" s="18" t="n">
        <v>19.037462</v>
      </c>
      <c r="O40" s="19">
        <f>IF(OR(N40="",M40="",M40&lt;=0),"",N40/M40)</f>
        <v/>
      </c>
      <c r="P40" s="20" t="n">
        <v>0.49560001</v>
      </c>
      <c r="Q40" s="20" t="n">
        <v>0.4357911689420391</v>
      </c>
      <c r="R40" s="20" t="n">
        <v>0.06324374116647129</v>
      </c>
      <c r="S40" s="21" t="n">
        <v>4</v>
      </c>
      <c r="T40" s="20" t="n"/>
      <c r="U40" s="20" t="n">
        <v>0.5425553600340846</v>
      </c>
      <c r="V40" s="20" t="n">
        <v>0.4196664465445107</v>
      </c>
      <c r="W40" s="20" t="n">
        <v>0.4012586347036631</v>
      </c>
      <c r="X40" s="20" t="n">
        <v>0.3796842344858982</v>
      </c>
      <c r="Y40" s="14" t="n"/>
      <c r="Z40" s="19">
        <f>IF(OR(Y40="",F40="",F40=0),"",Y40/F40)</f>
        <v/>
      </c>
      <c r="AA40" s="22" t="n">
        <v>246.35</v>
      </c>
      <c r="AB40" s="20" t="n">
        <v>0.093</v>
      </c>
      <c r="AC40" s="20" t="n">
        <v>0.1190217542914609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2026-10-08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Costco Wholesale</t>
        </is>
      </c>
      <c r="C41" s="12" t="inlineStr">
        <is>
          <t>COST</t>
        </is>
      </c>
      <c r="D41" s="11" t="inlineStr">
        <is>
          <t>Grande distribuzione</t>
        </is>
      </c>
      <c r="E41" s="13" t="inlineStr">
        <is>
          <t>Consumi</t>
        </is>
      </c>
      <c r="F41" s="14" t="n">
        <v>949.76</v>
      </c>
      <c r="G41" s="15" t="inlineStr">
        <is>
          <t>USD</t>
        </is>
      </c>
      <c r="H41" s="14" t="n">
        <v>846.9960072328549</v>
      </c>
      <c r="I41" s="16" t="n">
        <v>375328.7620852282</v>
      </c>
      <c r="J41" s="16" t="n">
        <v>420866.5</v>
      </c>
      <c r="K41" s="14" t="n">
        <v>20.76</v>
      </c>
      <c r="L41" s="14" t="n">
        <v>24.99324</v>
      </c>
      <c r="M41" s="17">
        <f>IF(OR(F41="",K41="",K41&lt;=0),"",F41/K41)</f>
        <v/>
      </c>
      <c r="N41" s="18" t="n">
        <v>11.758676</v>
      </c>
      <c r="O41" s="19">
        <f>IF(OR(N41="",M41="",M41&lt;=0),"",N41/M41)</f>
        <v/>
      </c>
      <c r="P41" s="20" t="n">
        <v>0.28402</v>
      </c>
      <c r="Q41" s="20" t="n">
        <v>0.2809463090154591</v>
      </c>
      <c r="R41" s="20" t="n">
        <v>0.02157800377927351</v>
      </c>
      <c r="S41" s="21" t="n">
        <v>4</v>
      </c>
      <c r="T41" s="20" t="n"/>
      <c r="U41" s="20" t="n">
        <v>0.2777053902071047</v>
      </c>
      <c r="V41" s="20" t="n">
        <v>0.3118702904072475</v>
      </c>
      <c r="W41" s="20" t="n">
        <v>0.2510974539069359</v>
      </c>
      <c r="X41" s="20" t="n">
        <v>0.2831121015405484</v>
      </c>
      <c r="Y41" s="14" t="n">
        <v>5.88</v>
      </c>
      <c r="Z41" s="19">
        <f>IF(OR(Y41="",F41="",F41=0),"",Y41/F41)</f>
        <v/>
      </c>
      <c r="AA41" s="22" t="n">
        <v>28.436</v>
      </c>
      <c r="AB41" s="20" t="n">
        <v>0.111</v>
      </c>
      <c r="AC41" s="20" t="n">
        <v>0.03352044755935837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2026-10-08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Illinois Tool Works</t>
        </is>
      </c>
      <c r="C42" s="12" t="inlineStr">
        <is>
          <t>ITW</t>
        </is>
      </c>
      <c r="D42" s="11" t="inlineStr">
        <is>
          <t>Componenti industriali</t>
        </is>
      </c>
      <c r="E42" s="13" t="inlineStr">
        <is>
          <t>Industriale</t>
        </is>
      </c>
      <c r="F42" s="14" t="n">
        <v>263.85</v>
      </c>
      <c r="G42" s="15" t="inlineStr">
        <is>
          <t>USD</t>
        </is>
      </c>
      <c r="H42" s="14" t="n">
        <v>235.3014408991627</v>
      </c>
      <c r="I42" s="16" t="n">
        <v>67013.86820408236</v>
      </c>
      <c r="J42" s="16" t="n">
        <v>75144.5</v>
      </c>
      <c r="K42" s="14" t="n">
        <v>11.03</v>
      </c>
      <c r="L42" s="14" t="n">
        <v>12.38471</v>
      </c>
      <c r="M42" s="17">
        <f>IF(OR(F42="",K42="",K42&lt;=0),"",F42/K42)</f>
        <v/>
      </c>
      <c r="N42" s="18" t="n">
        <v>25.964378</v>
      </c>
      <c r="O42" s="19">
        <f>IF(OR(N42="",M42="",M42&lt;=0),"",N42/M42)</f>
        <v/>
      </c>
      <c r="P42" s="20" t="n">
        <v>1.04618</v>
      </c>
      <c r="Q42" s="20" t="n">
        <v>0.9917050145447759</v>
      </c>
      <c r="R42" s="20" t="n">
        <v>0.03703105237820289</v>
      </c>
      <c r="S42" s="21" t="n">
        <v>4</v>
      </c>
      <c r="T42" s="20" t="n"/>
      <c r="U42" s="20" t="n">
        <v>0.9506976744186046</v>
      </c>
      <c r="V42" s="20" t="n">
        <v>1.051869722557298</v>
      </c>
      <c r="W42" s="20" t="n">
        <v>0.9817397078353254</v>
      </c>
      <c r="X42" s="20" t="n">
        <v>0.9825129533678757</v>
      </c>
      <c r="Y42" s="14" t="n">
        <v>6.88</v>
      </c>
      <c r="Z42" s="19">
        <f>IF(OR(Y42="",F42="",F42=0),"",Y42/F42)</f>
        <v/>
      </c>
      <c r="AA42" s="22" t="n">
        <v>334.853</v>
      </c>
      <c r="AB42" s="20" t="n">
        <v>0.061</v>
      </c>
      <c r="AC42" s="20" t="n">
        <v>0.1990775287958115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2026-10-08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Blackstone</t>
        </is>
      </c>
      <c r="C43" s="12" t="inlineStr">
        <is>
          <t>BX</t>
        </is>
      </c>
      <c r="D43" s="11" t="inlineStr">
        <is>
          <t>Private equity</t>
        </is>
      </c>
      <c r="E43" s="13" t="inlineStr">
        <is>
          <t>Finanziario</t>
        </is>
      </c>
      <c r="F43" s="14" t="n">
        <v>112.28</v>
      </c>
      <c r="G43" s="15" t="inlineStr">
        <is>
          <t>USD</t>
        </is>
      </c>
      <c r="H43" s="14" t="n">
        <v>100.1313086380822</v>
      </c>
      <c r="I43" s="16" t="n">
        <v>119686.6999438879</v>
      </c>
      <c r="J43" s="16" t="n">
        <v>134208</v>
      </c>
      <c r="K43" s="14" t="n">
        <v>4.47</v>
      </c>
      <c r="L43" s="14" t="n">
        <v>7.41554</v>
      </c>
      <c r="M43" s="17">
        <f>IF(OR(F43="",K43="",K43&lt;=0),"",F43/K43)</f>
        <v/>
      </c>
      <c r="N43" s="18" t="n">
        <v>9.963616</v>
      </c>
      <c r="O43" s="19">
        <f>IF(OR(N43="",M43="",M43&lt;=0),"",N43/M43)</f>
        <v/>
      </c>
      <c r="P43" s="20" t="n">
        <v>0.31374002</v>
      </c>
      <c r="Q43" s="20" t="n">
        <v>0.2797041245748269</v>
      </c>
      <c r="R43" s="20" t="n">
        <v>0.06422837139830108</v>
      </c>
      <c r="S43" s="21" t="n">
        <v>4</v>
      </c>
      <c r="T43" s="20" t="n"/>
      <c r="U43" s="20" t="n">
        <v>0.3484167031522379</v>
      </c>
      <c r="V43" s="20" t="n">
        <v>0.3380905349413399</v>
      </c>
      <c r="W43" s="20" t="n">
        <v>0.2040371447122241</v>
      </c>
      <c r="X43" s="20" t="n">
        <v>0.2282721154935056</v>
      </c>
      <c r="Y43" s="14" t="n">
        <v>5.23</v>
      </c>
      <c r="Z43" s="19">
        <f>IF(OR(Y43="",F43="",F43=0),"",Y43/F43)</f>
        <v/>
      </c>
      <c r="AA43" s="22" t="n">
        <v>68.185</v>
      </c>
      <c r="AB43" s="20" t="n">
        <v>0.286</v>
      </c>
      <c r="AC43" s="20" t="n">
        <v>0.2835642627903986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2026-10-08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Booking Holdings</t>
        </is>
      </c>
      <c r="C44" s="12" t="inlineStr">
        <is>
          <t>BKNG</t>
        </is>
      </c>
      <c r="D44" s="11" t="inlineStr">
        <is>
          <t>Viaggi</t>
        </is>
      </c>
      <c r="E44" s="13" t="inlineStr">
        <is>
          <t>Consumi</t>
        </is>
      </c>
      <c r="F44" s="14" t="n">
        <v>158.41</v>
      </c>
      <c r="G44" s="15" t="inlineStr">
        <is>
          <t>USD</t>
        </is>
      </c>
      <c r="H44" s="14" t="n">
        <v>141.2700445436284</v>
      </c>
      <c r="I44" s="16" t="n">
        <v>109467.1173705169</v>
      </c>
      <c r="J44" s="16" t="n">
        <v>122748.5</v>
      </c>
      <c r="K44" s="14" t="n">
        <v>9.02</v>
      </c>
      <c r="L44" s="14" t="n">
        <v>12.37827</v>
      </c>
      <c r="M44" s="17">
        <f>IF(OR(F44="",K44="",K44&lt;=0),"",F44/K44)</f>
        <v/>
      </c>
      <c r="N44" s="18" t="n">
        <v>-11.135245</v>
      </c>
      <c r="O44" s="19">
        <f>IF(OR(N44="",M44="",M44&lt;=0),"",N44/M44)</f>
        <v/>
      </c>
      <c r="P44" s="20" t="n">
        <v>1.09920920201294</v>
      </c>
      <c r="Q44" s="20" t="n">
        <v>1.09920920201294</v>
      </c>
      <c r="R44" s="20" t="n"/>
      <c r="S44" s="21" t="n">
        <v>1</v>
      </c>
      <c r="T44" s="20" t="n"/>
      <c r="U44" s="20" t="n"/>
      <c r="V44" s="20" t="n"/>
      <c r="W44" s="20" t="n"/>
      <c r="X44" s="20" t="n">
        <v>1.09920920201294</v>
      </c>
      <c r="Y44" s="14" t="n">
        <v>1.68</v>
      </c>
      <c r="Z44" s="19">
        <f>IF(OR(Y44="",F44="",F44=0),"",Y44/F44)</f>
        <v/>
      </c>
      <c r="AA44" s="22" t="n"/>
      <c r="AB44" s="20" t="n">
        <v>0.081</v>
      </c>
      <c r="AC44" s="20" t="n">
        <v>0.2678233063119961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2026-10-08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TJX Companies</t>
        </is>
      </c>
      <c r="C45" s="12" t="inlineStr">
        <is>
          <t>TJX</t>
        </is>
      </c>
      <c r="D45" s="11" t="inlineStr">
        <is>
          <t>Abbigliamento / Retail</t>
        </is>
      </c>
      <c r="E45" s="13" t="inlineStr">
        <is>
          <t>Consumi</t>
        </is>
      </c>
      <c r="F45" s="14" t="n">
        <v>138.95</v>
      </c>
      <c r="G45" s="15" t="inlineStr">
        <is>
          <t>USD</t>
        </is>
      </c>
      <c r="H45" s="14" t="n">
        <v>123.9156157397713</v>
      </c>
      <c r="I45" s="16" t="n">
        <v>136890.1470007516</v>
      </c>
      <c r="J45" s="16" t="n">
        <v>153498.7</v>
      </c>
      <c r="K45" s="14" t="n">
        <v>5.4</v>
      </c>
      <c r="L45" s="14" t="n">
        <v>5.77352</v>
      </c>
      <c r="M45" s="17">
        <f>IF(OR(F45="",K45="",K45&lt;=0),"",F45/K45)</f>
        <v/>
      </c>
      <c r="N45" s="18" t="n">
        <v>14.366212</v>
      </c>
      <c r="O45" s="19">
        <f>IF(OR(N45="",M45="",M45&lt;=0),"",N45/M45)</f>
        <v/>
      </c>
      <c r="P45" s="20" t="n">
        <v>0.62171</v>
      </c>
      <c r="Q45" s="20" t="n">
        <v>0.5702624372175532</v>
      </c>
      <c r="R45" s="20" t="n">
        <v>0.02863520188802303</v>
      </c>
      <c r="S45" s="21" t="n">
        <v>4</v>
      </c>
      <c r="T45" s="20" t="n">
        <v>0.5391560353287537</v>
      </c>
      <c r="U45" s="20" t="n">
        <v>0.5795305611819374</v>
      </c>
      <c r="V45" s="20" t="n">
        <v>0.6127088468912627</v>
      </c>
      <c r="W45" s="20" t="n">
        <v>0.549654305468259</v>
      </c>
      <c r="X45" s="20" t="n"/>
      <c r="Y45" s="14" t="n">
        <v>1.92</v>
      </c>
      <c r="Z45" s="19">
        <f>IF(OR(Y45="",F45="",F45=0),"",Y45/F45)</f>
        <v/>
      </c>
      <c r="AA45" s="22" t="n">
        <v>134.419</v>
      </c>
      <c r="AB45" s="20" t="n">
        <v>0.054</v>
      </c>
      <c r="AC45" s="20" t="n">
        <v>0.1004936031272776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2026-10-08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280.46</v>
      </c>
      <c r="G46" s="15" t="inlineStr">
        <is>
          <t>USD</t>
        </is>
      </c>
      <c r="H46" s="14" t="n">
        <v>250.1142395852915</v>
      </c>
      <c r="I46" s="16" t="n">
        <v>66090.32008130361</v>
      </c>
      <c r="J46" s="16" t="n">
        <v>74108.89999999999</v>
      </c>
      <c r="K46" s="14" t="n">
        <v>24.19</v>
      </c>
      <c r="L46" s="14" t="n">
        <v>33.48462</v>
      </c>
      <c r="M46" s="17">
        <f>IF(OR(F46="",K46="",K46&lt;=0),"",F46/K46)</f>
        <v/>
      </c>
      <c r="N46" s="18" t="n">
        <v>1.7352728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2026-10-08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NVIDIA</t>
        </is>
      </c>
      <c r="C47" s="12" t="inlineStr">
        <is>
          <t>NVDA</t>
        </is>
      </c>
      <c r="D47" s="11" t="inlineStr">
        <is>
          <t>Semiconduttori</t>
        </is>
      </c>
      <c r="E47" s="13" t="inlineStr">
        <is>
          <t>Tecnologia</t>
        </is>
      </c>
      <c r="F47" s="14" t="n">
        <v>230.2</v>
      </c>
      <c r="G47" s="15" t="inlineStr">
        <is>
          <t>USD</t>
        </is>
      </c>
      <c r="H47" s="14" t="n">
        <v>205.2923695091425</v>
      </c>
      <c r="I47" s="16" t="n">
        <v>4957194.75735726</v>
      </c>
      <c r="J47" s="16" t="n">
        <v>5558639.3</v>
      </c>
      <c r="K47" s="14" t="n">
        <v>7.91</v>
      </c>
      <c r="L47" s="14" t="n">
        <v>15.9146</v>
      </c>
      <c r="M47" s="17">
        <f>IF(OR(F47="",K47="",K47&lt;=0),"",F47/K47)</f>
        <v/>
      </c>
      <c r="N47" s="18" t="n">
        <v>24.275019</v>
      </c>
      <c r="O47" s="19">
        <f>IF(OR(N47="",M47="",M47&lt;=0),"",N47/M47)</f>
        <v/>
      </c>
      <c r="P47" s="20" t="n">
        <v>1.17211</v>
      </c>
      <c r="Q47" s="20" t="n">
        <v>0.6430369043825913</v>
      </c>
      <c r="R47" s="20" t="n">
        <v>0.2698604910859732</v>
      </c>
      <c r="S47" s="21" t="n">
        <v>4</v>
      </c>
      <c r="T47" s="20" t="n">
        <v>0.7633333969089534</v>
      </c>
      <c r="U47" s="20" t="n">
        <v>0.9187288060811577</v>
      </c>
      <c r="V47" s="20" t="n">
        <v>0.6924472986178976</v>
      </c>
      <c r="W47" s="20" t="n">
        <v>0.1976381159223564</v>
      </c>
      <c r="X47" s="20" t="n"/>
      <c r="Y47" s="14" t="n">
        <v>1</v>
      </c>
      <c r="Z47" s="19">
        <f>IF(OR(Y47="",F47="",F47=0),"",Y47/F47)</f>
        <v/>
      </c>
      <c r="AA47" s="22" t="n">
        <v>16.971</v>
      </c>
      <c r="AB47" s="20" t="n">
        <v>1.059</v>
      </c>
      <c r="AC47" s="20" t="n">
        <v>0.8932193547407126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2026-10-08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CSX Corporation</t>
        </is>
      </c>
      <c r="C48" s="12" t="inlineStr">
        <is>
          <t>CSX</t>
        </is>
      </c>
      <c r="D48" s="11" t="inlineStr">
        <is>
          <t>Ferrovie</t>
        </is>
      </c>
      <c r="E48" s="13" t="inlineStr">
        <is>
          <t>Industriale</t>
        </is>
      </c>
      <c r="F48" s="14" t="n">
        <v>47.3301</v>
      </c>
      <c r="G48" s="15" t="inlineStr">
        <is>
          <t>USD</t>
        </is>
      </c>
      <c r="H48" s="14" t="n">
        <v>42.20898513512019</v>
      </c>
      <c r="I48" s="16" t="n">
        <v>78182.68274142186</v>
      </c>
      <c r="J48" s="16" t="n">
        <v>87668.39999999999</v>
      </c>
      <c r="K48" s="14" t="n">
        <v>1.72</v>
      </c>
      <c r="L48" s="14" t="n">
        <v>2.27623</v>
      </c>
      <c r="M48" s="17">
        <f>IF(OR(F48="",K48="",K48&lt;=0),"",F48/K48)</f>
        <v/>
      </c>
      <c r="N48" s="18" t="n">
        <v>6.225335</v>
      </c>
      <c r="O48" s="19">
        <f>IF(OR(N48="",M48="",M48&lt;=0),"",N48/M48)</f>
        <v/>
      </c>
      <c r="P48" s="20" t="n">
        <v>0.24357</v>
      </c>
      <c r="Q48" s="20" t="n">
        <v>0.2823661415471586</v>
      </c>
      <c r="R48" s="20" t="n">
        <v>0.04013263354129347</v>
      </c>
      <c r="S48" s="21" t="n">
        <v>4</v>
      </c>
      <c r="T48" s="20" t="n"/>
      <c r="U48" s="20" t="n">
        <v>0.219612314709236</v>
      </c>
      <c r="V48" s="20" t="n">
        <v>0.2775555911054231</v>
      </c>
      <c r="W48" s="20" t="n">
        <v>0.3061769616026711</v>
      </c>
      <c r="X48" s="20" t="n">
        <v>0.326119698771304</v>
      </c>
      <c r="Y48" s="14" t="n">
        <v>0.5600000000000001</v>
      </c>
      <c r="Z48" s="19">
        <f>IF(OR(Y48="",F48="",F48=0),"",Y48/F48)</f>
        <v/>
      </c>
      <c r="AA48" s="22" t="n">
        <v>138.068</v>
      </c>
      <c r="AB48" s="20" t="n">
        <v>0.101</v>
      </c>
      <c r="AC48" s="20" t="n">
        <v>0.2287113301163781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2026-10-08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Cadence Design</t>
        </is>
      </c>
      <c r="C49" s="12" t="inlineStr">
        <is>
          <t>CDNS</t>
        </is>
      </c>
      <c r="D49" s="11" t="inlineStr">
        <is>
          <t>Software EDA</t>
        </is>
      </c>
      <c r="E49" s="13" t="inlineStr">
        <is>
          <t>Tecnologia</t>
        </is>
      </c>
      <c r="F49" s="14" t="n">
        <v>350.19</v>
      </c>
      <c r="G49" s="15" t="inlineStr">
        <is>
          <t>USD</t>
        </is>
      </c>
      <c r="H49" s="14" t="n">
        <v>312.2994564657108</v>
      </c>
      <c r="I49" s="16" t="n">
        <v>86137.18238987427</v>
      </c>
      <c r="J49" s="16" t="n">
        <v>96588</v>
      </c>
      <c r="K49" s="14" t="n">
        <v>5.03</v>
      </c>
      <c r="L49" s="14" t="n">
        <v>9.5677</v>
      </c>
      <c r="M49" s="17">
        <f>IF(OR(F49="",K49="",K49&lt;=0),"",F49/K49)</f>
        <v/>
      </c>
      <c r="N49" s="18" t="n">
        <v>14.062726</v>
      </c>
      <c r="O49" s="19">
        <f>IF(OR(N49="",M49="",M49&lt;=0),"",N49/M49)</f>
        <v/>
      </c>
      <c r="P49" s="20" t="n">
        <v>0.23229</v>
      </c>
      <c r="Q49" s="20" t="n">
        <v>0.2608754092791846</v>
      </c>
      <c r="R49" s="20" t="n">
        <v>0.04740689685132777</v>
      </c>
      <c r="S49" s="21" t="n">
        <v>4</v>
      </c>
      <c r="T49" s="20" t="n"/>
      <c r="U49" s="20" t="n">
        <v>0.2025669227963051</v>
      </c>
      <c r="V49" s="20" t="n">
        <v>0.2258406728206954</v>
      </c>
      <c r="W49" s="20" t="n">
        <v>0.3058346412491837</v>
      </c>
      <c r="X49" s="20" t="n">
        <v>0.3092594002505544</v>
      </c>
      <c r="Y49" s="14" t="n"/>
      <c r="Z49" s="19">
        <f>IF(OR(Y49="",F49="",F49=0),"",Y49/F49)</f>
        <v/>
      </c>
      <c r="AA49" s="22" t="n">
        <v>38.661</v>
      </c>
      <c r="AB49" s="20" t="n">
        <v>0.242</v>
      </c>
      <c r="AC49" s="20" t="n">
        <v>0.2601579539488204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2026-10-08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Meta Platforms</t>
        </is>
      </c>
      <c r="C50" s="12" t="inlineStr">
        <is>
          <t>META</t>
        </is>
      </c>
      <c r="D50" s="11" t="inlineStr">
        <is>
          <t>Internet / Pubblicita'</t>
        </is>
      </c>
      <c r="E50" s="13" t="inlineStr">
        <is>
          <t>Tecnologia</t>
        </is>
      </c>
      <c r="F50" s="14" t="n">
        <v>718.516</v>
      </c>
      <c r="G50" s="15" t="inlineStr">
        <is>
          <t>USD</t>
        </is>
      </c>
      <c r="H50" s="14" t="n">
        <v>640.7725984805867</v>
      </c>
      <c r="I50" s="16" t="n">
        <v>1632372.109631476</v>
      </c>
      <c r="J50" s="16" t="n">
        <v>1830423.9</v>
      </c>
      <c r="K50" s="14" t="n">
        <v>26.54</v>
      </c>
      <c r="L50" s="14" t="n">
        <v>34.54533</v>
      </c>
      <c r="M50" s="17">
        <f>IF(OR(F50="",K50="",K50&lt;=0),"",F50/K50)</f>
        <v/>
      </c>
      <c r="N50" s="18" t="n">
        <v>7.008545</v>
      </c>
      <c r="O50" s="19">
        <f>IF(OR(N50="",M50="",M50&lt;=0),"",N50/M50)</f>
        <v/>
      </c>
      <c r="P50" s="20" t="n">
        <v>0.29848</v>
      </c>
      <c r="Q50" s="20" t="n">
        <v>0.2648871265585463</v>
      </c>
      <c r="R50" s="20" t="n">
        <v>0.05609730945851681</v>
      </c>
      <c r="S50" s="21" t="n">
        <v>4</v>
      </c>
      <c r="T50" s="20" t="n"/>
      <c r="U50" s="20" t="n">
        <v>0.2782966539773433</v>
      </c>
      <c r="V50" s="20" t="n">
        <v>0.3414423145364849</v>
      </c>
      <c r="W50" s="20" t="n">
        <v>0.2552621957589052</v>
      </c>
      <c r="X50" s="20" t="n">
        <v>0.1845473419614519</v>
      </c>
      <c r="Y50" s="14" t="n">
        <v>2.1</v>
      </c>
      <c r="Z50" s="19">
        <f>IF(OR(Y50="",F50="",F50=0),"",Y50/F50)</f>
        <v/>
      </c>
      <c r="AA50" s="22" t="n">
        <v>42.997</v>
      </c>
      <c r="AB50" s="20" t="n">
        <v>0.28</v>
      </c>
      <c r="AC50" s="20" t="n">
        <v>0.3388533326433327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2026-10-08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Wells Fargo</t>
        </is>
      </c>
      <c r="C51" s="12" t="inlineStr">
        <is>
          <t>WFC</t>
        </is>
      </c>
      <c r="D51" s="11" t="inlineStr">
        <is>
          <t>Banca</t>
        </is>
      </c>
      <c r="E51" s="13" t="inlineStr">
        <is>
          <t>Finanziario</t>
        </is>
      </c>
      <c r="F51" s="14" t="n">
        <v>81.895</v>
      </c>
      <c r="G51" s="15" t="inlineStr">
        <is>
          <t>USD</t>
        </is>
      </c>
      <c r="H51" s="14" t="n">
        <v>73.03396438293322</v>
      </c>
      <c r="I51" s="16" t="n">
        <v>220854.6369499867</v>
      </c>
      <c r="J51" s="16" t="n">
        <v>247650.4</v>
      </c>
      <c r="K51" s="14" t="n">
        <v>6.88</v>
      </c>
      <c r="L51" s="14" t="n">
        <v>7.9999</v>
      </c>
      <c r="M51" s="17">
        <f>IF(OR(F51="",K51="",K51&lt;=0),"",F51/K51)</f>
        <v/>
      </c>
      <c r="N51" s="18" t="n">
        <v>1.504593</v>
      </c>
      <c r="O51" s="19">
        <f>IF(OR(N51="",M51="",M51&lt;=0),"",N51/M51)</f>
        <v/>
      </c>
      <c r="P51" s="20" t="n">
        <v>0.12575</v>
      </c>
      <c r="Q51" s="20" t="n">
        <v>0.1017166869476873</v>
      </c>
      <c r="R51" s="20" t="n">
        <v>0.01579883207450957</v>
      </c>
      <c r="S51" s="21" t="n">
        <v>4</v>
      </c>
      <c r="T51" s="20" t="n"/>
      <c r="U51" s="20" t="n">
        <v>0.1178133471733741</v>
      </c>
      <c r="V51" s="20" t="n">
        <v>0.1101049575703439</v>
      </c>
      <c r="W51" s="20" t="n">
        <v>0.1030608124478424</v>
      </c>
      <c r="X51" s="20" t="n">
        <v>0.07588763059918881</v>
      </c>
      <c r="Y51" s="14" t="n">
        <v>2</v>
      </c>
      <c r="Z51" s="19">
        <f>IF(OR(Y51="",F51="",F51=0),"",Y51/F51)</f>
        <v/>
      </c>
      <c r="AA51" s="22" t="n"/>
      <c r="AB51" s="20" t="n">
        <v>0.095</v>
      </c>
      <c r="AC51" s="20" t="n">
        <v>0.2582468076321103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2026-10-08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Waste Management</t>
        </is>
      </c>
      <c r="C52" s="12" t="inlineStr">
        <is>
          <t>WM</t>
        </is>
      </c>
      <c r="D52" s="11" t="inlineStr">
        <is>
          <t>Servizi ambientali</t>
        </is>
      </c>
      <c r="E52" s="13" t="inlineStr">
        <is>
          <t>Industriale</t>
        </is>
      </c>
      <c r="F52" s="14" t="n">
        <v>210.305</v>
      </c>
      <c r="G52" s="15" t="inlineStr">
        <is>
          <t>USD</t>
        </is>
      </c>
      <c r="H52" s="14" t="n">
        <v>187.5500076873163</v>
      </c>
      <c r="I52" s="16" t="n">
        <v>74966.58425245217</v>
      </c>
      <c r="J52" s="16" t="n">
        <v>84062.10000000001</v>
      </c>
      <c r="K52" s="14" t="n">
        <v>7.06</v>
      </c>
      <c r="L52" s="14" t="n">
        <v>9.088150000000001</v>
      </c>
      <c r="M52" s="17">
        <f>IF(OR(F52="",K52="",K52&lt;=0),"",F52/K52)</f>
        <v/>
      </c>
      <c r="N52" s="18" t="n">
        <v>8.474914</v>
      </c>
      <c r="O52" s="19">
        <f>IF(OR(N52="",M52="",M52&lt;=0),"",N52/M52)</f>
        <v/>
      </c>
      <c r="P52" s="20" t="n">
        <v>0.29841</v>
      </c>
      <c r="Q52" s="20" t="n">
        <v>0.3160924607555183</v>
      </c>
      <c r="R52" s="20" t="n">
        <v>0.02613080609356336</v>
      </c>
      <c r="S52" s="21" t="n">
        <v>4</v>
      </c>
      <c r="T52" s="20" t="n"/>
      <c r="U52" s="20" t="n">
        <v>0.2710710710710711</v>
      </c>
      <c r="V52" s="20" t="n">
        <v>0.3327678138633058</v>
      </c>
      <c r="W52" s="20" t="n">
        <v>0.333767926988266</v>
      </c>
      <c r="X52" s="20" t="n">
        <v>0.3267630310994306</v>
      </c>
      <c r="Y52" s="14" t="n">
        <v>3.78</v>
      </c>
      <c r="Z52" s="19">
        <f>IF(OR(Y52="",F52="",F52=0),"",Y52/F52)</f>
        <v/>
      </c>
      <c r="AA52" s="22" t="n">
        <v>235.301</v>
      </c>
      <c r="AB52" s="20" t="n">
        <v>0.04</v>
      </c>
      <c r="AC52" s="20" t="n">
        <v>0.1131963155054753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2026-10-08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Cisco Systems</t>
        </is>
      </c>
      <c r="C53" s="12" t="inlineStr">
        <is>
          <t>CSCO</t>
        </is>
      </c>
      <c r="D53" s="11" t="inlineStr">
        <is>
          <t>Reti</t>
        </is>
      </c>
      <c r="E53" s="13" t="inlineStr">
        <is>
          <t>Tecnologia</t>
        </is>
      </c>
      <c r="F53" s="14" t="n">
        <v>116.075</v>
      </c>
      <c r="G53" s="15" t="inlineStr">
        <is>
          <t>USD</t>
        </is>
      </c>
      <c r="H53" s="14" t="n">
        <v>103.5156897948467</v>
      </c>
      <c r="I53" s="16" t="n">
        <v>408119.625344101</v>
      </c>
      <c r="J53" s="16" t="n">
        <v>457635.8</v>
      </c>
      <c r="K53" s="14" t="n">
        <v>3.33</v>
      </c>
      <c r="L53" s="14" t="n">
        <v>5.62092</v>
      </c>
      <c r="M53" s="17">
        <f>IF(OR(F53="",K53="",K53&lt;=0),"",F53/K53)</f>
        <v/>
      </c>
      <c r="N53" s="18" t="n">
        <v>9.108922</v>
      </c>
      <c r="O53" s="19">
        <f>IF(OR(N53="",M53="",M53&lt;=0),"",N53/M53)</f>
        <v/>
      </c>
      <c r="P53" s="20" t="n">
        <v>0.27319</v>
      </c>
      <c r="Q53" s="20" t="n">
        <v>0.2481407932680991</v>
      </c>
      <c r="R53" s="20" t="n">
        <v>0.0271800865071588</v>
      </c>
      <c r="S53" s="21" t="n">
        <v>4</v>
      </c>
      <c r="T53" s="20" t="n">
        <v>0.2638361340359948</v>
      </c>
      <c r="U53" s="20" t="n">
        <v>0.2173216916081378</v>
      </c>
      <c r="V53" s="20" t="n">
        <v>0.2270277405020129</v>
      </c>
      <c r="W53" s="20" t="n">
        <v>0.2843776069262507</v>
      </c>
      <c r="X53" s="20" t="n">
        <v>0.2969853921001684</v>
      </c>
      <c r="Y53" s="14" t="n">
        <v>1.68</v>
      </c>
      <c r="Z53" s="19">
        <f>IF(OR(Y53="",F53="",F53=0),"",Y53/F53)</f>
        <v/>
      </c>
      <c r="AA53" s="22" t="n">
        <v>62.017</v>
      </c>
      <c r="AB53" s="20" t="n">
        <v>0.176</v>
      </c>
      <c r="AC53" s="20" t="n">
        <v>0.2095065190682985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2026-10-08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Procter &amp; Gamble</t>
        </is>
      </c>
      <c r="C54" s="12" t="inlineStr">
        <is>
          <t>PG</t>
        </is>
      </c>
      <c r="D54" s="11" t="inlineStr">
        <is>
          <t>Beni per la casa</t>
        </is>
      </c>
      <c r="E54" s="13" t="inlineStr">
        <is>
          <t>Consumi</t>
        </is>
      </c>
      <c r="F54" s="14" t="n">
        <v>150.155</v>
      </c>
      <c r="G54" s="15" t="inlineStr">
        <is>
          <t>USD</t>
        </is>
      </c>
      <c r="H54" s="14" t="n">
        <v>133.9082352026294</v>
      </c>
      <c r="I54" s="16" t="n">
        <v>311260.7769575992</v>
      </c>
      <c r="J54" s="16" t="n">
        <v>349025.3</v>
      </c>
      <c r="K54" s="14" t="n">
        <v>6.62</v>
      </c>
      <c r="L54" s="14" t="n">
        <v>7.39652</v>
      </c>
      <c r="M54" s="17">
        <f>IF(OR(F54="",K54="",K54&lt;=0),"",F54/K54)</f>
        <v/>
      </c>
      <c r="N54" s="18" t="n">
        <v>6.5435567</v>
      </c>
      <c r="O54" s="19">
        <f>IF(OR(N54="",M54="",M54&lt;=0),"",N54/M54)</f>
        <v/>
      </c>
      <c r="P54" s="20" t="n">
        <v>0.30290002</v>
      </c>
      <c r="Q54" s="20" t="n">
        <v>0.3032410724344928</v>
      </c>
      <c r="R54" s="20" t="n">
        <v>0.007281835576251603</v>
      </c>
      <c r="S54" s="21" t="n">
        <v>4</v>
      </c>
      <c r="T54" s="20" t="n">
        <v>0.2967030935078863</v>
      </c>
      <c r="U54" s="20" t="n">
        <v>0.3071214335153426</v>
      </c>
      <c r="V54" s="20" t="n">
        <v>0.2958875233663445</v>
      </c>
      <c r="W54" s="20" t="n">
        <v>0.3132522393483977</v>
      </c>
      <c r="X54" s="20" t="n">
        <v>0.3164266243104595</v>
      </c>
      <c r="Y54" s="14" t="n">
        <v>4.35</v>
      </c>
      <c r="Z54" s="19">
        <f>IF(OR(Y54="",F54="",F54=0),"",Y54/F54)</f>
        <v/>
      </c>
      <c r="AA54" s="22" t="n">
        <v>64.48999999999999</v>
      </c>
      <c r="AB54" s="20" t="n">
        <v>0.015</v>
      </c>
      <c r="AC54" s="20" t="n">
        <v>0.1810138843643717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2026-10-08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FedEx</t>
        </is>
      </c>
      <c r="C55" s="12" t="inlineStr">
        <is>
          <t>FDX</t>
        </is>
      </c>
      <c r="D55" s="11" t="inlineStr">
        <is>
          <t>Logistica</t>
        </is>
      </c>
      <c r="E55" s="13" t="inlineStr">
        <is>
          <t>Industriale</t>
        </is>
      </c>
      <c r="F55" s="14" t="n">
        <v>290.59</v>
      </c>
      <c r="G55" s="15" t="inlineStr">
        <is>
          <t>USD</t>
        </is>
      </c>
      <c r="H55" s="14" t="n">
        <v>259.1481740037433</v>
      </c>
      <c r="I55" s="16" t="n">
        <v>61332.74522093275</v>
      </c>
      <c r="J55" s="16" t="n">
        <v>68774.10000000001</v>
      </c>
      <c r="K55" s="14" t="n">
        <v>18.55</v>
      </c>
      <c r="L55" s="14" t="n">
        <v>20.70566</v>
      </c>
      <c r="M55" s="17">
        <f>IF(OR(F55="",K55="",K55&lt;=0),"",F55/K55)</f>
        <v/>
      </c>
      <c r="N55" s="18" t="n">
        <v>2.2037265</v>
      </c>
      <c r="O55" s="19">
        <f>IF(OR(N55="",M55="",M55&lt;=0),"",N55/M55)</f>
        <v/>
      </c>
      <c r="P55" s="20" t="n">
        <v>0.14846</v>
      </c>
      <c r="Q55" s="20" t="n">
        <v>0.1487776787174603</v>
      </c>
      <c r="R55" s="20" t="n">
        <v>0.006420595404348427</v>
      </c>
      <c r="S55" s="21" t="n">
        <v>4</v>
      </c>
      <c r="T55" s="20" t="n">
        <v>0.1400764685436218</v>
      </c>
      <c r="U55" s="20" t="n">
        <v>0.1457576405214789</v>
      </c>
      <c r="V55" s="20" t="n">
        <v>0.1570226959611341</v>
      </c>
      <c r="W55" s="20" t="n">
        <v>0.1522539098436063</v>
      </c>
      <c r="X55" s="20" t="n"/>
      <c r="Y55" s="14" t="n">
        <v>4.88</v>
      </c>
      <c r="Z55" s="19">
        <f>IF(OR(Y55="",F55="",F55=0),"",Y55/F55)</f>
        <v/>
      </c>
      <c r="AA55" s="22" t="n">
        <v>135.697</v>
      </c>
      <c r="AB55" s="20" t="n">
        <v>0.125</v>
      </c>
      <c r="AC55" s="20" t="n">
        <v>0.0467271945945946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2026-10-08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Microsoft</t>
        </is>
      </c>
      <c r="C56" s="12" t="inlineStr">
        <is>
          <t>MSFT</t>
        </is>
      </c>
      <c r="D56" s="11" t="inlineStr">
        <is>
          <t>Software / Cloud</t>
        </is>
      </c>
      <c r="E56" s="13" t="inlineStr">
        <is>
          <t>Tecnologia</t>
        </is>
      </c>
      <c r="F56" s="14" t="n">
        <v>522.51</v>
      </c>
      <c r="G56" s="15" t="inlineStr">
        <is>
          <t>USD</t>
        </is>
      </c>
      <c r="H56" s="14" t="n">
        <v>465.974439583936</v>
      </c>
      <c r="I56" s="16" t="n">
        <v>3460114.599872508</v>
      </c>
      <c r="J56" s="16" t="n">
        <v>3879922</v>
      </c>
      <c r="K56" s="14" t="n">
        <v>17.95</v>
      </c>
      <c r="L56" s="14" t="n">
        <v>23.67732</v>
      </c>
      <c r="M56" s="17">
        <f>IF(OR(F56="",K56="",K56&lt;=0),"",F56/K56)</f>
        <v/>
      </c>
      <c r="N56" s="18" t="n">
        <v>8.772099000000001</v>
      </c>
      <c r="O56" s="19">
        <f>IF(OR(N56="",M56="",M56&lt;=0),"",N56/M56)</f>
        <v/>
      </c>
      <c r="P56" s="20" t="n">
        <v>0.34039003</v>
      </c>
      <c r="Q56" s="20" t="n">
        <v>0.34039003</v>
      </c>
      <c r="R56" s="20" t="n"/>
      <c r="S56" s="21" t="n">
        <v>0</v>
      </c>
      <c r="T56" s="20" t="n">
        <v>0.30233483352811</v>
      </c>
      <c r="U56" s="20" t="n">
        <v>0.2964722734140952</v>
      </c>
      <c r="V56" s="20" t="n">
        <v>0.3282813797829982</v>
      </c>
      <c r="W56" s="20" t="n">
        <v>0.3508871464385641</v>
      </c>
      <c r="X56" s="20" t="n"/>
      <c r="Y56" s="14" t="n">
        <v>3.92</v>
      </c>
      <c r="Z56" s="19">
        <f>IF(OR(Y56="",F56="",F56=0),"",Y56/F56)</f>
        <v/>
      </c>
      <c r="AA56" s="22" t="n">
        <v>29.118</v>
      </c>
      <c r="AB56" s="20" t="n">
        <v>0.177</v>
      </c>
      <c r="AC56" s="20" t="n">
        <v>0.403053884998448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2026-10-08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Broadcom</t>
        </is>
      </c>
      <c r="C57" s="12" t="inlineStr">
        <is>
          <t>AVGO</t>
        </is>
      </c>
      <c r="D57" s="11" t="inlineStr">
        <is>
          <t>Semiconduttori</t>
        </is>
      </c>
      <c r="E57" s="13" t="inlineStr">
        <is>
          <t>Tecnologia</t>
        </is>
      </c>
      <c r="F57" s="14" t="n">
        <v>362.7863</v>
      </c>
      <c r="G57" s="15" t="inlineStr">
        <is>
          <t>USD</t>
        </is>
      </c>
      <c r="H57" s="14" t="n">
        <v>323.532837326041</v>
      </c>
      <c r="I57" s="16" t="n">
        <v>1544426.000037812</v>
      </c>
      <c r="J57" s="16" t="n">
        <v>1731807.5</v>
      </c>
      <c r="K57" s="14" t="n">
        <v>7.83</v>
      </c>
      <c r="L57" s="14" t="n">
        <v>19.39382</v>
      </c>
      <c r="M57" s="17">
        <f>IF(OR(F57="",K57="",K57&lt;=0),"",F57/K57)</f>
        <v/>
      </c>
      <c r="N57" s="18" t="n">
        <v>17.373158</v>
      </c>
      <c r="O57" s="19">
        <f>IF(OR(N57="",M57="",M57&lt;=0),"",N57/M57)</f>
        <v/>
      </c>
      <c r="P57" s="20" t="n">
        <v>0.44245</v>
      </c>
      <c r="Q57" s="20" t="n">
        <v>0.3662036929009307</v>
      </c>
      <c r="R57" s="20" t="n">
        <v>0.1955383898306939</v>
      </c>
      <c r="S57" s="21" t="n">
        <v>4</v>
      </c>
      <c r="T57" s="20" t="n"/>
      <c r="U57" s="20" t="n">
        <v>0.2844806377011268</v>
      </c>
      <c r="V57" s="20" t="n">
        <v>0.08710363781435622</v>
      </c>
      <c r="W57" s="20" t="n">
        <v>0.5870435217608805</v>
      </c>
      <c r="X57" s="20" t="n">
        <v>0.5061869743273592</v>
      </c>
      <c r="Y57" s="14" t="n">
        <v>2.6</v>
      </c>
      <c r="Z57" s="19">
        <f>IF(OR(Y57="",F57="",F57=0),"",Y57/F57)</f>
        <v/>
      </c>
      <c r="AA57" s="22" t="n">
        <v>59.604</v>
      </c>
      <c r="AB57" s="20" t="n">
        <v>0.855</v>
      </c>
      <c r="AC57" s="20" t="n">
        <v>0.5989481418128884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2026-10-08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Phillips 66</t>
        </is>
      </c>
      <c r="C58" s="12" t="inlineStr">
        <is>
          <t>PSX</t>
        </is>
      </c>
      <c r="D58" s="11" t="inlineStr">
        <is>
          <t>Raffinazione</t>
        </is>
      </c>
      <c r="E58" s="13" t="inlineStr">
        <is>
          <t>Energia</t>
        </is>
      </c>
      <c r="F58" s="14" t="n">
        <v>280.82</v>
      </c>
      <c r="G58" s="15" t="inlineStr">
        <is>
          <t>USD</t>
        </is>
      </c>
      <c r="H58" s="14" t="n">
        <v>250.4352876001625</v>
      </c>
      <c r="I58" s="16" t="n">
        <v>99928.95920870938</v>
      </c>
      <c r="J58" s="16" t="n">
        <v>112053.1</v>
      </c>
      <c r="K58" s="14" t="n">
        <v>17.5</v>
      </c>
      <c r="L58" s="14" t="n">
        <v>26.67825</v>
      </c>
      <c r="M58" s="17">
        <f>IF(OR(F58="",K58="",K58&lt;=0),"",F58/K58)</f>
        <v/>
      </c>
      <c r="N58" s="18" t="n">
        <v>3.5565746</v>
      </c>
      <c r="O58" s="19">
        <f>IF(OR(N58="",M58="",M58&lt;=0),"",N58/M58)</f>
        <v/>
      </c>
      <c r="P58" s="20" t="n">
        <v>0.23452999</v>
      </c>
      <c r="Q58" s="20" t="n">
        <v>0.2079323006455208</v>
      </c>
      <c r="R58" s="20" t="n">
        <v>0.1098238706639464</v>
      </c>
      <c r="S58" s="21" t="n">
        <v>4</v>
      </c>
      <c r="T58" s="20" t="n"/>
      <c r="U58" s="20" t="n">
        <v>0.151342247275977</v>
      </c>
      <c r="V58" s="20" t="n">
        <v>0.07724022183304145</v>
      </c>
      <c r="W58" s="20" t="n">
        <v>0.2293757970114116</v>
      </c>
      <c r="X58" s="20" t="n">
        <v>0.3737709364616532</v>
      </c>
      <c r="Y58" s="14" t="n">
        <v>5.08</v>
      </c>
      <c r="Z58" s="19">
        <f>IF(OR(Y58="",F58="",F58=0),"",Y58/F58)</f>
        <v/>
      </c>
      <c r="AA58" s="22" t="n">
        <v>62.884</v>
      </c>
      <c r="AB58" s="20" t="n">
        <v>0.531</v>
      </c>
      <c r="AC58" s="20" t="n">
        <v>0.05352178787695655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2026-10-08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Amgen</t>
        </is>
      </c>
      <c r="C59" s="12" t="inlineStr">
        <is>
          <t>AMGN</t>
        </is>
      </c>
      <c r="D59" s="11" t="inlineStr">
        <is>
          <t>Biotecnologie</t>
        </is>
      </c>
      <c r="E59" s="13" t="inlineStr">
        <is>
          <t>Salute</t>
        </is>
      </c>
      <c r="F59" s="14" t="n">
        <v>406.47</v>
      </c>
      <c r="G59" s="15" t="inlineStr">
        <is>
          <t>USD</t>
        </is>
      </c>
      <c r="H59" s="14" t="n">
        <v>362.4899627905351</v>
      </c>
      <c r="I59" s="16" t="n">
        <v>195973.683337501</v>
      </c>
      <c r="J59" s="16" t="n">
        <v>219750.7</v>
      </c>
      <c r="K59" s="14" t="n">
        <v>16.1</v>
      </c>
      <c r="L59" s="14" t="n">
        <v>24.47776</v>
      </c>
      <c r="M59" s="17">
        <f>IF(OR(F59="",K59="",K59&lt;=0),"",F59/K59)</f>
        <v/>
      </c>
      <c r="N59" s="18" t="n">
        <v>18.800648</v>
      </c>
      <c r="O59" s="19">
        <f>IF(OR(N59="",M59="",M59&lt;=0),"",N59/M59)</f>
        <v/>
      </c>
      <c r="P59" s="20" t="n">
        <v>0.91473</v>
      </c>
      <c r="Q59" s="20" t="n">
        <v>1.113513443906775</v>
      </c>
      <c r="R59" s="20" t="n">
        <v>0.4130744959321571</v>
      </c>
      <c r="S59" s="21" t="n">
        <v>4</v>
      </c>
      <c r="T59" s="20" t="n"/>
      <c r="U59" s="20" t="n">
        <v>0.8906213906213907</v>
      </c>
      <c r="V59" s="20" t="n">
        <v>0.6959332993023651</v>
      </c>
      <c r="W59" s="20" t="n">
        <v>1.077824133504493</v>
      </c>
      <c r="X59" s="20" t="n">
        <v>1.789674952198853</v>
      </c>
      <c r="Y59" s="14" t="n">
        <v>10.08</v>
      </c>
      <c r="Z59" s="19">
        <f>IF(OR(Y59="",F59="",F59=0),"",Y59/F59)</f>
        <v/>
      </c>
      <c r="AA59" s="22" t="n">
        <v>490.281</v>
      </c>
      <c r="AB59" s="20" t="n">
        <v>0.095</v>
      </c>
      <c r="AC59" s="20" t="n">
        <v>0.2378982902233953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2026-10-08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Goldman Sachs</t>
        </is>
      </c>
      <c r="C60" s="12" t="inlineStr">
        <is>
          <t>GS</t>
        </is>
      </c>
      <c r="D60" s="11" t="inlineStr">
        <is>
          <t>Banca d'investimento</t>
        </is>
      </c>
      <c r="E60" s="13" t="inlineStr">
        <is>
          <t>Finanziario</t>
        </is>
      </c>
      <c r="F60" s="14" t="n">
        <v>880.14</v>
      </c>
      <c r="G60" s="15" t="inlineStr">
        <is>
          <t>USD</t>
        </is>
      </c>
      <c r="H60" s="14" t="n">
        <v>784.9088883569796</v>
      </c>
      <c r="I60" s="16" t="n">
        <v>228543.0234661128</v>
      </c>
      <c r="J60" s="16" t="n">
        <v>256271.6</v>
      </c>
      <c r="K60" s="14" t="n">
        <v>64.75</v>
      </c>
      <c r="L60" s="14" t="n">
        <v>72.63763</v>
      </c>
      <c r="M60" s="17">
        <f>IF(OR(F60="",K60="",K60&lt;=0),"",F60/K60)</f>
        <v/>
      </c>
      <c r="N60" s="18" t="n">
        <v>2.430997</v>
      </c>
      <c r="O60" s="19">
        <f>IF(OR(N60="",M60="",M60&lt;=0),"",N60/M60)</f>
        <v/>
      </c>
      <c r="P60" s="20" t="n">
        <v>0.16902</v>
      </c>
      <c r="Q60" s="20" t="n">
        <v>0.1058492814900844</v>
      </c>
      <c r="R60" s="20" t="n">
        <v>0.02401629869746958</v>
      </c>
      <c r="S60" s="21" t="n">
        <v>4</v>
      </c>
      <c r="T60" s="20" t="n"/>
      <c r="U60" s="20" t="n">
        <v>0.1374387862881285</v>
      </c>
      <c r="V60" s="20" t="n">
        <v>0.117020230171481</v>
      </c>
      <c r="W60" s="20" t="n">
        <v>0.07284547281981096</v>
      </c>
      <c r="X60" s="20" t="n">
        <v>0.09609263668091715</v>
      </c>
      <c r="Y60" s="14" t="n">
        <v>20</v>
      </c>
      <c r="Z60" s="19">
        <f>IF(OR(Y60="",F60="",F60=0),"",Y60/F60)</f>
        <v/>
      </c>
      <c r="AA60" s="22" t="n">
        <v>725.381</v>
      </c>
      <c r="AB60" s="20" t="n">
        <v>0.425</v>
      </c>
      <c r="AC60" s="20" t="n">
        <v>0.342844399361735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2026-10-08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Morgan Stanley</t>
        </is>
      </c>
      <c r="C61" s="12" t="inlineStr">
        <is>
          <t>MS</t>
        </is>
      </c>
      <c r="D61" s="11" t="inlineStr">
        <is>
          <t>Banca d'investimento</t>
        </is>
      </c>
      <c r="E61" s="13" t="inlineStr">
        <is>
          <t>Finanziario</t>
        </is>
      </c>
      <c r="F61" s="14" t="n">
        <v>186.46</v>
      </c>
      <c r="G61" s="15" t="inlineStr">
        <is>
          <t>USD</t>
        </is>
      </c>
      <c r="H61" s="14" t="n">
        <v>166.2850357023228</v>
      </c>
      <c r="I61" s="16" t="n">
        <v>261161.680137009</v>
      </c>
      <c r="J61" s="16" t="n">
        <v>292847.8</v>
      </c>
      <c r="K61" s="14" t="n">
        <v>12.38</v>
      </c>
      <c r="L61" s="14" t="n">
        <v>13.59353</v>
      </c>
      <c r="M61" s="17">
        <f>IF(OR(F61="",K61="",K61&lt;=0),"",F61/K61)</f>
        <v/>
      </c>
      <c r="N61" s="18" t="n">
        <v>2.7501068</v>
      </c>
      <c r="O61" s="19">
        <f>IF(OR(N61="",M61="",M61&lt;=0),"",N61/M61)</f>
        <v/>
      </c>
      <c r="P61" s="20" t="n">
        <v>0.17969999</v>
      </c>
      <c r="Q61" s="20" t="n">
        <v>0.17969999</v>
      </c>
      <c r="R61" s="20" t="n"/>
      <c r="S61" s="21" t="n">
        <v>0</v>
      </c>
      <c r="T61" s="20" t="n"/>
      <c r="U61" s="20" t="n">
        <v>0.1510409201662606</v>
      </c>
      <c r="V61" s="20" t="n">
        <v>0.1281204849250318</v>
      </c>
      <c r="W61" s="20" t="n">
        <v>0.09175266059492317</v>
      </c>
      <c r="X61" s="20" t="n">
        <v>0.1101347100588171</v>
      </c>
      <c r="Y61" s="14" t="n">
        <v>4.6</v>
      </c>
      <c r="Z61" s="19">
        <f>IF(OR(Y61="",F61="",F61=0),"",Y61/F61)</f>
        <v/>
      </c>
      <c r="AA61" s="22" t="n">
        <v>517.282</v>
      </c>
      <c r="AB61" s="20" t="n">
        <v>0.28</v>
      </c>
      <c r="AC61" s="20" t="n">
        <v>0.2963193286238365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2026-10-08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AbbVie</t>
        </is>
      </c>
      <c r="C62" s="12" t="inlineStr">
        <is>
          <t>ABBV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269.035</v>
      </c>
      <c r="G62" s="15" t="inlineStr">
        <is>
          <t>USD</t>
        </is>
      </c>
      <c r="H62" s="14" t="n">
        <v>239.9254241133456</v>
      </c>
      <c r="I62" s="16" t="n">
        <v>423976.3651585852</v>
      </c>
      <c r="J62" s="16" t="n">
        <v>475416.4</v>
      </c>
      <c r="K62" s="14" t="n">
        <v>3.54</v>
      </c>
      <c r="L62" s="14" t="n">
        <v>16.25892</v>
      </c>
      <c r="M62" s="17">
        <f>IF(OR(F62="",K62="",K62&lt;=0),"",F62/K62)</f>
        <v/>
      </c>
      <c r="N62" s="18" t="n">
        <v>-80.09378</v>
      </c>
      <c r="O62" s="19">
        <f>IF(OR(N62="",M62="",M62&lt;=0),"",N62/M62)</f>
        <v/>
      </c>
      <c r="P62" s="20" t="n">
        <v>1.286616541353383</v>
      </c>
      <c r="Q62" s="20" t="n">
        <v>0.8140013147022048</v>
      </c>
      <c r="R62" s="20" t="n">
        <v>0.3456887382306248</v>
      </c>
      <c r="S62" s="21" t="n">
        <v>3</v>
      </c>
      <c r="T62" s="20" t="n"/>
      <c r="U62" s="20" t="n"/>
      <c r="V62" s="20" t="n">
        <v>1.286616541353383</v>
      </c>
      <c r="W62" s="20" t="n">
        <v>0.4694015444015444</v>
      </c>
      <c r="X62" s="20" t="n">
        <v>0.6859858583516866</v>
      </c>
      <c r="Y62" s="14" t="n">
        <v>6.92</v>
      </c>
      <c r="Z62" s="19">
        <f>IF(OR(Y62="",F62="",F62=0),"",Y62/F62)</f>
        <v/>
      </c>
      <c r="AA62" s="22" t="n"/>
      <c r="AB62" s="20" t="n">
        <v>0.102</v>
      </c>
      <c r="AC62" s="20" t="n">
        <v>0.1025179877043819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2026-10-08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363.1</v>
      </c>
      <c r="G63" s="15" t="inlineStr">
        <is>
          <t>USD</t>
        </is>
      </c>
      <c r="H63" s="14" t="n">
        <v>323.8125949989994</v>
      </c>
      <c r="I63" s="16" t="n">
        <v>84439.37347123177</v>
      </c>
      <c r="J63" s="16" t="n">
        <v>94684.2</v>
      </c>
      <c r="K63" s="14" t="n">
        <v>9.66</v>
      </c>
      <c r="L63" s="14" t="n">
        <v>13.15768</v>
      </c>
      <c r="M63" s="17">
        <f>IF(OR(F63="",K63="",K63&lt;=0),"",F63/K63)</f>
        <v/>
      </c>
      <c r="N63" s="18" t="n">
        <v>-21.007868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2026-10-08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305.56</v>
      </c>
      <c r="G64" s="15" t="inlineStr">
        <is>
          <t>USD</t>
        </is>
      </c>
      <c r="H64" s="14" t="n">
        <v>272.4984206221268</v>
      </c>
      <c r="I64" s="16" t="n">
        <v>282734.1447762455</v>
      </c>
      <c r="J64" s="16" t="n">
        <v>317037.6</v>
      </c>
      <c r="K64" s="14" t="n">
        <v>8.48</v>
      </c>
      <c r="L64" s="14" t="n">
        <v>9.10003</v>
      </c>
      <c r="M64" s="17">
        <f>IF(OR(F64="",K64="",K64&lt;=0),"",F64/K64)</f>
        <v/>
      </c>
      <c r="N64" s="18" t="n">
        <v>17.97306</v>
      </c>
      <c r="O64" s="19">
        <f>IF(OR(N64="",M64="",M64&lt;=0),"",N64/M64)</f>
        <v/>
      </c>
      <c r="P64" s="20" t="n">
        <v>0.48231998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113.225</v>
      </c>
      <c r="AB64" s="20" t="n">
        <v>0.211</v>
      </c>
      <c r="AC64" s="20" t="n">
        <v>0.1954857647802857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2026-10-08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255.54</v>
      </c>
      <c r="G65" s="15" t="inlineStr">
        <is>
          <t>USD</t>
        </is>
      </c>
      <c r="H65" s="14" t="n">
        <v>227.8905825558917</v>
      </c>
      <c r="I65" s="16" t="n">
        <v>549193.2063386292</v>
      </c>
      <c r="J65" s="16" t="n">
        <v>615825.5</v>
      </c>
      <c r="K65" s="14" t="n">
        <v>8.630000000000001</v>
      </c>
      <c r="L65" s="14" t="n">
        <v>12.138</v>
      </c>
      <c r="M65" s="17">
        <f>IF(OR(F65="",K65="",K65&lt;=0),"",F65/K65)</f>
        <v/>
      </c>
      <c r="N65" s="18" t="n">
        <v>7.242376</v>
      </c>
      <c r="O65" s="19">
        <f>IF(OR(N65="",M65="",M65&lt;=0),"",N65/M65)</f>
        <v/>
      </c>
      <c r="P65" s="20" t="n">
        <v>0.25742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57.709</v>
      </c>
      <c r="AB65" s="20" t="n">
        <v>0.066</v>
      </c>
      <c r="AC65" s="20" t="n">
        <v>0.2233393214357755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2026-10-08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Valero Energy</t>
        </is>
      </c>
      <c r="C66" s="12" t="inlineStr">
        <is>
          <t>VLO</t>
        </is>
      </c>
      <c r="D66" s="11" t="inlineStr">
        <is>
          <t>Raffinazione</t>
        </is>
      </c>
      <c r="E66" s="13" t="inlineStr">
        <is>
          <t>Energia</t>
        </is>
      </c>
      <c r="F66" s="14" t="n">
        <v>444.12</v>
      </c>
      <c r="G66" s="15" t="inlineStr">
        <is>
          <t>USD</t>
        </is>
      </c>
      <c r="H66" s="14" t="n">
        <v>396.0662343457879</v>
      </c>
      <c r="I66" s="16" t="n">
        <v>114038.3060222543</v>
      </c>
      <c r="J66" s="16" t="n">
        <v>127874.3</v>
      </c>
      <c r="K66" s="14" t="n">
        <v>23.99</v>
      </c>
      <c r="L66" s="14" t="n">
        <v>42.27402</v>
      </c>
      <c r="M66" s="17">
        <f>IF(OR(F66="",K66="",K66&lt;=0),"",F66/K66)</f>
        <v/>
      </c>
      <c r="N66" s="18" t="n">
        <v>5.114822</v>
      </c>
      <c r="O66" s="19">
        <f>IF(OR(N66="",M66="",M66&lt;=0),"",N66/M66)</f>
        <v/>
      </c>
      <c r="P66" s="20" t="n">
        <v>0.27637</v>
      </c>
      <c r="Q66" s="20" t="n">
        <v>0.2591503425025153</v>
      </c>
      <c r="R66" s="20" t="n">
        <v>0.1626219038409605</v>
      </c>
      <c r="S66" s="21" t="n">
        <v>4</v>
      </c>
      <c r="T66" s="20" t="n"/>
      <c r="U66" s="20" t="n">
        <v>0.09896733403582719</v>
      </c>
      <c r="V66" s="20" t="n">
        <v>0.1130058746736292</v>
      </c>
      <c r="W66" s="20" t="n">
        <v>0.3353450239125484</v>
      </c>
      <c r="X66" s="20" t="n">
        <v>0.4892831373880565</v>
      </c>
      <c r="Y66" s="14" t="n">
        <v>4.8</v>
      </c>
      <c r="Z66" s="19">
        <f>IF(OR(Y66="",F66="",F66=0),"",Y66/F66)</f>
        <v/>
      </c>
      <c r="AA66" s="22" t="n">
        <v>40.148</v>
      </c>
      <c r="AB66" s="20" t="n">
        <v>0.517</v>
      </c>
      <c r="AC66" s="20" t="n">
        <v>0.05862886806263092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2026-10-08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ConocoPhillips</t>
        </is>
      </c>
      <c r="C67" s="12" t="inlineStr">
        <is>
          <t>COP</t>
        </is>
      </c>
      <c r="D67" s="11" t="inlineStr">
        <is>
          <t>Esplorazione e produzione</t>
        </is>
      </c>
      <c r="E67" s="13" t="inlineStr">
        <is>
          <t>Energia</t>
        </is>
      </c>
      <c r="F67" s="14" t="n">
        <v>134.2901</v>
      </c>
      <c r="G67" s="15" t="inlineStr">
        <is>
          <t>USD</t>
        </is>
      </c>
      <c r="H67" s="14" t="n">
        <v>119.7599167272793</v>
      </c>
      <c r="I67" s="16" t="n">
        <v>143872.0495241533</v>
      </c>
      <c r="J67" s="16" t="n">
        <v>161327.7</v>
      </c>
      <c r="K67" s="14" t="n">
        <v>7.55</v>
      </c>
      <c r="L67" s="14" t="n">
        <v>10.05347</v>
      </c>
      <c r="M67" s="17">
        <f>IF(OR(F67="",K67="",K67&lt;=0),"",F67/K67)</f>
        <v/>
      </c>
      <c r="N67" s="18" t="n">
        <v>2.4687042</v>
      </c>
      <c r="O67" s="19">
        <f>IF(OR(N67="",M67="",M67&lt;=0),"",N67/M67)</f>
        <v/>
      </c>
      <c r="P67" s="20" t="n">
        <v>0.1418</v>
      </c>
      <c r="Q67" s="20" t="n">
        <v>0.2195092664055975</v>
      </c>
      <c r="R67" s="20" t="n">
        <v>0.1046819831646029</v>
      </c>
      <c r="S67" s="21" t="n">
        <v>4</v>
      </c>
      <c r="T67" s="20" t="n"/>
      <c r="U67" s="20" t="n">
        <v>0.1238699272721634</v>
      </c>
      <c r="V67" s="20" t="n">
        <v>0.1426785604049633</v>
      </c>
      <c r="W67" s="20" t="n">
        <v>0.222346232675176</v>
      </c>
      <c r="X67" s="20" t="n">
        <v>0.3891423452700873</v>
      </c>
      <c r="Y67" s="14" t="n">
        <v>3.36</v>
      </c>
      <c r="Z67" s="19">
        <f>IF(OR(Y67="",F67="",F67=0),"",Y67/F67)</f>
        <v/>
      </c>
      <c r="AA67" s="22" t="n">
        <v>35.639</v>
      </c>
      <c r="AB67" s="20" t="n">
        <v>0.355</v>
      </c>
      <c r="AC67" s="20" t="n">
        <v>0.1569795092290988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2026-10-08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American Tower</t>
        </is>
      </c>
      <c r="C68" s="12" t="inlineStr">
        <is>
          <t>AMT</t>
        </is>
      </c>
      <c r="D68" s="11" t="inlineStr">
        <is>
          <t>REIT / Torri</t>
        </is>
      </c>
      <c r="E68" s="13" t="inlineStr">
        <is>
          <t>Immobiliare</t>
        </is>
      </c>
      <c r="F68" s="14" t="n">
        <v>166.37</v>
      </c>
      <c r="G68" s="15" t="inlineStr">
        <is>
          <t>USD</t>
        </is>
      </c>
      <c r="H68" s="14" t="n">
        <v>148.3687728724416</v>
      </c>
      <c r="I68" s="16" t="n">
        <v>69133.94444228429</v>
      </c>
      <c r="J68" s="16" t="n">
        <v>77521.8</v>
      </c>
      <c r="K68" s="14" t="n">
        <v>7.27</v>
      </c>
      <c r="L68" s="14" t="n">
        <v>7.01004</v>
      </c>
      <c r="M68" s="17">
        <f>IF(OR(F68="",K68="",K68&lt;=0),"",F68/K68)</f>
        <v/>
      </c>
      <c r="N68" s="18" t="n">
        <v>20.840536</v>
      </c>
      <c r="O68" s="19">
        <f>IF(OR(N68="",M68="",M68&lt;=0),"",N68/M68)</f>
        <v/>
      </c>
      <c r="P68" s="20" t="n">
        <v>0.33914003</v>
      </c>
      <c r="Q68" s="20" t="n">
        <v>0.5073666137979995</v>
      </c>
      <c r="R68" s="20" t="n">
        <v>0.172987839167374</v>
      </c>
      <c r="S68" s="21" t="n">
        <v>4</v>
      </c>
      <c r="T68" s="20" t="n"/>
      <c r="U68" s="20" t="n">
        <v>0.692539356605065</v>
      </c>
      <c r="V68" s="20" t="n">
        <v>0.6667257997752942</v>
      </c>
      <c r="W68" s="20" t="n">
        <v>0.353318088704683</v>
      </c>
      <c r="X68" s="20" t="n">
        <v>0.3168832101069557</v>
      </c>
      <c r="Y68" s="14" t="n">
        <v>7.16</v>
      </c>
      <c r="Z68" s="19">
        <f>IF(OR(Y68="",F68="",F68=0),"",Y68/F68)</f>
        <v/>
      </c>
      <c r="AA68" s="22" t="n">
        <v>438.721</v>
      </c>
      <c r="AB68" s="20" t="n">
        <v>0.047</v>
      </c>
      <c r="AC68" s="20" t="n">
        <v>0.3195047193882344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2026-10-08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Parker Hannifin</t>
        </is>
      </c>
      <c r="C69" s="12" t="inlineStr">
        <is>
          <t>PH</t>
        </is>
      </c>
      <c r="D69" s="11" t="inlineStr">
        <is>
          <t>Componenti industriali</t>
        </is>
      </c>
      <c r="E69" s="13" t="inlineStr">
        <is>
          <t>Industriale</t>
        </is>
      </c>
      <c r="F69" s="14" t="n">
        <v>947.505</v>
      </c>
      <c r="G69" s="15" t="inlineStr">
        <is>
          <t>USD</t>
        </is>
      </c>
      <c r="H69" s="14" t="n">
        <v>844.984998139705</v>
      </c>
      <c r="I69" s="16" t="n">
        <v>106546.8289552491</v>
      </c>
      <c r="J69" s="16" t="n">
        <v>119473.9</v>
      </c>
      <c r="K69" s="14" t="n">
        <v>28.48</v>
      </c>
      <c r="L69" s="14" t="n">
        <v>39.43385</v>
      </c>
      <c r="M69" s="17">
        <f>IF(OR(F69="",K69="",K69&lt;=0),"",F69/K69)</f>
        <v/>
      </c>
      <c r="N69" s="18" t="n">
        <v>7.7552695</v>
      </c>
      <c r="O69" s="19">
        <f>IF(OR(N69="",M69="",M69&lt;=0),"",N69/M69)</f>
        <v/>
      </c>
      <c r="P69" s="20" t="n">
        <v>0.25076</v>
      </c>
      <c r="Q69" s="20" t="n">
        <v>0.2330477121157223</v>
      </c>
      <c r="R69" s="20" t="n">
        <v>0.02018286569552279</v>
      </c>
      <c r="S69" s="21" t="n">
        <v>4</v>
      </c>
      <c r="T69" s="20" t="n">
        <v>0.2368216047779798</v>
      </c>
      <c r="U69" s="20" t="n">
        <v>0.2580763046338255</v>
      </c>
      <c r="V69" s="20" t="n">
        <v>0.2355864811133201</v>
      </c>
      <c r="W69" s="20" t="n">
        <v>0.201706457937764</v>
      </c>
      <c r="X69" s="20" t="n">
        <v>0.1486893495046514</v>
      </c>
      <c r="Y69" s="14" t="n">
        <v>8</v>
      </c>
      <c r="Z69" s="19">
        <f>IF(OR(Y69="",F69="",F69=0),"",Y69/F69)</f>
        <v/>
      </c>
      <c r="AA69" s="22" t="n">
        <v>56.66</v>
      </c>
      <c r="AB69" s="20" t="n">
        <v>0.098</v>
      </c>
      <c r="AC69" s="20" t="n">
        <v>0.1696823108051537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2026-10-08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Boeing</t>
        </is>
      </c>
      <c r="C70" s="12" t="inlineStr">
        <is>
          <t>BA</t>
        </is>
      </c>
      <c r="D70" s="11" t="inlineStr">
        <is>
          <t>Aerospazio</t>
        </is>
      </c>
      <c r="E70" s="13" t="inlineStr">
        <is>
          <t>Industriale</t>
        </is>
      </c>
      <c r="F70" s="14" t="n">
        <v>186.515</v>
      </c>
      <c r="G70" s="15" t="inlineStr">
        <is>
          <t>USD</t>
        </is>
      </c>
      <c r="H70" s="14" t="n">
        <v>166.3340847045948</v>
      </c>
      <c r="I70" s="16" t="n">
        <v>131369.4588450333</v>
      </c>
      <c r="J70" s="16" t="n">
        <v>147308.2</v>
      </c>
      <c r="K70" s="14" t="n">
        <v>2.8</v>
      </c>
      <c r="L70" s="14" t="n">
        <v>4.11294</v>
      </c>
      <c r="M70" s="17">
        <f>IF(OR(F70="",K70="",K70&lt;=0),"",F70/K70)</f>
        <v/>
      </c>
      <c r="N70" s="18" t="n">
        <v>24.172499</v>
      </c>
      <c r="O70" s="19">
        <f>IF(OR(N70="",M70="",M70&lt;=0),"",N70/M70)</f>
        <v/>
      </c>
      <c r="P70" s="20" t="n">
        <v>1.73537</v>
      </c>
      <c r="Q70" s="20" t="n">
        <v>0.4097909790979098</v>
      </c>
      <c r="R70" s="20" t="n"/>
      <c r="S70" s="21" t="n">
        <v>1</v>
      </c>
      <c r="T70" s="20" t="n"/>
      <c r="U70" s="20" t="n">
        <v>0.4097909790979098</v>
      </c>
      <c r="V70" s="20" t="n"/>
      <c r="W70" s="20" t="n"/>
      <c r="X70" s="20" t="n"/>
      <c r="Y70" s="14" t="n"/>
      <c r="Z70" s="19">
        <f>IF(OR(Y70="",F70="",F70=0),"",Y70/F70)</f>
        <v/>
      </c>
      <c r="AA70" s="22" t="n">
        <v>790.875</v>
      </c>
      <c r="AB70" s="20" t="n">
        <v>0.08</v>
      </c>
      <c r="AC70" s="20" t="n">
        <v>0.02335043466013883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2026-10-08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Intuit</t>
        </is>
      </c>
      <c r="C71" s="12" t="inlineStr">
        <is>
          <t>INTU</t>
        </is>
      </c>
      <c r="D71" s="11" t="inlineStr">
        <is>
          <t>Software</t>
        </is>
      </c>
      <c r="E71" s="13" t="inlineStr">
        <is>
          <t>Tecnologia</t>
        </is>
      </c>
      <c r="F71" s="14" t="n">
        <v>298.065</v>
      </c>
      <c r="G71" s="15" t="inlineStr">
        <is>
          <t>USD</t>
        </is>
      </c>
      <c r="H71" s="14" t="n">
        <v>265.814379312522</v>
      </c>
      <c r="I71" s="16" t="n">
        <v>71035.1729503492</v>
      </c>
      <c r="J71" s="16" t="n">
        <v>79653.7</v>
      </c>
      <c r="K71" s="14" t="n">
        <v>16.46</v>
      </c>
      <c r="L71" s="14" t="n">
        <v>27.07542</v>
      </c>
      <c r="M71" s="17">
        <f>IF(OR(F71="",K71="",K71&lt;=0),"",F71/K71)</f>
        <v/>
      </c>
      <c r="N71" s="18" t="n">
        <v>4.2120996</v>
      </c>
      <c r="O71" s="19">
        <f>IF(OR(N71="",M71="",M71&lt;=0),"",N71/M71)</f>
        <v/>
      </c>
      <c r="P71" s="20" t="n">
        <v>0.23596</v>
      </c>
      <c r="Q71" s="20" t="n">
        <v>0.183870579164923</v>
      </c>
      <c r="R71" s="20" t="n">
        <v>0.03868908414297412</v>
      </c>
      <c r="S71" s="21" t="n">
        <v>4</v>
      </c>
      <c r="T71" s="20" t="n">
        <v>0.2404170176916597</v>
      </c>
      <c r="U71" s="20" t="n">
        <v>0.1962962962962963</v>
      </c>
      <c r="V71" s="20" t="n">
        <v>0.1607181601215014</v>
      </c>
      <c r="W71" s="20" t="n">
        <v>0.1380508425502345</v>
      </c>
      <c r="X71" s="20" t="n">
        <v>0.125661456115808</v>
      </c>
      <c r="Y71" s="14" t="n">
        <v>5.52</v>
      </c>
      <c r="Z71" s="19">
        <f>IF(OR(Y71="",F71="",F71=0),"",Y71/F71)</f>
        <v/>
      </c>
      <c r="AA71" s="22" t="n">
        <v>44.34</v>
      </c>
      <c r="AB71" s="20" t="n">
        <v>0.137</v>
      </c>
      <c r="AC71" s="20" t="n">
        <v>0.2128869884371503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2026-10-08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Regeneron</t>
        </is>
      </c>
      <c r="C72" s="12" t="inlineStr">
        <is>
          <t>REGN</t>
        </is>
      </c>
      <c r="D72" s="11" t="inlineStr">
        <is>
          <t>Biotecnologie</t>
        </is>
      </c>
      <c r="E72" s="13" t="inlineStr">
        <is>
          <t>Salute</t>
        </is>
      </c>
      <c r="F72" s="14" t="n">
        <v>737.115</v>
      </c>
      <c r="G72" s="15" t="inlineStr">
        <is>
          <t>USD</t>
        </is>
      </c>
      <c r="H72" s="14" t="n">
        <v>657.3591874488775</v>
      </c>
      <c r="I72" s="16" t="n">
        <v>67678.43759486522</v>
      </c>
      <c r="J72" s="16" t="n">
        <v>75889.7</v>
      </c>
      <c r="K72" s="14" t="n">
        <v>40.44</v>
      </c>
      <c r="L72" s="14" t="n">
        <v>61.68194</v>
      </c>
      <c r="M72" s="17">
        <f>IF(OR(F72="",K72="",K72&lt;=0),"",F72/K72)</f>
        <v/>
      </c>
      <c r="N72" s="18" t="n">
        <v>2.3318233</v>
      </c>
      <c r="O72" s="19">
        <f>IF(OR(N72="",M72="",M72&lt;=0),"",N72/M72)</f>
        <v/>
      </c>
      <c r="P72" s="20" t="n">
        <v>0.14043</v>
      </c>
      <c r="Q72" s="20" t="n">
        <v>0.1595230520456649</v>
      </c>
      <c r="R72" s="20" t="n">
        <v>0.01865889297829353</v>
      </c>
      <c r="S72" s="21" t="n">
        <v>4</v>
      </c>
      <c r="T72" s="20" t="n"/>
      <c r="U72" s="20" t="n">
        <v>0.1441249772050331</v>
      </c>
      <c r="V72" s="20" t="n">
        <v>0.1503256840728224</v>
      </c>
      <c r="W72" s="20" t="n">
        <v>0.1522190266082986</v>
      </c>
      <c r="X72" s="20" t="n">
        <v>0.1914225202965055</v>
      </c>
      <c r="Y72" s="14" t="n">
        <v>3.76</v>
      </c>
      <c r="Z72" s="19">
        <f>IF(OR(Y72="",F72="",F72=0),"",Y72/F72)</f>
        <v/>
      </c>
      <c r="AA72" s="22" t="n">
        <v>8.535</v>
      </c>
      <c r="AB72" s="20" t="n">
        <v>0.167</v>
      </c>
      <c r="AC72" s="20" t="n">
        <v>0.301800884339987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2026-10-08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Charles Schwab</t>
        </is>
      </c>
      <c r="C73" s="12" t="inlineStr">
        <is>
          <t>SCHW</t>
        </is>
      </c>
      <c r="D73" s="11" t="inlineStr">
        <is>
          <t>Intermediazione</t>
        </is>
      </c>
      <c r="E73" s="13" t="inlineStr">
        <is>
          <t>Finanziario</t>
        </is>
      </c>
      <c r="F73" s="14" t="n">
        <v>96.89</v>
      </c>
      <c r="G73" s="15" t="inlineStr">
        <is>
          <t>USD</t>
        </is>
      </c>
      <c r="H73" s="14" t="n">
        <v>86.40650600234935</v>
      </c>
      <c r="I73" s="16" t="n">
        <v>149425.8234614041</v>
      </c>
      <c r="J73" s="16" t="n">
        <v>167555.3</v>
      </c>
      <c r="K73" s="14" t="n">
        <v>5.49</v>
      </c>
      <c r="L73" s="14" t="n">
        <v>7.89583</v>
      </c>
      <c r="M73" s="17">
        <f>IF(OR(F73="",K73="",K73&lt;=0),"",F73/K73)</f>
        <v/>
      </c>
      <c r="N73" s="18" t="n">
        <v>3.8111157</v>
      </c>
      <c r="O73" s="19">
        <f>IF(OR(N73="",M73="",M73&lt;=0),"",N73/M73)</f>
        <v/>
      </c>
      <c r="P73" s="20" t="n">
        <v>0.20273</v>
      </c>
      <c r="Q73" s="20" t="n">
        <v>0.1554644312241724</v>
      </c>
      <c r="R73" s="20" t="n">
        <v>0.03275755535947185</v>
      </c>
      <c r="S73" s="21" t="n">
        <v>4</v>
      </c>
      <c r="T73" s="20" t="n"/>
      <c r="U73" s="20" t="n">
        <v>0.179099645928174</v>
      </c>
      <c r="V73" s="20" t="n">
        <v>0.1228320413436692</v>
      </c>
      <c r="W73" s="20" t="n">
        <v>0.1237120953171542</v>
      </c>
      <c r="X73" s="20" t="n">
        <v>0.1962139423076923</v>
      </c>
      <c r="Y73" s="14" t="n">
        <v>1.28</v>
      </c>
      <c r="Z73" s="19">
        <f>IF(OR(Y73="",F73="",F73=0),"",Y73/F73)</f>
        <v/>
      </c>
      <c r="AA73" s="22" t="n">
        <v>151.106</v>
      </c>
      <c r="AB73" s="20" t="n">
        <v>0.209</v>
      </c>
      <c r="AC73" s="20" t="n">
        <v>0.4064420423895322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2026-10-08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Citigroup</t>
        </is>
      </c>
      <c r="C74" s="12" t="inlineStr">
        <is>
          <t>C</t>
        </is>
      </c>
      <c r="D74" s="11" t="inlineStr">
        <is>
          <t>Banca</t>
        </is>
      </c>
      <c r="E74" s="13" t="inlineStr">
        <is>
          <t>Finanziario</t>
        </is>
      </c>
      <c r="F74" s="14" t="n">
        <v>127.51</v>
      </c>
      <c r="G74" s="15" t="inlineStr">
        <is>
          <t>USD</t>
        </is>
      </c>
      <c r="H74" s="14" t="n">
        <v>113.7134232672058</v>
      </c>
      <c r="I74" s="16" t="n">
        <v>190747.1108354061</v>
      </c>
      <c r="J74" s="16" t="n">
        <v>213890</v>
      </c>
      <c r="K74" s="14" t="n">
        <v>9.26</v>
      </c>
      <c r="L74" s="14" t="n">
        <v>12.94007</v>
      </c>
      <c r="M74" s="17">
        <f>IF(OR(F74="",K74="",K74&lt;=0),"",F74/K74)</f>
        <v/>
      </c>
      <c r="N74" s="18" t="n">
        <v>1.1113145</v>
      </c>
      <c r="O74" s="19">
        <f>IF(OR(N74="",M74="",M74&lt;=0),"",N74/M74)</f>
        <v/>
      </c>
      <c r="P74" s="20" t="n">
        <v>0.08529</v>
      </c>
      <c r="Q74" s="20" t="n">
        <v>0.06172167956388333</v>
      </c>
      <c r="R74" s="20" t="n">
        <v>0.01073520173144264</v>
      </c>
      <c r="S74" s="21" t="n">
        <v>4</v>
      </c>
      <c r="T74" s="20" t="n"/>
      <c r="U74" s="20" t="n">
        <v>0.06738863164241536</v>
      </c>
      <c r="V74" s="20" t="n">
        <v>0.06079636429879481</v>
      </c>
      <c r="W74" s="20" t="n">
        <v>0.04491538210685656</v>
      </c>
      <c r="X74" s="20" t="n">
        <v>0.07378634020746661</v>
      </c>
      <c r="Y74" s="14" t="n">
        <v>2.68</v>
      </c>
      <c r="Z74" s="19">
        <f>IF(OR(Y74="",F74="",F74=0),"",Y74/F74)</f>
        <v/>
      </c>
      <c r="AA74" s="22" t="n"/>
      <c r="AB74" s="20" t="n">
        <v>0.155</v>
      </c>
      <c r="AC74" s="20" t="n">
        <v>0.193163018037154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2026-10-08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41.565</v>
      </c>
      <c r="G75" s="15" t="inlineStr">
        <is>
          <t>USD</t>
        </is>
      </c>
      <c r="H75" s="14" t="n">
        <v>37.06766871697441</v>
      </c>
      <c r="I75" s="16" t="n">
        <v>38189.10726891944</v>
      </c>
      <c r="J75" s="16" t="n">
        <v>42822.5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1.444734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2026-10-08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Qualcomm</t>
        </is>
      </c>
      <c r="C76" s="12" t="inlineStr">
        <is>
          <t>QCOM</t>
        </is>
      </c>
      <c r="D76" s="11" t="inlineStr">
        <is>
          <t>Semiconduttori</t>
        </is>
      </c>
      <c r="E76" s="13" t="inlineStr">
        <is>
          <t>Tecnologia</t>
        </is>
      </c>
      <c r="F76" s="14" t="n">
        <v>174.11</v>
      </c>
      <c r="G76" s="15" t="inlineStr">
        <is>
          <t>USD</t>
        </is>
      </c>
      <c r="H76" s="14" t="n">
        <v>155.2713051921669</v>
      </c>
      <c r="I76" s="16" t="n">
        <v>165804.8013800784</v>
      </c>
      <c r="J76" s="16" t="n">
        <v>185921.5</v>
      </c>
      <c r="K76" s="14" t="n">
        <v>8.640000000000001</v>
      </c>
      <c r="L76" s="14" t="n">
        <v>10.19665</v>
      </c>
      <c r="M76" s="17">
        <f>IF(OR(F76="",K76="",K76&lt;=0),"",F76/K76)</f>
        <v/>
      </c>
      <c r="N76" s="18" t="n">
        <v>6.6538005</v>
      </c>
      <c r="O76" s="19">
        <f>IF(OR(N76="",M76="",M76&lt;=0),"",N76/M76)</f>
        <v/>
      </c>
      <c r="P76" s="20" t="n">
        <v>0.33754003</v>
      </c>
      <c r="Q76" s="20" t="n">
        <v>0.4251401367558992</v>
      </c>
      <c r="R76" s="20" t="n">
        <v>0.1748827626991776</v>
      </c>
      <c r="S76" s="21" t="n">
        <v>4</v>
      </c>
      <c r="T76" s="20" t="n"/>
      <c r="U76" s="20" t="n">
        <v>0.2612939734037537</v>
      </c>
      <c r="V76" s="20" t="n">
        <v>0.386008982263835</v>
      </c>
      <c r="W76" s="20" t="n">
        <v>0.3351095871368333</v>
      </c>
      <c r="X76" s="20" t="n">
        <v>0.718148004219175</v>
      </c>
      <c r="Y76" s="14" t="n">
        <v>3.68</v>
      </c>
      <c r="Z76" s="19">
        <f>IF(OR(Y76="",F76="",F76=0),"",Y76/F76)</f>
        <v/>
      </c>
      <c r="AA76" s="22" t="n">
        <v>55.21</v>
      </c>
      <c r="AB76" s="20" t="n">
        <v>-0.04</v>
      </c>
      <c r="AC76" s="20" t="n">
        <v>0.2091048743564267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2026-10-08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Eaton</t>
        </is>
      </c>
      <c r="C77" s="12" t="inlineStr">
        <is>
          <t>ETN</t>
        </is>
      </c>
      <c r="D77" s="11" t="inlineStr">
        <is>
          <t>Elettrificazione</t>
        </is>
      </c>
      <c r="E77" s="13" t="inlineStr">
        <is>
          <t>Industriale</t>
        </is>
      </c>
      <c r="F77" s="14" t="n">
        <v>424.76</v>
      </c>
      <c r="G77" s="15" t="inlineStr">
        <is>
          <t>USD</t>
        </is>
      </c>
      <c r="H77" s="14" t="n">
        <v>378.8009855460616</v>
      </c>
      <c r="I77" s="16" t="n">
        <v>147088.4155531354</v>
      </c>
      <c r="J77" s="16" t="n">
        <v>164934.3</v>
      </c>
      <c r="K77" s="14" t="n">
        <v>9.83</v>
      </c>
      <c r="L77" s="14" t="n">
        <v>16.2461</v>
      </c>
      <c r="M77" s="17">
        <f>IF(OR(F77="",K77="",K77&lt;=0),"",F77/K77)</f>
        <v/>
      </c>
      <c r="N77" s="18" t="n">
        <v>8.145435000000001</v>
      </c>
      <c r="O77" s="19">
        <f>IF(OR(N77="",M77="",M77&lt;=0),"",N77/M77)</f>
        <v/>
      </c>
      <c r="P77" s="20" t="n">
        <v>0.19684</v>
      </c>
      <c r="Q77" s="20" t="n">
        <v>0.182290452743209</v>
      </c>
      <c r="R77" s="20" t="n">
        <v>0.02701399831554398</v>
      </c>
      <c r="S77" s="21" t="n">
        <v>4</v>
      </c>
      <c r="T77" s="20" t="n"/>
      <c r="U77" s="20" t="n">
        <v>0.2103989703989704</v>
      </c>
      <c r="V77" s="20" t="n">
        <v>0.2052141929900476</v>
      </c>
      <c r="W77" s="20" t="n">
        <v>0.1690481193528052</v>
      </c>
      <c r="X77" s="20" t="n">
        <v>0.144500528231013</v>
      </c>
      <c r="Y77" s="14" t="n">
        <v>4.4</v>
      </c>
      <c r="Z77" s="19">
        <f>IF(OR(Y77="",F77="",F77=0),"",Y77/F77)</f>
        <v/>
      </c>
      <c r="AA77" s="22" t="n">
        <v>105.059</v>
      </c>
      <c r="AB77" s="20" t="n">
        <v>0.214</v>
      </c>
      <c r="AC77" s="20" t="n">
        <v>0.1395001433984261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2026-10-08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NextEra Energy</t>
        </is>
      </c>
      <c r="C78" s="12" t="inlineStr">
        <is>
          <t>NEE</t>
        </is>
      </c>
      <c r="D78" s="11" t="inlineStr">
        <is>
          <t>Utility / Rinnovabili</t>
        </is>
      </c>
      <c r="E78" s="13" t="inlineStr">
        <is>
          <t>Utility</t>
        </is>
      </c>
      <c r="F78" s="14" t="n">
        <v>77.09</v>
      </c>
      <c r="G78" s="15" t="inlineStr">
        <is>
          <t>USD</t>
        </is>
      </c>
      <c r="H78" s="14" t="n">
        <v>68.74886518444742</v>
      </c>
      <c r="I78" s="16" t="n">
        <v>143382.9863814999</v>
      </c>
      <c r="J78" s="16" t="n">
        <v>160779.3</v>
      </c>
      <c r="K78" s="14" t="n">
        <v>4.45</v>
      </c>
      <c r="L78" s="14" t="n">
        <v>4.38998</v>
      </c>
      <c r="M78" s="17">
        <f>IF(OR(F78="",K78="",K78&lt;=0),"",F78/K78)</f>
        <v/>
      </c>
      <c r="N78" s="18" t="n">
        <v>2.8147361</v>
      </c>
      <c r="O78" s="19">
        <f>IF(OR(N78="",M78="",M78&lt;=0),"",N78/M78)</f>
        <v/>
      </c>
      <c r="P78" s="20" t="n">
        <v>0.11677</v>
      </c>
      <c r="Q78" s="20" t="n">
        <v>0.1308789630201321</v>
      </c>
      <c r="R78" s="20" t="n">
        <v>0.01775346387851813</v>
      </c>
      <c r="S78" s="21" t="n">
        <v>4</v>
      </c>
      <c r="T78" s="20" t="n"/>
      <c r="U78" s="20" t="n">
        <v>0.1251648110167008</v>
      </c>
      <c r="V78" s="20" t="n">
        <v>0.138639947306441</v>
      </c>
      <c r="W78" s="20" t="n">
        <v>0.1539984831886745</v>
      </c>
      <c r="X78" s="20" t="n">
        <v>0.1057126105687119</v>
      </c>
      <c r="Y78" s="14" t="n">
        <v>2.49</v>
      </c>
      <c r="Z78" s="19">
        <f>IF(OR(Y78="",F78="",F78=0),"",Y78/F78)</f>
        <v/>
      </c>
      <c r="AA78" s="22" t="n">
        <v>161.676</v>
      </c>
      <c r="AB78" s="20" t="n">
        <v>0.124</v>
      </c>
      <c r="AC78" s="20" t="n">
        <v>0.3392310053990953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2026-10-08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Deere &amp; Company</t>
        </is>
      </c>
      <c r="C79" s="12" t="inlineStr">
        <is>
          <t>DE</t>
        </is>
      </c>
      <c r="D79" s="11" t="inlineStr">
        <is>
          <t>Macchine agricole</t>
        </is>
      </c>
      <c r="E79" s="13" t="inlineStr">
        <is>
          <t>Industriale</t>
        </is>
      </c>
      <c r="F79" s="14" t="n">
        <v>650.54</v>
      </c>
      <c r="G79" s="15" t="inlineStr">
        <is>
          <t>USD</t>
        </is>
      </c>
      <c r="H79" s="14" t="n">
        <v>580.151598872622</v>
      </c>
      <c r="I79" s="16" t="n">
        <v>156423.6000255411</v>
      </c>
      <c r="J79" s="16" t="n">
        <v>175402.1</v>
      </c>
      <c r="K79" s="14" t="n">
        <v>17.99</v>
      </c>
      <c r="L79" s="14" t="n">
        <v>22.80071</v>
      </c>
      <c r="M79" s="17">
        <f>IF(OR(F79="",K79="",K79&lt;=0),"",F79/K79)</f>
        <v/>
      </c>
      <c r="N79" s="18" t="n">
        <v>6.2665806</v>
      </c>
      <c r="O79" s="19">
        <f>IF(OR(N79="",M79="",M79&lt;=0),"",N79/M79)</f>
        <v/>
      </c>
      <c r="P79" s="20" t="n">
        <v>0.18242</v>
      </c>
      <c r="Q79" s="20" t="n">
        <v>0.3308055602273648</v>
      </c>
      <c r="R79" s="20" t="n">
        <v>0.09758236298151571</v>
      </c>
      <c r="S79" s="21" t="n">
        <v>4</v>
      </c>
      <c r="T79" s="20" t="n"/>
      <c r="U79" s="20" t="n">
        <v>0.193718689788054</v>
      </c>
      <c r="V79" s="20" t="n">
        <v>0.3109125941495884</v>
      </c>
      <c r="W79" s="20" t="n">
        <v>0.4666513656185449</v>
      </c>
      <c r="X79" s="20" t="n">
        <v>0.3519395913532721</v>
      </c>
      <c r="Y79" s="14" t="n">
        <v>6.48</v>
      </c>
      <c r="Z79" s="19">
        <f>IF(OR(Y79="",F79="",F79=0),"",Y79/F79)</f>
        <v/>
      </c>
      <c r="AA79" s="22" t="n">
        <v>230.298</v>
      </c>
      <c r="AB79" s="20" t="n">
        <v>0.049</v>
      </c>
      <c r="AC79" s="20" t="n">
        <v>0.1091010844285235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2026-10-08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Williams Companies</t>
        </is>
      </c>
      <c r="C80" s="12" t="inlineStr">
        <is>
          <t>WMB</t>
        </is>
      </c>
      <c r="D80" s="11" t="inlineStr">
        <is>
          <t>Gasdotti</t>
        </is>
      </c>
      <c r="E80" s="13" t="inlineStr">
        <is>
          <t>Energia</t>
        </is>
      </c>
      <c r="F80" s="14" t="n">
        <v>72.495</v>
      </c>
      <c r="G80" s="15" t="inlineStr">
        <is>
          <t>USD</t>
        </is>
      </c>
      <c r="H80" s="14" t="n">
        <v>64.65104399463635</v>
      </c>
      <c r="I80" s="16" t="n">
        <v>79079.0309629407</v>
      </c>
      <c r="J80" s="16" t="n">
        <v>88673.5</v>
      </c>
      <c r="K80" s="14" t="n">
        <v>2.51</v>
      </c>
      <c r="L80" s="14" t="n">
        <v>2.64672</v>
      </c>
      <c r="M80" s="17">
        <f>IF(OR(F80="",K80="",K80&lt;=0),"",F80/K80)</f>
        <v/>
      </c>
      <c r="N80" s="18" t="n">
        <v>6.7399597</v>
      </c>
      <c r="O80" s="19">
        <f>IF(OR(N80="",M80="",M80&lt;=0),"",N80/M80)</f>
        <v/>
      </c>
      <c r="P80" s="20" t="n">
        <v>0.21503</v>
      </c>
      <c r="Q80" s="20" t="n">
        <v>0.2045179374667133</v>
      </c>
      <c r="R80" s="20" t="n">
        <v>0.03170850933970622</v>
      </c>
      <c r="S80" s="21" t="n">
        <v>4</v>
      </c>
      <c r="T80" s="20" t="n"/>
      <c r="U80" s="20" t="n">
        <v>0.2044194581088467</v>
      </c>
      <c r="V80" s="20" t="n">
        <v>0.1789160501769058</v>
      </c>
      <c r="W80" s="20" t="n">
        <v>0.2563296242541526</v>
      </c>
      <c r="X80" s="20" t="n">
        <v>0.1784066173269482</v>
      </c>
      <c r="Y80" s="14" t="n">
        <v>2.1</v>
      </c>
      <c r="Z80" s="19">
        <f>IF(OR(Y80="",F80="",F80=0),"",Y80/F80)</f>
        <v/>
      </c>
      <c r="AA80" s="22" t="n">
        <v>200.371</v>
      </c>
      <c r="AB80" s="20" t="n">
        <v>0.078</v>
      </c>
      <c r="AC80" s="20" t="n">
        <v>0.2569037764016737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2026-10-08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Norfolk Southern</t>
        </is>
      </c>
      <c r="C81" s="12" t="inlineStr">
        <is>
          <t>NSC</t>
        </is>
      </c>
      <c r="D81" s="11" t="inlineStr">
        <is>
          <t>Ferrovie</t>
        </is>
      </c>
      <c r="E81" s="13" t="inlineStr">
        <is>
          <t>Industriale</t>
        </is>
      </c>
      <c r="F81" s="14" t="n">
        <v>316.525</v>
      </c>
      <c r="G81" s="15" t="inlineStr">
        <is>
          <t>USD</t>
        </is>
      </c>
      <c r="H81" s="14" t="n">
        <v>282.277008075071</v>
      </c>
      <c r="I81" s="16" t="n">
        <v>63401.81049677185</v>
      </c>
      <c r="J81" s="16" t="n">
        <v>71094.2</v>
      </c>
      <c r="K81" s="14" t="n">
        <v>11.72</v>
      </c>
      <c r="L81" s="14" t="n">
        <v>14.29668</v>
      </c>
      <c r="M81" s="17">
        <f>IF(OR(F81="",K81="",K81&lt;=0),"",F81/K81)</f>
        <v/>
      </c>
      <c r="N81" s="18" t="n">
        <v>4.374188</v>
      </c>
      <c r="O81" s="19">
        <f>IF(OR(N81="",M81="",M81&lt;=0),"",N81/M81)</f>
        <v/>
      </c>
      <c r="P81" s="20" t="n">
        <v>0.16985</v>
      </c>
      <c r="Q81" s="20" t="n">
        <v>0.1919584509394721</v>
      </c>
      <c r="R81" s="20" t="n">
        <v>0.04103328172323672</v>
      </c>
      <c r="S81" s="21" t="n">
        <v>4</v>
      </c>
      <c r="T81" s="20" t="n"/>
      <c r="U81" s="20" t="n">
        <v>0.1847944941146202</v>
      </c>
      <c r="V81" s="20" t="n">
        <v>0.1832797427652733</v>
      </c>
      <c r="W81" s="20" t="n">
        <v>0.1429465613019326</v>
      </c>
      <c r="X81" s="20" t="n">
        <v>0.2568130055760622</v>
      </c>
      <c r="Y81" s="14" t="n">
        <v>5.4</v>
      </c>
      <c r="Z81" s="19">
        <f>IF(OR(Y81="",F81="",F81=0),"",Y81/F81)</f>
        <v/>
      </c>
      <c r="AA81" s="22" t="n">
        <v>105.519</v>
      </c>
      <c r="AB81" s="20" t="n">
        <v>0.114</v>
      </c>
      <c r="AC81" s="20" t="n">
        <v>0.2161740505747126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2026-10-08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Ecolab</t>
        </is>
      </c>
      <c r="C82" s="12" t="inlineStr">
        <is>
          <t>ECL</t>
        </is>
      </c>
      <c r="D82" s="11" t="inlineStr">
        <is>
          <t>Chimica specialistica</t>
        </is>
      </c>
      <c r="E82" s="13" t="inlineStr">
        <is>
          <t>Materiali</t>
        </is>
      </c>
      <c r="F82" s="14" t="n">
        <v>282.315</v>
      </c>
      <c r="G82" s="15" t="inlineStr">
        <is>
          <t>USD</t>
        </is>
      </c>
      <c r="H82" s="14" t="n">
        <v>251.7685286619182</v>
      </c>
      <c r="I82" s="16" t="n">
        <v>70577.94706917051</v>
      </c>
      <c r="J82" s="16" t="n">
        <v>79141</v>
      </c>
      <c r="K82" s="14" t="n">
        <v>7.45</v>
      </c>
      <c r="L82" s="14" t="n">
        <v>9.41287</v>
      </c>
      <c r="M82" s="17">
        <f>IF(OR(F82="",K82="",K82&lt;=0),"",F82/K82)</f>
        <v/>
      </c>
      <c r="N82" s="18" t="n">
        <v>7.870505</v>
      </c>
      <c r="O82" s="19">
        <f>IF(OR(N82="",M82="",M82&lt;=0),"",N82/M82)</f>
        <v/>
      </c>
      <c r="P82" s="20" t="n">
        <v>0.21956</v>
      </c>
      <c r="Q82" s="20" t="n">
        <v>0.1937744228136611</v>
      </c>
      <c r="R82" s="20" t="n">
        <v>0.03527525358757358</v>
      </c>
      <c r="S82" s="21" t="n">
        <v>4</v>
      </c>
      <c r="T82" s="20" t="n"/>
      <c r="U82" s="20" t="n">
        <v>0.2124288696933721</v>
      </c>
      <c r="V82" s="20" t="n">
        <v>0.2412158998778162</v>
      </c>
      <c r="W82" s="20" t="n">
        <v>0.1705843598891195</v>
      </c>
      <c r="X82" s="20" t="n">
        <v>0.1508685617943367</v>
      </c>
      <c r="Y82" s="14" t="n">
        <v>2.92</v>
      </c>
      <c r="Z82" s="19">
        <f>IF(OR(Y82="",F82="",F82=0),"",Y82/F82)</f>
        <v/>
      </c>
      <c r="AA82" s="22" t="n">
        <v>138.023</v>
      </c>
      <c r="AB82" s="20" t="n">
        <v>0.097</v>
      </c>
      <c r="AC82" s="20" t="n">
        <v>0.1316070939979604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2026-10-08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Cummins</t>
        </is>
      </c>
      <c r="C83" s="12" t="inlineStr">
        <is>
          <t>CMI</t>
        </is>
      </c>
      <c r="D83" s="11" t="inlineStr">
        <is>
          <t>Motori</t>
        </is>
      </c>
      <c r="E83" s="13" t="inlineStr">
        <is>
          <t>Industriale</t>
        </is>
      </c>
      <c r="F83" s="14" t="n">
        <v>518.4</v>
      </c>
      <c r="G83" s="15" t="inlineStr">
        <is>
          <t>USD</t>
        </is>
      </c>
      <c r="H83" s="14" t="n">
        <v>462.3091414141593</v>
      </c>
      <c r="I83" s="16" t="n">
        <v>63793.57825491854</v>
      </c>
      <c r="J83" s="16" t="n">
        <v>71533.5</v>
      </c>
      <c r="K83" s="14" t="n">
        <v>19.57</v>
      </c>
      <c r="L83" s="14" t="n">
        <v>34.8042</v>
      </c>
      <c r="M83" s="17">
        <f>IF(OR(F83="",K83="",K83&lt;=0),"",F83/K83)</f>
        <v/>
      </c>
      <c r="N83" s="18" t="n">
        <v>5.55502</v>
      </c>
      <c r="O83" s="19">
        <f>IF(OR(N83="",M83="",M83&lt;=0),"",N83/M83)</f>
        <v/>
      </c>
      <c r="P83" s="20" t="n">
        <v>0.21114</v>
      </c>
      <c r="Q83" s="20" t="n">
        <v>0.2342815370053821</v>
      </c>
      <c r="R83" s="20" t="n">
        <v>0.106522642649389</v>
      </c>
      <c r="S83" s="21" t="n">
        <v>4</v>
      </c>
      <c r="T83" s="20" t="n"/>
      <c r="U83" s="20" t="n">
        <v>0.2302210705320269</v>
      </c>
      <c r="V83" s="20" t="n">
        <v>0.3841884918703145</v>
      </c>
      <c r="W83" s="20" t="n">
        <v>0.08305084745762711</v>
      </c>
      <c r="X83" s="20" t="n">
        <v>0.2396657381615599</v>
      </c>
      <c r="Y83" s="14" t="n">
        <v>8.800000000000001</v>
      </c>
      <c r="Z83" s="19">
        <f>IF(OR(Y83="",F83="",F83=0),"",Y83/F83)</f>
        <v/>
      </c>
      <c r="AA83" s="22" t="n">
        <v>59.586</v>
      </c>
      <c r="AB83" s="20" t="n">
        <v>0.094</v>
      </c>
      <c r="AC83" s="20" t="n">
        <v>0.08063558253638253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2026-10-08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245.115</v>
      </c>
      <c r="G84" s="15" t="inlineStr">
        <is>
          <t>USD</t>
        </is>
      </c>
      <c r="H84" s="14" t="n">
        <v>218.593567125254</v>
      </c>
      <c r="I84" s="16" t="n">
        <v>84155.95941810403</v>
      </c>
      <c r="J84" s="16" t="n">
        <v>94366.39999999999</v>
      </c>
      <c r="K84" s="14" t="n">
        <v>4.42</v>
      </c>
      <c r="L84" s="14" t="n">
        <v>9.178509999999999</v>
      </c>
      <c r="M84" s="17">
        <f>IF(OR(F84="",K84="",K84&lt;=0),"",F84/K84)</f>
        <v/>
      </c>
      <c r="N84" s="18" t="n">
        <v>19.832916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2026-10-08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Kimberly-Clark</t>
        </is>
      </c>
      <c r="C85" s="12" t="inlineStr">
        <is>
          <t>KMB</t>
        </is>
      </c>
      <c r="D85" s="11" t="inlineStr">
        <is>
          <t>Beni per la casa</t>
        </is>
      </c>
      <c r="E85" s="13" t="inlineStr">
        <is>
          <t>Consumi</t>
        </is>
      </c>
      <c r="F85" s="14" t="n">
        <v>97.69</v>
      </c>
      <c r="G85" s="15" t="inlineStr">
        <is>
          <t>USD</t>
        </is>
      </c>
      <c r="H85" s="14" t="n">
        <v>87.11994603539588</v>
      </c>
      <c r="I85" s="16" t="n">
        <v>28918.66747951267</v>
      </c>
      <c r="J85" s="16" t="n">
        <v>32427.3</v>
      </c>
      <c r="K85" s="14" t="n">
        <v>5.07</v>
      </c>
      <c r="L85" s="14" t="n">
        <v>7.46609</v>
      </c>
      <c r="M85" s="17">
        <f>IF(OR(F85="",K85="",K85&lt;=0),"",F85/K85)</f>
        <v/>
      </c>
      <c r="N85" s="18" t="n">
        <v>18.565184</v>
      </c>
      <c r="O85" s="19">
        <f>IF(OR(N85="",M85="",M85&lt;=0),"",N85/M85)</f>
        <v/>
      </c>
      <c r="P85" s="20" t="n">
        <v>1.04913</v>
      </c>
      <c r="Q85" s="20" t="n">
        <v>2.459704758173796</v>
      </c>
      <c r="R85" s="20" t="n">
        <v>0.8670114317756352</v>
      </c>
      <c r="S85" s="21" t="n">
        <v>4</v>
      </c>
      <c r="T85" s="20" t="n"/>
      <c r="U85" s="20" t="n">
        <v>1.345539280958722</v>
      </c>
      <c r="V85" s="20" t="n">
        <v>3.029761904761905</v>
      </c>
      <c r="W85" s="20" t="n">
        <v>1.927868852459016</v>
      </c>
      <c r="X85" s="20" t="n">
        <v>3.535648994515539</v>
      </c>
      <c r="Y85" s="14" t="n">
        <v>5.12</v>
      </c>
      <c r="Z85" s="19">
        <f>IF(OR(Y85="",F85="",F85=0),"",Y85/F85)</f>
        <v/>
      </c>
      <c r="AA85" s="22" t="n">
        <v>348.933</v>
      </c>
      <c r="AB85" s="20" t="n">
        <v>0.006</v>
      </c>
      <c r="AC85" s="20" t="n">
        <v>0.1024502909953183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2026-10-08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Walmart</t>
        </is>
      </c>
      <c r="C86" s="12" t="inlineStr">
        <is>
          <t>WMT</t>
        </is>
      </c>
      <c r="D86" s="11" t="inlineStr">
        <is>
          <t>Grande distribuzione</t>
        </is>
      </c>
      <c r="E86" s="13" t="inlineStr">
        <is>
          <t>Consumi</t>
        </is>
      </c>
      <c r="F86" s="14" t="n">
        <v>110.63</v>
      </c>
      <c r="G86" s="15" t="inlineStr">
        <is>
          <t>USD</t>
        </is>
      </c>
      <c r="H86" s="14" t="n">
        <v>98.65983856992371</v>
      </c>
      <c r="I86" s="16" t="n">
        <v>782742.0817966132</v>
      </c>
      <c r="J86" s="16" t="n">
        <v>877710.3</v>
      </c>
      <c r="K86" s="14" t="n">
        <v>2.76</v>
      </c>
      <c r="L86" s="14" t="n">
        <v>3.22473</v>
      </c>
      <c r="M86" s="17">
        <f>IF(OR(F86="",K86="",K86&lt;=0),"",F86/K86)</f>
        <v/>
      </c>
      <c r="N86" s="18" t="n">
        <v>8.944134</v>
      </c>
      <c r="O86" s="19">
        <f>IF(OR(N86="",M86="",M86&lt;=0),"",N86/M86)</f>
        <v/>
      </c>
      <c r="P86" s="20" t="n">
        <v>0.22313999</v>
      </c>
      <c r="Q86" s="20" t="n">
        <v>0.1926449949502596</v>
      </c>
      <c r="R86" s="20" t="n">
        <v>0.02673988363519914</v>
      </c>
      <c r="S86" s="21" t="n">
        <v>4</v>
      </c>
      <c r="T86" s="20" t="n">
        <v>0.2197717257094673</v>
      </c>
      <c r="U86" s="20" t="n">
        <v>0.2135519101666795</v>
      </c>
      <c r="V86" s="20" t="n">
        <v>0.1849608280368705</v>
      </c>
      <c r="W86" s="20" t="n">
        <v>0.1522955158880211</v>
      </c>
      <c r="X86" s="20" t="n"/>
      <c r="Y86" s="14" t="n">
        <v>0.99</v>
      </c>
      <c r="Z86" s="19">
        <f>IF(OR(Y86="",F86="",F86=0),"",Y86/F86)</f>
        <v/>
      </c>
      <c r="AA86" s="22" t="n">
        <v>71.65300000000001</v>
      </c>
      <c r="AB86" s="20" t="n">
        <v>0.059</v>
      </c>
      <c r="AC86" s="20" t="n">
        <v>0.03095505551465794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2026-10-08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General Dynamics</t>
        </is>
      </c>
      <c r="C87" s="12" t="inlineStr">
        <is>
          <t>GD</t>
        </is>
      </c>
      <c r="D87" s="11" t="inlineStr">
        <is>
          <t>Difesa</t>
        </is>
      </c>
      <c r="E87" s="13" t="inlineStr">
        <is>
          <t>Industriale</t>
        </is>
      </c>
      <c r="F87" s="14" t="n">
        <v>329.065</v>
      </c>
      <c r="G87" s="15" t="inlineStr">
        <is>
          <t>USD</t>
        </is>
      </c>
      <c r="H87" s="14" t="n">
        <v>293.4601805930755</v>
      </c>
      <c r="I87" s="16" t="n">
        <v>79397.76029770424</v>
      </c>
      <c r="J87" s="16" t="n">
        <v>89030.89999999999</v>
      </c>
      <c r="K87" s="14" t="n">
        <v>16.39</v>
      </c>
      <c r="L87" s="14" t="n">
        <v>18.60716</v>
      </c>
      <c r="M87" s="17">
        <f>IF(OR(F87="",K87="",K87&lt;=0),"",F87/K87)</f>
        <v/>
      </c>
      <c r="N87" s="18" t="n">
        <v>3.3138468</v>
      </c>
      <c r="O87" s="19">
        <f>IF(OR(N87="",M87="",M87&lt;=0),"",N87/M87)</f>
        <v/>
      </c>
      <c r="P87" s="20" t="n">
        <v>0.17803</v>
      </c>
      <c r="Q87" s="20" t="n">
        <v>0.1684858520025267</v>
      </c>
      <c r="R87" s="20" t="n">
        <v>0.009867017273558338</v>
      </c>
      <c r="S87" s="21" t="n">
        <v>4</v>
      </c>
      <c r="T87" s="20" t="n"/>
      <c r="U87" s="20" t="n">
        <v>0.1643119194442276</v>
      </c>
      <c r="V87" s="20" t="n">
        <v>0.1714182114852921</v>
      </c>
      <c r="W87" s="20" t="n">
        <v>0.1556411099112635</v>
      </c>
      <c r="X87" s="20" t="n">
        <v>0.1825721671693236</v>
      </c>
      <c r="Y87" s="14" t="n">
        <v>6.36</v>
      </c>
      <c r="Z87" s="19">
        <f>IF(OR(Y87="",F87="",F87=0),"",Y87/F87)</f>
        <v/>
      </c>
      <c r="AA87" s="22" t="n">
        <v>35.335</v>
      </c>
      <c r="AB87" s="20" t="n">
        <v>0.081</v>
      </c>
      <c r="AC87" s="20" t="n">
        <v>0.08538534850618458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2026-10-08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415.31</v>
      </c>
      <c r="G88" s="15" t="inlineStr">
        <is>
          <t>USD</t>
        </is>
      </c>
      <c r="H88" s="14" t="n">
        <v>370.3734751556993</v>
      </c>
      <c r="I88" s="16" t="n">
        <v>130844.8128807317</v>
      </c>
      <c r="J88" s="16" t="n">
        <v>146719.9</v>
      </c>
      <c r="K88" s="14" t="n">
        <v>8.720000000000001</v>
      </c>
      <c r="L88" s="14" t="n">
        <v>12.09638</v>
      </c>
      <c r="M88" s="17">
        <f>IF(OR(F88="",K88="",K88&lt;=0),"",F88/K88)</f>
        <v/>
      </c>
      <c r="N88" s="18" t="n">
        <v>8.089719000000001</v>
      </c>
      <c r="O88" s="19">
        <f>IF(OR(N88="",M88="",M88&lt;=0),"",N88/M88)</f>
        <v/>
      </c>
      <c r="P88" s="20" t="n">
        <v>0.17423001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0.185</v>
      </c>
      <c r="AC88" s="20" t="n">
        <v>0.3118622639522291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2026-10-08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168.77</v>
      </c>
      <c r="G89" s="15" t="inlineStr">
        <is>
          <t>USD</t>
        </is>
      </c>
      <c r="H89" s="14" t="n">
        <v>150.5090929715812</v>
      </c>
      <c r="I89" s="16" t="n">
        <v>618880.1559865287</v>
      </c>
      <c r="J89" s="16" t="n">
        <v>693967.4</v>
      </c>
      <c r="K89" s="14" t="n">
        <v>7.75</v>
      </c>
      <c r="L89" s="14" t="n">
        <v>11.39159</v>
      </c>
      <c r="M89" s="17">
        <f>IF(OR(F89="",K89="",K89&lt;=0),"",F89/K89)</f>
        <v/>
      </c>
      <c r="N89" s="18" t="n">
        <v>2.6754913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2026-10-08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Elevance Health</t>
        </is>
      </c>
      <c r="C90" s="12" t="inlineStr">
        <is>
          <t>ELV</t>
        </is>
      </c>
      <c r="D90" s="11" t="inlineStr">
        <is>
          <t>Assicurazione sanitaria</t>
        </is>
      </c>
      <c r="E90" s="13" t="inlineStr">
        <is>
          <t>Salute</t>
        </is>
      </c>
      <c r="F90" s="14" t="n">
        <v>404.275</v>
      </c>
      <c r="G90" s="15" t="inlineStr">
        <is>
          <t>USD</t>
        </is>
      </c>
      <c r="H90" s="14" t="n">
        <v>360.5324616998636</v>
      </c>
      <c r="I90" s="16" t="n">
        <v>78188.39026168623</v>
      </c>
      <c r="J90" s="16" t="n">
        <v>87674.8</v>
      </c>
      <c r="K90" s="14" t="n">
        <v>22.59</v>
      </c>
      <c r="L90" s="14" t="n">
        <v>29.58869</v>
      </c>
      <c r="M90" s="17">
        <f>IF(OR(F90="",K90="",K90&lt;=0),"",F90/K90)</f>
        <v/>
      </c>
      <c r="N90" s="18" t="n">
        <v>1.9531515</v>
      </c>
      <c r="O90" s="19">
        <f>IF(OR(N90="",M90="",M90&lt;=0),"",N90/M90)</f>
        <v/>
      </c>
      <c r="P90" s="20" t="n">
        <v>0.11133</v>
      </c>
      <c r="Q90" s="20" t="n">
        <v>0.1471779214463593</v>
      </c>
      <c r="R90" s="20" t="n">
        <v>0.01225127753653764</v>
      </c>
      <c r="S90" s="21" t="n">
        <v>4</v>
      </c>
      <c r="T90" s="20" t="n"/>
      <c r="U90" s="20" t="n">
        <v>0.1290278474089604</v>
      </c>
      <c r="V90" s="20" t="n">
        <v>0.1447416192666102</v>
      </c>
      <c r="W90" s="20" t="n">
        <v>0.1523177123085534</v>
      </c>
      <c r="X90" s="20" t="n">
        <v>0.1626245068013134</v>
      </c>
      <c r="Y90" s="14" t="n">
        <v>6.88</v>
      </c>
      <c r="Z90" s="19">
        <f>IF(OR(Y90="",F90="",F90=0),"",Y90/F90)</f>
        <v/>
      </c>
      <c r="AA90" s="22" t="n">
        <v>68.953</v>
      </c>
      <c r="AB90" s="20" t="n">
        <v>0.014</v>
      </c>
      <c r="AC90" s="20" t="n">
        <v>0.02492404172253609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2026-10-08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Nucor</t>
        </is>
      </c>
      <c r="C91" s="12" t="inlineStr">
        <is>
          <t>NUE</t>
        </is>
      </c>
      <c r="D91" s="11" t="inlineStr">
        <is>
          <t>Acciaio</t>
        </is>
      </c>
      <c r="E91" s="13" t="inlineStr">
        <is>
          <t>Materiali</t>
        </is>
      </c>
      <c r="F91" s="14" t="n">
        <v>246.63</v>
      </c>
      <c r="G91" s="15" t="inlineStr">
        <is>
          <t>USD</t>
        </is>
      </c>
      <c r="H91" s="14" t="n">
        <v>219.9446441878359</v>
      </c>
      <c r="I91" s="16" t="n">
        <v>49900.13623137431</v>
      </c>
      <c r="J91" s="16" t="n">
        <v>55954.4</v>
      </c>
      <c r="K91" s="14" t="n">
        <v>12.54</v>
      </c>
      <c r="L91" s="14" t="n">
        <v>20.0084</v>
      </c>
      <c r="M91" s="17">
        <f>IF(OR(F91="",K91="",K91&lt;=0),"",F91/K91)</f>
        <v/>
      </c>
      <c r="N91" s="18" t="n">
        <v>2.5308363</v>
      </c>
      <c r="O91" s="19">
        <f>IF(OR(N91="",M91="",M91&lt;=0),"",N91/M91)</f>
        <v/>
      </c>
      <c r="P91" s="20" t="n">
        <v>0.14548999</v>
      </c>
      <c r="Q91" s="20" t="n">
        <v>0.2030927127527553</v>
      </c>
      <c r="R91" s="20" t="n">
        <v>0.1315978865605651</v>
      </c>
      <c r="S91" s="21" t="n">
        <v>4</v>
      </c>
      <c r="T91" s="20" t="n"/>
      <c r="U91" s="20" t="n">
        <v>0.08330149025601834</v>
      </c>
      <c r="V91" s="20" t="n">
        <v>0.09988173844486055</v>
      </c>
      <c r="W91" s="20" t="n">
        <v>0.2160936007640879</v>
      </c>
      <c r="X91" s="20" t="n">
        <v>0.4130940215460545</v>
      </c>
      <c r="Y91" s="14" t="n">
        <v>2.24</v>
      </c>
      <c r="Z91" s="19">
        <f>IF(OR(Y91="",F91="",F91=0),"",Y91/F91)</f>
        <v/>
      </c>
      <c r="AA91" s="22" t="n">
        <v>30.512</v>
      </c>
      <c r="AB91" s="20" t="n">
        <v>0.23</v>
      </c>
      <c r="AC91" s="20" t="n">
        <v>0.08841632104388503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2026-10-08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Stryker</t>
        </is>
      </c>
      <c r="C92" s="12" t="inlineStr">
        <is>
          <t>SYK</t>
        </is>
      </c>
      <c r="D92" s="11" t="inlineStr">
        <is>
          <t>Dispositivi medicali</t>
        </is>
      </c>
      <c r="E92" s="13" t="inlineStr">
        <is>
          <t>Salute</t>
        </is>
      </c>
      <c r="F92" s="14" t="n">
        <v>275.265</v>
      </c>
      <c r="G92" s="15" t="inlineStr">
        <is>
          <t>USD</t>
        </is>
      </c>
      <c r="H92" s="14" t="n">
        <v>245.4813383706955</v>
      </c>
      <c r="I92" s="16" t="n">
        <v>94159.99392149091</v>
      </c>
      <c r="J92" s="16" t="n">
        <v>105584.2</v>
      </c>
      <c r="K92" s="14" t="n">
        <v>9.65</v>
      </c>
      <c r="L92" s="14" t="n">
        <v>16.69924</v>
      </c>
      <c r="M92" s="17">
        <f>IF(OR(F92="",K92="",K92&lt;=0),"",F92/K92)</f>
        <v/>
      </c>
      <c r="N92" s="18" t="n">
        <v>4.401564</v>
      </c>
      <c r="O92" s="19">
        <f>IF(OR(N92="",M92="",M92&lt;=0),"",N92/M92)</f>
        <v/>
      </c>
      <c r="P92" s="20" t="n">
        <v>0.16508</v>
      </c>
      <c r="Q92" s="20" t="n">
        <v>0.150492516403552</v>
      </c>
      <c r="R92" s="20" t="n">
        <v>0.01145902874477022</v>
      </c>
      <c r="S92" s="21" t="n">
        <v>4</v>
      </c>
      <c r="T92" s="20" t="n"/>
      <c r="U92" s="20" t="n">
        <v>0.1447814451382694</v>
      </c>
      <c r="V92" s="20" t="n">
        <v>0.1450518561597364</v>
      </c>
      <c r="W92" s="20" t="n">
        <v>0.1702253536277094</v>
      </c>
      <c r="X92" s="20" t="n">
        <v>0.141911410688493</v>
      </c>
      <c r="Y92" s="14" t="n">
        <v>3.52</v>
      </c>
      <c r="Z92" s="19">
        <f>IF(OR(Y92="",F92="",F92=0),"",Y92/F92)</f>
        <v/>
      </c>
      <c r="AA92" s="22" t="n">
        <v>64.39100000000001</v>
      </c>
      <c r="AB92" s="20" t="n">
        <v>0.094</v>
      </c>
      <c r="AC92" s="20" t="n">
        <v>0.1484710915750916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2026-10-08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SLB (Schlumberger)</t>
        </is>
      </c>
      <c r="C93" s="12" t="inlineStr">
        <is>
          <t>SLB</t>
        </is>
      </c>
      <c r="D93" s="11" t="inlineStr">
        <is>
          <t>Oil service</t>
        </is>
      </c>
      <c r="E93" s="13" t="inlineStr">
        <is>
          <t>Energia</t>
        </is>
      </c>
      <c r="F93" s="14" t="n">
        <v>48.805</v>
      </c>
      <c r="G93" s="15" t="inlineStr">
        <is>
          <t>USD</t>
        </is>
      </c>
      <c r="H93" s="14" t="n">
        <v>43.52430101604562</v>
      </c>
      <c r="I93" s="16" t="n">
        <v>64596.28747210003</v>
      </c>
      <c r="J93" s="16" t="n">
        <v>72433.60000000001</v>
      </c>
      <c r="K93" s="14" t="n">
        <v>2.07</v>
      </c>
      <c r="L93" s="14" t="n">
        <v>3.20743</v>
      </c>
      <c r="M93" s="17">
        <f>IF(OR(F93="",K93="",K93&lt;=0),"",F93/K93)</f>
        <v/>
      </c>
      <c r="N93" s="18" t="n">
        <v>2.7780623</v>
      </c>
      <c r="O93" s="19">
        <f>IF(OR(N93="",M93="",M93&lt;=0),"",N93/M93)</f>
        <v/>
      </c>
      <c r="P93" s="20" t="n">
        <v>0.12909001</v>
      </c>
      <c r="Q93" s="20" t="n">
        <v>0.1857758605281961</v>
      </c>
      <c r="R93" s="20" t="n">
        <v>0.03323988575793588</v>
      </c>
      <c r="S93" s="21" t="n">
        <v>4</v>
      </c>
      <c r="T93" s="20" t="n"/>
      <c r="U93" s="20" t="n">
        <v>0.1292274694549772</v>
      </c>
      <c r="V93" s="20" t="n">
        <v>0.2111216280170374</v>
      </c>
      <c r="W93" s="20" t="n">
        <v>0.2081826737332211</v>
      </c>
      <c r="X93" s="20" t="n">
        <v>0.1945716709075488</v>
      </c>
      <c r="Y93" s="14" t="n">
        <v>1.18</v>
      </c>
      <c r="Z93" s="19">
        <f>IF(OR(Y93="",F93="",F93=0),"",Y93/F93)</f>
        <v/>
      </c>
      <c r="AA93" s="22" t="n">
        <v>47.002</v>
      </c>
      <c r="AB93" s="20" t="n">
        <v>0.05</v>
      </c>
      <c r="AC93" s="20" t="n">
        <v>0.08684328262574213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2026-10-08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BlackRock</t>
        </is>
      </c>
      <c r="C94" s="12" t="inlineStr">
        <is>
          <t>BLK</t>
        </is>
      </c>
      <c r="D94" s="11" t="inlineStr">
        <is>
          <t>Risparmio gestito</t>
        </is>
      </c>
      <c r="E94" s="13" t="inlineStr">
        <is>
          <t>Finanziario</t>
        </is>
      </c>
      <c r="F94" s="14" t="n">
        <v>1068.935</v>
      </c>
      <c r="G94" s="15" t="inlineStr">
        <is>
          <t>USD</t>
        </is>
      </c>
      <c r="H94" s="14" t="n">
        <v>953.276277155757</v>
      </c>
      <c r="I94" s="16" t="n">
        <v>154884.7098742597</v>
      </c>
      <c r="J94" s="16" t="n">
        <v>173676.5</v>
      </c>
      <c r="K94" s="14" t="n">
        <v>41.78</v>
      </c>
      <c r="L94" s="14" t="n">
        <v>64.11883</v>
      </c>
      <c r="M94" s="17">
        <f>IF(OR(F94="",K94="",K94&lt;=0),"",F94/K94)</f>
        <v/>
      </c>
      <c r="N94" s="18" t="n">
        <v>2.8757696</v>
      </c>
      <c r="O94" s="19">
        <f>IF(OR(N94="",M94="",M94&lt;=0),"",N94/M94)</f>
        <v/>
      </c>
      <c r="P94" s="20" t="n">
        <v>0.122779995</v>
      </c>
      <c r="Q94" s="20" t="n">
        <v>0.1276194741974955</v>
      </c>
      <c r="R94" s="20" t="n">
        <v>0.01644167432772636</v>
      </c>
      <c r="S94" s="21" t="n">
        <v>4</v>
      </c>
      <c r="T94" s="20" t="n"/>
      <c r="U94" s="20" t="n">
        <v>0.09935943315201833</v>
      </c>
      <c r="V94" s="20" t="n">
        <v>0.1340983261395936</v>
      </c>
      <c r="W94" s="20" t="n">
        <v>0.1398327699697563</v>
      </c>
      <c r="X94" s="20" t="n">
        <v>0.1371873675286138</v>
      </c>
      <c r="Y94" s="14" t="n">
        <v>22.92</v>
      </c>
      <c r="Z94" s="19">
        <f>IF(OR(Y94="",F94="",F94=0),"",Y94/F94)</f>
        <v/>
      </c>
      <c r="AA94" s="22" t="n">
        <v>23.192</v>
      </c>
      <c r="AB94" s="20" t="n">
        <v>0.306</v>
      </c>
      <c r="AC94" s="20" t="n">
        <v>0.2715559960356789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2026-10-08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223.575</v>
      </c>
      <c r="G95" s="15" t="inlineStr">
        <is>
          <t>USD</t>
        </is>
      </c>
      <c r="H95" s="14" t="n">
        <v>199.3841942354758</v>
      </c>
      <c r="I95" s="16" t="n">
        <v>187846.7095610596</v>
      </c>
      <c r="J95" s="16" t="n">
        <v>210637.7</v>
      </c>
      <c r="K95" s="14" t="n">
        <v>11.25</v>
      </c>
      <c r="L95" s="14" t="n">
        <v>13.15121</v>
      </c>
      <c r="M95" s="17">
        <f>IF(OR(F95="",K95="",K95&lt;=0),"",F95/K95)</f>
        <v/>
      </c>
      <c r="N95" s="18" t="n">
        <v>6.1139517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2026-10-08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647.355</v>
      </c>
      <c r="G96" s="15" t="inlineStr">
        <is>
          <t>USD</t>
        </is>
      </c>
      <c r="H96" s="14" t="n">
        <v>577.3112157410554</v>
      </c>
      <c r="I96" s="16" t="n">
        <v>213459.2959274345</v>
      </c>
      <c r="J96" s="16" t="n">
        <v>239357.8</v>
      </c>
      <c r="K96" s="14" t="n">
        <v>18.58</v>
      </c>
      <c r="L96" s="14" t="n">
        <v>27.57597</v>
      </c>
      <c r="M96" s="17">
        <f>IF(OR(F96="",K96="",K96&lt;=0),"",F96/K96)</f>
        <v/>
      </c>
      <c r="N96" s="18" t="n">
        <v>4.5437026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2026-10-08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482.305</v>
      </c>
      <c r="G97" s="15" t="inlineStr">
        <is>
          <t>USD</t>
        </is>
      </c>
      <c r="H97" s="14" t="n">
        <v>430.1196189231407</v>
      </c>
      <c r="I97" s="16" t="n">
        <v>198276.5785841711</v>
      </c>
      <c r="J97" s="16" t="n">
        <v>222333</v>
      </c>
      <c r="K97" s="14" t="n">
        <v>15.49</v>
      </c>
      <c r="L97" s="14" t="n">
        <v>19.57572</v>
      </c>
      <c r="M97" s="17">
        <f>IF(OR(F97="",K97="",K97&lt;=0),"",F97/K97)</f>
        <v/>
      </c>
      <c r="N97" s="18" t="n">
        <v>5.689035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2026-10-08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Marvell Technology</t>
        </is>
      </c>
      <c r="C98" s="12" t="inlineStr">
        <is>
          <t>MRVL</t>
        </is>
      </c>
      <c r="D98" s="11" t="inlineStr">
        <is>
          <t>Semiconduttori</t>
        </is>
      </c>
      <c r="E98" s="13" t="inlineStr">
        <is>
          <t>Tecnologia</t>
        </is>
      </c>
      <c r="F98" s="14" t="n">
        <v>275.0628</v>
      </c>
      <c r="G98" s="15" t="inlineStr">
        <is>
          <t>USD</t>
        </is>
      </c>
      <c r="H98" s="14" t="n">
        <v>245.301016402343</v>
      </c>
      <c r="I98" s="16" t="n">
        <v>220555.0813161113</v>
      </c>
      <c r="J98" s="16" t="n">
        <v>247314.5</v>
      </c>
      <c r="K98" s="14" t="n">
        <v>3.04</v>
      </c>
      <c r="L98" s="14" t="n">
        <v>7.28277</v>
      </c>
      <c r="M98" s="17">
        <f>IF(OR(F98="",K98="",K98&lt;=0),"",F98/K98)</f>
        <v/>
      </c>
      <c r="N98" s="18" t="n">
        <v>13.020582</v>
      </c>
      <c r="O98" s="19">
        <f>IF(OR(N98="",M98="",M98&lt;=0),"",N98/M98)</f>
        <v/>
      </c>
      <c r="P98" s="20" t="n">
        <v>0.16523</v>
      </c>
      <c r="Q98" s="20" t="n">
        <v>0.16523</v>
      </c>
      <c r="R98" s="20" t="n"/>
      <c r="S98" s="21" t="n">
        <v>0</v>
      </c>
      <c r="T98" s="20" t="n">
        <v>0.1866106622683179</v>
      </c>
      <c r="U98" s="20" t="n">
        <v>-0.06591196842183659</v>
      </c>
      <c r="V98" s="20" t="n">
        <v>-0.06293404533624607</v>
      </c>
      <c r="W98" s="20" t="n">
        <v>-0.01045583608318625</v>
      </c>
      <c r="X98" s="20" t="n"/>
      <c r="Y98" s="14" t="n">
        <v>0.24</v>
      </c>
      <c r="Z98" s="19">
        <f>IF(OR(Y98="",F98="",F98=0),"",Y98/F98)</f>
        <v/>
      </c>
      <c r="AA98" s="22" t="n">
        <v>28.525</v>
      </c>
      <c r="AB98" s="20" t="n">
        <v>0.365</v>
      </c>
      <c r="AC98" s="20" t="n">
        <v>0.322151161008469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2026-10-08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135.58</v>
      </c>
      <c r="G99" s="15" t="inlineStr">
        <is>
          <t>USD</t>
        </is>
      </c>
      <c r="H99" s="14" t="n">
        <v>120.9102496005628</v>
      </c>
      <c r="I99" s="16" t="n">
        <v>366539.5375981114</v>
      </c>
      <c r="J99" s="16" t="n">
        <v>411010.9</v>
      </c>
      <c r="K99" s="14" t="n">
        <v>6.38</v>
      </c>
      <c r="L99" s="14" t="n">
        <v>10.99899</v>
      </c>
      <c r="M99" s="17">
        <f>IF(OR(F99="",K99="",K99&lt;=0),"",F99/K99)</f>
        <v/>
      </c>
      <c r="N99" s="18" t="n">
        <v>10.39724</v>
      </c>
      <c r="O99" s="19">
        <f>IF(OR(N99="",M99="",M99&lt;=0),"",N99/M99)</f>
        <v/>
      </c>
      <c r="P99" s="20" t="n">
        <v>0.41192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251.716</v>
      </c>
      <c r="AB99" s="20" t="n">
        <v>0.296</v>
      </c>
      <c r="AC99" s="20" t="n">
        <v>0.2781596719568865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2026-10-08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137.64</v>
      </c>
      <c r="G100" s="15" t="inlineStr">
        <is>
          <t>USD</t>
        </is>
      </c>
      <c r="H100" s="14" t="n">
        <v>122.7473576856576</v>
      </c>
      <c r="I100" s="16" t="n">
        <v>126903.8593181867</v>
      </c>
      <c r="J100" s="16" t="n">
        <v>142300.8</v>
      </c>
      <c r="K100" s="14" t="n">
        <v>1.6</v>
      </c>
      <c r="L100" s="14" t="n">
        <v>5.00551</v>
      </c>
      <c r="M100" s="17">
        <f>IF(OR(F100="",K100="",K100&lt;=0),"",F100/K100)</f>
        <v/>
      </c>
      <c r="N100" s="18" t="n">
        <v>11.369569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2026-10-08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Berkshire Hathaway B</t>
        </is>
      </c>
      <c r="C101" s="12" t="inlineStr">
        <is>
          <t>BRK-B</t>
        </is>
      </c>
      <c r="D101" s="11" t="inlineStr">
        <is>
          <t>Conglomerata / Holding</t>
        </is>
      </c>
      <c r="E101" s="13" t="inlineStr">
        <is>
          <t>Finanziario</t>
        </is>
      </c>
      <c r="F101" s="14" t="n">
        <v>512.02</v>
      </c>
      <c r="G101" s="15" t="inlineStr">
        <is>
          <t>USD</t>
        </is>
      </c>
      <c r="H101" s="14" t="n">
        <v>456.6194571506132</v>
      </c>
      <c r="I101" s="16" t="n">
        <v>977489.8076173278</v>
      </c>
      <c r="J101" s="16" t="n">
        <v>1096086.3</v>
      </c>
      <c r="K101" s="14" t="n">
        <v>39.76</v>
      </c>
      <c r="L101" s="14" t="n">
        <v>21.6444</v>
      </c>
      <c r="M101" s="17">
        <f>IF(OR(F101="",K101="",K101&lt;=0),"",F101/K101)</f>
        <v/>
      </c>
      <c r="N101" s="18" t="n">
        <v>0.0009804569000000001</v>
      </c>
      <c r="O101" s="19">
        <f>IF(OR(N101="",M101="",M101&lt;=0),"",N101/M101)</f>
        <v/>
      </c>
      <c r="P101" s="20" t="n">
        <v>0.121199995</v>
      </c>
      <c r="Q101" s="20" t="n">
        <v>0.08843956355337573</v>
      </c>
      <c r="R101" s="20" t="n">
        <v>0.08353327161790873</v>
      </c>
      <c r="S101" s="21" t="n">
        <v>4</v>
      </c>
      <c r="T101" s="20" t="n"/>
      <c r="U101" s="20" t="n">
        <v>0.09334572962243821</v>
      </c>
      <c r="V101" s="20" t="n">
        <v>0.137048638060391</v>
      </c>
      <c r="W101" s="20" t="n">
        <v>0.1714370725119505</v>
      </c>
      <c r="X101" s="20" t="n">
        <v>-0.04807318598127683</v>
      </c>
      <c r="Y101" s="14" t="n"/>
      <c r="Z101" s="19">
        <f>IF(OR(Y101="",F101="",F101=0),"",Y101/F101)</f>
        <v/>
      </c>
      <c r="AA101" s="22" t="n">
        <v>17.142</v>
      </c>
      <c r="AB101" s="20" t="n">
        <v>0.1</v>
      </c>
      <c r="AC101" s="20" t="n">
        <v>0.208924256395516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2026-10-08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372.4</v>
      </c>
      <c r="G102" s="15" t="inlineStr">
        <is>
          <t>USD</t>
        </is>
      </c>
      <c r="H102" s="14" t="n">
        <v>332.1063353831654</v>
      </c>
      <c r="I102" s="16" t="n">
        <v>298096.9165478491</v>
      </c>
      <c r="J102" s="16" t="n">
        <v>334264.3</v>
      </c>
      <c r="K102" s="14" t="n">
        <v>15.55</v>
      </c>
      <c r="L102" s="14" t="n">
        <v>22.61019</v>
      </c>
      <c r="M102" s="17">
        <f>IF(OR(F102="",K102="",K102&lt;=0),"",F102/K102)</f>
        <v/>
      </c>
      <c r="N102" s="18" t="n">
        <v>3.423392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2026-10-08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295.38</v>
      </c>
      <c r="G103" s="15" t="inlineStr">
        <is>
          <t>USD</t>
        </is>
      </c>
      <c r="H103" s="14" t="n">
        <v>263.4198962016096</v>
      </c>
      <c r="I103" s="16" t="n">
        <v>262811.3318534208</v>
      </c>
      <c r="J103" s="16" t="n">
        <v>294697.6</v>
      </c>
      <c r="K103" s="14" t="n">
        <v>14.29</v>
      </c>
      <c r="L103" s="14" t="n">
        <v>16.0248</v>
      </c>
      <c r="M103" s="17">
        <f>IF(OR(F103="",K103="",K103&lt;=0),"",F103/K103)</f>
        <v/>
      </c>
      <c r="N103" s="18" t="n">
        <v>17.740541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2026-10-08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MetLife</t>
        </is>
      </c>
      <c r="C104" s="12" t="inlineStr">
        <is>
          <t>MET</t>
        </is>
      </c>
      <c r="D104" s="11" t="inlineStr">
        <is>
          <t>Assicurazione vita</t>
        </is>
      </c>
      <c r="E104" s="13" t="inlineStr">
        <is>
          <t>Finanziario</t>
        </is>
      </c>
      <c r="F104" s="14" t="n">
        <v>98.23</v>
      </c>
      <c r="G104" s="15" t="inlineStr">
        <is>
          <t>USD</t>
        </is>
      </c>
      <c r="H104" s="14" t="n">
        <v>87.60151805770231</v>
      </c>
      <c r="I104" s="16" t="n">
        <v>55668.74479857626</v>
      </c>
      <c r="J104" s="16" t="n">
        <v>62422.9</v>
      </c>
      <c r="K104" s="14" t="n">
        <v>5.22</v>
      </c>
      <c r="L104" s="14" t="n">
        <v>11.12458</v>
      </c>
      <c r="M104" s="17">
        <f>IF(OR(F104="",K104="",K104&lt;=0),"",F104/K104)</f>
        <v/>
      </c>
      <c r="N104" s="18" t="n">
        <v>2.282932</v>
      </c>
      <c r="O104" s="19">
        <f>IF(OR(N104="",M104="",M104&lt;=0),"",N104/M104)</f>
        <v/>
      </c>
      <c r="P104" s="20" t="n">
        <v>0.13094</v>
      </c>
      <c r="Q104" s="20" t="n">
        <v>0.1274159335614763</v>
      </c>
      <c r="R104" s="20" t="n">
        <v>0.04811596554463902</v>
      </c>
      <c r="S104" s="21" t="n">
        <v>4</v>
      </c>
      <c r="T104" s="20" t="n"/>
      <c r="U104" s="20" t="n">
        <v>0.1189872526234242</v>
      </c>
      <c r="V104" s="20" t="n">
        <v>0.1612679905265076</v>
      </c>
      <c r="W104" s="20" t="n">
        <v>0.05257371314342828</v>
      </c>
      <c r="X104" s="20" t="n">
        <v>0.1768347779525451</v>
      </c>
      <c r="Y104" s="14" t="n">
        <v>2.37</v>
      </c>
      <c r="Z104" s="19">
        <f>IF(OR(Y104="",F104="",F104=0),"",Y104/F104)</f>
        <v/>
      </c>
      <c r="AA104" s="22" t="n">
        <v>179.933</v>
      </c>
      <c r="AB104" s="20" t="n">
        <v>0.105</v>
      </c>
      <c r="AC104" s="20" t="n">
        <v>0.04548338403785656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2026-10-08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157.72</v>
      </c>
      <c r="G105" s="15" t="inlineStr">
        <is>
          <t>USD</t>
        </is>
      </c>
      <c r="H105" s="14" t="n">
        <v>140.6547025151258</v>
      </c>
      <c r="I105" s="16" t="n">
        <v>78780.72384912313</v>
      </c>
      <c r="J105" s="16" t="n">
        <v>88339</v>
      </c>
      <c r="K105" s="14" t="n">
        <v>4.57</v>
      </c>
      <c r="L105" s="14" t="n">
        <v>7.26876</v>
      </c>
      <c r="M105" s="17">
        <f>IF(OR(F105="",K105="",K105&lt;=0),"",F105/K105)</f>
        <v/>
      </c>
      <c r="N105" s="18" t="n">
        <v>4.3169565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2026-10-08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Occidental Petroleum</t>
        </is>
      </c>
      <c r="C106" s="12" t="inlineStr">
        <is>
          <t>OXY</t>
        </is>
      </c>
      <c r="D106" s="11" t="inlineStr">
        <is>
          <t>Esplorazione e produzione</t>
        </is>
      </c>
      <c r="E106" s="13" t="inlineStr">
        <is>
          <t>Energia</t>
        </is>
      </c>
      <c r="F106" s="14" t="n">
        <v>60.15</v>
      </c>
      <c r="G106" s="15" t="inlineStr">
        <is>
          <t>USD</t>
        </is>
      </c>
      <c r="H106" s="14" t="n">
        <v>53.6417724846869</v>
      </c>
      <c r="I106" s="16" t="n">
        <v>53622.33124378637</v>
      </c>
      <c r="J106" s="16" t="n">
        <v>60128.2</v>
      </c>
      <c r="K106" s="14" t="n">
        <v>3.52</v>
      </c>
      <c r="L106" s="14" t="n">
        <v>4.08531</v>
      </c>
      <c r="M106" s="17">
        <f>IF(OR(F106="",K106="",K106&lt;=0),"",F106/K106)</f>
        <v/>
      </c>
      <c r="N106" s="18" t="n">
        <v>1.7971854</v>
      </c>
      <c r="O106" s="19">
        <f>IF(OR(N106="",M106="",M106&lt;=0),"",N106/M106)</f>
        <v/>
      </c>
      <c r="P106" s="20" t="n">
        <v>0.10629</v>
      </c>
      <c r="Q106" s="20" t="n">
        <v>0.1878668803897049</v>
      </c>
      <c r="R106" s="20" t="n">
        <v>0.1505382025614877</v>
      </c>
      <c r="S106" s="21" t="n">
        <v>4</v>
      </c>
      <c r="T106" s="20" t="n"/>
      <c r="U106" s="20" t="n">
        <v>0.06455014708331021</v>
      </c>
      <c r="V106" s="20" t="n">
        <v>0.08946397728270734</v>
      </c>
      <c r="W106" s="20" t="n">
        <v>0.1552396694214876</v>
      </c>
      <c r="X106" s="20" t="n">
        <v>0.4422137277713146</v>
      </c>
      <c r="Y106" s="14" t="n">
        <v>1.12</v>
      </c>
      <c r="Z106" s="19">
        <f>IF(OR(Y106="",F106="",F106=0),"",Y106/F106)</f>
        <v/>
      </c>
      <c r="AA106" s="22" t="n">
        <v>34.511</v>
      </c>
      <c r="AB106" s="20" t="n">
        <v>0.534</v>
      </c>
      <c r="AC106" s="20" t="n">
        <v>0.157412127263465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2026-10-08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Chevron</t>
        </is>
      </c>
      <c r="C107" s="12" t="inlineStr">
        <is>
          <t>CVX</t>
        </is>
      </c>
      <c r="D107" s="11" t="inlineStr">
        <is>
          <t>Petrolio integrato</t>
        </is>
      </c>
      <c r="E107" s="13" t="inlineStr">
        <is>
          <t>Energia</t>
        </is>
      </c>
      <c r="F107" s="14" t="n">
        <v>211.77</v>
      </c>
      <c r="G107" s="15" t="inlineStr">
        <is>
          <t>USD</t>
        </is>
      </c>
      <c r="H107" s="14" t="n">
        <v>188.8564947478328</v>
      </c>
      <c r="I107" s="16" t="n">
        <v>370461.5849997806</v>
      </c>
      <c r="J107" s="16" t="n">
        <v>415408.8</v>
      </c>
      <c r="K107" s="14" t="n">
        <v>10.39</v>
      </c>
      <c r="L107" s="14" t="n">
        <v>14.53668</v>
      </c>
      <c r="M107" s="17">
        <f>IF(OR(F107="",K107="",K107&lt;=0),"",F107/K107)</f>
        <v/>
      </c>
      <c r="N107" s="18" t="n">
        <v>2.1877065</v>
      </c>
      <c r="O107" s="19">
        <f>IF(OR(N107="",M107="",M107&lt;=0),"",N107/M107)</f>
        <v/>
      </c>
      <c r="P107" s="20" t="n">
        <v>0.12231</v>
      </c>
      <c r="Q107" s="20" t="n">
        <v>0.1343324653779517</v>
      </c>
      <c r="R107" s="20" t="n">
        <v>0.05660306595463921</v>
      </c>
      <c r="S107" s="21" t="n">
        <v>4</v>
      </c>
      <c r="T107" s="20" t="n"/>
      <c r="U107" s="20" t="n">
        <v>0.06596406543309198</v>
      </c>
      <c r="V107" s="20" t="n">
        <v>0.1159482136057459</v>
      </c>
      <c r="W107" s="20" t="n">
        <v>0.1327621662928608</v>
      </c>
      <c r="X107" s="20" t="n">
        <v>0.2226554161801082</v>
      </c>
      <c r="Y107" s="14" t="n">
        <v>7.12</v>
      </c>
      <c r="Z107" s="19">
        <f>IF(OR(Y107="",F107="",F107=0),"",Y107/F107)</f>
        <v/>
      </c>
      <c r="AA107" s="22" t="n">
        <v>18.959</v>
      </c>
      <c r="AB107" s="20" t="n">
        <v>0.535</v>
      </c>
      <c r="AC107" s="20" t="n">
        <v>0.1116454820855383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2026-10-08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Abbott Laboratories</t>
        </is>
      </c>
      <c r="C108" s="12" t="inlineStr">
        <is>
          <t>ABT</t>
        </is>
      </c>
      <c r="D108" s="11" t="inlineStr">
        <is>
          <t>Dispositivi medicali</t>
        </is>
      </c>
      <c r="E108" s="13" t="inlineStr">
        <is>
          <t>Salute</t>
        </is>
      </c>
      <c r="F108" s="14" t="n">
        <v>98.1665</v>
      </c>
      <c r="G108" s="15" t="inlineStr">
        <is>
          <t>USD</t>
        </is>
      </c>
      <c r="H108" s="14" t="n">
        <v>87.54488875507924</v>
      </c>
      <c r="I108" s="16" t="n">
        <v>152486.8379231903</v>
      </c>
      <c r="J108" s="16" t="n">
        <v>170987.7</v>
      </c>
      <c r="K108" s="14" t="n">
        <v>3.1</v>
      </c>
      <c r="L108" s="14" t="n">
        <v>6.06545</v>
      </c>
      <c r="M108" s="17">
        <f>IF(OR(F108="",K108="",K108&lt;=0),"",F108/K108)</f>
        <v/>
      </c>
      <c r="N108" s="18" t="n">
        <v>3.3235092</v>
      </c>
      <c r="O108" s="19">
        <f>IF(OR(N108="",M108="",M108&lt;=0),"",N108/M108)</f>
        <v/>
      </c>
      <c r="P108" s="20" t="n">
        <v>0.10576</v>
      </c>
      <c r="Q108" s="20" t="n">
        <v>0.1858900339052967</v>
      </c>
      <c r="R108" s="20" t="n">
        <v>0.05957173353356353</v>
      </c>
      <c r="S108" s="21" t="n">
        <v>4</v>
      </c>
      <c r="T108" s="20" t="n"/>
      <c r="U108" s="20" t="n">
        <v>0.1251486667945521</v>
      </c>
      <c r="V108" s="20" t="n">
        <v>0.2811765693185633</v>
      </c>
      <c r="W108" s="20" t="n">
        <v>0.1482527264720359</v>
      </c>
      <c r="X108" s="20" t="n">
        <v>0.1889821730360355</v>
      </c>
      <c r="Y108" s="14" t="n">
        <v>2.52</v>
      </c>
      <c r="Z108" s="19">
        <f>IF(OR(Y108="",F108="",F108=0),"",Y108/F108)</f>
        <v/>
      </c>
      <c r="AA108" s="22" t="n">
        <v>63.212</v>
      </c>
      <c r="AB108" s="20" t="n">
        <v>0.13</v>
      </c>
      <c r="AC108" s="20" t="n">
        <v>0.1218417238765566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2026-10-08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Merck &amp; Co.</t>
        </is>
      </c>
      <c r="C109" s="12" t="inlineStr">
        <is>
          <t>MRK</t>
        </is>
      </c>
      <c r="D109" s="11" t="inlineStr">
        <is>
          <t>Farmaceutica</t>
        </is>
      </c>
      <c r="E109" s="13" t="inlineStr">
        <is>
          <t>Salute</t>
        </is>
      </c>
      <c r="F109" s="14" t="n">
        <v>141.26</v>
      </c>
      <c r="G109" s="15" t="inlineStr">
        <is>
          <t>USD</t>
        </is>
      </c>
      <c r="H109" s="14" t="n">
        <v>125.9756738351932</v>
      </c>
      <c r="I109" s="16" t="n">
        <v>310803.5510764204</v>
      </c>
      <c r="J109" s="16" t="n">
        <v>348512.6</v>
      </c>
      <c r="K109" s="14" t="n">
        <v>1.26</v>
      </c>
      <c r="L109" s="14" t="n">
        <v>9.46926</v>
      </c>
      <c r="M109" s="17">
        <f>IF(OR(F109="",K109="",K109&lt;=0),"",F109/K109)</f>
        <v/>
      </c>
      <c r="N109" s="18" t="n">
        <v>8.31626</v>
      </c>
      <c r="O109" s="19">
        <f>IF(OR(N109="",M109="",M109&lt;=0),"",N109/M109)</f>
        <v/>
      </c>
      <c r="P109" s="20" t="n">
        <v>0.06961000000000001</v>
      </c>
      <c r="Q109" s="20" t="n">
        <v>0.2604982613071798</v>
      </c>
      <c r="R109" s="20" t="n">
        <v>0.1460508583775003</v>
      </c>
      <c r="S109" s="21" t="n">
        <v>4</v>
      </c>
      <c r="T109" s="20" t="n"/>
      <c r="U109" s="20" t="n">
        <v>0.3469946393947458</v>
      </c>
      <c r="V109" s="20" t="n">
        <v>0.3695938505387256</v>
      </c>
      <c r="W109" s="20" t="n">
        <v>0.009712354647295175</v>
      </c>
      <c r="X109" s="20" t="n">
        <v>0.3156922006479528</v>
      </c>
      <c r="Y109" s="14" t="n">
        <v>3.4</v>
      </c>
      <c r="Z109" s="19">
        <f>IF(OR(Y109="",F109="",F109=0),"",Y109/F109)</f>
        <v/>
      </c>
      <c r="AA109" s="22" t="n">
        <v>128.408</v>
      </c>
      <c r="AB109" s="20" t="n">
        <v>0.051</v>
      </c>
      <c r="AC109" s="20" t="n">
        <v>0.04880712396363692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2026-10-08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Boston Scientific</t>
        </is>
      </c>
      <c r="C110" s="12" t="inlineStr">
        <is>
          <t>BSX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41.725</v>
      </c>
      <c r="G110" s="15" t="inlineStr">
        <is>
          <t>USD</t>
        </is>
      </c>
      <c r="H110" s="14" t="n">
        <v>37.21035672358372</v>
      </c>
      <c r="I110" s="16" t="n">
        <v>53926.34587786833</v>
      </c>
      <c r="J110" s="16" t="n">
        <v>60469.1</v>
      </c>
      <c r="K110" s="14" t="n">
        <v>2.47</v>
      </c>
      <c r="L110" s="14" t="n">
        <v>3.38218</v>
      </c>
      <c r="M110" s="17">
        <f>IF(OR(F110="",K110="",K110&lt;=0),"",F110/K110)</f>
        <v/>
      </c>
      <c r="N110" s="18" t="n">
        <v>2.4213672</v>
      </c>
      <c r="O110" s="19">
        <f>IF(OR(N110="",M110="",M110&lt;=0),"",N110/M110)</f>
        <v/>
      </c>
      <c r="P110" s="20" t="n">
        <v>0.15338999</v>
      </c>
      <c r="Q110" s="20" t="n">
        <v>0.08177373868964678</v>
      </c>
      <c r="R110" s="20" t="n">
        <v>0.02833405857448824</v>
      </c>
      <c r="S110" s="21" t="n">
        <v>4</v>
      </c>
      <c r="T110" s="20" t="n"/>
      <c r="U110" s="20" t="n">
        <v>0.1195939253879168</v>
      </c>
      <c r="V110" s="20" t="n">
        <v>0.08516306844281121</v>
      </c>
      <c r="W110" s="20" t="n">
        <v>0.08262019604792283</v>
      </c>
      <c r="X110" s="20" t="n">
        <v>0.03971776487993627</v>
      </c>
      <c r="Y110" s="14" t="n"/>
      <c r="Z110" s="19">
        <f>IF(OR(Y110="",F110="",F110=0),"",Y110/F110)</f>
        <v/>
      </c>
      <c r="AA110" s="22" t="n">
        <v>50.151</v>
      </c>
      <c r="AB110" s="20" t="n">
        <v>0.075</v>
      </c>
      <c r="AC110" s="20" t="n">
        <v>0.183022809205938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2026-10-08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Medtronic</t>
        </is>
      </c>
      <c r="C111" s="12" t="inlineStr">
        <is>
          <t>MDT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87.58</v>
      </c>
      <c r="G111" s="15" t="inlineStr">
        <is>
          <t>USD</t>
        </is>
      </c>
      <c r="H111" s="14" t="n">
        <v>78.10384761777021</v>
      </c>
      <c r="I111" s="16" t="n">
        <v>99894.17900709837</v>
      </c>
      <c r="J111" s="16" t="n">
        <v>112014.1</v>
      </c>
      <c r="K111" s="14" t="n">
        <v>4.07</v>
      </c>
      <c r="L111" s="14" t="n">
        <v>6.41198</v>
      </c>
      <c r="M111" s="17">
        <f>IF(OR(F111="",K111="",K111&lt;=0),"",F111/K111)</f>
        <v/>
      </c>
      <c r="N111" s="18" t="n">
        <v>2.2315376</v>
      </c>
      <c r="O111" s="19">
        <f>IF(OR(N111="",M111="",M111&lt;=0),"",N111/M111)</f>
        <v/>
      </c>
      <c r="P111" s="20" t="n">
        <v>0.106479995</v>
      </c>
      <c r="Q111" s="20" t="n">
        <v>0.08508513928303943</v>
      </c>
      <c r="R111" s="20" t="n">
        <v>0.01198455172386248</v>
      </c>
      <c r="S111" s="21" t="n">
        <v>4</v>
      </c>
      <c r="T111" s="20" t="n">
        <v>0.09706245072074075</v>
      </c>
      <c r="U111" s="20" t="n">
        <v>0.09707646176911544</v>
      </c>
      <c r="V111" s="20" t="n">
        <v>0.07320667542916318</v>
      </c>
      <c r="W111" s="20" t="n">
        <v>0.07299496921313832</v>
      </c>
      <c r="X111" s="20" t="n"/>
      <c r="Y111" s="14" t="n">
        <v>2.88</v>
      </c>
      <c r="Z111" s="19">
        <f>IF(OR(Y111="",F111="",F111=0),"",Y111/F111)</f>
        <v/>
      </c>
      <c r="AA111" s="22" t="n">
        <v>55.365</v>
      </c>
      <c r="AB111" s="20" t="n">
        <v>0.137</v>
      </c>
      <c r="AC111" s="20" t="n">
        <v>0.1438510632493675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2026-10-08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88.17</v>
      </c>
      <c r="G112" s="15" t="inlineStr">
        <is>
          <t>USD</t>
        </is>
      </c>
      <c r="H112" s="14" t="n">
        <v>78.63000964214204</v>
      </c>
      <c r="I112" s="16" t="n">
        <v>62681.6819634155</v>
      </c>
      <c r="J112" s="16" t="n">
        <v>70286.7</v>
      </c>
      <c r="K112" s="14" t="n">
        <v>2.54</v>
      </c>
      <c r="L112" s="14" t="n">
        <v>4.09802</v>
      </c>
      <c r="M112" s="17">
        <f>IF(OR(F112="",K112="",K112&lt;=0),"",F112/K112)</f>
        <v/>
      </c>
      <c r="N112" s="18" t="n">
        <v>297.8716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2026-10-08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Palo Alto Networks</t>
        </is>
      </c>
      <c r="C113" s="12" t="inlineStr">
        <is>
          <t>PANW</t>
        </is>
      </c>
      <c r="D113" s="11" t="inlineStr">
        <is>
          <t>Cybersicurezza</t>
        </is>
      </c>
      <c r="E113" s="13" t="inlineStr">
        <is>
          <t>Tecnologia</t>
        </is>
      </c>
      <c r="F113" s="14" t="n">
        <v>399.77</v>
      </c>
      <c r="G113" s="15" t="inlineStr">
        <is>
          <t>USD</t>
        </is>
      </c>
      <c r="H113" s="14" t="n">
        <v>356.5149025137702</v>
      </c>
      <c r="I113" s="16" t="n">
        <v>291629.2259282657</v>
      </c>
      <c r="J113" s="16" t="n">
        <v>327011.9</v>
      </c>
      <c r="K113" s="14" t="n">
        <v>0.4</v>
      </c>
      <c r="L113" s="14" t="n">
        <v>4.87907</v>
      </c>
      <c r="M113" s="17">
        <f>IF(OR(F113="",K113="",K113&lt;=0),"",F113/K113)</f>
        <v/>
      </c>
      <c r="N113" s="18" t="n">
        <v>11.851006</v>
      </c>
      <c r="O113" s="19">
        <f>IF(OR(N113="",M113="",M113&lt;=0),"",N113/M113)</f>
        <v/>
      </c>
      <c r="P113" s="20" t="n">
        <v>0.01739</v>
      </c>
      <c r="Q113" s="20" t="n">
        <v>0.2265668951458051</v>
      </c>
      <c r="R113" s="20" t="n">
        <v>0.1786925818781736</v>
      </c>
      <c r="S113" s="21" t="n">
        <v>4</v>
      </c>
      <c r="T113" s="20" t="n">
        <v>0.01116688491197439</v>
      </c>
      <c r="U113" s="20" t="n">
        <v>0.1449386503067485</v>
      </c>
      <c r="V113" s="20" t="n">
        <v>0.4986749714683638</v>
      </c>
      <c r="W113" s="20" t="n">
        <v>0.2514870738961336</v>
      </c>
      <c r="X113" s="20" t="n">
        <v>-1.271428571428571</v>
      </c>
      <c r="Y113" s="14" t="n"/>
      <c r="Z113" s="19">
        <f>IF(OR(Y113="",F113="",F113=0),"",Y113/F113)</f>
        <v/>
      </c>
      <c r="AA113" s="22" t="n">
        <v>9.337</v>
      </c>
      <c r="AB113" s="20" t="n">
        <v>0.345</v>
      </c>
      <c r="AC113" s="20" t="n">
        <v>0.02674216027874565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2026-10-08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S&amp;P Global</t>
        </is>
      </c>
      <c r="C114" s="12" t="inlineStr">
        <is>
          <t>SPGI</t>
        </is>
      </c>
      <c r="D114" s="11" t="inlineStr">
        <is>
          <t>Dati e rating</t>
        </is>
      </c>
      <c r="E114" s="13" t="inlineStr">
        <is>
          <t>Finanziario</t>
        </is>
      </c>
      <c r="F114" s="14" t="n">
        <v>401.33</v>
      </c>
      <c r="G114" s="15" t="inlineStr">
        <is>
          <t>USD</t>
        </is>
      </c>
      <c r="H114" s="14" t="n">
        <v>357.906110578211</v>
      </c>
      <c r="I114" s="16" t="n">
        <v>105510.7356672573</v>
      </c>
      <c r="J114" s="16" t="n">
        <v>118312.1</v>
      </c>
      <c r="K114" s="14" t="n">
        <v>16.43</v>
      </c>
      <c r="L114" s="14" t="n">
        <v>20.19208</v>
      </c>
      <c r="M114" s="17">
        <f>IF(OR(F114="",K114="",K114&lt;=0),"",F114/K114)</f>
        <v/>
      </c>
      <c r="N114" s="18" t="n">
        <v>3.7558372</v>
      </c>
      <c r="O114" s="19">
        <f>IF(OR(N114="",M114="",M114&lt;=0),"",N114/M114)</f>
        <v/>
      </c>
      <c r="P114" s="20" t="n">
        <v>0.14255</v>
      </c>
      <c r="Q114" s="20" t="n">
        <v>0.1064621835887914</v>
      </c>
      <c r="R114" s="20" t="n">
        <v>0.02575321793401057</v>
      </c>
      <c r="S114" s="21" t="n">
        <v>4</v>
      </c>
      <c r="T114" s="20" t="n"/>
      <c r="U114" s="20" t="n">
        <v>0.1436373566357182</v>
      </c>
      <c r="V114" s="20" t="n">
        <v>0.1161675563195513</v>
      </c>
      <c r="W114" s="20" t="n">
        <v>0.07678362573099415</v>
      </c>
      <c r="X114" s="20" t="n">
        <v>0.08926019566890184</v>
      </c>
      <c r="Y114" s="14" t="n">
        <v>3.88</v>
      </c>
      <c r="Z114" s="19">
        <f>IF(OR(Y114="",F114="",F114=0),"",Y114/F114)</f>
        <v/>
      </c>
      <c r="AA114" s="22" t="n">
        <v>42.98</v>
      </c>
      <c r="AB114" s="20" t="n">
        <v>0.104</v>
      </c>
      <c r="AC114" s="20" t="n">
        <v>0.3210093771517997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2026-10-08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PACCAR</t>
        </is>
      </c>
      <c r="C115" s="12" t="inlineStr">
        <is>
          <t>PCAR</t>
        </is>
      </c>
      <c r="D115" s="11" t="inlineStr">
        <is>
          <t>Veicoli industriali</t>
        </is>
      </c>
      <c r="E115" s="13" t="inlineStr">
        <is>
          <t>Industriale</t>
        </is>
      </c>
      <c r="F115" s="14" t="n">
        <v>108.92</v>
      </c>
      <c r="G115" s="15" t="inlineStr">
        <is>
          <t>USD</t>
        </is>
      </c>
      <c r="H115" s="14" t="n">
        <v>97.13486049928673</v>
      </c>
      <c r="I115" s="16" t="n">
        <v>51123.68588804913</v>
      </c>
      <c r="J115" s="16" t="n">
        <v>57326.4</v>
      </c>
      <c r="K115" s="14" t="n">
        <v>4.75</v>
      </c>
      <c r="L115" s="14" t="n">
        <v>7.16555</v>
      </c>
      <c r="M115" s="17">
        <f>IF(OR(F115="",K115="",K115&lt;=0),"",F115/K115)</f>
        <v/>
      </c>
      <c r="N115" s="18" t="n">
        <v>2.8209913</v>
      </c>
      <c r="O115" s="19">
        <f>IF(OR(N115="",M115="",M115&lt;=0),"",N115/M115)</f>
        <v/>
      </c>
      <c r="P115" s="20" t="n">
        <v>0.12755999</v>
      </c>
      <c r="Q115" s="20" t="n">
        <v>0.2198824319294773</v>
      </c>
      <c r="R115" s="20" t="n">
        <v>0.06041575921139673</v>
      </c>
      <c r="S115" s="21" t="n">
        <v>4</v>
      </c>
      <c r="T115" s="20" t="n"/>
      <c r="U115" s="20" t="n">
        <v>0.123328488372093</v>
      </c>
      <c r="V115" s="20" t="n">
        <v>0.2377348359789569</v>
      </c>
      <c r="W115" s="20" t="n">
        <v>0.2897448169886893</v>
      </c>
      <c r="X115" s="20" t="n">
        <v>0.2287215863781698</v>
      </c>
      <c r="Y115" s="14" t="n">
        <v>1.4</v>
      </c>
      <c r="Z115" s="19">
        <f>IF(OR(Y115="",F115="",F115=0),"",Y115/F115)</f>
        <v/>
      </c>
      <c r="AA115" s="22" t="n">
        <v>72.91</v>
      </c>
      <c r="AB115" s="20" t="n">
        <v>0.005</v>
      </c>
      <c r="AC115" s="20" t="n">
        <v>0.08803717853526831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2026-10-08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Equinix</t>
        </is>
      </c>
      <c r="C116" s="12" t="inlineStr">
        <is>
          <t>EQIX</t>
        </is>
      </c>
      <c r="D116" s="11" t="inlineStr">
        <is>
          <t>REIT / Data center</t>
        </is>
      </c>
      <c r="E116" s="13" t="inlineStr">
        <is>
          <t>Immobiliare</t>
        </is>
      </c>
      <c r="F116" s="14" t="n">
        <v>1000.47</v>
      </c>
      <c r="G116" s="15" t="inlineStr">
        <is>
          <t>USD</t>
        </is>
      </c>
      <c r="H116" s="14" t="n">
        <v>892.2191873275926</v>
      </c>
      <c r="I116" s="16" t="n">
        <v>88036.80565786484</v>
      </c>
      <c r="J116" s="16" t="n">
        <v>98718.10000000001</v>
      </c>
      <c r="K116" s="14" t="n">
        <v>15.54</v>
      </c>
      <c r="L116" s="14" t="n">
        <v>18.5275</v>
      </c>
      <c r="M116" s="17">
        <f>IF(OR(F116="",K116="",K116&lt;=0),"",F116/K116)</f>
        <v/>
      </c>
      <c r="N116" s="18" t="n">
        <v>6.8639584</v>
      </c>
      <c r="O116" s="19">
        <f>IF(OR(N116="",M116="",M116&lt;=0),"",N116/M116)</f>
        <v/>
      </c>
      <c r="P116" s="20" t="n">
        <v>0.10735</v>
      </c>
      <c r="Q116" s="20" t="n">
        <v>0.07361804446541069</v>
      </c>
      <c r="R116" s="20" t="n">
        <v>0.0143175686792554</v>
      </c>
      <c r="S116" s="21" t="n">
        <v>4</v>
      </c>
      <c r="T116" s="20" t="n"/>
      <c r="U116" s="20" t="n">
        <v>0.09536592257699915</v>
      </c>
      <c r="V116" s="20" t="n">
        <v>0.06024541691306919</v>
      </c>
      <c r="W116" s="20" t="n">
        <v>0.07758827768436224</v>
      </c>
      <c r="X116" s="20" t="n">
        <v>0.06127256068721218</v>
      </c>
      <c r="Y116" s="14" t="n">
        <v>20.64</v>
      </c>
      <c r="Z116" s="19">
        <f>IF(OR(Y116="",F116="",F116=0),"",Y116/F116)</f>
        <v/>
      </c>
      <c r="AA116" s="22" t="n">
        <v>162.217</v>
      </c>
      <c r="AB116" s="20" t="n">
        <v>0.167</v>
      </c>
      <c r="AC116" s="20" t="n">
        <v>0.1663230916784203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2026-10-08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Synopsys</t>
        </is>
      </c>
      <c r="C117" s="12" t="inlineStr">
        <is>
          <t>SNPS</t>
        </is>
      </c>
      <c r="D117" s="11" t="inlineStr">
        <is>
          <t>Software EDA</t>
        </is>
      </c>
      <c r="E117" s="13" t="inlineStr">
        <is>
          <t>Tecnologia</t>
        </is>
      </c>
      <c r="F117" s="14" t="n">
        <v>500.29</v>
      </c>
      <c r="G117" s="15" t="inlineStr">
        <is>
          <t>USD</t>
        </is>
      </c>
      <c r="H117" s="14" t="n">
        <v>446.1586426660683</v>
      </c>
      <c r="I117" s="16" t="n">
        <v>85500.3479803761</v>
      </c>
      <c r="J117" s="16" t="n">
        <v>95873.89999999999</v>
      </c>
      <c r="K117" s="14" t="n">
        <v>5.66</v>
      </c>
      <c r="L117" s="14" t="n">
        <v>18.58301</v>
      </c>
      <c r="M117" s="17">
        <f>IF(OR(F117="",K117="",K117&lt;=0),"",F117/K117)</f>
        <v/>
      </c>
      <c r="N117" s="18" t="n">
        <v>3.0770602</v>
      </c>
      <c r="O117" s="19">
        <f>IF(OR(N117="",M117="",M117&lt;=0),"",N117/M117)</f>
        <v/>
      </c>
      <c r="P117" s="20" t="n">
        <v>0.03661</v>
      </c>
      <c r="Q117" s="20" t="n">
        <v>0.1693379698100742</v>
      </c>
      <c r="R117" s="20" t="n">
        <v>0.07546384101190132</v>
      </c>
      <c r="S117" s="21" t="n">
        <v>4</v>
      </c>
      <c r="T117" s="20" t="n"/>
      <c r="U117" s="20" t="n">
        <v>0.04702904255714974</v>
      </c>
      <c r="V117" s="20" t="n">
        <v>0.2517467490302759</v>
      </c>
      <c r="W117" s="20" t="n">
        <v>0.2000693636954582</v>
      </c>
      <c r="X117" s="20" t="n">
        <v>0.1785067239574127</v>
      </c>
      <c r="Y117" s="14" t="n"/>
      <c r="Z117" s="19">
        <f>IF(OR(Y117="",F117="",F117=0),"",Y117/F117)</f>
        <v/>
      </c>
      <c r="AA117" s="22" t="n">
        <v>34.804</v>
      </c>
      <c r="AB117" s="20" t="n">
        <v>0.424</v>
      </c>
      <c r="AC117" s="20" t="n">
        <v>0.1526129587316906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2026-10-08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Southern Company</t>
        </is>
      </c>
      <c r="C118" s="12" t="inlineStr">
        <is>
          <t>SO</t>
        </is>
      </c>
      <c r="D118" s="11" t="inlineStr">
        <is>
          <t>Utility</t>
        </is>
      </c>
      <c r="E118" s="13" t="inlineStr">
        <is>
          <t>Utility</t>
        </is>
      </c>
      <c r="F118" s="14" t="n">
        <v>85.78</v>
      </c>
      <c r="G118" s="15" t="inlineStr">
        <is>
          <t>USD</t>
        </is>
      </c>
      <c r="H118" s="14" t="n">
        <v>76.49860754341549</v>
      </c>
      <c r="I118" s="16" t="n">
        <v>88001.13365621251</v>
      </c>
      <c r="J118" s="16" t="n">
        <v>98678.10000000001</v>
      </c>
      <c r="K118" s="14" t="n">
        <v>4.15</v>
      </c>
      <c r="L118" s="14" t="n">
        <v>4.92321</v>
      </c>
      <c r="M118" s="17">
        <f>IF(OR(F118="",K118="",K118&lt;=0),"",F118/K118)</f>
        <v/>
      </c>
      <c r="N118" s="18" t="n">
        <v>2.4937496</v>
      </c>
      <c r="O118" s="19">
        <f>IF(OR(N118="",M118="",M118&lt;=0),"",N118/M118)</f>
        <v/>
      </c>
      <c r="P118" s="20" t="n">
        <v>0.114829995</v>
      </c>
      <c r="Q118" s="20" t="n">
        <v>0.123939347481506</v>
      </c>
      <c r="R118" s="20" t="n">
        <v>0.006139514343077336</v>
      </c>
      <c r="S118" s="21" t="n">
        <v>4</v>
      </c>
      <c r="T118" s="20" t="n"/>
      <c r="U118" s="20" t="n">
        <v>0.1205297645490893</v>
      </c>
      <c r="V118" s="20" t="n">
        <v>0.132528306432185</v>
      </c>
      <c r="W118" s="20" t="n">
        <v>0.1264470169189671</v>
      </c>
      <c r="X118" s="20" t="n">
        <v>0.1162523020257827</v>
      </c>
      <c r="Y118" s="14" t="n">
        <v>3.04</v>
      </c>
      <c r="Z118" s="19">
        <f>IF(OR(Y118="",F118="",F118=0),"",Y118/F118)</f>
        <v/>
      </c>
      <c r="AA118" s="22" t="n">
        <v>182.058</v>
      </c>
      <c r="AB118" s="20" t="n">
        <v>0.001</v>
      </c>
      <c r="AC118" s="20" t="n">
        <v>0.1576151278042838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2026-10-08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Prologis</t>
        </is>
      </c>
      <c r="C119" s="12" t="inlineStr">
        <is>
          <t>PLD</t>
        </is>
      </c>
      <c r="D119" s="11" t="inlineStr">
        <is>
          <t>REIT / Logistica</t>
        </is>
      </c>
      <c r="E119" s="13" t="inlineStr">
        <is>
          <t>Immobiliare</t>
        </is>
      </c>
      <c r="F119" s="14" t="n">
        <v>128.94</v>
      </c>
      <c r="G119" s="15" t="inlineStr">
        <is>
          <t>USD</t>
        </is>
      </c>
      <c r="H119" s="14" t="n">
        <v>114.9886973262764</v>
      </c>
      <c r="I119" s="16" t="n">
        <v>111779.554877629</v>
      </c>
      <c r="J119" s="16" t="n">
        <v>125341.5</v>
      </c>
      <c r="K119" s="14" t="n">
        <v>4.5</v>
      </c>
      <c r="L119" s="14" t="n">
        <v>3.33333</v>
      </c>
      <c r="M119" s="17">
        <f>IF(OR(F119="",K119="",K119&lt;=0),"",F119/K119)</f>
        <v/>
      </c>
      <c r="N119" s="18" t="n">
        <v>2.24185</v>
      </c>
      <c r="O119" s="19">
        <f>IF(OR(N119="",M119="",M119&lt;=0),"",N119/M119)</f>
        <v/>
      </c>
      <c r="P119" s="20" t="n">
        <v>0.07749</v>
      </c>
      <c r="Q119" s="20" t="n">
        <v>0.06311608942280056</v>
      </c>
      <c r="R119" s="20" t="n">
        <v>0.004128986030073493</v>
      </c>
      <c r="S119" s="21" t="n">
        <v>4</v>
      </c>
      <c r="T119" s="20" t="n"/>
      <c r="U119" s="20" t="n">
        <v>0.06256875646722969</v>
      </c>
      <c r="V119" s="20" t="n">
        <v>0.06916693768350168</v>
      </c>
      <c r="W119" s="20" t="n">
        <v>0.05752378392246178</v>
      </c>
      <c r="X119" s="20" t="n">
        <v>0.06320487961800905</v>
      </c>
      <c r="Y119" s="14" t="n">
        <v>4.28</v>
      </c>
      <c r="Z119" s="19">
        <f>IF(OR(Y119="",F119="",F119=0),"",Y119/F119)</f>
        <v/>
      </c>
      <c r="AA119" s="22" t="n">
        <v>63.823</v>
      </c>
      <c r="AB119" s="20" t="n">
        <v>0.123</v>
      </c>
      <c r="AC119" s="20" t="n">
        <v>0.4780868390183668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2026-10-08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RTX Corporation</t>
        </is>
      </c>
      <c r="C120" s="12" t="inlineStr">
        <is>
          <t>RTX</t>
        </is>
      </c>
      <c r="D120" s="11" t="inlineStr">
        <is>
          <t>Difesa / Aerospazio</t>
        </is>
      </c>
      <c r="E120" s="13" t="inlineStr">
        <is>
          <t>Industriale</t>
        </is>
      </c>
      <c r="F120" s="14" t="n">
        <v>184.285</v>
      </c>
      <c r="G120" s="15" t="inlineStr">
        <is>
          <t>USD</t>
        </is>
      </c>
      <c r="H120" s="14" t="n">
        <v>164.3453706124776</v>
      </c>
      <c r="I120" s="16" t="n">
        <v>221497.8031397782</v>
      </c>
      <c r="J120" s="16" t="n">
        <v>248371.6</v>
      </c>
      <c r="K120" s="14" t="n">
        <v>5.68</v>
      </c>
      <c r="L120" s="14" t="n">
        <v>7.85604</v>
      </c>
      <c r="M120" s="17">
        <f>IF(OR(F120="",K120="",K120&lt;=0),"",F120/K120)</f>
        <v/>
      </c>
      <c r="N120" s="18" t="n">
        <v>3.7418275</v>
      </c>
      <c r="O120" s="19">
        <f>IF(OR(N120="",M120="",M120&lt;=0),"",N120/M120)</f>
        <v/>
      </c>
      <c r="P120" s="20" t="n">
        <v>0.12274</v>
      </c>
      <c r="Q120" s="20" t="n">
        <v>0.07688075362298834</v>
      </c>
      <c r="R120" s="20" t="n">
        <v>0.01786161675583029</v>
      </c>
      <c r="S120" s="21" t="n">
        <v>4</v>
      </c>
      <c r="T120" s="20" t="n"/>
      <c r="U120" s="20" t="n">
        <v>0.1031803203310599</v>
      </c>
      <c r="V120" s="20" t="n">
        <v>0.07936032980916284</v>
      </c>
      <c r="W120" s="20" t="n">
        <v>0.05342988059801331</v>
      </c>
      <c r="X120" s="20" t="n">
        <v>0.07155248375371737</v>
      </c>
      <c r="Y120" s="14" t="n">
        <v>2.92</v>
      </c>
      <c r="Z120" s="19">
        <f>IF(OR(Y120="",F120="",F120=0),"",Y120/F120)</f>
        <v/>
      </c>
      <c r="AA120" s="22" t="n">
        <v>57.02</v>
      </c>
      <c r="AB120" s="20" t="n">
        <v>0.145</v>
      </c>
      <c r="AC120" s="20" t="n">
        <v>0.08733338455808494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2026-10-08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60.52</v>
      </c>
      <c r="G121" s="15" t="inlineStr">
        <is>
          <t>USD</t>
        </is>
      </c>
      <c r="H121" s="14" t="n">
        <v>53.97173849997093</v>
      </c>
      <c r="I121" s="16" t="n">
        <v>69280.82390908776</v>
      </c>
      <c r="J121" s="16" t="n">
        <v>77686.5</v>
      </c>
      <c r="K121" s="14" t="n">
        <v>2.72</v>
      </c>
      <c r="L121" s="14" t="n">
        <v>3.3628</v>
      </c>
      <c r="M121" s="17">
        <f>IF(OR(F121="",K121="",K121&lt;=0),"",F121/K121)</f>
        <v/>
      </c>
      <c r="N121" s="18" t="n">
        <v>2.909196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2026-10-08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Vertex Pharmaceuticals</t>
        </is>
      </c>
      <c r="C122" s="12" t="inlineStr">
        <is>
          <t>VRTX</t>
        </is>
      </c>
      <c r="D122" s="11" t="inlineStr">
        <is>
          <t>Biotecnologie</t>
        </is>
      </c>
      <c r="E122" s="13" t="inlineStr">
        <is>
          <t>Salute</t>
        </is>
      </c>
      <c r="F122" s="14" t="n">
        <v>505.34</v>
      </c>
      <c r="G122" s="15" t="inlineStr">
        <is>
          <t>USD</t>
        </is>
      </c>
      <c r="H122" s="14" t="n">
        <v>450.6622328746745</v>
      </c>
      <c r="I122" s="16" t="n">
        <v>114152.7239675542</v>
      </c>
      <c r="J122" s="16" t="n">
        <v>128002.6</v>
      </c>
      <c r="K122" s="14" t="n">
        <v>17.17</v>
      </c>
      <c r="L122" s="14" t="n">
        <v>20.10614</v>
      </c>
      <c r="M122" s="17">
        <f>IF(OR(F122="",K122="",K122&lt;=0),"",F122/K122)</f>
        <v/>
      </c>
      <c r="N122" s="18" t="n">
        <v>6.322994</v>
      </c>
      <c r="O122" s="19">
        <f>IF(OR(N122="",M122="",M122&lt;=0),"",N122/M122)</f>
        <v/>
      </c>
      <c r="P122" s="20" t="n">
        <v>0.23542999</v>
      </c>
      <c r="Q122" s="20" t="n">
        <v>0.1559529985811414</v>
      </c>
      <c r="R122" s="20" t="n">
        <v>0.1095874808620584</v>
      </c>
      <c r="S122" s="21" t="n">
        <v>4</v>
      </c>
      <c r="T122" s="20" t="n"/>
      <c r="U122" s="20" t="n">
        <v>0.2117884044616357</v>
      </c>
      <c r="V122" s="20" t="n">
        <v>-0.03263943057722309</v>
      </c>
      <c r="W122" s="20" t="n">
        <v>0.2058883756911105</v>
      </c>
      <c r="X122" s="20" t="n">
        <v>0.2387746447490423</v>
      </c>
      <c r="Y122" s="14" t="n"/>
      <c r="Z122" s="19">
        <f>IF(OR(Y122="",F122="",F122=0),"",Y122/F122)</f>
        <v/>
      </c>
      <c r="AA122" s="22" t="n">
        <v>9.766999999999999</v>
      </c>
      <c r="AB122" s="20" t="n">
        <v>0.125</v>
      </c>
      <c r="AC122" s="20" t="n">
        <v>0.3670602244756818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2026-10-08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Bristol-Myers Squibb</t>
        </is>
      </c>
      <c r="C123" s="12" t="inlineStr">
        <is>
          <t>BMY</t>
        </is>
      </c>
      <c r="D123" s="11" t="inlineStr">
        <is>
          <t>Farmaceutica</t>
        </is>
      </c>
      <c r="E123" s="13" t="inlineStr">
        <is>
          <t>Salute</t>
        </is>
      </c>
      <c r="F123" s="14" t="n">
        <v>59.39</v>
      </c>
      <c r="G123" s="15" t="inlineStr">
        <is>
          <t>USD</t>
        </is>
      </c>
      <c r="H123" s="14" t="n">
        <v>52.96400445329268</v>
      </c>
      <c r="I123" s="16" t="n">
        <v>108190.3272513759</v>
      </c>
      <c r="J123" s="16" t="n">
        <v>121316.8</v>
      </c>
      <c r="K123" s="14" t="n">
        <v>4.54</v>
      </c>
      <c r="L123" s="14" t="n">
        <v>6.61198</v>
      </c>
      <c r="M123" s="17">
        <f>IF(OR(F123="",K123="",K123&lt;=0),"",F123/K123)</f>
        <v/>
      </c>
      <c r="N123" s="18" t="n">
        <v>5.4361553</v>
      </c>
      <c r="O123" s="19">
        <f>IF(OR(N123="",M123="",M123&lt;=0),"",N123/M123)</f>
        <v/>
      </c>
      <c r="P123" s="20" t="n">
        <v>0.46598998</v>
      </c>
      <c r="Q123" s="20" t="n">
        <v>0.07761266271412175</v>
      </c>
      <c r="R123" s="20" t="n">
        <v>0.3666158804610691</v>
      </c>
      <c r="S123" s="21" t="n">
        <v>4</v>
      </c>
      <c r="T123" s="20" t="n"/>
      <c r="U123" s="20" t="n">
        <v>0.3818545986033671</v>
      </c>
      <c r="V123" s="20" t="n">
        <v>-0.5477808386899296</v>
      </c>
      <c r="W123" s="20" t="n">
        <v>0.2726809378185525</v>
      </c>
      <c r="X123" s="20" t="n">
        <v>0.203695953124497</v>
      </c>
      <c r="Y123" s="14" t="n">
        <v>2.52</v>
      </c>
      <c r="Z123" s="19">
        <f>IF(OR(Y123="",F123="",F123=0),"",Y123/F123)</f>
        <v/>
      </c>
      <c r="AA123" s="22" t="n">
        <v>201.859</v>
      </c>
      <c r="AB123" s="20" t="n">
        <v>0.057</v>
      </c>
      <c r="AC123" s="20" t="n">
        <v>0.1925925899367154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2026-10-08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Analog Devices</t>
        </is>
      </c>
      <c r="C124" s="12" t="inlineStr">
        <is>
          <t>ADI</t>
        </is>
      </c>
      <c r="D124" s="11" t="inlineStr">
        <is>
          <t>Semiconduttori</t>
        </is>
      </c>
      <c r="E124" s="13" t="inlineStr">
        <is>
          <t>Tecnologia</t>
        </is>
      </c>
      <c r="F124" s="14" t="n">
        <v>402.43</v>
      </c>
      <c r="G124" s="15" t="inlineStr">
        <is>
          <t>USD</t>
        </is>
      </c>
      <c r="H124" s="14" t="n">
        <v>358.88709062365</v>
      </c>
      <c r="I124" s="16" t="n">
        <v>173904.3077152475</v>
      </c>
      <c r="J124" s="16" t="n">
        <v>195003.7</v>
      </c>
      <c r="K124" s="14" t="n">
        <v>8.42</v>
      </c>
      <c r="L124" s="14" t="n">
        <v>16.34812</v>
      </c>
      <c r="M124" s="17">
        <f>IF(OR(F124="",K124="",K124&lt;=0),"",F124/K124)</f>
        <v/>
      </c>
      <c r="N124" s="18" t="n">
        <v>5.8121867</v>
      </c>
      <c r="O124" s="19">
        <f>IF(OR(N124="",M124="",M124&lt;=0),"",N124/M124)</f>
        <v/>
      </c>
      <c r="P124" s="20" t="n">
        <v>0.12227</v>
      </c>
      <c r="Q124" s="20" t="n">
        <v>0.0705274694515223</v>
      </c>
      <c r="R124" s="20" t="n">
        <v>0.01678852536801986</v>
      </c>
      <c r="S124" s="21" t="n">
        <v>4</v>
      </c>
      <c r="T124" s="20" t="n"/>
      <c r="U124" s="20" t="n">
        <v>0.06704987068897324</v>
      </c>
      <c r="V124" s="20" t="n">
        <v>0.04648789695635276</v>
      </c>
      <c r="W124" s="20" t="n">
        <v>0.09319745901616758</v>
      </c>
      <c r="X124" s="20" t="n">
        <v>0.07537465114459564</v>
      </c>
      <c r="Y124" s="14" t="n">
        <v>4.4</v>
      </c>
      <c r="Z124" s="19">
        <f>IF(OR(Y124="",F124="",F124=0),"",Y124/F124)</f>
        <v/>
      </c>
      <c r="AA124" s="22" t="n">
        <v>27.314</v>
      </c>
      <c r="AB124" s="20" t="n">
        <v>0.396</v>
      </c>
      <c r="AC124" s="20" t="n">
        <v>0.3752371913336716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2026-10-08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Constellation Energy</t>
        </is>
      </c>
      <c r="C125" s="12" t="inlineStr">
        <is>
          <t>CEG</t>
        </is>
      </c>
      <c r="D125" s="11" t="inlineStr">
        <is>
          <t>Utility / Nucleare</t>
        </is>
      </c>
      <c r="E125" s="13" t="inlineStr">
        <is>
          <t>Utility</t>
        </is>
      </c>
      <c r="F125" s="14" t="n">
        <v>281.97</v>
      </c>
      <c r="G125" s="15" t="inlineStr">
        <is>
          <t>USD</t>
        </is>
      </c>
      <c r="H125" s="14" t="n">
        <v>251.4608576476669</v>
      </c>
      <c r="I125" s="16" t="n">
        <v>89094.48050685633</v>
      </c>
      <c r="J125" s="16" t="n">
        <v>99904.10000000001</v>
      </c>
      <c r="K125" s="14" t="n">
        <v>10.23</v>
      </c>
      <c r="L125" s="14" t="n">
        <v>13.32016</v>
      </c>
      <c r="M125" s="17">
        <f>IF(OR(F125="",K125="",K125&lt;=0),"",F125/K125)</f>
        <v/>
      </c>
      <c r="N125" s="18" t="n">
        <v>3.1330347</v>
      </c>
      <c r="O125" s="19">
        <f>IF(OR(N125="",M125="",M125&lt;=0),"",N125/M125)</f>
        <v/>
      </c>
      <c r="P125" s="20" t="n">
        <v>0.15055001</v>
      </c>
      <c r="Q125" s="20" t="n">
        <v>0.1446322510499069</v>
      </c>
      <c r="R125" s="20" t="n">
        <v>0.1063089118500449</v>
      </c>
      <c r="S125" s="21" t="n">
        <v>4</v>
      </c>
      <c r="T125" s="20" t="n"/>
      <c r="U125" s="20" t="n">
        <v>0.1597437487084108</v>
      </c>
      <c r="V125" s="20" t="n">
        <v>0.2847485948655628</v>
      </c>
      <c r="W125" s="20" t="n">
        <v>0.148558352402746</v>
      </c>
      <c r="X125" s="20" t="n">
        <v>-0.01452169177709203</v>
      </c>
      <c r="Y125" s="14" t="n">
        <v>1.71</v>
      </c>
      <c r="Z125" s="19">
        <f>IF(OR(Y125="",F125="",F125=0),"",Y125/F125)</f>
        <v/>
      </c>
      <c r="AA125" s="22" t="n">
        <v>76.419</v>
      </c>
      <c r="AB125" s="20" t="n">
        <v>0.23</v>
      </c>
      <c r="AC125" s="20" t="n">
        <v>0.1357067299573101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2026-10-08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Amazon</t>
        </is>
      </c>
      <c r="C126" s="12" t="inlineStr">
        <is>
          <t>AMZN</t>
        </is>
      </c>
      <c r="D126" s="11" t="inlineStr">
        <is>
          <t>E-commerce / Cloud</t>
        </is>
      </c>
      <c r="E126" s="13" t="inlineStr">
        <is>
          <t>Tecnologia</t>
        </is>
      </c>
      <c r="F126" s="14" t="n">
        <v>255.1</v>
      </c>
      <c r="G126" s="15" t="inlineStr">
        <is>
          <t>USD</t>
        </is>
      </c>
      <c r="H126" s="14" t="n">
        <v>227.4981905377161</v>
      </c>
      <c r="I126" s="16" t="n">
        <v>2453770.601918654</v>
      </c>
      <c r="J126" s="16" t="n">
        <v>2751480.7</v>
      </c>
      <c r="K126" s="14" t="n">
        <v>12.43</v>
      </c>
      <c r="L126" s="14" t="n">
        <v>10.46643</v>
      </c>
      <c r="M126" s="17">
        <f>IF(OR(F126="",K126="",K126&lt;=0),"",F126/K126)</f>
        <v/>
      </c>
      <c r="N126" s="18" t="n">
        <v>4.986512</v>
      </c>
      <c r="O126" s="19">
        <f>IF(OR(N126="",M126="",M126&lt;=0),"",N126/M126)</f>
        <v/>
      </c>
      <c r="P126" s="20" t="n">
        <v>0.30558002</v>
      </c>
      <c r="Q126" s="20" t="n">
        <v>0.1320511298823096</v>
      </c>
      <c r="R126" s="20" t="n">
        <v>0.08935541595787762</v>
      </c>
      <c r="S126" s="21" t="n">
        <v>4</v>
      </c>
      <c r="T126" s="20" t="n"/>
      <c r="U126" s="20" t="n">
        <v>0.1889482198679041</v>
      </c>
      <c r="V126" s="20" t="n">
        <v>0.2071825715984194</v>
      </c>
      <c r="W126" s="20" t="n">
        <v>0.1507120743034056</v>
      </c>
      <c r="X126" s="20" t="n">
        <v>-0.01863834624049081</v>
      </c>
      <c r="Y126" s="14" t="n"/>
      <c r="Z126" s="19">
        <f>IF(OR(Y126="",F126="",F126=0),"",Y126/F126)</f>
        <v/>
      </c>
      <c r="AA126" s="22" t="n">
        <v>45.617</v>
      </c>
      <c r="AB126" s="20" t="n">
        <v>0.196</v>
      </c>
      <c r="AC126" s="20" t="n">
        <v>0.1886964314878564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2026-10-08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61.67</v>
      </c>
      <c r="G127" s="15" t="inlineStr">
        <is>
          <t>USD</t>
        </is>
      </c>
      <c r="H127" s="14" t="n">
        <v>54.99730854747533</v>
      </c>
      <c r="I127" s="16" t="n">
        <v>48371.59096057209</v>
      </c>
      <c r="J127" s="16" t="n">
        <v>54240.4</v>
      </c>
      <c r="K127" s="14" t="n">
        <v>2.89</v>
      </c>
      <c r="L127" s="14" t="n">
        <v>3.81423</v>
      </c>
      <c r="M127" s="17">
        <f>IF(OR(F127="",K127="",K127&lt;=0),"",F127/K127)</f>
        <v/>
      </c>
      <c r="N127" s="18" t="n">
        <v>1.9429741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2026-10-08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Micron Technology</t>
        </is>
      </c>
      <c r="C128" s="12" t="inlineStr">
        <is>
          <t>MU</t>
        </is>
      </c>
      <c r="D128" s="11" t="inlineStr">
        <is>
          <t>Semiconduttori / Memorie</t>
        </is>
      </c>
      <c r="E128" s="13" t="inlineStr">
        <is>
          <t>Tecnologia</t>
        </is>
      </c>
      <c r="F128" s="14" t="n">
        <v>1086.175</v>
      </c>
      <c r="G128" s="15" t="inlineStr">
        <is>
          <t>USD</t>
        </is>
      </c>
      <c r="H128" s="14" t="n">
        <v>969.6283832882282</v>
      </c>
      <c r="I128" s="16" t="n">
        <v>1095066.475795512</v>
      </c>
      <c r="J128" s="16" t="n">
        <v>1226690.4</v>
      </c>
      <c r="K128" s="14" t="n">
        <v>74.33</v>
      </c>
      <c r="L128" s="14" t="n">
        <v>206.33243</v>
      </c>
      <c r="M128" s="17">
        <f>IF(OR(F128="",K128="",K128&lt;=0),"",F128/K128)</f>
        <v/>
      </c>
      <c r="N128" s="18" t="n">
        <v>12.174523</v>
      </c>
      <c r="O128" s="19">
        <f>IF(OR(N128="",M128="",M128&lt;=0),"",N128/M128)</f>
        <v/>
      </c>
      <c r="P128" s="20" t="n">
        <v>0.8826000000000001</v>
      </c>
      <c r="Q128" s="20" t="n">
        <v>0.05418569393215231</v>
      </c>
      <c r="R128" s="20" t="n">
        <v>0.1236757150852483</v>
      </c>
      <c r="S128" s="21" t="n">
        <v>4</v>
      </c>
      <c r="T128" s="20" t="n"/>
      <c r="U128" s="20" t="n">
        <v>0.1576479276285424</v>
      </c>
      <c r="V128" s="20" t="n">
        <v>0.0172387051029226</v>
      </c>
      <c r="W128" s="20" t="n">
        <v>-0.132207615593835</v>
      </c>
      <c r="X128" s="20" t="n">
        <v>0.1740637585909792</v>
      </c>
      <c r="Y128" s="14" t="n">
        <v>0.6</v>
      </c>
      <c r="Z128" s="19">
        <f>IF(OR(Y128="",F128="",F128=0),"",Y128/F128)</f>
        <v/>
      </c>
      <c r="AA128" s="22" t="n">
        <v>3.743</v>
      </c>
      <c r="AB128" s="20" t="n">
        <v>3.793</v>
      </c>
      <c r="AC128" s="20" t="n">
        <v>2.273235509230028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2026-10-07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Duke Energy</t>
        </is>
      </c>
      <c r="C129" s="12" t="inlineStr">
        <is>
          <t>DUK</t>
        </is>
      </c>
      <c r="D129" s="11" t="inlineStr">
        <is>
          <t>Utility</t>
        </is>
      </c>
      <c r="E129" s="13" t="inlineStr">
        <is>
          <t>Utility</t>
        </is>
      </c>
      <c r="F129" s="14" t="n">
        <v>116.21</v>
      </c>
      <c r="G129" s="15" t="inlineStr">
        <is>
          <t>USD</t>
        </is>
      </c>
      <c r="H129" s="14" t="n">
        <v>103.6360828004233</v>
      </c>
      <c r="I129" s="16" t="n">
        <v>80805.28830290094</v>
      </c>
      <c r="J129" s="16" t="n">
        <v>90609.2</v>
      </c>
      <c r="K129" s="14" t="n">
        <v>6.64</v>
      </c>
      <c r="L129" s="14" t="n">
        <v>7.17137</v>
      </c>
      <c r="M129" s="17">
        <f>IF(OR(F129="",K129="",K129&lt;=0),"",F129/K129)</f>
        <v/>
      </c>
      <c r="N129" s="18" t="n">
        <v>1.685522</v>
      </c>
      <c r="O129" s="19">
        <f>IF(OR(N129="",M129="",M129&lt;=0),"",N129/M129)</f>
        <v/>
      </c>
      <c r="P129" s="20" t="n">
        <v>0.098570004</v>
      </c>
      <c r="Q129" s="20" t="n">
        <v>0.0739075032235007</v>
      </c>
      <c r="R129" s="20" t="n">
        <v>0.01935651027259411</v>
      </c>
      <c r="S129" s="21" t="n">
        <v>4</v>
      </c>
      <c r="T129" s="20" t="n"/>
      <c r="U129" s="20" t="n">
        <v>0.09582963620230701</v>
      </c>
      <c r="V129" s="20" t="n">
        <v>0.09025076306182298</v>
      </c>
      <c r="W129" s="20" t="n">
        <v>0.05784854716865875</v>
      </c>
      <c r="X129" s="20" t="n">
        <v>0.05170106646121406</v>
      </c>
      <c r="Y129" s="14" t="n">
        <v>4.34</v>
      </c>
      <c r="Z129" s="19">
        <f>IF(OR(Y129="",F129="",F129=0),"",Y129/F129)</f>
        <v/>
      </c>
      <c r="AA129" s="22" t="n">
        <v>162.155</v>
      </c>
      <c r="AB129" s="20" t="n">
        <v>0.011</v>
      </c>
      <c r="AC129" s="20" t="n">
        <v>0.1603126841827713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2026-10-08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Tesla</t>
        </is>
      </c>
      <c r="C130" s="12" t="inlineStr">
        <is>
          <t>TSLA</t>
        </is>
      </c>
      <c r="D130" s="11" t="inlineStr">
        <is>
          <t>Auto elettriche</t>
        </is>
      </c>
      <c r="E130" s="13" t="inlineStr">
        <is>
          <t>Consumi</t>
        </is>
      </c>
      <c r="F130" s="14" t="n">
        <v>372.12</v>
      </c>
      <c r="G130" s="15" t="inlineStr">
        <is>
          <t>USD</t>
        </is>
      </c>
      <c r="H130" s="14" t="n">
        <v>331.8566313715991</v>
      </c>
      <c r="I130" s="16" t="n">
        <v>1310683.51479086</v>
      </c>
      <c r="J130" s="16" t="n">
        <v>1469705.6</v>
      </c>
      <c r="K130" s="14" t="n">
        <v>1.08</v>
      </c>
      <c r="L130" s="14" t="n">
        <v>2.14567</v>
      </c>
      <c r="M130" s="17">
        <f>IF(OR(F130="",K130="",K130&lt;=0),"",F130/K130)</f>
        <v/>
      </c>
      <c r="N130" s="18" t="n">
        <v>16.91839</v>
      </c>
      <c r="O130" s="19">
        <f>IF(OR(N130="",M130="",M130&lt;=0),"",N130/M130)</f>
        <v/>
      </c>
      <c r="P130" s="20" t="n">
        <v>0.046669997</v>
      </c>
      <c r="Q130" s="20" t="n">
        <v>0.1662307907254467</v>
      </c>
      <c r="R130" s="20" t="n">
        <v>0.09713259207574809</v>
      </c>
      <c r="S130" s="21" t="n">
        <v>4</v>
      </c>
      <c r="T130" s="20" t="n"/>
      <c r="U130" s="20" t="n">
        <v>0.04619111971462313</v>
      </c>
      <c r="V130" s="20" t="n">
        <v>0.09778777447094482</v>
      </c>
      <c r="W130" s="20" t="n">
        <v>0.2394705750870134</v>
      </c>
      <c r="X130" s="20" t="n">
        <v>0.2814736936292054</v>
      </c>
      <c r="Y130" s="14" t="n"/>
      <c r="Z130" s="19">
        <f>IF(OR(Y130="",F130="",F130=0),"",Y130/F130)</f>
        <v/>
      </c>
      <c r="AA130" s="22" t="n">
        <v>18.373</v>
      </c>
      <c r="AB130" s="20" t="n">
        <v>0.255</v>
      </c>
      <c r="AC130" s="20" t="n">
        <v>0.04013624946481487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2026-10-08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Uber Technologies</t>
        </is>
      </c>
      <c r="C131" s="12" t="inlineStr">
        <is>
          <t>UBER</t>
        </is>
      </c>
      <c r="D131" s="11" t="inlineStr">
        <is>
          <t>Piattaforme</t>
        </is>
      </c>
      <c r="E131" s="13" t="inlineStr">
        <is>
          <t>Tecnologia</t>
        </is>
      </c>
      <c r="F131" s="14" t="n">
        <v>69.54819999999999</v>
      </c>
      <c r="G131" s="15" t="inlineStr">
        <is>
          <t>USD</t>
        </is>
      </c>
      <c r="H131" s="14" t="n">
        <v>62.02308763290941</v>
      </c>
      <c r="I131" s="16" t="n">
        <v>126685.903388091</v>
      </c>
      <c r="J131" s="16" t="n">
        <v>142056.4</v>
      </c>
      <c r="K131" s="14" t="n">
        <v>4.56</v>
      </c>
      <c r="L131" s="14" t="n">
        <v>4.41503</v>
      </c>
      <c r="M131" s="17">
        <f>IF(OR(F131="",K131="",K131&lt;=0),"",F131/K131)</f>
        <v/>
      </c>
      <c r="N131" s="18" t="n">
        <v>5.1940403</v>
      </c>
      <c r="O131" s="19">
        <f>IF(OR(N131="",M131="",M131&lt;=0),"",N131/M131)</f>
        <v/>
      </c>
      <c r="P131" s="20" t="n">
        <v>0.3716</v>
      </c>
      <c r="Q131" s="20" t="n">
        <v>-0.06216638498507329</v>
      </c>
      <c r="R131" s="20" t="n">
        <v>0.6911679096695134</v>
      </c>
      <c r="S131" s="21" t="n">
        <v>4</v>
      </c>
      <c r="T131" s="20" t="n"/>
      <c r="U131" s="20" t="n">
        <v>0.3717687955327096</v>
      </c>
      <c r="V131" s="20" t="n">
        <v>0.4571852676500603</v>
      </c>
      <c r="W131" s="20" t="n">
        <v>0.1677482442883812</v>
      </c>
      <c r="X131" s="20" t="n">
        <v>-1.245367847411444</v>
      </c>
      <c r="Y131" s="14" t="n"/>
      <c r="Z131" s="19">
        <f>IF(OR(Y131="",F131="",F131=0),"",Y131/F131)</f>
        <v/>
      </c>
      <c r="AA131" s="22" t="n">
        <v>51.872</v>
      </c>
      <c r="AB131" s="20" t="n">
        <v>0.122</v>
      </c>
      <c r="AC131" s="20" t="n">
        <v>0.1841513314493339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2026-10-08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Kinder Morgan</t>
        </is>
      </c>
      <c r="C132" s="12" t="inlineStr">
        <is>
          <t>KMI</t>
        </is>
      </c>
      <c r="D132" s="11" t="inlineStr">
        <is>
          <t>Gasdotti</t>
        </is>
      </c>
      <c r="E132" s="13" t="inlineStr">
        <is>
          <t>Energia</t>
        </is>
      </c>
      <c r="F132" s="14" t="n">
        <v>32.315</v>
      </c>
      <c r="G132" s="15" t="inlineStr">
        <is>
          <t>USD</t>
        </is>
      </c>
      <c r="H132" s="14" t="n">
        <v>28.81851833487377</v>
      </c>
      <c r="I132" s="16" t="n">
        <v>64116.1423298597</v>
      </c>
      <c r="J132" s="16" t="n">
        <v>71895.2</v>
      </c>
      <c r="K132" s="14" t="n">
        <v>1.55</v>
      </c>
      <c r="L132" s="14" t="n">
        <v>1.54454</v>
      </c>
      <c r="M132" s="17">
        <f>IF(OR(F132="",K132="",K132&lt;=0),"",F132/K132)</f>
        <v/>
      </c>
      <c r="N132" s="18" t="n">
        <v>2.2729828</v>
      </c>
      <c r="O132" s="19">
        <f>IF(OR(N132="",M132="",M132&lt;=0),"",N132/M132)</f>
        <v/>
      </c>
      <c r="P132" s="20" t="n">
        <v>0.109910004</v>
      </c>
      <c r="Q132" s="20" t="n">
        <v>0.109910004</v>
      </c>
      <c r="R132" s="20" t="n"/>
      <c r="S132" s="21" t="n">
        <v>0</v>
      </c>
      <c r="T132" s="20" t="n"/>
      <c r="U132" s="20" t="n">
        <v>0.0980681599383865</v>
      </c>
      <c r="V132" s="20" t="n">
        <v>0.08558514296944089</v>
      </c>
      <c r="W132" s="20" t="n">
        <v>0.07889526826371016</v>
      </c>
      <c r="X132" s="20" t="n">
        <v>0.08288335176631319</v>
      </c>
      <c r="Y132" s="14" t="n">
        <v>1.18</v>
      </c>
      <c r="Z132" s="19">
        <f>IF(OR(Y132="",F132="",F132=0),"",Y132/F132)</f>
        <v/>
      </c>
      <c r="AA132" s="22" t="n">
        <v>98.619</v>
      </c>
      <c r="AB132" s="20" t="n">
        <v>0.108</v>
      </c>
      <c r="AC132" s="20" t="n">
        <v>0.2036370039558363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2026-10-08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Freeport-McMoRan</t>
        </is>
      </c>
      <c r="C133" s="12" t="inlineStr">
        <is>
          <t>FCX</t>
        </is>
      </c>
      <c r="D133" s="11" t="inlineStr">
        <is>
          <t>Rame</t>
        </is>
      </c>
      <c r="E133" s="13" t="inlineStr">
        <is>
          <t>Materiali</t>
        </is>
      </c>
      <c r="F133" s="14" t="n">
        <v>70.81</v>
      </c>
      <c r="G133" s="15" t="inlineStr">
        <is>
          <t>USD</t>
        </is>
      </c>
      <c r="H133" s="14" t="n">
        <v>63.14836092503207</v>
      </c>
      <c r="I133" s="16" t="n">
        <v>90727.00966247507</v>
      </c>
      <c r="J133" s="16" t="n">
        <v>101734.7</v>
      </c>
      <c r="K133" s="14" t="n">
        <v>2.03</v>
      </c>
      <c r="L133" s="14" t="n">
        <v>4.29198</v>
      </c>
      <c r="M133" s="17">
        <f>IF(OR(F133="",K133="",K133&lt;=0),"",F133/K133)</f>
        <v/>
      </c>
      <c r="N133" s="18" t="n">
        <v>5.0592732</v>
      </c>
      <c r="O133" s="19">
        <f>IF(OR(N133="",M133="",M133&lt;=0),"",N133/M133)</f>
        <v/>
      </c>
      <c r="P133" s="20" t="n">
        <v>0.14755</v>
      </c>
      <c r="Q133" s="20" t="n">
        <v>0.139430342603264</v>
      </c>
      <c r="R133" s="20" t="n">
        <v>0.04833258025963022</v>
      </c>
      <c r="S133" s="21" t="n">
        <v>4</v>
      </c>
      <c r="T133" s="20" t="n"/>
      <c r="U133" s="20" t="n">
        <v>0.1166199269802635</v>
      </c>
      <c r="V133" s="20" t="n">
        <v>0.1074455377964848</v>
      </c>
      <c r="W133" s="20" t="n">
        <v>0.1107050859641766</v>
      </c>
      <c r="X133" s="20" t="n">
        <v>0.2229508196721312</v>
      </c>
      <c r="Y133" s="14" t="n">
        <v>0.6</v>
      </c>
      <c r="Z133" s="19">
        <f>IF(OR(Y133="",F133="",F133=0),"",Y133/F133)</f>
        <v/>
      </c>
      <c r="AA133" s="22" t="n">
        <v>32.149</v>
      </c>
      <c r="AB133" s="20" t="n">
        <v>-0.073</v>
      </c>
      <c r="AC133" s="20" t="n">
        <v>0.1132934593864557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2026-10-08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73.3159</v>
      </c>
      <c r="G134" s="15" t="inlineStr">
        <is>
          <t>USD</t>
        </is>
      </c>
      <c r="H134" s="14" t="n">
        <v>65.38312264854623</v>
      </c>
      <c r="I134" s="16" t="n">
        <v>40840.51797173278</v>
      </c>
      <c r="J134" s="16" t="n">
        <v>45795.6</v>
      </c>
      <c r="K134" s="14" t="n">
        <v>3.65</v>
      </c>
      <c r="L134" s="14" t="n">
        <v>4.53767</v>
      </c>
      <c r="M134" s="17">
        <f>IF(OR(F134="",K134="",K134&lt;=0),"",F134/K134)</f>
        <v/>
      </c>
      <c r="N134" s="18" t="n">
        <v>1.9029253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>
        <v>2.37</v>
      </c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2026-10-08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International Group</t>
        </is>
      </c>
      <c r="C135" s="12" t="inlineStr">
        <is>
          <t>AIG</t>
        </is>
      </c>
      <c r="D135" s="11" t="inlineStr">
        <is>
          <t>Assicurazione</t>
        </is>
      </c>
      <c r="E135" s="13" t="inlineStr">
        <is>
          <t>Finanziario</t>
        </is>
      </c>
      <c r="F135" s="14" t="n">
        <v>75.54000000000001</v>
      </c>
      <c r="G135" s="15" t="inlineStr">
        <is>
          <t>USD</t>
        </is>
      </c>
      <c r="H135" s="14" t="n">
        <v>67.4345552729466</v>
      </c>
      <c r="I135" s="16" t="n">
        <v>35261.1129540406</v>
      </c>
      <c r="J135" s="16" t="n">
        <v>39499.4</v>
      </c>
      <c r="K135" s="14" t="n">
        <v>5.46</v>
      </c>
      <c r="L135" s="14" t="n">
        <v>8.79908</v>
      </c>
      <c r="M135" s="17">
        <f>IF(OR(F135="",K135="",K135&lt;=0),"",F135/K135)</f>
        <v/>
      </c>
      <c r="N135" s="18" t="n">
        <v>0.97614557</v>
      </c>
      <c r="O135" s="19">
        <f>IF(OR(N135="",M135="",M135&lt;=0),"",N135/M135)</f>
        <v/>
      </c>
      <c r="P135" s="20" t="n">
        <v>0.0722</v>
      </c>
      <c r="Q135" s="20" t="n">
        <v>0.09304718508131808</v>
      </c>
      <c r="R135" s="20" t="n">
        <v>0.1011020395574324</v>
      </c>
      <c r="S135" s="21" t="n">
        <v>4</v>
      </c>
      <c r="T135" s="20" t="n"/>
      <c r="U135" s="20" t="n">
        <v>0.07525705534893896</v>
      </c>
      <c r="V135" s="20" t="n">
        <v>-0.0330189788575057</v>
      </c>
      <c r="W135" s="20" t="n">
        <v>0.08032898943793963</v>
      </c>
      <c r="X135" s="20" t="n">
        <v>0.2496216743958994</v>
      </c>
      <c r="Y135" s="14" t="n">
        <v>2</v>
      </c>
      <c r="Z135" s="19">
        <f>IF(OR(Y135="",F135="",F135=0),"",Y135/F135)</f>
        <v/>
      </c>
      <c r="AA135" s="22" t="n">
        <v>22.466</v>
      </c>
      <c r="AB135" s="20" t="n">
        <v>0.005</v>
      </c>
      <c r="AC135" s="20" t="n">
        <v>0.1107417620079181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2026-10-07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Danaher</t>
        </is>
      </c>
      <c r="C136" s="12" t="inlineStr">
        <is>
          <t>DHR</t>
        </is>
      </c>
      <c r="D136" s="11" t="inlineStr">
        <is>
          <t>Strumentazione life science</t>
        </is>
      </c>
      <c r="E136" s="13" t="inlineStr">
        <is>
          <t>Salute</t>
        </is>
      </c>
      <c r="F136" s="14" t="n">
        <v>215.11</v>
      </c>
      <c r="G136" s="15" t="inlineStr">
        <is>
          <t>USD</t>
        </is>
      </c>
      <c r="H136" s="14" t="n">
        <v>191.8351068858021</v>
      </c>
      <c r="I136" s="16" t="n">
        <v>134857.3779865937</v>
      </c>
      <c r="J136" s="16" t="n">
        <v>151219.3</v>
      </c>
      <c r="K136" s="14" t="n">
        <v>5.61</v>
      </c>
      <c r="L136" s="14" t="n">
        <v>9.29857</v>
      </c>
      <c r="M136" s="17">
        <f>IF(OR(F136="",K136="",K136&lt;=0),"",F136/K136)</f>
        <v/>
      </c>
      <c r="N136" s="18" t="n">
        <v>2.8755715</v>
      </c>
      <c r="O136" s="19">
        <f>IF(OR(N136="",M136="",M136&lt;=0),"",N136/M136)</f>
        <v/>
      </c>
      <c r="P136" s="20" t="n">
        <v>0.07605000000000001</v>
      </c>
      <c r="Q136" s="20" t="n">
        <v>0.09512670597719992</v>
      </c>
      <c r="R136" s="20" t="n">
        <v>0.02908220905236598</v>
      </c>
      <c r="S136" s="21" t="n">
        <v>4</v>
      </c>
      <c r="T136" s="20" t="n"/>
      <c r="U136" s="20" t="n">
        <v>0.06879354322914684</v>
      </c>
      <c r="V136" s="20" t="n">
        <v>0.07869931170902045</v>
      </c>
      <c r="W136" s="20" t="n">
        <v>0.08907003701903302</v>
      </c>
      <c r="X136" s="20" t="n">
        <v>0.1439439319515994</v>
      </c>
      <c r="Y136" s="14" t="n">
        <v>1.6</v>
      </c>
      <c r="Z136" s="19">
        <f>IF(OR(Y136="",F136="",F136=0),"",Y136/F136)</f>
        <v/>
      </c>
      <c r="AA136" s="22" t="n">
        <v>52.97</v>
      </c>
      <c r="AB136" s="20" t="n">
        <v>0.055</v>
      </c>
      <c r="AC136" s="20" t="n">
        <v>0.1624063874959297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2026-10-08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American Electric Power</t>
        </is>
      </c>
      <c r="C137" s="12" t="inlineStr">
        <is>
          <t>AEP</t>
        </is>
      </c>
      <c r="D137" s="11" t="inlineStr">
        <is>
          <t>Utility</t>
        </is>
      </c>
      <c r="E137" s="13" t="inlineStr">
        <is>
          <t>Utility</t>
        </is>
      </c>
      <c r="F137" s="14" t="n">
        <v>122.39</v>
      </c>
      <c r="G137" s="15" t="inlineStr">
        <is>
          <t>USD</t>
        </is>
      </c>
      <c r="H137" s="14" t="n">
        <v>109.1474070557079</v>
      </c>
      <c r="I137" s="16" t="n">
        <v>59419.56659231432</v>
      </c>
      <c r="J137" s="16" t="n">
        <v>66628.8</v>
      </c>
      <c r="K137" s="14" t="n">
        <v>5.77</v>
      </c>
      <c r="L137" s="14" t="n">
        <v>6.85684</v>
      </c>
      <c r="M137" s="17">
        <f>IF(OR(F137="",K137="",K137&lt;=0),"",F137/K137)</f>
        <v/>
      </c>
      <c r="N137" s="18" t="n">
        <v>2.076906</v>
      </c>
      <c r="O137" s="19">
        <f>IF(OR(N137="",M137="",M137&lt;=0),"",N137/M137)</f>
        <v/>
      </c>
      <c r="P137" s="20" t="n">
        <v>0.10130999</v>
      </c>
      <c r="Q137" s="20" t="n">
        <v>0.10130999</v>
      </c>
      <c r="R137" s="20" t="n"/>
      <c r="S137" s="21" t="n">
        <v>0</v>
      </c>
      <c r="T137" s="20" t="n"/>
      <c r="U137" s="20" t="n">
        <v>0.1149720598625474</v>
      </c>
      <c r="V137" s="20" t="n">
        <v>0.1101172802850356</v>
      </c>
      <c r="W137" s="20" t="n">
        <v>0.08745697457489493</v>
      </c>
      <c r="X137" s="20" t="n">
        <v>0.09656223057413345</v>
      </c>
      <c r="Y137" s="14" t="n">
        <v>3.8</v>
      </c>
      <c r="Z137" s="19">
        <f>IF(OR(Y137="",F137="",F137=0),"",Y137/F137)</f>
        <v/>
      </c>
      <c r="AA137" s="22" t="n">
        <v>160.789</v>
      </c>
      <c r="AB137" s="20" t="n">
        <v>0.07000000000000001</v>
      </c>
      <c r="AC137" s="20" t="n">
        <v>0.13781999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2026-10-08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Digital Realty</t>
        </is>
      </c>
      <c r="C138" s="12" t="inlineStr">
        <is>
          <t>DLR</t>
        </is>
      </c>
      <c r="D138" s="11" t="inlineStr">
        <is>
          <t>REIT / Data center</t>
        </is>
      </c>
      <c r="E138" s="13" t="inlineStr">
        <is>
          <t>Immobiliare</t>
        </is>
      </c>
      <c r="F138" s="14" t="n">
        <v>174.5</v>
      </c>
      <c r="G138" s="15" t="inlineStr">
        <is>
          <t>USD</t>
        </is>
      </c>
      <c r="H138" s="14" t="n">
        <v>155.619107208277</v>
      </c>
      <c r="I138" s="16" t="n">
        <v>58771.67386230393</v>
      </c>
      <c r="J138" s="16" t="n">
        <v>65902.3</v>
      </c>
      <c r="K138" s="14" t="n">
        <v>2.06</v>
      </c>
      <c r="L138" s="14" t="n">
        <v>2.76208</v>
      </c>
      <c r="M138" s="17">
        <f>IF(OR(F138="",K138="",K138&lt;=0),"",F138/K138)</f>
        <v/>
      </c>
      <c r="N138" s="18" t="n">
        <v>2.4179692</v>
      </c>
      <c r="O138" s="19">
        <f>IF(OR(N138="",M138="",M138&lt;=0),"",N138/M138)</f>
        <v/>
      </c>
      <c r="P138" s="20" t="n">
        <v>0.02912</v>
      </c>
      <c r="Q138" s="20" t="n">
        <v>0.03910587655461811</v>
      </c>
      <c r="R138" s="20" t="n">
        <v>0.01468646488418679</v>
      </c>
      <c r="S138" s="21" t="n">
        <v>4</v>
      </c>
      <c r="T138" s="20" t="n"/>
      <c r="U138" s="20" t="n">
        <v>0.05707965784893549</v>
      </c>
      <c r="V138" s="20" t="n">
        <v>0.02823237074736707</v>
      </c>
      <c r="W138" s="20" t="n">
        <v>0.04963181966879201</v>
      </c>
      <c r="X138" s="20" t="n">
        <v>0.0214796579533779</v>
      </c>
      <c r="Y138" s="14" t="n">
        <v>4.88</v>
      </c>
      <c r="Z138" s="19">
        <f>IF(OR(Y138="",F138="",F138=0),"",Y138/F138)</f>
        <v/>
      </c>
      <c r="AA138" s="22" t="n">
        <v>67.944</v>
      </c>
      <c r="AB138" s="20" t="n">
        <v>0.299</v>
      </c>
      <c r="AC138" s="20" t="n">
        <v>0.1240530332625953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2026-10-08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Realty Income</t>
        </is>
      </c>
      <c r="C139" s="12" t="inlineStr">
        <is>
          <t>O</t>
        </is>
      </c>
      <c r="D139" s="11" t="inlineStr">
        <is>
          <t>REIT / Retail</t>
        </is>
      </c>
      <c r="E139" s="13" t="inlineStr">
        <is>
          <t>Immobiliare</t>
        </is>
      </c>
      <c r="F139" s="14" t="n">
        <v>53.85</v>
      </c>
      <c r="G139" s="15" t="inlineStr">
        <is>
          <t>USD</t>
        </is>
      </c>
      <c r="H139" s="14" t="n">
        <v>48.02343222444538</v>
      </c>
      <c r="I139" s="16" t="n">
        <v>45440.60094480863</v>
      </c>
      <c r="J139" s="16" t="n">
        <v>50953.8</v>
      </c>
      <c r="K139" s="14" t="n">
        <v>1.38</v>
      </c>
      <c r="L139" s="14" t="n">
        <v>1.55302</v>
      </c>
      <c r="M139" s="17">
        <f>IF(OR(F139="",K139="",K139&lt;=0),"",F139/K139)</f>
        <v/>
      </c>
      <c r="N139" s="18" t="n">
        <v>1.2883391</v>
      </c>
      <c r="O139" s="19">
        <f>IF(OR(N139="",M139="",M139&lt;=0),"",N139/M139)</f>
        <v/>
      </c>
      <c r="P139" s="20" t="n">
        <v>0.03225</v>
      </c>
      <c r="Q139" s="20" t="n">
        <v>0.02644066170262016</v>
      </c>
      <c r="R139" s="20" t="n">
        <v>0.00288124458790436</v>
      </c>
      <c r="S139" s="21" t="n">
        <v>4</v>
      </c>
      <c r="T139" s="20" t="n"/>
      <c r="U139" s="20" t="n">
        <v>0.02684140537611602</v>
      </c>
      <c r="V139" s="20" t="n">
        <v>0.02216157684748421</v>
      </c>
      <c r="W139" s="20" t="n">
        <v>0.02648057537935393</v>
      </c>
      <c r="X139" s="20" t="n">
        <v>0.03027908920752649</v>
      </c>
      <c r="Y139" s="14" t="n">
        <v>3.26</v>
      </c>
      <c r="Z139" s="19">
        <f>IF(OR(Y139="",F139="",F139=0),"",Y139/F139)</f>
        <v/>
      </c>
      <c r="AA139" s="22" t="n">
        <v>74.72199999999999</v>
      </c>
      <c r="AB139" s="20" t="n">
        <v>0.096</v>
      </c>
      <c r="AC139" s="20" t="n">
        <v>0.2204720546243532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2026-10-08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Sempra</t>
        </is>
      </c>
      <c r="C140" s="12" t="inlineStr">
        <is>
          <t>SRE</t>
        </is>
      </c>
      <c r="D140" s="11" t="inlineStr">
        <is>
          <t>Utility</t>
        </is>
      </c>
      <c r="E140" s="13" t="inlineStr">
        <is>
          <t>Utility</t>
        </is>
      </c>
      <c r="F140" s="14" t="n">
        <v>80.15000000000001</v>
      </c>
      <c r="G140" s="15" t="inlineStr">
        <is>
          <t>USD</t>
        </is>
      </c>
      <c r="H140" s="14" t="n">
        <v>71.47777331085045</v>
      </c>
      <c r="I140" s="16" t="n">
        <v>46739.32934496573</v>
      </c>
      <c r="J140" s="16" t="n">
        <v>52410.1</v>
      </c>
      <c r="K140" s="14" t="n">
        <v>3.46</v>
      </c>
      <c r="L140" s="14" t="n">
        <v>5.53974</v>
      </c>
      <c r="M140" s="17">
        <f>IF(OR(F140="",K140="",K140&lt;=0),"",F140/K140)</f>
        <v/>
      </c>
      <c r="N140" s="18" t="n">
        <v>1.6031283</v>
      </c>
      <c r="O140" s="19">
        <f>IF(OR(N140="",M140="",M140&lt;=0),"",N140/M140)</f>
        <v/>
      </c>
      <c r="P140" s="20" t="n">
        <v>0.06679</v>
      </c>
      <c r="Q140" s="20" t="n">
        <v>0.0839260568573944</v>
      </c>
      <c r="R140" s="20" t="n">
        <v>0.01796868981652871</v>
      </c>
      <c r="S140" s="21" t="n">
        <v>4</v>
      </c>
      <c r="T140" s="20" t="n"/>
      <c r="U140" s="20" t="n">
        <v>0.058107167710508</v>
      </c>
      <c r="V140" s="20" t="n">
        <v>0.09160745150758594</v>
      </c>
      <c r="W140" s="20" t="n">
        <v>0.1071615263983272</v>
      </c>
      <c r="X140" s="20" t="n">
        <v>0.07882808181315644</v>
      </c>
      <c r="Y140" s="14" t="n">
        <v>2.63</v>
      </c>
      <c r="Z140" s="19">
        <f>IF(OR(Y140="",F140="",F140=0),"",Y140/F140)</f>
        <v/>
      </c>
      <c r="AA140" s="22" t="n">
        <v>84.663</v>
      </c>
      <c r="AB140" s="20" t="n">
        <v>-0.001</v>
      </c>
      <c r="AC140" s="20" t="n">
        <v>0.1650853983360094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2026-10-08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162.91</v>
      </c>
      <c r="G141" s="15" t="inlineStr">
        <is>
          <t>USD</t>
        </is>
      </c>
      <c r="H141" s="14" t="n">
        <v>145.2831447295152</v>
      </c>
      <c r="I141" s="16" t="n">
        <v>74925.73981056026</v>
      </c>
      <c r="J141" s="16" t="n">
        <v>84016.3</v>
      </c>
      <c r="K141" s="14" t="n">
        <v>5.63</v>
      </c>
      <c r="L141" s="14" t="n">
        <v>9.825950000000001</v>
      </c>
      <c r="M141" s="17">
        <f>IF(OR(F141="",K141="",K141&lt;=0),"",F141/K141)</f>
        <v/>
      </c>
      <c r="N141" s="18" t="n">
        <v>28.460867</v>
      </c>
      <c r="O141" s="19">
        <f>IF(OR(N141="",M141="",M141&lt;=0),"",N141/M141)</f>
        <v/>
      </c>
      <c r="P141" s="20" t="n">
        <v>0.81891996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437.937</v>
      </c>
      <c r="AB141" s="20" t="n">
        <v>0.025</v>
      </c>
      <c r="AC141" s="20" t="n">
        <v>0.1201298675645342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2026-10-08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Salesforce</t>
        </is>
      </c>
      <c r="C142" s="12" t="inlineStr">
        <is>
          <t>CRM</t>
        </is>
      </c>
      <c r="D142" s="11" t="inlineStr">
        <is>
          <t>Software</t>
        </is>
      </c>
      <c r="E142" s="13" t="inlineStr">
        <is>
          <t>Tecnologia</t>
        </is>
      </c>
      <c r="F142" s="14" t="n">
        <v>224.945</v>
      </c>
      <c r="G142" s="15" t="inlineStr">
        <is>
          <t>USD</t>
        </is>
      </c>
      <c r="H142" s="14" t="n">
        <v>200.6059602920681</v>
      </c>
      <c r="I142" s="16" t="n">
        <v>165098.6741073706</v>
      </c>
      <c r="J142" s="16" t="n">
        <v>185129.7</v>
      </c>
      <c r="K142" s="14" t="n">
        <v>10.93</v>
      </c>
      <c r="L142" s="14" t="n">
        <v>16.0207</v>
      </c>
      <c r="M142" s="17">
        <f>IF(OR(F142="",K142="",K142&lt;=0),"",F142/K142)</f>
        <v/>
      </c>
      <c r="N142" s="18" t="n">
        <v>4.8238335</v>
      </c>
      <c r="O142" s="19">
        <f>IF(OR(N142="",M142="",M142&lt;=0),"",N142/M142)</f>
        <v/>
      </c>
      <c r="P142" s="20" t="n">
        <v>0.19381</v>
      </c>
      <c r="Q142" s="20" t="n">
        <v>0.07507395766191549</v>
      </c>
      <c r="R142" s="20" t="n">
        <v>0.04592582275632811</v>
      </c>
      <c r="S142" s="21" t="n">
        <v>4</v>
      </c>
      <c r="T142" s="20" t="n">
        <v>0.1260863684014744</v>
      </c>
      <c r="U142" s="20" t="n">
        <v>0.1013028623739231</v>
      </c>
      <c r="V142" s="20" t="n">
        <v>0.06934245381081715</v>
      </c>
      <c r="W142" s="20" t="n">
        <v>0.003564146061447249</v>
      </c>
      <c r="X142" s="20" t="n"/>
      <c r="Y142" s="14" t="n">
        <v>1.76</v>
      </c>
      <c r="Z142" s="19">
        <f>IF(OR(Y142="",F142="",F142=0),"",Y142/F142)</f>
        <v/>
      </c>
      <c r="AA142" s="22" t="n">
        <v>110.417</v>
      </c>
      <c r="AB142" s="20" t="n">
        <v>0.108</v>
      </c>
      <c r="AC142" s="20" t="n">
        <v>0.2326791120529801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2026-10-08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CVS Health</t>
        </is>
      </c>
      <c r="C143" s="12" t="inlineStr">
        <is>
          <t>CVS</t>
        </is>
      </c>
      <c r="D143" s="11" t="inlineStr">
        <is>
          <t>Distribuzione farmaceutica</t>
        </is>
      </c>
      <c r="E143" s="13" t="inlineStr">
        <is>
          <t>Salute</t>
        </is>
      </c>
      <c r="F143" s="14" t="n">
        <v>88.315</v>
      </c>
      <c r="G143" s="15" t="inlineStr">
        <is>
          <t>USD</t>
        </is>
      </c>
      <c r="H143" s="14" t="n">
        <v>78.75932064813172</v>
      </c>
      <c r="I143" s="16" t="n">
        <v>100730.8658058537</v>
      </c>
      <c r="J143" s="16" t="n">
        <v>112952.3</v>
      </c>
      <c r="K143" s="14" t="n">
        <v>3.8</v>
      </c>
      <c r="L143" s="14" t="n">
        <v>8.534420000000001</v>
      </c>
      <c r="M143" s="17">
        <f>IF(OR(F143="",K143="",K143&lt;=0),"",F143/K143)</f>
        <v/>
      </c>
      <c r="N143" s="18" t="n">
        <v>1.4160988</v>
      </c>
      <c r="O143" s="19">
        <f>IF(OR(N143="",M143="",M143&lt;=0),"",N143/M143)</f>
        <v/>
      </c>
      <c r="P143" s="20" t="n">
        <v>0.06205</v>
      </c>
      <c r="Q143" s="20" t="n">
        <v>0.06350442630364242</v>
      </c>
      <c r="R143" s="20" t="n">
        <v>0.03040319688724718</v>
      </c>
      <c r="S143" s="21" t="n">
        <v>4</v>
      </c>
      <c r="T143" s="20" t="n"/>
      <c r="U143" s="20" t="n">
        <v>0.02350626213204988</v>
      </c>
      <c r="V143" s="20" t="n">
        <v>0.06106405505558497</v>
      </c>
      <c r="W143" s="20" t="n">
        <v>0.1091275290671061</v>
      </c>
      <c r="X143" s="20" t="n">
        <v>0.06031985895982873</v>
      </c>
      <c r="Y143" s="14" t="n">
        <v>2.66</v>
      </c>
      <c r="Z143" s="19">
        <f>IF(OR(Y143="",F143="",F143=0),"",Y143/F143)</f>
        <v/>
      </c>
      <c r="AA143" s="22" t="n">
        <v>95.503</v>
      </c>
      <c r="AB143" s="20" t="n">
        <v>0.07099999999999999</v>
      </c>
      <c r="AC143" s="20" t="n">
        <v>0.01216215176077619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2026-10-08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Vistra</t>
        </is>
      </c>
      <c r="C144" s="12" t="inlineStr">
        <is>
          <t>VST</t>
        </is>
      </c>
      <c r="D144" s="11" t="inlineStr">
        <is>
          <t>Utility / Generazione</t>
        </is>
      </c>
      <c r="E144" s="13" t="inlineStr">
        <is>
          <t>Utility</t>
        </is>
      </c>
      <c r="F144" s="14" t="n">
        <v>156.64</v>
      </c>
      <c r="G144" s="15" t="inlineStr">
        <is>
          <t>USD</t>
        </is>
      </c>
      <c r="H144" s="14" t="n">
        <v>139.691558470513</v>
      </c>
      <c r="I144" s="16" t="n">
        <v>46885.40619173201</v>
      </c>
      <c r="J144" s="16" t="n">
        <v>52573.9</v>
      </c>
      <c r="K144" s="14" t="n">
        <v>5.93</v>
      </c>
      <c r="L144" s="14" t="n">
        <v>10.41634</v>
      </c>
      <c r="M144" s="17">
        <f>IF(OR(F144="",K144="",K144&lt;=0),"",F144/K144)</f>
        <v/>
      </c>
      <c r="N144" s="18" t="n">
        <v>17.507545</v>
      </c>
      <c r="O144" s="19">
        <f>IF(OR(N144="",M144="",M144&lt;=0),"",N144/M144)</f>
        <v/>
      </c>
      <c r="P144" s="20" t="n">
        <v>0.42962003</v>
      </c>
      <c r="Q144" s="20" t="n">
        <v>0.1734015879673228</v>
      </c>
      <c r="R144" s="20" t="n">
        <v>0.2663256640903746</v>
      </c>
      <c r="S144" s="21" t="n">
        <v>4</v>
      </c>
      <c r="T144" s="20" t="n"/>
      <c r="U144" s="20" t="n">
        <v>0.1852069845006867</v>
      </c>
      <c r="V144" s="20" t="n">
        <v>0.4773788150807899</v>
      </c>
      <c r="W144" s="20" t="n">
        <v>0.2813265498398342</v>
      </c>
      <c r="X144" s="20" t="n">
        <v>-0.2503059975520196</v>
      </c>
      <c r="Y144" s="14" t="n">
        <v>0.92</v>
      </c>
      <c r="Z144" s="19">
        <f>IF(OR(Y144="",F144="",F144=0),"",Y144/F144)</f>
        <v/>
      </c>
      <c r="AA144" s="22" t="n">
        <v>373.28</v>
      </c>
      <c r="AB144" s="20" t="n">
        <v>-0.055</v>
      </c>
      <c r="AC144" s="20" t="n">
        <v>0.114274442665464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2026-10-08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Advanced Micro Devices</t>
        </is>
      </c>
      <c r="C145" s="12" t="inlineStr">
        <is>
          <t>AMD</t>
        </is>
      </c>
      <c r="D145" s="11" t="inlineStr">
        <is>
          <t>Semiconduttori</t>
        </is>
      </c>
      <c r="E145" s="13" t="inlineStr">
        <is>
          <t>Tecnologia</t>
        </is>
      </c>
      <c r="F145" s="14" t="n">
        <v>645.8099999999999</v>
      </c>
      <c r="G145" s="15" t="inlineStr">
        <is>
          <t>USD</t>
        </is>
      </c>
      <c r="H145" s="14" t="n">
        <v>576.514563685751</v>
      </c>
      <c r="I145" s="16" t="n">
        <v>940971.1968571248</v>
      </c>
      <c r="J145" s="16" t="n">
        <v>1054073.3</v>
      </c>
      <c r="K145" s="14" t="n">
        <v>3.92</v>
      </c>
      <c r="L145" s="14" t="n">
        <v>15.72189</v>
      </c>
      <c r="M145" s="17">
        <f>IF(OR(F145="",K145="",K145&lt;=0),"",F145/K145)</f>
        <v/>
      </c>
      <c r="N145" s="18" t="n">
        <v>15.675518</v>
      </c>
      <c r="O145" s="19">
        <f>IF(OR(N145="",M145="",M145&lt;=0),"",N145/M145)</f>
        <v/>
      </c>
      <c r="P145" s="20" t="n">
        <v>0.10196</v>
      </c>
      <c r="Q145" s="20" t="n">
        <v>0.03417627307619231</v>
      </c>
      <c r="R145" s="20" t="n">
        <v>0.02055555689875465</v>
      </c>
      <c r="S145" s="21" t="n">
        <v>4</v>
      </c>
      <c r="T145" s="20" t="n"/>
      <c r="U145" s="20" t="n">
        <v>0.06881061604152447</v>
      </c>
      <c r="V145" s="20" t="n">
        <v>0.02850541967759867</v>
      </c>
      <c r="W145" s="20" t="n">
        <v>0.0152794675445502</v>
      </c>
      <c r="X145" s="20" t="n">
        <v>0.02410958904109589</v>
      </c>
      <c r="Y145" s="14" t="n"/>
      <c r="Z145" s="19">
        <f>IF(OR(Y145="",F145="",F145=0),"",Y145/F145)</f>
        <v/>
      </c>
      <c r="AA145" s="22" t="n">
        <v>6.361</v>
      </c>
      <c r="AB145" s="20" t="n">
        <v>0.501</v>
      </c>
      <c r="AC145" s="20" t="n">
        <v>0.1867548194809319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2026-10-07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CrowdStrike</t>
        </is>
      </c>
      <c r="C146" s="12" t="inlineStr">
        <is>
          <t>CRWD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264.37</v>
      </c>
      <c r="G146" s="15" t="inlineStr">
        <is>
          <t>USD</t>
        </is>
      </c>
      <c r="H146" s="14" t="n">
        <v>235.765176920643</v>
      </c>
      <c r="I146" s="16" t="n">
        <v>241408.1308620246</v>
      </c>
      <c r="J146" s="16" t="n">
        <v>270697.6</v>
      </c>
      <c r="K146" s="14" t="n">
        <v>0.05</v>
      </c>
      <c r="L146" s="14" t="n">
        <v>1.60591</v>
      </c>
      <c r="M146" s="17">
        <f>IF(OR(F146="",K146="",K146&lt;=0),"",F146/K146)</f>
        <v/>
      </c>
      <c r="N146" s="18" t="n">
        <v>53.054386</v>
      </c>
      <c r="O146" s="19">
        <f>IF(OR(N146="",M146="",M146&lt;=0),"",N146/M146)</f>
        <v/>
      </c>
      <c r="P146" s="20" t="n">
        <v>0.01461</v>
      </c>
      <c r="Q146" s="20" t="n">
        <v>-0.03380291957831719</v>
      </c>
      <c r="R146" s="20" t="n">
        <v>0.05799500312740814</v>
      </c>
      <c r="S146" s="21" t="n">
        <v>4</v>
      </c>
      <c r="T146" s="20" t="n">
        <v>-0.0366955033319107</v>
      </c>
      <c r="U146" s="20" t="n">
        <v>-0.004647363282262447</v>
      </c>
      <c r="V146" s="20" t="n">
        <v>0.03132923891577508</v>
      </c>
      <c r="W146" s="20" t="n">
        <v>-0.1251980506148707</v>
      </c>
      <c r="X146" s="20" t="n"/>
      <c r="Y146" s="14" t="n"/>
      <c r="Z146" s="19">
        <f>IF(OR(Y146="",F146="",F146=0),"",Y146/F146)</f>
        <v/>
      </c>
      <c r="AA146" s="22" t="n">
        <v>15.958</v>
      </c>
      <c r="AB146" s="20" t="n">
        <v>0.258</v>
      </c>
      <c r="AC146" s="20" t="n">
        <v>0.00935057216274713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2026-10-08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General Motors</t>
        </is>
      </c>
      <c r="C147" s="12" t="inlineStr">
        <is>
          <t>GM</t>
        </is>
      </c>
      <c r="D147" s="11" t="inlineStr">
        <is>
          <t>Auto</t>
        </is>
      </c>
      <c r="E147" s="13" t="inlineStr">
        <is>
          <t>Consumi</t>
        </is>
      </c>
      <c r="F147" s="14" t="n">
        <v>81.825</v>
      </c>
      <c r="G147" s="15" t="inlineStr">
        <is>
          <t>USD</t>
        </is>
      </c>
      <c r="H147" s="14" t="n">
        <v>72.97153838004165</v>
      </c>
      <c r="I147" s="16" t="n">
        <v>64029.0134658239</v>
      </c>
      <c r="J147" s="16" t="n">
        <v>71797.5</v>
      </c>
      <c r="K147" s="14" t="n">
        <v>2.23</v>
      </c>
      <c r="L147" s="14" t="n">
        <v>15.12223</v>
      </c>
      <c r="M147" s="17">
        <f>IF(OR(F147="",K147="",K147&lt;=0),"",F147/K147)</f>
        <v/>
      </c>
      <c r="N147" s="18" t="n">
        <v>1.1574205</v>
      </c>
      <c r="O147" s="19">
        <f>IF(OR(N147="",M147="",M147&lt;=0),"",N147/M147)</f>
        <v/>
      </c>
      <c r="P147" s="20" t="n">
        <v>0.03164</v>
      </c>
      <c r="Q147" s="20" t="n">
        <v>0.1108625303622402</v>
      </c>
      <c r="R147" s="20" t="n">
        <v>0.04513231830896564</v>
      </c>
      <c r="S147" s="21" t="n">
        <v>4</v>
      </c>
      <c r="T147" s="20" t="n"/>
      <c r="U147" s="20" t="n">
        <v>0.04412703087419624</v>
      </c>
      <c r="V147" s="20" t="n">
        <v>0.09525621511922881</v>
      </c>
      <c r="W147" s="20" t="n">
        <v>0.1575304109759512</v>
      </c>
      <c r="X147" s="20" t="n">
        <v>0.1465364644795846</v>
      </c>
      <c r="Y147" s="14" t="n">
        <v>0.72</v>
      </c>
      <c r="Z147" s="19">
        <f>IF(OR(Y147="",F147="",F147=0),"",Y147/F147)</f>
        <v/>
      </c>
      <c r="AA147" s="22" t="n">
        <v>202.341</v>
      </c>
      <c r="AB147" s="20" t="n">
        <v>0.019</v>
      </c>
      <c r="AC147" s="20" t="n">
        <v>0.01003680668471887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2026-10-08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KKR &amp; Co.</t>
        </is>
      </c>
      <c r="C148" s="12" t="inlineStr">
        <is>
          <t>KKR</t>
        </is>
      </c>
      <c r="D148" s="11" t="inlineStr">
        <is>
          <t>Private equity</t>
        </is>
      </c>
      <c r="E148" s="13" t="inlineStr">
        <is>
          <t>Finanziario</t>
        </is>
      </c>
      <c r="F148" s="14" t="n">
        <v>88.78</v>
      </c>
      <c r="G148" s="15" t="inlineStr">
        <is>
          <t>USD</t>
        </is>
      </c>
      <c r="H148" s="14" t="n">
        <v>79.17400766734002</v>
      </c>
      <c r="I148" s="16" t="n">
        <v>73124.39290712186</v>
      </c>
      <c r="J148" s="16" t="n">
        <v>81996.39999999999</v>
      </c>
      <c r="K148" s="14" t="n">
        <v>3.13</v>
      </c>
      <c r="L148" s="14" t="n">
        <v>7.36461</v>
      </c>
      <c r="M148" s="17">
        <f>IF(OR(F148="",K148="",K148&lt;=0),"",F148/K148)</f>
        <v/>
      </c>
      <c r="N148" s="18" t="n">
        <v>2.7962205</v>
      </c>
      <c r="O148" s="19">
        <f>IF(OR(N148="",M148="",M148&lt;=0),"",N148/M148)</f>
        <v/>
      </c>
      <c r="P148" s="20" t="n">
        <v>0.0728</v>
      </c>
      <c r="Q148" s="20" t="n">
        <v>0.08557788220889605</v>
      </c>
      <c r="R148" s="20" t="n">
        <v>0.07234443895318442</v>
      </c>
      <c r="S148" s="21" t="n">
        <v>4</v>
      </c>
      <c r="T148" s="20" t="n"/>
      <c r="U148" s="20" t="n">
        <v>0.07670765539464512</v>
      </c>
      <c r="V148" s="20" t="n">
        <v>0.130065161007507</v>
      </c>
      <c r="W148" s="20" t="n">
        <v>0.1632753384773426</v>
      </c>
      <c r="X148" s="20" t="n">
        <v>-0.02773662604391048</v>
      </c>
      <c r="Y148" s="14" t="n">
        <v>0.78</v>
      </c>
      <c r="Z148" s="19">
        <f>IF(OR(Y148="",F148="",F148=0),"",Y148/F148)</f>
        <v/>
      </c>
      <c r="AA148" s="22" t="n">
        <v>69.812</v>
      </c>
      <c r="AB148" s="20" t="n">
        <v>0.078</v>
      </c>
      <c r="AC148" s="20" t="n">
        <v>0.1556813368747196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2026-10-08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GE Vernova</t>
        </is>
      </c>
      <c r="C149" s="12" t="inlineStr">
        <is>
          <t>GEV</t>
        </is>
      </c>
      <c r="D149" s="11" t="inlineStr">
        <is>
          <t>Elettrificazione / Energia</t>
        </is>
      </c>
      <c r="E149" s="13" t="inlineStr">
        <is>
          <t>Industriale</t>
        </is>
      </c>
      <c r="F149" s="14" t="n">
        <v>989.91</v>
      </c>
      <c r="G149" s="15" t="inlineStr">
        <is>
          <t>USD</t>
        </is>
      </c>
      <c r="H149" s="14" t="n">
        <v>882.8017788913783</v>
      </c>
      <c r="I149" s="16" t="n">
        <v>235119.7812307482</v>
      </c>
      <c r="J149" s="16" t="n">
        <v>263646.3</v>
      </c>
      <c r="K149" s="14" t="n">
        <v>34.88</v>
      </c>
      <c r="L149" s="14" t="n">
        <v>25.17476</v>
      </c>
      <c r="M149" s="17">
        <f>IF(OR(F149="",K149="",K149&lt;=0),"",F149/K149)</f>
        <v/>
      </c>
      <c r="N149" s="18" t="n">
        <v>22.049448</v>
      </c>
      <c r="O149" s="19">
        <f>IF(OR(N149="",M149="",M149&lt;=0),"",N149/M149)</f>
        <v/>
      </c>
      <c r="P149" s="20" t="n">
        <v>0.82577</v>
      </c>
      <c r="Q149" s="20" t="n">
        <v>0.07088699300491282</v>
      </c>
      <c r="R149" s="20" t="n">
        <v>0.2582280581877227</v>
      </c>
      <c r="S149" s="21" t="n">
        <v>4</v>
      </c>
      <c r="T149" s="20" t="n"/>
      <c r="U149" s="20" t="n">
        <v>0.4369296833064949</v>
      </c>
      <c r="V149" s="20" t="n">
        <v>0.1625811858369998</v>
      </c>
      <c r="W149" s="20" t="n">
        <v>-0.05906148867313916</v>
      </c>
      <c r="X149" s="20" t="n">
        <v>-0.2569014084507042</v>
      </c>
      <c r="Y149" s="14" t="n">
        <v>2</v>
      </c>
      <c r="Z149" s="19">
        <f>IF(OR(Y149="",F149="",F149=0),"",Y149/F149)</f>
        <v/>
      </c>
      <c r="AA149" s="22" t="n">
        <v>28.364</v>
      </c>
      <c r="AB149" s="20" t="n">
        <v>0.219</v>
      </c>
      <c r="AC149" s="20" t="n">
        <v>0.250315223704949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2026-10-08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Biogen</t>
        </is>
      </c>
      <c r="C150" s="12" t="inlineStr">
        <is>
          <t>BIIB</t>
        </is>
      </c>
      <c r="D150" s="11" t="inlineStr">
        <is>
          <t>Biotecnologie / CNS</t>
        </is>
      </c>
      <c r="E150" s="13" t="inlineStr">
        <is>
          <t>Salute</t>
        </is>
      </c>
      <c r="F150" s="14" t="n">
        <v>219.83</v>
      </c>
      <c r="G150" s="15" t="inlineStr">
        <is>
          <t>USD</t>
        </is>
      </c>
      <c r="H150" s="14" t="n">
        <v>196.0444030807767</v>
      </c>
      <c r="I150" s="16" t="n">
        <v>28966.37878172266</v>
      </c>
      <c r="J150" s="16" t="n">
        <v>32480.8</v>
      </c>
      <c r="K150" s="14" t="n">
        <v>5.63</v>
      </c>
      <c r="L150" s="14" t="n">
        <v>16.53585</v>
      </c>
      <c r="M150" s="17">
        <f>IF(OR(F150="",K150="",K150&lt;=0),"",F150/K150)</f>
        <v/>
      </c>
      <c r="N150" s="18" t="n">
        <v>1.7226707</v>
      </c>
      <c r="O150" s="19">
        <f>IF(OR(N150="",M150="",M150&lt;=0),"",N150/M150)</f>
        <v/>
      </c>
      <c r="P150" s="20" t="n">
        <v>0.04575</v>
      </c>
      <c r="Q150" s="20" t="n">
        <v>0.1185831364623125</v>
      </c>
      <c r="R150" s="20" t="n">
        <v>0.06359027321197776</v>
      </c>
      <c r="S150" s="21" t="n">
        <v>4</v>
      </c>
      <c r="T150" s="20" t="n"/>
      <c r="U150" s="20" t="n">
        <v>0.0708174488409798</v>
      </c>
      <c r="V150" s="20" t="n">
        <v>0.09764297678870543</v>
      </c>
      <c r="W150" s="20" t="n">
        <v>0.07845588334662217</v>
      </c>
      <c r="X150" s="20" t="n">
        <v>0.2274162368729428</v>
      </c>
      <c r="Y150" s="14" t="n"/>
      <c r="Z150" s="19">
        <f>IF(OR(Y150="",F150="",F150=0),"",Y150/F150)</f>
        <v/>
      </c>
      <c r="AA150" s="22" t="n">
        <v>44.329</v>
      </c>
      <c r="AB150" s="20" t="n">
        <v>0.034</v>
      </c>
      <c r="AC150" s="20" t="n">
        <v>0.08438315167937234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2026-10-08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Walt Disney</t>
        </is>
      </c>
      <c r="C151" s="12" t="inlineStr">
        <is>
          <t>DIS</t>
        </is>
      </c>
      <c r="D151" s="11" t="inlineStr">
        <is>
          <t>Media / Intrattenimento</t>
        </is>
      </c>
      <c r="E151" s="13" t="inlineStr">
        <is>
          <t>Consumi</t>
        </is>
      </c>
      <c r="F151" s="14" t="n">
        <v>107.2</v>
      </c>
      <c r="G151" s="15" t="inlineStr">
        <is>
          <t>USD</t>
        </is>
      </c>
      <c r="H151" s="14" t="n">
        <v>95.60096442823667</v>
      </c>
      <c r="I151" s="16" t="n">
        <v>165072.9010861767</v>
      </c>
      <c r="J151" s="16" t="n">
        <v>185100.8</v>
      </c>
      <c r="K151" s="14" t="n">
        <v>4.85</v>
      </c>
      <c r="L151" s="14" t="n">
        <v>7.47509</v>
      </c>
      <c r="M151" s="17">
        <f>IF(OR(F151="",K151="",K151&lt;=0),"",F151/K151)</f>
        <v/>
      </c>
      <c r="N151" s="18" t="n">
        <v>1.6854815</v>
      </c>
      <c r="O151" s="19">
        <f>IF(OR(N151="",M151="",M151&lt;=0),"",N151/M151)</f>
        <v/>
      </c>
      <c r="P151" s="20" t="n">
        <v>0.0801</v>
      </c>
      <c r="Q151" s="20" t="n">
        <v>0.05477208440950006</v>
      </c>
      <c r="R151" s="20" t="n">
        <v>0.03479253613600624</v>
      </c>
      <c r="S151" s="21" t="n">
        <v>4</v>
      </c>
      <c r="T151" s="20" t="n"/>
      <c r="U151" s="20" t="n">
        <v>0.1128980877226515</v>
      </c>
      <c r="V151" s="20" t="n">
        <v>0.04937634066894415</v>
      </c>
      <c r="W151" s="20" t="n">
        <v>0.02371143366540085</v>
      </c>
      <c r="X151" s="20" t="n">
        <v>0.0331024755810037</v>
      </c>
      <c r="Y151" s="14" t="n">
        <v>1.5</v>
      </c>
      <c r="Z151" s="19">
        <f>IF(OR(Y151="",F151="",F151=0),"",Y151/F151)</f>
        <v/>
      </c>
      <c r="AA151" s="22" t="n">
        <v>39.404</v>
      </c>
      <c r="AB151" s="20" t="n">
        <v>0.068</v>
      </c>
      <c r="AC151" s="20" t="n">
        <v>0.09107758021710352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2026-10-08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Palantir</t>
        </is>
      </c>
      <c r="C152" s="12" t="inlineStr">
        <is>
          <t>PLTR</t>
        </is>
      </c>
      <c r="D152" s="11" t="inlineStr">
        <is>
          <t>Software / Dati</t>
        </is>
      </c>
      <c r="E152" s="13" t="inlineStr">
        <is>
          <t>Tecnologia</t>
        </is>
      </c>
      <c r="F152" s="14" t="n">
        <v>197.2695</v>
      </c>
      <c r="G152" s="15" t="inlineStr">
        <is>
          <t>USD</t>
        </is>
      </c>
      <c r="H152" s="14" t="n">
        <v>175.9249482488436</v>
      </c>
      <c r="I152" s="16" t="n">
        <v>422757.8987621458</v>
      </c>
      <c r="J152" s="16" t="n">
        <v>474050.1</v>
      </c>
      <c r="K152" s="14" t="n">
        <v>1.16</v>
      </c>
      <c r="L152" s="14" t="n">
        <v>2.34416</v>
      </c>
      <c r="M152" s="17">
        <f>IF(OR(F152="",K152="",K152&lt;=0),"",F152/K152)</f>
        <v/>
      </c>
      <c r="N152" s="18" t="n">
        <v>48.492996</v>
      </c>
      <c r="O152" s="19">
        <f>IF(OR(N152="",M152="",M152&lt;=0),"",N152/M152)</f>
        <v/>
      </c>
      <c r="P152" s="20" t="n">
        <v>0.38097</v>
      </c>
      <c r="Q152" s="20" t="n">
        <v>0.0567627833233541</v>
      </c>
      <c r="R152" s="20" t="n">
        <v>0.1312456864995072</v>
      </c>
      <c r="S152" s="21" t="n">
        <v>4</v>
      </c>
      <c r="T152" s="20" t="n"/>
      <c r="U152" s="20" t="n">
        <v>0.2199775343198595</v>
      </c>
      <c r="V152" s="20" t="n">
        <v>0.09237749274225382</v>
      </c>
      <c r="W152" s="20" t="n">
        <v>0.06037154865070703</v>
      </c>
      <c r="X152" s="20" t="n">
        <v>-0.145675442419404</v>
      </c>
      <c r="Y152" s="14" t="n"/>
      <c r="Z152" s="19">
        <f>IF(OR(Y152="",F152="",F152=0),"",Y152/F152)</f>
        <v/>
      </c>
      <c r="AA152" s="22" t="n">
        <v>2.139</v>
      </c>
      <c r="AB152" s="20" t="n">
        <v>0.928</v>
      </c>
      <c r="AC152" s="20" t="n">
        <v>0.6740539307143913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2026-10-08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Pfizer</t>
        </is>
      </c>
      <c r="C153" s="12" t="inlineStr">
        <is>
          <t>PFE</t>
        </is>
      </c>
      <c r="D153" s="11" t="inlineStr">
        <is>
          <t>Farmaceutica</t>
        </is>
      </c>
      <c r="E153" s="13" t="inlineStr">
        <is>
          <t>Salute</t>
        </is>
      </c>
      <c r="F153" s="14" t="n">
        <v>27.855</v>
      </c>
      <c r="G153" s="15" t="inlineStr">
        <is>
          <t>USD</t>
        </is>
      </c>
      <c r="H153" s="14" t="n">
        <v>24.84109015063929</v>
      </c>
      <c r="I153" s="16" t="n">
        <v>141586.098478268</v>
      </c>
      <c r="J153" s="16" t="n">
        <v>158764.4</v>
      </c>
      <c r="K153" s="14" t="n">
        <v>0.76</v>
      </c>
      <c r="L153" s="14" t="n">
        <v>2.89684</v>
      </c>
      <c r="M153" s="17">
        <f>IF(OR(F153="",K153="",K153&lt;=0),"",F153/K153)</f>
        <v/>
      </c>
      <c r="N153" s="18" t="n">
        <v>1.86346</v>
      </c>
      <c r="O153" s="19">
        <f>IF(OR(N153="",M153="",M153&lt;=0),"",N153/M153)</f>
        <v/>
      </c>
      <c r="P153" s="20" t="n">
        <v>0.05014</v>
      </c>
      <c r="Q153" s="20" t="n">
        <v>0.1331673478714483</v>
      </c>
      <c r="R153" s="20" t="n">
        <v>0.1157035743013489</v>
      </c>
      <c r="S153" s="21" t="n">
        <v>4</v>
      </c>
      <c r="T153" s="20" t="n"/>
      <c r="U153" s="20" t="n">
        <v>0.08986308339886211</v>
      </c>
      <c r="V153" s="20" t="n">
        <v>0.09105132478487127</v>
      </c>
      <c r="W153" s="20" t="n">
        <v>0.02380524411890264</v>
      </c>
      <c r="X153" s="20" t="n">
        <v>0.3279497391831572</v>
      </c>
      <c r="Y153" s="14" t="n">
        <v>1.72</v>
      </c>
      <c r="Z153" s="19">
        <f>IF(OR(Y153="",F153="",F153=0),"",Y153/F153)</f>
        <v/>
      </c>
      <c r="AA153" s="22" t="n">
        <v>74.253</v>
      </c>
      <c r="AB153" s="20" t="n">
        <v>0.026</v>
      </c>
      <c r="AC153" s="20" t="n">
        <v>0.06933635577430128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2026-10-08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95.095</v>
      </c>
      <c r="G154" s="15" t="inlineStr">
        <is>
          <t>USD</t>
        </is>
      </c>
      <c r="H154" s="14" t="n">
        <v>84.80572492820117</v>
      </c>
      <c r="I154" s="16" t="n">
        <v>30727.0596032774</v>
      </c>
      <c r="J154" s="16" t="n">
        <v>34455.1</v>
      </c>
      <c r="K154" s="14" t="n">
        <v>0.5</v>
      </c>
      <c r="L154" s="14" t="n">
        <v>3.92737</v>
      </c>
      <c r="M154" s="17">
        <f>IF(OR(F154="",K154="",K154&lt;=0),"",F154/K154)</f>
        <v/>
      </c>
      <c r="N154" s="18" t="n">
        <v>9.039448999999999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2026-10-08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278.38</v>
      </c>
      <c r="G155" s="15" t="inlineStr">
        <is>
          <t>USD</t>
        </is>
      </c>
      <c r="H155" s="14" t="n">
        <v>248.2592954993705</v>
      </c>
      <c r="I155" s="16" t="n">
        <v>55283.75472074351</v>
      </c>
      <c r="J155" s="16" t="n">
        <v>61991.2</v>
      </c>
      <c r="K155" s="14" t="n">
        <v>-0.21</v>
      </c>
      <c r="L155" s="14" t="n">
        <v>14.44026</v>
      </c>
      <c r="M155" s="17">
        <f>IF(OR(F155="",K155="",K155&lt;=0),"",F155/K155)</f>
        <v/>
      </c>
      <c r="N155" s="18" t="n">
        <v>4.4650106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2026-10-08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71.31999999999999</v>
      </c>
      <c r="G156" s="15" t="inlineStr">
        <is>
          <t>USD</t>
        </is>
      </c>
      <c r="H156" s="14" t="n">
        <v>63.60317894609923</v>
      </c>
      <c r="I156" s="16" t="n">
        <v>106200.9888992298</v>
      </c>
      <c r="J156" s="16" t="n">
        <v>119086.1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-44.630787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2026-10-08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571.915</v>
      </c>
      <c r="G157" s="15" t="inlineStr">
        <is>
          <t>USD</t>
        </is>
      </c>
      <c r="H157" s="14" t="n">
        <v>510.0338206247665</v>
      </c>
      <c r="I157" s="16" t="n">
        <v>324285.9624609257</v>
      </c>
      <c r="J157" s="16" t="n">
        <v>363630.8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-256.4641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2026-10-08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28.7</v>
      </c>
      <c r="G158" s="15" t="inlineStr">
        <is>
          <t>USD</t>
        </is>
      </c>
      <c r="H158" s="14" t="n">
        <v>25.5946611855447</v>
      </c>
      <c r="I158" s="16" t="n">
        <v>18488.0850163681</v>
      </c>
      <c r="J158" s="16" t="n">
        <v>20731.2</v>
      </c>
      <c r="K158" s="14" t="n">
        <v>-1.84</v>
      </c>
      <c r="L158" s="14" t="n">
        <v>1.71663</v>
      </c>
      <c r="M158" s="17">
        <f>IF(OR(F158="",K158="",K158&lt;=0),"",F158/K158)</f>
        <v/>
      </c>
      <c r="N158" s="18" t="n">
        <v>1.3071599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2026-10-08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12.175</v>
      </c>
      <c r="G159" s="15" t="inlineStr">
        <is>
          <t>USD</t>
        </is>
      </c>
      <c r="H159" s="14" t="n">
        <v>10.85766550292707</v>
      </c>
      <c r="I159" s="16" t="n">
        <v>43296.00020547072</v>
      </c>
      <c r="J159" s="16" t="n">
        <v>48549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1.3591204</v>
      </c>
      <c r="O159" s="19">
        <f>IF(OR(N159="",M159="",M159&lt;=0),"",N159/M159)</f>
        <v/>
      </c>
      <c r="P159" s="20" t="n">
        <v>-0.18252</v>
      </c>
      <c r="Q159" s="20" t="n">
        <v>-0.18252</v>
      </c>
      <c r="R159" s="20" t="n"/>
      <c r="S159" s="21" t="n">
        <v>0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-0.03935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2026-10-08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146.285</v>
      </c>
      <c r="G160" s="15" t="inlineStr">
        <is>
          <t>USD</t>
        </is>
      </c>
      <c r="H160" s="14" t="n">
        <v>130.4569690427668</v>
      </c>
      <c r="I160" s="16" t="n">
        <v>161760.8449127623</v>
      </c>
      <c r="J160" s="16" t="n">
        <v>181386.9</v>
      </c>
      <c r="K160" s="14" t="n">
        <v>-2.65</v>
      </c>
      <c r="L160" s="14" t="n">
        <v>9.908469999999999</v>
      </c>
      <c r="M160" s="17">
        <f>IF(OR(F160="",K160="",K160&lt;=0),"",F160/K160)</f>
        <v/>
      </c>
      <c r="N160" s="18" t="n">
        <v>15.346728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2026-10-08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105.76</v>
      </c>
      <c r="G161" s="15" t="inlineStr">
        <is>
          <t>USD</t>
        </is>
      </c>
      <c r="H161" s="14" t="n">
        <v>94.31677236875289</v>
      </c>
      <c r="I161" s="16" t="n">
        <v>498568.3933936879</v>
      </c>
      <c r="J161" s="16" t="n">
        <v>559058.5</v>
      </c>
      <c r="K161" s="14" t="n">
        <v>-2.12</v>
      </c>
      <c r="L161" s="14" t="n">
        <v>2.08267</v>
      </c>
      <c r="M161" s="17">
        <f>IF(OR(F161="",K161="",K161&lt;=0),"",F161/K161)</f>
        <v/>
      </c>
      <c r="N161" s="18" t="n">
        <v>6.0925174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2026-10-08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188.5475</v>
      </c>
      <c r="G162" s="15" t="inlineStr">
        <is>
          <t>USD</t>
        </is>
      </c>
      <c r="H162" s="14" t="n">
        <v>168.1466682885537</v>
      </c>
      <c r="I162" s="16" t="n">
        <v>94339.33490979798</v>
      </c>
      <c r="J162" s="16" t="n">
        <v>105785.3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-14.2224865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2026-10-08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236.735</v>
      </c>
      <c r="G163" s="15" t="inlineStr">
        <is>
          <t>USD</t>
        </is>
      </c>
      <c r="H163" s="14" t="n">
        <v>211.1202827790915</v>
      </c>
      <c r="I163" s="16" t="n">
        <v>149397.4642200905</v>
      </c>
      <c r="J163" s="16" t="n">
        <v>167523.5</v>
      </c>
      <c r="K163" s="14" t="n">
        <v>12.31</v>
      </c>
      <c r="L163" s="14" t="n">
        <v>13.7868</v>
      </c>
      <c r="M163" s="17">
        <f>IF(OR(F163="",K163="",K163&lt;=0),"",F163/K163)</f>
        <v/>
      </c>
      <c r="N163" s="18" t="n">
        <v>-163.71715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2026-10-08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935.37</v>
      </c>
      <c r="G164" s="15" t="inlineStr">
        <is>
          <t>USD</t>
        </is>
      </c>
      <c r="H164" s="14" t="n">
        <v>834.1630046384303</v>
      </c>
      <c r="I164" s="16" t="n">
        <v>97255.34268486747</v>
      </c>
      <c r="J164" s="16" t="n">
        <v>109055.1</v>
      </c>
      <c r="K164" s="14" t="n">
        <v>37.31</v>
      </c>
      <c r="L164" s="14" t="n">
        <v>50.41448</v>
      </c>
      <c r="M164" s="17">
        <f>IF(OR(F164="",K164="",K164&lt;=0),"",F164/K164)</f>
        <v/>
      </c>
      <c r="N164" s="18" t="n">
        <v>-25.590118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2026-10-08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193.96</v>
      </c>
      <c r="G165" s="15" t="inlineStr">
        <is>
          <t>USD</t>
        </is>
      </c>
      <c r="H165" s="14" t="n">
        <v>172.9735360121342</v>
      </c>
      <c r="I165" s="16" t="n">
        <v>69057.2496387318</v>
      </c>
      <c r="J165" s="16" t="n">
        <v>77435.8</v>
      </c>
      <c r="K165" s="14" t="n">
        <v>-7.98</v>
      </c>
      <c r="L165" s="14" t="n">
        <v>-4.45011</v>
      </c>
      <c r="M165" s="17">
        <f>IF(OR(F165="",K165="",K165&lt;=0),"",F165/K165)</f>
        <v/>
      </c>
      <c r="N165" s="18" t="n">
        <v>11.4464445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2026-10-08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201.77</v>
      </c>
      <c r="G166" s="15" t="inlineStr">
        <is>
          <t>USD</t>
        </is>
      </c>
      <c r="H166" s="14" t="n">
        <v>179.9384943347511</v>
      </c>
      <c r="I166" s="16" t="n">
        <v>280454.5255106536</v>
      </c>
      <c r="J166" s="16" t="n">
        <v>314481.4</v>
      </c>
      <c r="K166" s="14" t="n">
        <v>6.96</v>
      </c>
      <c r="L166" s="14" t="n">
        <v>9.185750000000001</v>
      </c>
      <c r="M166" s="17">
        <f>IF(OR(F166="",K166="",K166&lt;=0),"",F166/K166)</f>
        <v/>
      </c>
      <c r="N166" s="18" t="n">
        <v>-36.638824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2026-10-08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90.53</v>
      </c>
      <c r="G167" s="15" t="inlineStr">
        <is>
          <t>USD</t>
        </is>
      </c>
      <c r="H167" s="14" t="n">
        <v>80.73465773962934</v>
      </c>
      <c r="I167" s="16" t="n">
        <v>92037.50982317745</v>
      </c>
      <c r="J167" s="16" t="n">
        <v>103204.2</v>
      </c>
      <c r="K167" s="14" t="n">
        <v>1.73</v>
      </c>
      <c r="L167" s="14" t="n">
        <v>3.12013</v>
      </c>
      <c r="M167" s="17">
        <f>IF(OR(F167="",K167="",K167&lt;=0),"",F167/K167)</f>
        <v/>
      </c>
      <c r="N167" s="18" t="n">
        <v>-13.445715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2026-10-08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2026-10-08T18:59:14Z</dcterms:created>
  <dcterms:modified xsi:type="dcterms:W3CDTF">2026-10-08T18:59:15Z</dcterms:modified>
</cp:coreProperties>
</file>
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UCG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ISP/" TargetMode="External" Id="rId17" /><Relationship Type="http://schemas.openxmlformats.org/officeDocument/2006/relationships/hyperlink" Target="https://www.tradingview.com/symbols/MIL-ACE/" TargetMode="External" Id="rId18" /><Relationship Type="http://schemas.openxmlformats.org/officeDocument/2006/relationships/hyperlink" Target="https://www.tradingview.com/symbols/MIL-BZU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G/" TargetMode="External" Id="rId28" /><Relationship Type="http://schemas.openxmlformats.org/officeDocument/2006/relationships/hyperlink" Target="https://www.tradingview.com/symbols/MIL-MB/" TargetMode="External" Id="rId29" /><Relationship Type="http://schemas.openxmlformats.org/officeDocument/2006/relationships/hyperlink" Target="https://www.tradingview.com/symbols/MIL-PRO/" TargetMode="External" Id="rId30" /><Relationship Type="http://schemas.openxmlformats.org/officeDocument/2006/relationships/hyperlink" Target="https://www.tradingview.com/symbols/MIL-PIRC/" TargetMode="External" Id="rId31" /><Relationship Type="http://schemas.openxmlformats.org/officeDocument/2006/relationships/hyperlink" Target="https://www.tradingview.com/symbols/MIL-TRN/" TargetMode="External" Id="rId32" /><Relationship Type="http://schemas.openxmlformats.org/officeDocument/2006/relationships/hyperlink" Target="https://www.tradingview.com/symbols/MIL-MONC/" TargetMode="External" Id="rId33" /><Relationship Type="http://schemas.openxmlformats.org/officeDocument/2006/relationships/hyperlink" Target="https://www.tradingview.com/symbols/MIL-MFEB/" TargetMode="External" Id="rId34" /><Relationship Type="http://schemas.openxmlformats.org/officeDocument/2006/relationships/hyperlink" Target="https://www.tradingview.com/symbols/MIL-TEN/" TargetMode="External" Id="rId35" /><Relationship Type="http://schemas.openxmlformats.org/officeDocument/2006/relationships/hyperlink" Target="https://www.tradingview.com/symbols/MIL-WBD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SRG/" TargetMode="External" Id="rId38" /><Relationship Type="http://schemas.openxmlformats.org/officeDocument/2006/relationships/hyperlink" Target="https://www.tradingview.com/symbols/MIL-BDB/" TargetMode="External" Id="rId39" /><Relationship Type="http://schemas.openxmlformats.org/officeDocument/2006/relationships/hyperlink" Target="https://www.tradingview.com/symbols/MIL-DAN/" TargetMode="External" Id="rId40" /><Relationship Type="http://schemas.openxmlformats.org/officeDocument/2006/relationships/hyperlink" Target="https://www.tradingview.com/symbols/MIL-LTMC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MIL-STMMI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INW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BK/" TargetMode="External" Id="rId3" /><Relationship Type="http://schemas.openxmlformats.org/officeDocument/2006/relationships/hyperlink" Target="https://www.tradingview.com/symbols/XETR-DTE/" TargetMode="External" Id="rId4" /><Relationship Type="http://schemas.openxmlformats.org/officeDocument/2006/relationships/hyperlink" Target="https://www.tradingview.com/symbols/XETR-HNR1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CBK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BMW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IFX/" TargetMode="External" Id="rId22" /><Relationship Type="http://schemas.openxmlformats.org/officeDocument/2006/relationships/hyperlink" Target="https://www.tradingview.com/symbols/XETR-BEI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MTX/" TargetMode="External" Id="rId25" /><Relationship Type="http://schemas.openxmlformats.org/officeDocument/2006/relationships/hyperlink" Target="https://www.tradingview.com/symbols/XETR-SAP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SGO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CAP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ABN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IMCD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BAER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ZUR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AB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GOOGL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EP/" TargetMode="External" Id="rId9" /><Relationship Type="http://schemas.openxmlformats.org/officeDocument/2006/relationships/hyperlink" Target="https://www.tradingview.com/symbols/TGT/" TargetMode="External" Id="rId10" /><Relationship Type="http://schemas.openxmlformats.org/officeDocument/2006/relationships/hyperlink" Target="https://www.tradingview.com/symbols/AXP/" TargetMode="External" Id="rId11" /><Relationship Type="http://schemas.openxmlformats.org/officeDocument/2006/relationships/hyperlink" Target="https://www.tradingview.com/symbols/MSFT/" TargetMode="External" Id="rId12" /><Relationship Type="http://schemas.openxmlformats.org/officeDocument/2006/relationships/hyperlink" Target="https://www.tradingview.com/symbols/LRCX/" TargetMode="External" Id="rId13" /><Relationship Type="http://schemas.openxmlformats.org/officeDocument/2006/relationships/hyperlink" Target="https://www.tradingview.com/symbols/PGR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ANET/" TargetMode="External" Id="rId17" /><Relationship Type="http://schemas.openxmlformats.org/officeDocument/2006/relationships/hyperlink" Target="https://www.tradingview.com/symbols/CAT/" TargetMode="External" Id="rId18" /><Relationship Type="http://schemas.openxmlformats.org/officeDocument/2006/relationships/hyperlink" Target="https://www.tradingview.com/symbols/MA/" TargetMode="External" Id="rId19" /><Relationship Type="http://schemas.openxmlformats.org/officeDocument/2006/relationships/hyperlink" Target="https://www.tradingview.com/symbols/KLAC/" TargetMode="External" Id="rId20" /><Relationship Type="http://schemas.openxmlformats.org/officeDocument/2006/relationships/hyperlink" Target="https://www.tradingview.com/symbols/AMAT/" TargetMode="External" Id="rId21" /><Relationship Type="http://schemas.openxmlformats.org/officeDocument/2006/relationships/hyperlink" Target="https://www.tradingview.com/symbols/LLY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TRV/" TargetMode="External" Id="rId24" /><Relationship Type="http://schemas.openxmlformats.org/officeDocument/2006/relationships/hyperlink" Target="https://www.tradingview.com/symbols/NFLX/" TargetMode="External" Id="rId25" /><Relationship Type="http://schemas.openxmlformats.org/officeDocument/2006/relationships/hyperlink" Target="https://www.tradingview.com/symbols/UNP/" TargetMode="External" Id="rId26" /><Relationship Type="http://schemas.openxmlformats.org/officeDocument/2006/relationships/hyperlink" Target="https://www.tradingview.com/symbols/ABNB/" TargetMode="External" Id="rId27" /><Relationship Type="http://schemas.openxmlformats.org/officeDocument/2006/relationships/hyperlink" Target="https://www.tradingview.com/symbols/KO/" TargetMode="External" Id="rId28" /><Relationship Type="http://schemas.openxmlformats.org/officeDocument/2006/relationships/hyperlink" Target="https://www.tradingview.com/symbols/SHW/" TargetMode="External" Id="rId29" /><Relationship Type="http://schemas.openxmlformats.org/officeDocument/2006/relationships/hyperlink" Target="https://www.tradingview.com/symbols/TXN/" TargetMode="External" Id="rId30" /><Relationship Type="http://schemas.openxmlformats.org/officeDocument/2006/relationships/hyperlink" Target="https://www.tradingview.com/symbols/UPS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CMG/" TargetMode="External" Id="rId33" /><Relationship Type="http://schemas.openxmlformats.org/officeDocument/2006/relationships/hyperlink" Target="https://www.tradingview.com/symbols/COST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ACN/" TargetMode="External" Id="rId37" /><Relationship Type="http://schemas.openxmlformats.org/officeDocument/2006/relationships/hyperlink" Target="https://www.tradingview.com/symbols/TJX/" TargetMode="External" Id="rId38" /><Relationship Type="http://schemas.openxmlformats.org/officeDocument/2006/relationships/hyperlink" Target="https://www.tradingview.com/symbols/NVDA/" TargetMode="External" Id="rId39" /><Relationship Type="http://schemas.openxmlformats.org/officeDocument/2006/relationships/hyperlink" Target="https://www.tradingview.com/symbols/CSX/" TargetMode="External" Id="rId40" /><Relationship Type="http://schemas.openxmlformats.org/officeDocument/2006/relationships/hyperlink" Target="https://www.tradingview.com/symbols/BKNG/" TargetMode="External" Id="rId41" /><Relationship Type="http://schemas.openxmlformats.org/officeDocument/2006/relationships/hyperlink" Target="https://www.tradingview.com/symbols/GS/" TargetMode="External" Id="rId42" /><Relationship Type="http://schemas.openxmlformats.org/officeDocument/2006/relationships/hyperlink" Target="https://www.tradingview.com/symbols/CDNS/" TargetMode="External" Id="rId43" /><Relationship Type="http://schemas.openxmlformats.org/officeDocument/2006/relationships/hyperlink" Target="https://www.tradingview.com/symbols/META/" TargetMode="External" Id="rId44" /><Relationship Type="http://schemas.openxmlformats.org/officeDocument/2006/relationships/hyperlink" Target="https://www.tradingview.com/symbols/WM/" TargetMode="External" Id="rId45" /><Relationship Type="http://schemas.openxmlformats.org/officeDocument/2006/relationships/hyperlink" Target="https://www.tradingview.com/symbols/CSCO/" TargetMode="External" Id="rId46" /><Relationship Type="http://schemas.openxmlformats.org/officeDocument/2006/relationships/hyperlink" Target="https://www.tradingview.com/symbols/PG/" TargetMode="External" Id="rId47" /><Relationship Type="http://schemas.openxmlformats.org/officeDocument/2006/relationships/hyperlink" Target="https://www.tradingview.com/symbols/BX/" TargetMode="External" Id="rId48" /><Relationship Type="http://schemas.openxmlformats.org/officeDocument/2006/relationships/hyperlink" Target="https://www.tradingview.com/symbols/BAC/" TargetMode="External" Id="rId49" /><Relationship Type="http://schemas.openxmlformats.org/officeDocument/2006/relationships/hyperlink" Target="https://www.tradingview.com/symbols/NKE/" TargetMode="External" Id="rId50" /><Relationship Type="http://schemas.openxmlformats.org/officeDocument/2006/relationships/hyperlink" Target="https://www.tradingview.com/symbols/NOC/" TargetMode="External" Id="rId51" /><Relationship Type="http://schemas.openxmlformats.org/officeDocument/2006/relationships/hyperlink" Target="https://www.tradingview.com/symbols/AVGO/" TargetMode="External" Id="rId52" /><Relationship Type="http://schemas.openxmlformats.org/officeDocument/2006/relationships/hyperlink" Target="https://www.tradingview.com/symbols/SCHW/" TargetMode="External" Id="rId53" /><Relationship Type="http://schemas.openxmlformats.org/officeDocument/2006/relationships/hyperlink" Target="https://www.tradingview.com/symbols/NEE/" TargetMode="External" Id="rId54" /><Relationship Type="http://schemas.openxmlformats.org/officeDocument/2006/relationships/hyperlink" Target="https://www.tradingview.com/symbols/VLO/" TargetMode="External" Id="rId55" /><Relationship Type="http://schemas.openxmlformats.org/officeDocument/2006/relationships/hyperlink" Target="https://www.tradingview.com/symbols/PSX/" TargetMode="External" Id="rId56" /><Relationship Type="http://schemas.openxmlformats.org/officeDocument/2006/relationships/hyperlink" Target="https://www.tradingview.com/symbols/AMGN/" TargetMode="External" Id="rId57" /><Relationship Type="http://schemas.openxmlformats.org/officeDocument/2006/relationships/hyperlink" Target="https://www.tradingview.com/symbols/MCO/" TargetMode="External" Id="rId58" /><Relationship Type="http://schemas.openxmlformats.org/officeDocument/2006/relationships/hyperlink" Target="https://www.tradingview.com/symbols/FDX/" TargetMode="External" Id="rId59" /><Relationship Type="http://schemas.openxmlformats.org/officeDocument/2006/relationships/hyperlink" Target="https://www.tradingview.com/symbols/ABBV/" TargetMode="External" Id="rId60" /><Relationship Type="http://schemas.openxmlformats.org/officeDocument/2006/relationships/hyperlink" Target="https://www.tradingview.com/symbols/CI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CB/" TargetMode="External" Id="rId63" /><Relationship Type="http://schemas.openxmlformats.org/officeDocument/2006/relationships/hyperlink" Target="https://www.tradingview.com/symbols/GE/" TargetMode="External" Id="rId64" /><Relationship Type="http://schemas.openxmlformats.org/officeDocument/2006/relationships/hyperlink" Target="https://www.tradingview.com/symbols/AMT/" TargetMode="External" Id="rId65" /><Relationship Type="http://schemas.openxmlformats.org/officeDocument/2006/relationships/hyperlink" Target="https://www.tradingview.com/symbols/MS/" TargetMode="External" Id="rId66" /><Relationship Type="http://schemas.openxmlformats.org/officeDocument/2006/relationships/hyperlink" Target="https://www.tradingview.com/symbols/PH/" TargetMode="External" Id="rId67" /><Relationship Type="http://schemas.openxmlformats.org/officeDocument/2006/relationships/hyperlink" Target="https://www.tradingview.com/symbols/WFC/" TargetMode="External" Id="rId68" /><Relationship Type="http://schemas.openxmlformats.org/officeDocument/2006/relationships/hyperlink" Target="https://www.tradingview.com/symbols/BA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QCOM/" TargetMode="External" Id="rId71" /><Relationship Type="http://schemas.openxmlformats.org/officeDocument/2006/relationships/hyperlink" Target="https://www.tradingview.com/symbols/COP/" TargetMode="External" Id="rId72" /><Relationship Type="http://schemas.openxmlformats.org/officeDocument/2006/relationships/hyperlink" Target="https://www.tradingview.com/symbols/ETN/" TargetMode="External" Id="rId73" /><Relationship Type="http://schemas.openxmlformats.org/officeDocument/2006/relationships/hyperlink" Target="https://www.tradingview.com/symbols/INTU/" TargetMode="External" Id="rId74" /><Relationship Type="http://schemas.openxmlformats.org/officeDocument/2006/relationships/hyperlink" Target="https://www.tradingview.com/symbols/DE/" TargetMode="External" Id="rId75" /><Relationship Type="http://schemas.openxmlformats.org/officeDocument/2006/relationships/hyperlink" Target="https://www.tradingview.com/symbols/WMB/" TargetMode="External" Id="rId76" /><Relationship Type="http://schemas.openxmlformats.org/officeDocument/2006/relationships/hyperlink" Target="https://www.tradingview.com/symbols/EXC/" TargetMode="External" Id="rId77" /><Relationship Type="http://schemas.openxmlformats.org/officeDocument/2006/relationships/hyperlink" Target="https://www.tradingview.com/symbols/NSC/" TargetMode="External" Id="rId78" /><Relationship Type="http://schemas.openxmlformats.org/officeDocument/2006/relationships/hyperlink" Target="https://www.tradingview.com/symbols/REGN/" TargetMode="External" Id="rId79" /><Relationship Type="http://schemas.openxmlformats.org/officeDocument/2006/relationships/hyperlink" Target="https://www.tradingview.com/symbols/ECL/" TargetMode="External" Id="rId80" /><Relationship Type="http://schemas.openxmlformats.org/officeDocument/2006/relationships/hyperlink" Target="https://www.tradingview.com/symbols/CMI/" TargetMode="External" Id="rId81" /><Relationship Type="http://schemas.openxmlformats.org/officeDocument/2006/relationships/hyperlink" Target="https://www.tradingview.com/symbols/JNJ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ORCL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MU/" TargetMode="External" Id="rId96" /><Relationship Type="http://schemas.openxmlformats.org/officeDocument/2006/relationships/hyperlink" Target="https://www.tradingview.com/symbols/TMO/" TargetMode="External" Id="rId97" /><Relationship Type="http://schemas.openxmlformats.org/officeDocument/2006/relationships/hyperlink" Target="https://www.tradingview.com/symbols/ELV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BSX/" TargetMode="External" Id="rId101" /><Relationship Type="http://schemas.openxmlformats.org/officeDocument/2006/relationships/hyperlink" Target="https://www.tradingview.com/symbols/ABT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BRK.B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MDT/" TargetMode="External" Id="rId109" /><Relationship Type="http://schemas.openxmlformats.org/officeDocument/2006/relationships/hyperlink" Target="https://www.tradingview.com/symbols/MET/" TargetMode="External" Id="rId110" /><Relationship Type="http://schemas.openxmlformats.org/officeDocument/2006/relationships/hyperlink" Target="https://www.tradingview.com/symbols/KMI/" TargetMode="External" Id="rId111" /><Relationship Type="http://schemas.openxmlformats.org/officeDocument/2006/relationships/hyperlink" Target="https://www.tradingview.com/symbols/CL/" TargetMode="External" Id="rId112" /><Relationship Type="http://schemas.openxmlformats.org/officeDocument/2006/relationships/hyperlink" Target="https://www.tradingview.com/symbols/PANW/" TargetMode="External" Id="rId113" /><Relationship Type="http://schemas.openxmlformats.org/officeDocument/2006/relationships/hyperlink" Target="https://www.tradingview.com/symbols/SPGI/" TargetMode="External" Id="rId114" /><Relationship Type="http://schemas.openxmlformats.org/officeDocument/2006/relationships/hyperlink" Target="https://www.tradingview.com/symbols/AEP/" TargetMode="External" Id="rId115" /><Relationship Type="http://schemas.openxmlformats.org/officeDocument/2006/relationships/hyperlink" Target="https://www.tradingview.com/symbols/PCAR/" TargetMode="External" Id="rId116" /><Relationship Type="http://schemas.openxmlformats.org/officeDocument/2006/relationships/hyperlink" Target="https://www.tradingview.com/symbols/EQIX/" TargetMode="External" Id="rId117" /><Relationship Type="http://schemas.openxmlformats.org/officeDocument/2006/relationships/hyperlink" Target="https://www.tradingview.com/symbols/SNPS/" TargetMode="External" Id="rId118" /><Relationship Type="http://schemas.openxmlformats.org/officeDocument/2006/relationships/hyperlink" Target="https://www.tradingview.com/symbols/SO/" TargetMode="External" Id="rId119" /><Relationship Type="http://schemas.openxmlformats.org/officeDocument/2006/relationships/hyperlink" Target="https://www.tradingview.com/symbols/MDLZ/" TargetMode="External" Id="rId120" /><Relationship Type="http://schemas.openxmlformats.org/officeDocument/2006/relationships/hyperlink" Target="https://www.tradingview.com/symbols/VRTX/" TargetMode="External" Id="rId121" /><Relationship Type="http://schemas.openxmlformats.org/officeDocument/2006/relationships/hyperlink" Target="https://www.tradingview.com/symbols/ADI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D/" TargetMode="External" Id="rId125" /><Relationship Type="http://schemas.openxmlformats.org/officeDocument/2006/relationships/hyperlink" Target="https://www.tradingview.com/symbols/PLD/" TargetMode="External" Id="rId126" /><Relationship Type="http://schemas.openxmlformats.org/officeDocument/2006/relationships/hyperlink" Target="https://www.tradingview.com/symbols/UBER/" TargetMode="External" Id="rId127" /><Relationship Type="http://schemas.openxmlformats.org/officeDocument/2006/relationships/hyperlink" Target="https://www.tradingview.com/symbols/RTX/" TargetMode="External" Id="rId128" /><Relationship Type="http://schemas.openxmlformats.org/officeDocument/2006/relationships/hyperlink" Target="https://www.tradingview.com/symbols/BMY/" TargetMode="External" Id="rId129" /><Relationship Type="http://schemas.openxmlformats.org/officeDocument/2006/relationships/hyperlink" Target="https://www.tradingview.com/symbols/TSLA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FCX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GM/" TargetMode="External" Id="rId134" /><Relationship Type="http://schemas.openxmlformats.org/officeDocument/2006/relationships/hyperlink" Target="https://www.tradingview.com/symbols/DUK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AIG/" TargetMode="External" Id="rId138" /><Relationship Type="http://schemas.openxmlformats.org/officeDocument/2006/relationships/hyperlink" Target="https://www.tradingview.com/symbols/SRE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MMM/" TargetMode="External" Id="rId141" /><Relationship Type="http://schemas.openxmlformats.org/officeDocument/2006/relationships/hyperlink" Target="https://www.tradingview.com/symbols/CVS/" TargetMode="External" Id="rId142" /><Relationship Type="http://schemas.openxmlformats.org/officeDocument/2006/relationships/hyperlink" Target="https://www.tradingview.com/symbols/VST/" TargetMode="External" Id="rId143" /><Relationship Type="http://schemas.openxmlformats.org/officeDocument/2006/relationships/hyperlink" Target="https://www.tradingview.com/symbols/AMD/" TargetMode="External" Id="rId144" /><Relationship Type="http://schemas.openxmlformats.org/officeDocument/2006/relationships/hyperlink" Target="https://www.tradingview.com/symbols/CRWD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34.37</v>
      </c>
      <c r="G2" s="15" t="inlineStr">
        <is>
          <t>EUR</t>
        </is>
      </c>
      <c r="H2" s="14" t="n">
        <v>34.37</v>
      </c>
      <c r="I2" s="16" t="n">
        <v>4773</v>
      </c>
      <c r="J2" s="16" t="n">
        <v>4773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2.4685771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57.85</v>
      </c>
      <c r="G3" s="15" t="inlineStr">
        <is>
          <t>EUR</t>
        </is>
      </c>
      <c r="H3" s="14" t="n">
        <v>57.85</v>
      </c>
      <c r="I3" s="16" t="n">
        <v>6599.7</v>
      </c>
      <c r="J3" s="16" t="n">
        <v>6599.7</v>
      </c>
      <c r="K3" s="14" t="n">
        <v>4.66</v>
      </c>
      <c r="L3" s="14" t="n">
        <v>3.82408</v>
      </c>
      <c r="M3" s="17">
        <f>IF(OR(F3="",K3="",K3&lt;=0),"",F3/K3)</f>
        <v/>
      </c>
      <c r="N3" s="18" t="n">
        <v>4.6952357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22.34</v>
      </c>
      <c r="G4" s="15" t="inlineStr">
        <is>
          <t>EUR</t>
        </is>
      </c>
      <c r="H4" s="14" t="n">
        <v>22.34</v>
      </c>
      <c r="I4" s="16" t="n">
        <v>16516.3</v>
      </c>
      <c r="J4" s="16" t="n">
        <v>16516.3</v>
      </c>
      <c r="K4" s="14" t="n">
        <v>1.77</v>
      </c>
      <c r="L4" s="14" t="n">
        <v>1.58172</v>
      </c>
      <c r="M4" s="17">
        <f>IF(OR(F4="",K4="",K4&lt;=0),"",F4/K4)</f>
        <v/>
      </c>
      <c r="N4" s="18" t="n">
        <v>3.6143017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</v>
      </c>
      <c r="G5" s="15" t="inlineStr">
        <is>
          <t>EUR</t>
        </is>
      </c>
      <c r="H5" s="14" t="n">
        <v>2.05</v>
      </c>
      <c r="I5" s="16" t="n">
        <v>534.7</v>
      </c>
      <c r="J5" s="16" t="n">
        <v>534.7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1.8369174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8.73</v>
      </c>
      <c r="G6" s="15" t="inlineStr">
        <is>
          <t>EUR</t>
        </is>
      </c>
      <c r="H6" s="14" t="n">
        <v>8.73</v>
      </c>
      <c r="I6" s="16" t="n">
        <v>8888.6</v>
      </c>
      <c r="J6" s="16" t="n">
        <v>8888.6</v>
      </c>
      <c r="K6" s="14" t="n">
        <v>0.68</v>
      </c>
      <c r="L6" s="14" t="n">
        <v>0.79899</v>
      </c>
      <c r="M6" s="17">
        <f>IF(OR(F6="",K6="",K6&lt;=0),"",F6/K6)</f>
        <v/>
      </c>
      <c r="N6" s="18" t="n">
        <v>2.353734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11.81</v>
      </c>
      <c r="G7" s="15" t="inlineStr">
        <is>
          <t>EUR</t>
        </is>
      </c>
      <c r="H7" s="14" t="n">
        <v>11.81</v>
      </c>
      <c r="I7" s="16" t="n">
        <v>3858</v>
      </c>
      <c r="J7" s="16" t="n">
        <v>3858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6.657272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2.405</v>
      </c>
      <c r="G8" s="15" t="inlineStr">
        <is>
          <t>EUR</t>
        </is>
      </c>
      <c r="H8" s="14" t="n">
        <v>2.405</v>
      </c>
      <c r="I8" s="16" t="n">
        <v>7527.2</v>
      </c>
      <c r="J8" s="16" t="n">
        <v>7527.2</v>
      </c>
      <c r="K8" s="14" t="n">
        <v>0.22</v>
      </c>
      <c r="L8" s="14" t="n">
        <v>0.21</v>
      </c>
      <c r="M8" s="17">
        <f>IF(OR(F8="",K8="",K8&lt;=0),"",F8/K8)</f>
        <v/>
      </c>
      <c r="N8" s="18" t="n">
        <v>1.4470518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12.792</v>
      </c>
      <c r="G9" s="15" t="inlineStr">
        <is>
          <t>EUR</t>
        </is>
      </c>
      <c r="H9" s="14" t="n">
        <v>12.792</v>
      </c>
      <c r="I9" s="16" t="n">
        <v>26710.6</v>
      </c>
      <c r="J9" s="16" t="n">
        <v>26710.6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1.4812413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24.85</v>
      </c>
      <c r="G10" s="15" t="inlineStr">
        <is>
          <t>EUR</t>
        </is>
      </c>
      <c r="H10" s="14" t="n">
        <v>24.85</v>
      </c>
      <c r="I10" s="16" t="n">
        <v>18328.7</v>
      </c>
      <c r="J10" s="16" t="n">
        <v>18328.7</v>
      </c>
      <c r="K10" s="14" t="n">
        <v>2.32</v>
      </c>
      <c r="L10" s="14" t="n">
        <v>2.24206</v>
      </c>
      <c r="M10" s="17">
        <f>IF(OR(F10="",K10="",K10&lt;=0),"",F10/K10)</f>
        <v/>
      </c>
      <c r="N10" s="18" t="n">
        <v>1.7744931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19.5</v>
      </c>
      <c r="G11" s="15" t="inlineStr">
        <is>
          <t>EUR</t>
        </is>
      </c>
      <c r="H11" s="14" t="n">
        <v>19.5</v>
      </c>
      <c r="I11" s="16" t="n">
        <v>6631.7</v>
      </c>
      <c r="J11" s="16" t="n">
        <v>6631.7</v>
      </c>
      <c r="K11" s="14" t="n">
        <v>1.66</v>
      </c>
      <c r="L11" s="14" t="n">
        <v>1.70813</v>
      </c>
      <c r="M11" s="17">
        <f>IF(OR(F11="",K11="",K11&lt;=0),"",F11/K11)</f>
        <v/>
      </c>
      <c r="N11" s="18" t="n">
        <v>1.4040899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3.544</v>
      </c>
      <c r="G12" s="15" t="inlineStr">
        <is>
          <t>EUR</t>
        </is>
      </c>
      <c r="H12" s="14" t="n">
        <v>3.544</v>
      </c>
      <c r="I12" s="16" t="n">
        <v>5239.4</v>
      </c>
      <c r="J12" s="16" t="n">
        <v>5239.4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1.2831281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0.8090000000000001</v>
      </c>
      <c r="G13" s="15" t="inlineStr">
        <is>
          <t>EUR</t>
        </is>
      </c>
      <c r="H13" s="14" t="n">
        <v>0.8090000000000001</v>
      </c>
      <c r="I13" s="16" t="n">
        <v>418.6</v>
      </c>
      <c r="J13" s="16" t="n">
        <v>418.6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0.9100113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20.63</v>
      </c>
      <c r="G14" s="15" t="inlineStr">
        <is>
          <t>EUR</t>
        </is>
      </c>
      <c r="H14" s="14" t="n">
        <v>20.63</v>
      </c>
      <c r="I14" s="16" t="n">
        <v>12621.8</v>
      </c>
      <c r="J14" s="16" t="n">
        <v>12621.8</v>
      </c>
      <c r="K14" s="14" t="n">
        <v>1.1</v>
      </c>
      <c r="L14" s="14" t="n">
        <v>1.29042</v>
      </c>
      <c r="M14" s="17">
        <f>IF(OR(F14="",K14="",K14&lt;=0),"",F14/K14)</f>
        <v/>
      </c>
      <c r="N14" s="18" t="n">
        <v>5.2667856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23.96</v>
      </c>
      <c r="G15" s="15" t="inlineStr">
        <is>
          <t>EUR</t>
        </is>
      </c>
      <c r="H15" s="14" t="n">
        <v>23.96</v>
      </c>
      <c r="I15" s="16" t="n">
        <v>38272.6</v>
      </c>
      <c r="J15" s="16" t="n">
        <v>38272.6</v>
      </c>
      <c r="K15" s="14" t="n">
        <v>1.85</v>
      </c>
      <c r="L15" s="14" t="n">
        <v>1.99896</v>
      </c>
      <c r="M15" s="17">
        <f>IF(OR(F15="",K15="",K15&lt;=0),"",F15/K15)</f>
        <v/>
      </c>
      <c r="N15" s="18" t="n">
        <v>2.4160533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UniCredit</t>
        </is>
      </c>
      <c r="C16" s="12" t="inlineStr">
        <is>
          <t>UCG.MI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71.65000000000001</v>
      </c>
      <c r="G16" s="15" t="inlineStr">
        <is>
          <t>EUR</t>
        </is>
      </c>
      <c r="H16" s="14" t="n">
        <v>71.65000000000001</v>
      </c>
      <c r="I16" s="16" t="n">
        <v>108044.8</v>
      </c>
      <c r="J16" s="16" t="n">
        <v>108044.8</v>
      </c>
      <c r="K16" s="14" t="n">
        <v>6.98</v>
      </c>
      <c r="L16" s="14" t="n">
        <v>8.512840000000001</v>
      </c>
      <c r="M16" s="17">
        <f>IF(OR(F16="",K16="",K16&lt;=0),"",F16/K16)</f>
        <v/>
      </c>
      <c r="N16" s="18" t="n">
        <v>1.5244358</v>
      </c>
      <c r="O16" s="19">
        <f>IF(OR(N16="",M16="",M16&lt;=0),"",N16/M16)</f>
        <v/>
      </c>
      <c r="P16" s="20" t="n">
        <v>0.15779</v>
      </c>
      <c r="Q16" s="20" t="n">
        <v>0.1417934441062063</v>
      </c>
      <c r="R16" s="20" t="n">
        <v>0.02344442801155508</v>
      </c>
      <c r="S16" s="21" t="n">
        <v>4</v>
      </c>
      <c r="T16" s="20" t="n"/>
      <c r="U16" s="20" t="n">
        <v>0.1611998050538317</v>
      </c>
      <c r="V16" s="20" t="n">
        <v>0.1556509344821511</v>
      </c>
      <c r="W16" s="20" t="n">
        <v>0.1483637385102764</v>
      </c>
      <c r="X16" s="20" t="n">
        <v>0.1019592983785661</v>
      </c>
      <c r="Y16" s="14" t="n">
        <v>3.15</v>
      </c>
      <c r="Z16" s="19">
        <f>IF(OR(Y16="",F16="",F16=0),"",Y16/F16)</f>
        <v/>
      </c>
      <c r="AA16" s="22" t="n"/>
      <c r="AB16" s="20" t="n">
        <v>-0.092</v>
      </c>
      <c r="AC16" s="20" t="n">
        <v>0.4284915506210312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354.05</v>
      </c>
      <c r="G17" s="15" t="inlineStr">
        <is>
          <t>EUR</t>
        </is>
      </c>
      <c r="H17" s="14" t="n">
        <v>354.05</v>
      </c>
      <c r="I17" s="16" t="n">
        <v>62100.4</v>
      </c>
      <c r="J17" s="16" t="n">
        <v>62100.4</v>
      </c>
      <c r="K17" s="14" t="n">
        <v>9.23</v>
      </c>
      <c r="L17" s="14" t="n">
        <v>11.02004</v>
      </c>
      <c r="M17" s="17">
        <f>IF(OR(F17="",K17="",K17&lt;=0),"",F17/K17)</f>
        <v/>
      </c>
      <c r="N17" s="18" t="n">
        <v>17.024908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Intesa Sanpaolo</t>
        </is>
      </c>
      <c r="C18" s="12" t="inlineStr">
        <is>
          <t>ISP.MI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5.839</v>
      </c>
      <c r="G18" s="15" t="inlineStr">
        <is>
          <t>EUR</t>
        </is>
      </c>
      <c r="H18" s="14" t="n">
        <v>5.839</v>
      </c>
      <c r="I18" s="16" t="n">
        <v>100968.6</v>
      </c>
      <c r="J18" s="16" t="n">
        <v>100968.6</v>
      </c>
      <c r="K18" s="14" t="n">
        <v>0.5600000000000001</v>
      </c>
      <c r="L18" s="14" t="n">
        <v>0.6523600000000001</v>
      </c>
      <c r="M18" s="17">
        <f>IF(OR(F18="",K18="",K18&lt;=0),"",F18/K18)</f>
        <v/>
      </c>
      <c r="N18" s="18" t="n">
        <v>1.4933504</v>
      </c>
      <c r="O18" s="19">
        <f>IF(OR(N18="",M18="",M18&lt;=0),"",N18/M18)</f>
        <v/>
      </c>
      <c r="P18" s="20" t="n">
        <v>0.14261</v>
      </c>
      <c r="Q18" s="20" t="n">
        <v>0.1170723447862178</v>
      </c>
      <c r="R18" s="20" t="n">
        <v>0.0273636203726556</v>
      </c>
      <c r="S18" s="21" t="n">
        <v>4</v>
      </c>
      <c r="T18" s="20" t="n"/>
      <c r="U18" s="20" t="n">
        <v>0.1429031367859443</v>
      </c>
      <c r="V18" s="20" t="n">
        <v>0.1329630538848656</v>
      </c>
      <c r="W18" s="20" t="n">
        <v>0.1207573128214749</v>
      </c>
      <c r="X18" s="20" t="n">
        <v>0.07166587565258661</v>
      </c>
      <c r="Y18" s="14" t="n">
        <v>0.38</v>
      </c>
      <c r="Z18" s="19">
        <f>IF(OR(Y18="",F18="",F18=0),"",Y18/F18)</f>
        <v/>
      </c>
      <c r="AA18" s="22" t="n"/>
      <c r="AB18" s="20" t="n">
        <v>0.064</v>
      </c>
      <c r="AC18" s="20" t="n">
        <v>0.3385677664131235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Acea</t>
        </is>
      </c>
      <c r="C19" s="12" t="inlineStr">
        <is>
          <t>ACE.MI</t>
        </is>
      </c>
      <c r="D19" s="11" t="inlineStr">
        <is>
          <t>Utility</t>
        </is>
      </c>
      <c r="E19" s="13" t="inlineStr">
        <is>
          <t>Utility</t>
        </is>
      </c>
      <c r="F19" s="14" t="n">
        <v>20.26</v>
      </c>
      <c r="G19" s="15" t="inlineStr">
        <is>
          <t>EUR</t>
        </is>
      </c>
      <c r="H19" s="14" t="n">
        <v>20.26</v>
      </c>
      <c r="I19" s="16" t="n">
        <v>4306.2</v>
      </c>
      <c r="J19" s="16" t="n">
        <v>4306.2</v>
      </c>
      <c r="K19" s="14" t="n">
        <v>1.7</v>
      </c>
      <c r="L19" s="14" t="n">
        <v>1.58975</v>
      </c>
      <c r="M19" s="17">
        <f>IF(OR(F19="",K19="",K19&lt;=0),"",F19/K19)</f>
        <v/>
      </c>
      <c r="N19" s="18" t="n">
        <v>1.4450784</v>
      </c>
      <c r="O19" s="19">
        <f>IF(OR(N19="",M19="",M19&lt;=0),"",N19/M19)</f>
        <v/>
      </c>
      <c r="P19" s="20" t="n">
        <v>0.124309994</v>
      </c>
      <c r="Q19" s="20" t="n">
        <v>0.1377274020186562</v>
      </c>
      <c r="R19" s="20" t="n">
        <v>0.02063562538189108</v>
      </c>
      <c r="S19" s="21" t="n">
        <v>4</v>
      </c>
      <c r="T19" s="20" t="n"/>
      <c r="U19" s="20" t="n">
        <v>0.172816869044327</v>
      </c>
      <c r="V19" s="20" t="n">
        <v>0.1323776847677043</v>
      </c>
      <c r="W19" s="20" t="n">
        <v>0.1236319980683815</v>
      </c>
      <c r="X19" s="20" t="n">
        <v>0.1220830561942121</v>
      </c>
      <c r="Y19" s="14" t="n">
        <v>0.95</v>
      </c>
      <c r="Z19" s="19">
        <f>IF(OR(Y19="",F19="",F19=0),"",Y19/F19)</f>
        <v/>
      </c>
      <c r="AA19" s="22" t="n">
        <v>169.549</v>
      </c>
      <c r="AB19" s="20" t="n">
        <v>0.063</v>
      </c>
      <c r="AC19" s="20" t="n">
        <v>0.1313480180950612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Buzzi</t>
        </is>
      </c>
      <c r="C20" s="12" t="inlineStr">
        <is>
          <t>BZU.MI</t>
        </is>
      </c>
      <c r="D20" s="11" t="inlineStr">
        <is>
          <t>Materiali / Cemento</t>
        </is>
      </c>
      <c r="E20" s="13" t="inlineStr">
        <is>
          <t>Materiali</t>
        </is>
      </c>
      <c r="F20" s="14" t="n">
        <v>38.86</v>
      </c>
      <c r="G20" s="15" t="inlineStr">
        <is>
          <t>EUR</t>
        </is>
      </c>
      <c r="H20" s="14" t="n">
        <v>38.86</v>
      </c>
      <c r="I20" s="16" t="n">
        <v>6842.9</v>
      </c>
      <c r="J20" s="16" t="n">
        <v>6842.9</v>
      </c>
      <c r="K20" s="14" t="n">
        <v>4.76</v>
      </c>
      <c r="L20" s="14" t="n">
        <v>4.83569</v>
      </c>
      <c r="M20" s="17">
        <f>IF(OR(F20="",K20="",K20&lt;=0),"",F20/K20)</f>
        <v/>
      </c>
      <c r="N20" s="18" t="n">
        <v>0.9420606500000001</v>
      </c>
      <c r="O20" s="19">
        <f>IF(OR(N20="",M20="",M20&lt;=0),"",N20/M20)</f>
        <v/>
      </c>
      <c r="P20" s="20" t="n">
        <v>0.12303001</v>
      </c>
      <c r="Q20" s="20" t="n">
        <v>0.1345063151175203</v>
      </c>
      <c r="R20" s="20" t="n">
        <v>0.02809718446027663</v>
      </c>
      <c r="S20" s="21" t="n">
        <v>4</v>
      </c>
      <c r="T20" s="20" t="n"/>
      <c r="U20" s="20" t="n">
        <v>0.1300000564412122</v>
      </c>
      <c r="V20" s="20" t="n">
        <v>0.1427187127514725</v>
      </c>
      <c r="W20" s="20" t="n">
        <v>0.1717888401993831</v>
      </c>
      <c r="X20" s="20" t="n">
        <v>0.09351765107801338</v>
      </c>
      <c r="Y20" s="14" t="n">
        <v>0.7</v>
      </c>
      <c r="Z20" s="19">
        <f>IF(OR(Y20="",F20="",F20=0),"",Y20/F20)</f>
        <v/>
      </c>
      <c r="AA20" s="22" t="n">
        <v>6.827</v>
      </c>
      <c r="AB20" s="20" t="n">
        <v>0.001</v>
      </c>
      <c r="AC20" s="20" t="n">
        <v>0.1900980348895133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2.092</v>
      </c>
      <c r="G21" s="15" t="inlineStr">
        <is>
          <t>EUR</t>
        </is>
      </c>
      <c r="H21" s="14" t="n">
        <v>2.092</v>
      </c>
      <c r="I21" s="16" t="n">
        <v>1466.2</v>
      </c>
      <c r="J21" s="16" t="n">
        <v>1466.2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0.42016467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2.448</v>
      </c>
      <c r="G22" s="15" t="inlineStr">
        <is>
          <t>EUR</t>
        </is>
      </c>
      <c r="H22" s="14" t="n">
        <v>2.448</v>
      </c>
      <c r="I22" s="16" t="n">
        <v>3141</v>
      </c>
      <c r="J22" s="16" t="n">
        <v>3141</v>
      </c>
      <c r="K22" s="14" t="n">
        <v>0.23</v>
      </c>
      <c r="L22" s="14" t="n">
        <v>0.24547</v>
      </c>
      <c r="M22" s="17">
        <f>IF(OR(F22="",K22="",K22&lt;=0),"",F22/K22)</f>
        <v/>
      </c>
      <c r="N22" s="18" t="n">
        <v>1.0652741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2026-10-21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10.31</v>
      </c>
      <c r="G23" s="15" t="inlineStr">
        <is>
          <t>EUR</t>
        </is>
      </c>
      <c r="H23" s="14" t="n">
        <v>10.31</v>
      </c>
      <c r="I23" s="16" t="n">
        <v>629.7</v>
      </c>
      <c r="J23" s="16" t="n">
        <v>629.7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0.3072018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2026-10-22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10.568</v>
      </c>
      <c r="G24" s="15" t="inlineStr">
        <is>
          <t>EUR</t>
        </is>
      </c>
      <c r="H24" s="14" t="n">
        <v>10.568</v>
      </c>
      <c r="I24" s="16" t="n">
        <v>32110</v>
      </c>
      <c r="J24" s="16" t="n">
        <v>32110</v>
      </c>
      <c r="K24" s="14" t="n">
        <v>1.19</v>
      </c>
      <c r="L24" s="14" t="n">
        <v>0.90739</v>
      </c>
      <c r="M24" s="17">
        <f>IF(OR(F24="",K24="",K24&lt;=0),"",F24/K24)</f>
        <v/>
      </c>
      <c r="N24" s="18" t="n">
        <v>1.2161105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2026-10-22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86.44</v>
      </c>
      <c r="G25" s="15" t="inlineStr">
        <is>
          <t>EUR</t>
        </is>
      </c>
      <c r="H25" s="14" t="n">
        <v>86.44</v>
      </c>
      <c r="I25" s="16" t="n">
        <v>5877.9</v>
      </c>
      <c r="J25" s="16" t="n">
        <v>5877.9</v>
      </c>
      <c r="K25" s="14" t="n">
        <v>2.02</v>
      </c>
      <c r="L25" s="14" t="n">
        <v>2.62383</v>
      </c>
      <c r="M25" s="17">
        <f>IF(OR(F25="",K25="",K25&lt;=0),"",F25/K25)</f>
        <v/>
      </c>
      <c r="N25" s="18" t="n">
        <v>10.727228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2026-10-22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12.945</v>
      </c>
      <c r="G26" s="15" t="inlineStr">
        <is>
          <t>EUR</t>
        </is>
      </c>
      <c r="H26" s="14" t="n">
        <v>12.945</v>
      </c>
      <c r="I26" s="16" t="n">
        <v>19487.5</v>
      </c>
      <c r="J26" s="16" t="n">
        <v>19487.5</v>
      </c>
      <c r="K26" s="14" t="n">
        <v>1.27</v>
      </c>
      <c r="L26" s="14" t="n">
        <v>1.41984</v>
      </c>
      <c r="M26" s="17">
        <f>IF(OR(F26="",K26="",K26&lt;=0),"",F26/K26)</f>
        <v/>
      </c>
      <c r="N26" s="18" t="n">
        <v>1.2477108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2026-10-22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9.94</v>
      </c>
      <c r="G27" s="15" t="inlineStr">
        <is>
          <t>EUR</t>
        </is>
      </c>
      <c r="H27" s="14" t="n">
        <v>9.94</v>
      </c>
      <c r="I27" s="16" t="n">
        <v>3162</v>
      </c>
      <c r="J27" s="16" t="n">
        <v>3162</v>
      </c>
      <c r="K27" s="14" t="n">
        <v>0.72</v>
      </c>
      <c r="L27" s="14" t="n">
        <v>0.8532</v>
      </c>
      <c r="M27" s="17">
        <f>IF(OR(F27="",K27="",K27&lt;=0),"",F27/K27)</f>
        <v/>
      </c>
      <c r="N27" s="18" t="n">
        <v>1.3496265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0.061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2026-10-22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52.95</v>
      </c>
      <c r="G28" s="15" t="inlineStr">
        <is>
          <t>EUR</t>
        </is>
      </c>
      <c r="H28" s="14" t="n">
        <v>52.95</v>
      </c>
      <c r="I28" s="16" t="n">
        <v>11013.6</v>
      </c>
      <c r="J28" s="16" t="n">
        <v>11013.6</v>
      </c>
      <c r="K28" s="14" t="n">
        <v>2.38</v>
      </c>
      <c r="L28" s="14" t="n">
        <v>3.789</v>
      </c>
      <c r="M28" s="17">
        <f>IF(OR(F28="",K28="",K28&lt;=0),"",F28/K28)</f>
        <v/>
      </c>
      <c r="N28" s="18" t="n">
        <v>5.089878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2026-10-22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Assicurazioni Generali</t>
        </is>
      </c>
      <c r="C29" s="12" t="inlineStr">
        <is>
          <t>G.MI</t>
        </is>
      </c>
      <c r="D29" s="11" t="inlineStr">
        <is>
          <t>Assicurazione</t>
        </is>
      </c>
      <c r="E29" s="13" t="inlineStr">
        <is>
          <t>Finanziario</t>
        </is>
      </c>
      <c r="F29" s="14" t="n">
        <v>42.32</v>
      </c>
      <c r="G29" s="15" t="inlineStr">
        <is>
          <t>EUR</t>
        </is>
      </c>
      <c r="H29" s="14" t="n">
        <v>42.32</v>
      </c>
      <c r="I29" s="16" t="n">
        <v>63573.5</v>
      </c>
      <c r="J29" s="16" t="n">
        <v>63573.5</v>
      </c>
      <c r="K29" s="14" t="n">
        <v>2.95</v>
      </c>
      <c r="L29" s="14" t="n">
        <v>3.40268</v>
      </c>
      <c r="M29" s="17">
        <f>IF(OR(F29="",K29="",K29&lt;=0),"",F29/K29)</f>
        <v/>
      </c>
      <c r="N29" s="18" t="n">
        <v>1.9933115</v>
      </c>
      <c r="O29" s="19">
        <f>IF(OR(N29="",M29="",M29&lt;=0),"",N29/M29)</f>
        <v/>
      </c>
      <c r="P29" s="20" t="n">
        <v>0.1514</v>
      </c>
      <c r="Q29" s="20" t="n">
        <v>0.1164672974509258</v>
      </c>
      <c r="R29" s="20" t="n">
        <v>0.01905215662104418</v>
      </c>
      <c r="S29" s="21" t="n">
        <v>4</v>
      </c>
      <c r="T29" s="20" t="n"/>
      <c r="U29" s="20" t="n">
        <v>0.1301147704590818</v>
      </c>
      <c r="V29" s="20" t="n">
        <v>0.1225443417025898</v>
      </c>
      <c r="W29" s="20" t="n">
        <v>0.1293451620697988</v>
      </c>
      <c r="X29" s="20" t="n">
        <v>0.08386491557223265</v>
      </c>
      <c r="Y29" s="14" t="n">
        <v>1.64</v>
      </c>
      <c r="Z29" s="19">
        <f>IF(OR(Y29="",F29="",F29=0),"",Y29/F29)</f>
        <v/>
      </c>
      <c r="AA29" s="22" t="n">
        <v>118.93</v>
      </c>
      <c r="AB29" s="20" t="n">
        <v>0.054</v>
      </c>
      <c r="AC29" s="20" t="n">
        <v>0.06105243451634225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2026-10-22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Mediobanca</t>
        </is>
      </c>
      <c r="C30" s="12" t="inlineStr">
        <is>
          <t>MB.MI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24.92</v>
      </c>
      <c r="G30" s="15" t="inlineStr">
        <is>
          <t>EUR</t>
        </is>
      </c>
      <c r="H30" s="14" t="n">
        <v>24.92</v>
      </c>
      <c r="I30" s="16" t="n">
        <v>20098.8</v>
      </c>
      <c r="J30" s="16" t="n">
        <v>20098.8</v>
      </c>
      <c r="K30" s="14" t="n">
        <v>1.51</v>
      </c>
      <c r="L30" s="14" t="n">
        <v>1.8655</v>
      </c>
      <c r="M30" s="17">
        <f>IF(OR(F30="",K30="",K30&lt;=0),"",F30/K30)</f>
        <v/>
      </c>
      <c r="N30" s="18" t="n">
        <v>1.7359805</v>
      </c>
      <c r="O30" s="19">
        <f>IF(OR(N30="",M30="",M30&lt;=0),"",N30/M30)</f>
        <v/>
      </c>
      <c r="P30" s="20" t="n">
        <v>0.0919960661733171</v>
      </c>
      <c r="Q30" s="20" t="n">
        <v>0.1017707532112722</v>
      </c>
      <c r="R30" s="20" t="n">
        <v>0.01405535340424778</v>
      </c>
      <c r="S30" s="21" t="n">
        <v>4</v>
      </c>
      <c r="T30" s="20" t="n"/>
      <c r="U30" s="20" t="n">
        <v>0.1171754223438182</v>
      </c>
      <c r="V30" s="20" t="n">
        <v>0.1141322843602949</v>
      </c>
      <c r="W30" s="20" t="n">
        <v>0.09059131861966614</v>
      </c>
      <c r="X30" s="20" t="n">
        <v>0.08518398752130946</v>
      </c>
      <c r="Y30" s="14" t="n">
        <v>1.26</v>
      </c>
      <c r="Z30" s="19">
        <f>IF(OR(Y30="",F30="",F30=0),"",Y30/F30)</f>
        <v/>
      </c>
      <c r="AA30" s="22" t="n"/>
      <c r="AB30" s="20" t="n">
        <v>0.151</v>
      </c>
      <c r="AC30" s="20" t="n">
        <v>0.3277628735719196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2026-10-22</t>
        </is>
      </c>
      <c r="AI30" s="11" t="inlineStr">
        <is>
          <t>yahoo</t>
        </is>
      </c>
      <c r="AJ30" s="23" t="inlineStr">
        <is>
          <t>Coinvolta nel risiko bancario: verificare se ancora quotata</t>
        </is>
      </c>
    </row>
    <row r="31">
      <c r="A31" s="10">
        <f>IF(AD31="","",RANK(AD31,AD$2:AD$67))</f>
        <v/>
      </c>
      <c r="B31" s="11" t="inlineStr">
        <is>
          <t>Banca Profilo</t>
        </is>
      </c>
      <c r="C31" s="12" t="inlineStr">
        <is>
          <t>PRO.MI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1.568</v>
      </c>
      <c r="G31" s="15" t="inlineStr">
        <is>
          <t>EUR</t>
        </is>
      </c>
      <c r="H31" s="14" t="n">
        <v>1.568</v>
      </c>
      <c r="I31" s="16" t="n">
        <v>103.6</v>
      </c>
      <c r="J31" s="16" t="n">
        <v>103.6</v>
      </c>
      <c r="K31" s="14" t="n">
        <v>0.13</v>
      </c>
      <c r="L31" s="14" t="n">
        <v>0.158</v>
      </c>
      <c r="M31" s="17">
        <f>IF(OR(F31="",K31="",K31&lt;=0),"",F31/K31)</f>
        <v/>
      </c>
      <c r="N31" s="18" t="n">
        <v>0.6418338</v>
      </c>
      <c r="O31" s="19">
        <f>IF(OR(N31="",M31="",M31&lt;=0),"",N31/M31)</f>
        <v/>
      </c>
      <c r="P31" s="20" t="n">
        <v>0.05441</v>
      </c>
      <c r="Q31" s="20" t="n">
        <v>0.06503077574268615</v>
      </c>
      <c r="R31" s="20" t="n">
        <v>0.006357036968247848</v>
      </c>
      <c r="S31" s="21" t="n">
        <v>4</v>
      </c>
      <c r="T31" s="20" t="n"/>
      <c r="U31" s="20" t="n">
        <v>0.060088543950598</v>
      </c>
      <c r="V31" s="20" t="n">
        <v>0.05765696403735347</v>
      </c>
      <c r="W31" s="20" t="n">
        <v>0.07306048899843912</v>
      </c>
      <c r="X31" s="20" t="n">
        <v>0.06931710598435398</v>
      </c>
      <c r="Y31" s="14" t="n">
        <v>0.07000000000000001</v>
      </c>
      <c r="Z31" s="19">
        <f>IF(OR(Y31="",F31="",F31=0),"",Y31/F31)</f>
        <v/>
      </c>
      <c r="AA31" s="22" t="n"/>
      <c r="AB31" s="20" t="n">
        <v>-0.28</v>
      </c>
      <c r="AC31" s="20" t="n">
        <v>0.127950402243708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2026-10-22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Pirelli &amp; C.</t>
        </is>
      </c>
      <c r="C32" s="12" t="inlineStr">
        <is>
          <t>PIRC.MI</t>
        </is>
      </c>
      <c r="D32" s="11" t="inlineStr">
        <is>
          <t>Componentistica auto</t>
        </is>
      </c>
      <c r="E32" s="13" t="inlineStr">
        <is>
          <t>Industriale</t>
        </is>
      </c>
      <c r="F32" s="14" t="n">
        <v>6.64</v>
      </c>
      <c r="G32" s="15" t="inlineStr">
        <is>
          <t>EUR</t>
        </is>
      </c>
      <c r="H32" s="14" t="n">
        <v>6.64</v>
      </c>
      <c r="I32" s="16" t="n">
        <v>7203.6</v>
      </c>
      <c r="J32" s="16" t="n">
        <v>7203.6</v>
      </c>
      <c r="K32" s="14" t="n">
        <v>0.5</v>
      </c>
      <c r="L32" s="14" t="n">
        <v>0.5705</v>
      </c>
      <c r="M32" s="17">
        <f>IF(OR(F32="",K32="",K32&lt;=0),"",F32/K32)</f>
        <v/>
      </c>
      <c r="N32" s="18" t="n">
        <v>1.1261872</v>
      </c>
      <c r="O32" s="19">
        <f>IF(OR(N32="",M32="",M32&lt;=0),"",N32/M32)</f>
        <v/>
      </c>
      <c r="P32" s="20" t="n">
        <v>0.09134</v>
      </c>
      <c r="Q32" s="20" t="n">
        <v>0.08155451507945152</v>
      </c>
      <c r="R32" s="20" t="n">
        <v>0.003416455326785165</v>
      </c>
      <c r="S32" s="21" t="n">
        <v>4</v>
      </c>
      <c r="T32" s="20" t="n"/>
      <c r="U32" s="20" t="n">
        <v>0.07925120200425369</v>
      </c>
      <c r="V32" s="20" t="n">
        <v>0.08130215905953905</v>
      </c>
      <c r="W32" s="20" t="n">
        <v>0.08719434521702397</v>
      </c>
      <c r="X32" s="20" t="n">
        <v>0.0784703540369894</v>
      </c>
      <c r="Y32" s="14" t="n">
        <v>0.24</v>
      </c>
      <c r="Z32" s="19">
        <f>IF(OR(Y32="",F32="",F32=0),"",Y32/F32)</f>
        <v/>
      </c>
      <c r="AA32" s="22" t="n">
        <v>46.887</v>
      </c>
      <c r="AB32" s="20" t="n">
        <v>0.005</v>
      </c>
      <c r="AC32" s="20" t="n">
        <v>0.07636557921605651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2026-10-22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Terna</t>
        </is>
      </c>
      <c r="C33" s="12" t="inlineStr">
        <is>
          <t>TRN.MI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9.48</v>
      </c>
      <c r="G33" s="15" t="inlineStr">
        <is>
          <t>EUR</t>
        </is>
      </c>
      <c r="H33" s="14" t="n">
        <v>9.48</v>
      </c>
      <c r="I33" s="16" t="n">
        <v>19012.8</v>
      </c>
      <c r="J33" s="16" t="n">
        <v>19012.8</v>
      </c>
      <c r="K33" s="14" t="n">
        <v>0.51</v>
      </c>
      <c r="L33" s="14" t="n">
        <v>0.55945</v>
      </c>
      <c r="M33" s="17">
        <f>IF(OR(F33="",K33="",K33&lt;=0),"",F33/K33)</f>
        <v/>
      </c>
      <c r="N33" s="18" t="n">
        <v>3.1983805</v>
      </c>
      <c r="O33" s="19">
        <f>IF(OR(N33="",M33="",M33&lt;=0),"",N33/M33)</f>
        <v/>
      </c>
      <c r="P33" s="20" t="n">
        <v>0.13828</v>
      </c>
      <c r="Q33" s="20" t="n">
        <v>0.1473166531875201</v>
      </c>
      <c r="R33" s="20" t="n">
        <v>0.01230561727656675</v>
      </c>
      <c r="S33" s="21" t="n">
        <v>4</v>
      </c>
      <c r="T33" s="20" t="n"/>
      <c r="U33" s="20" t="n"/>
      <c r="V33" s="20" t="n">
        <v>0.1411312830599931</v>
      </c>
      <c r="W33" s="20" t="n">
        <v>0.1399974701157422</v>
      </c>
      <c r="X33" s="20" t="n">
        <v>0.1395310973624227</v>
      </c>
      <c r="Y33" s="14" t="n">
        <v>0.4</v>
      </c>
      <c r="Z33" s="19">
        <f>IF(OR(Y33="",F33="",F33=0),"",Y33/F33)</f>
        <v/>
      </c>
      <c r="AA33" s="22" t="n">
        <v>172.37</v>
      </c>
      <c r="AB33" s="20" t="n">
        <v>0.123</v>
      </c>
      <c r="AC33" s="20" t="n">
        <v>0.291854893908282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2026-10-22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Moncler</t>
        </is>
      </c>
      <c r="C34" s="12" t="inlineStr">
        <is>
          <t>MONC.MI</t>
        </is>
      </c>
      <c r="D34" s="11" t="inlineStr">
        <is>
          <t>Lusso</t>
        </is>
      </c>
      <c r="E34" s="13" t="inlineStr">
        <is>
          <t>Consumi</t>
        </is>
      </c>
      <c r="F34" s="14" t="n">
        <v>44.06</v>
      </c>
      <c r="G34" s="15" t="inlineStr">
        <is>
          <t>EUR</t>
        </is>
      </c>
      <c r="H34" s="14" t="n">
        <v>44.06</v>
      </c>
      <c r="I34" s="16" t="n">
        <v>11983.9</v>
      </c>
      <c r="J34" s="16" t="n">
        <v>11983.9</v>
      </c>
      <c r="K34" s="14" t="n">
        <v>2.35</v>
      </c>
      <c r="L34" s="14" t="n">
        <v>2.52618</v>
      </c>
      <c r="M34" s="17">
        <f>IF(OR(F34="",K34="",K34&lt;=0),"",F34/K34)</f>
        <v/>
      </c>
      <c r="N34" s="18" t="n">
        <v>3.2843833</v>
      </c>
      <c r="O34" s="19">
        <f>IF(OR(N34="",M34="",M34&lt;=0),"",N34/M34)</f>
        <v/>
      </c>
      <c r="P34" s="20" t="n">
        <v>0.18122</v>
      </c>
      <c r="Q34" s="20" t="n">
        <v>0.1851349369556408</v>
      </c>
      <c r="R34" s="20" t="n">
        <v>0.01692053914808814</v>
      </c>
      <c r="S34" s="21" t="n">
        <v>4</v>
      </c>
      <c r="T34" s="20" t="n"/>
      <c r="U34" s="20" t="n">
        <v>0.1627843667574618</v>
      </c>
      <c r="V34" s="20" t="n">
        <v>0.1783303314020599</v>
      </c>
      <c r="W34" s="20" t="n">
        <v>0.1903756142405816</v>
      </c>
      <c r="X34" s="20" t="n">
        <v>0.2090494354224597</v>
      </c>
      <c r="Y34" s="14" t="n">
        <v>1.4</v>
      </c>
      <c r="Z34" s="19">
        <f>IF(OR(Y34="",F34="",F34=0),"",Y34/F34)</f>
        <v/>
      </c>
      <c r="AA34" s="22" t="n">
        <v>33.88</v>
      </c>
      <c r="AB34" s="20" t="n">
        <v>0.052</v>
      </c>
      <c r="AC34" s="20" t="n">
        <v>0.2036704706831905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2026-10-22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MFE-MediaForEurope B</t>
        </is>
      </c>
      <c r="C35" s="12" t="inlineStr">
        <is>
          <t>MFEB.MI</t>
        </is>
      </c>
      <c r="D35" s="11" t="inlineStr">
        <is>
          <t>Media / TV</t>
        </is>
      </c>
      <c r="E35" s="13" t="inlineStr">
        <is>
          <t>Industriale</t>
        </is>
      </c>
      <c r="F35" s="14" t="n">
        <v>2.896</v>
      </c>
      <c r="G35" s="15" t="inlineStr">
        <is>
          <t>EUR</t>
        </is>
      </c>
      <c r="H35" s="14" t="n">
        <v>2.896</v>
      </c>
      <c r="I35" s="16" t="n">
        <v>2026.1</v>
      </c>
      <c r="J35" s="16" t="n">
        <v>2026.1</v>
      </c>
      <c r="K35" s="14" t="n">
        <v>0.19</v>
      </c>
      <c r="L35" s="14" t="n">
        <v>0.5222</v>
      </c>
      <c r="M35" s="17">
        <f>IF(OR(F35="",K35="",K35&lt;=0),"",F35/K35)</f>
        <v/>
      </c>
      <c r="N35" s="18" t="n">
        <v>0.58164287</v>
      </c>
      <c r="O35" s="19">
        <f>IF(OR(N35="",M35="",M35&lt;=0),"",N35/M35)</f>
        <v/>
      </c>
      <c r="P35" s="20" t="n">
        <v>0.055760004</v>
      </c>
      <c r="Q35" s="20" t="n">
        <v>0.07215163334997049</v>
      </c>
      <c r="R35" s="20" t="n">
        <v>0.01470500804818441</v>
      </c>
      <c r="S35" s="21" t="n">
        <v>4</v>
      </c>
      <c r="T35" s="20" t="n"/>
      <c r="U35" s="20" t="n">
        <v>0.08632122864934692</v>
      </c>
      <c r="V35" s="20" t="n">
        <v>0.04807055460661624</v>
      </c>
      <c r="W35" s="20" t="n">
        <v>0.07291485134711234</v>
      </c>
      <c r="X35" s="20" t="n">
        <v>0.08129989879680648</v>
      </c>
      <c r="Y35" s="14" t="n">
        <v>0.22</v>
      </c>
      <c r="Z35" s="19">
        <f>IF(OR(Y35="",F35="",F35=0),"",Y35/F35)</f>
        <v/>
      </c>
      <c r="AA35" s="22" t="n">
        <v>88.622</v>
      </c>
      <c r="AB35" s="20" t="n">
        <v>0.945</v>
      </c>
      <c r="AC35" s="20" t="n">
        <v>0.0410969196093163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2026-10-22</t>
        </is>
      </c>
      <c r="AI35" s="11" t="inlineStr">
        <is>
          <t>yahoo</t>
        </is>
      </c>
      <c r="AJ35" s="23" t="inlineStr">
        <is>
          <t>Stessa societa' di MFEA, voto multiplo</t>
        </is>
      </c>
    </row>
    <row r="36">
      <c r="A36" s="10">
        <f>IF(AD36="","",RANK(AD36,AD$2:AD$67))</f>
        <v/>
      </c>
      <c r="B36" s="11" t="inlineStr">
        <is>
          <t>Tenaris</t>
        </is>
      </c>
      <c r="C36" s="12" t="inlineStr">
        <is>
          <t>TEN.MI</t>
        </is>
      </c>
      <c r="D36" s="11" t="inlineStr">
        <is>
          <t>Oil service</t>
        </is>
      </c>
      <c r="E36" s="13" t="inlineStr">
        <is>
          <t>Energia</t>
        </is>
      </c>
      <c r="F36" s="14" t="n">
        <v>24.81</v>
      </c>
      <c r="G36" s="15" t="inlineStr">
        <is>
          <t>EUR</t>
        </is>
      </c>
      <c r="H36" s="14" t="n">
        <v>24.81</v>
      </c>
      <c r="I36" s="16" t="n">
        <v>25049.2</v>
      </c>
      <c r="J36" s="16" t="n">
        <v>25049.2</v>
      </c>
      <c r="K36" s="14" t="n">
        <v>1.61</v>
      </c>
      <c r="L36" s="14" t="n">
        <v>1.9281154</v>
      </c>
      <c r="M36" s="17">
        <f>IF(OR(F36="",K36="",K36&lt;=0),"",F36/K36)</f>
        <v/>
      </c>
      <c r="N36" s="18" t="n">
        <v>1.6559393</v>
      </c>
      <c r="O36" s="19">
        <f>IF(OR(N36="",M36="",M36&lt;=0),"",N36/M36)</f>
        <v/>
      </c>
      <c r="P36" s="20" t="n">
        <v>0.115839995</v>
      </c>
      <c r="Q36" s="20" t="n">
        <v>0.163851096927405</v>
      </c>
      <c r="R36" s="20" t="n">
        <v>0.04758970868898593</v>
      </c>
      <c r="S36" s="21" t="n">
        <v>4</v>
      </c>
      <c r="T36" s="20" t="n"/>
      <c r="U36" s="20" t="n">
        <v>0.1164401927780697</v>
      </c>
      <c r="V36" s="20" t="n">
        <v>0.1227272620438531</v>
      </c>
      <c r="W36" s="20" t="n">
        <v>0.2326231380067603</v>
      </c>
      <c r="X36" s="20" t="n">
        <v>0.183613794880937</v>
      </c>
      <c r="Y36" s="14" t="n">
        <v>0.77</v>
      </c>
      <c r="Z36" s="19">
        <f>IF(OR(Y36="",F36="",F36=0),"",Y36/F36)</f>
        <v/>
      </c>
      <c r="AA36" s="22" t="n">
        <v>2.596</v>
      </c>
      <c r="AB36" s="20" t="n">
        <v>-0.039</v>
      </c>
      <c r="AC36" s="20" t="n">
        <v>0.1596170600218326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2026-10-22</t>
        </is>
      </c>
      <c r="AI36" s="11" t="inlineStr">
        <is>
          <t>yahoo</t>
        </is>
      </c>
      <c r="AJ36" s="23" t="inlineStr">
        <is>
          <t>Bilancio in USD</t>
        </is>
      </c>
    </row>
    <row r="37">
      <c r="A37" s="10">
        <f>IF(AD37="","",RANK(AD37,AD$2:AD$67))</f>
        <v/>
      </c>
      <c r="B37" s="11" t="inlineStr">
        <is>
          <t>Webuild</t>
        </is>
      </c>
      <c r="C37" s="12" t="inlineStr">
        <is>
          <t>WBD.MI</t>
        </is>
      </c>
      <c r="D37" s="11" t="inlineStr">
        <is>
          <t>Costruzioni</t>
        </is>
      </c>
      <c r="E37" s="13" t="inlineStr">
        <is>
          <t>Industriale</t>
        </is>
      </c>
      <c r="F37" s="14" t="n">
        <v>1.87</v>
      </c>
      <c r="G37" s="15" t="inlineStr">
        <is>
          <t>EUR</t>
        </is>
      </c>
      <c r="H37" s="14" t="n">
        <v>1.87</v>
      </c>
      <c r="I37" s="16" t="n">
        <v>1849.1</v>
      </c>
      <c r="J37" s="16" t="n">
        <v>1849.1</v>
      </c>
      <c r="K37" s="14" t="n">
        <v>0.25</v>
      </c>
      <c r="L37" s="14" t="n">
        <v>0.35671</v>
      </c>
      <c r="M37" s="17">
        <f>IF(OR(F37="",K37="",K37&lt;=0),"",F37/K37)</f>
        <v/>
      </c>
      <c r="N37" s="18" t="n">
        <v>1.052928</v>
      </c>
      <c r="O37" s="19">
        <f>IF(OR(N37="",M37="",M37&lt;=0),"",N37/M37)</f>
        <v/>
      </c>
      <c r="P37" s="20" t="n">
        <v>0.11915</v>
      </c>
      <c r="Q37" s="20" t="n">
        <v>0.08623905340303167</v>
      </c>
      <c r="R37" s="20" t="n">
        <v>0.05099301347626185</v>
      </c>
      <c r="S37" s="21" t="n">
        <v>4</v>
      </c>
      <c r="T37" s="20" t="n"/>
      <c r="U37" s="20" t="n">
        <v>0.1431968553016038</v>
      </c>
      <c r="V37" s="20" t="n">
        <v>0.1135025665119075</v>
      </c>
      <c r="W37" s="20" t="n">
        <v>0.08199027909741466</v>
      </c>
      <c r="X37" s="20" t="n">
        <v>0.006266512701200791</v>
      </c>
      <c r="Y37" s="14" t="n">
        <v>0.08</v>
      </c>
      <c r="Z37" s="19">
        <f>IF(OR(Y37="",F37="",F37=0),"",Y37/F37)</f>
        <v/>
      </c>
      <c r="AA37" s="22" t="n">
        <v>175.257</v>
      </c>
      <c r="AB37" s="20" t="n">
        <v>-0.034</v>
      </c>
      <c r="AC37" s="20" t="n">
        <v>0.01923260372838383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2026-10-22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100.1</v>
      </c>
      <c r="G38" s="15" t="inlineStr">
        <is>
          <t>EUR</t>
        </is>
      </c>
      <c r="H38" s="14" t="n">
        <v>100.1</v>
      </c>
      <c r="I38" s="16" t="n">
        <v>29957.3</v>
      </c>
      <c r="J38" s="16" t="n">
        <v>29957.3</v>
      </c>
      <c r="K38" s="14" t="n">
        <v>4.7</v>
      </c>
      <c r="L38" s="14" t="n">
        <v>6.14297</v>
      </c>
      <c r="M38" s="17">
        <f>IF(OR(F38="",K38="",K38&lt;=0),"",F38/K38)</f>
        <v/>
      </c>
      <c r="N38" s="18" t="n">
        <v>4.1244335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2026-10-22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Snam</t>
        </is>
      </c>
      <c r="C39" s="12" t="inlineStr">
        <is>
          <t>SRG.MI</t>
        </is>
      </c>
      <c r="D39" s="11" t="inlineStr">
        <is>
          <t>Utility / Reti</t>
        </is>
      </c>
      <c r="E39" s="13" t="inlineStr">
        <is>
          <t>Utility</t>
        </is>
      </c>
      <c r="F39" s="14" t="n">
        <v>5.892</v>
      </c>
      <c r="G39" s="15" t="inlineStr">
        <is>
          <t>EUR</t>
        </is>
      </c>
      <c r="H39" s="14" t="n">
        <v>5.892</v>
      </c>
      <c r="I39" s="16" t="n">
        <v>19776</v>
      </c>
      <c r="J39" s="16" t="n">
        <v>19776</v>
      </c>
      <c r="K39" s="14" t="n">
        <v>0.33</v>
      </c>
      <c r="L39" s="14" t="n">
        <v>0.43643</v>
      </c>
      <c r="M39" s="17">
        <f>IF(OR(F39="",K39="",K39&lt;=0),"",F39/K39)</f>
        <v/>
      </c>
      <c r="N39" s="18" t="n">
        <v>2.3902638</v>
      </c>
      <c r="O39" s="19">
        <f>IF(OR(N39="",M39="",M39&lt;=0),"",N39/M39)</f>
        <v/>
      </c>
      <c r="P39" s="20" t="n">
        <v>0.1238</v>
      </c>
      <c r="Q39" s="20" t="n">
        <v>0.1292498210780141</v>
      </c>
      <c r="R39" s="20" t="n">
        <v>0.02310306594021611</v>
      </c>
      <c r="S39" s="21" t="n">
        <v>4</v>
      </c>
      <c r="T39" s="20" t="n"/>
      <c r="U39" s="20" t="n">
        <v>0.1374905272274548</v>
      </c>
      <c r="V39" s="20" t="n">
        <v>0.1410012319408668</v>
      </c>
      <c r="W39" s="20" t="n">
        <v>0.1486574983628029</v>
      </c>
      <c r="X39" s="20" t="n">
        <v>0.08985002678093197</v>
      </c>
      <c r="Y39" s="14" t="n">
        <v>0.3</v>
      </c>
      <c r="Z39" s="19">
        <f>IF(OR(Y39="",F39="",F39=0),"",Y39/F39)</f>
        <v/>
      </c>
      <c r="AA39" s="22" t="n">
        <v>234.16</v>
      </c>
      <c r="AB39" s="20" t="n">
        <v>0.097</v>
      </c>
      <c r="AC39" s="20" t="n">
        <v>0.2889407933541018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2026-10-22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Banco Desio e Brianza</t>
        </is>
      </c>
      <c r="C40" s="12" t="inlineStr">
        <is>
          <t>BDB.MI</t>
        </is>
      </c>
      <c r="D40" s="11" t="inlineStr">
        <is>
          <t>Banca</t>
        </is>
      </c>
      <c r="E40" s="13" t="inlineStr">
        <is>
          <t>Finanziario</t>
        </is>
      </c>
      <c r="F40" s="14" t="n">
        <v>15.52</v>
      </c>
      <c r="G40" s="15" t="inlineStr">
        <is>
          <t>EUR</t>
        </is>
      </c>
      <c r="H40" s="14" t="n">
        <v>15.52</v>
      </c>
      <c r="I40" s="16" t="n">
        <v>2040.5</v>
      </c>
      <c r="J40" s="16" t="n">
        <v>2040.5</v>
      </c>
      <c r="K40" s="14" t="n">
        <v>1.02</v>
      </c>
      <c r="L40" s="14" t="n"/>
      <c r="M40" s="17">
        <f>IF(OR(F40="",K40="",K40&lt;=0),"",F40/K40)</f>
        <v/>
      </c>
      <c r="N40" s="18" t="n">
        <v>1.3631972</v>
      </c>
      <c r="O40" s="19">
        <f>IF(OR(N40="",M40="",M40&lt;=0),"",N40/M40)</f>
        <v/>
      </c>
      <c r="P40" s="20" t="n">
        <v>0.09042</v>
      </c>
      <c r="Q40" s="20" t="n">
        <v>0.1057732555853402</v>
      </c>
      <c r="R40" s="20" t="n">
        <v>0.04181671720819548</v>
      </c>
      <c r="S40" s="21" t="n">
        <v>4</v>
      </c>
      <c r="T40" s="20" t="n"/>
      <c r="U40" s="20" t="n">
        <v>0.08541270271503291</v>
      </c>
      <c r="V40" s="20" t="n">
        <v>0.08758728118881172</v>
      </c>
      <c r="W40" s="20" t="n">
        <v>0.1775172357765608</v>
      </c>
      <c r="X40" s="20" t="n">
        <v>0.07257580266095537</v>
      </c>
      <c r="Y40" s="14" t="n">
        <v>0.51</v>
      </c>
      <c r="Z40" s="19">
        <f>IF(OR(Y40="",F40="",F40=0),"",Y40/F40)</f>
        <v/>
      </c>
      <c r="AA40" s="22" t="n"/>
      <c r="AB40" s="20" t="n">
        <v>0.079</v>
      </c>
      <c r="AC40" s="20" t="n">
        <v>0.2061490474278459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2026-10-22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Danieli &amp; C. ord.</t>
        </is>
      </c>
      <c r="C41" s="12" t="inlineStr">
        <is>
          <t>DAN.MI</t>
        </is>
      </c>
      <c r="D41" s="11" t="inlineStr">
        <is>
          <t>Impiantistica</t>
        </is>
      </c>
      <c r="E41" s="13" t="inlineStr">
        <is>
          <t>Industriale</t>
        </is>
      </c>
      <c r="F41" s="14" t="n">
        <v>49.8</v>
      </c>
      <c r="G41" s="15" t="inlineStr">
        <is>
          <t>EUR</t>
        </is>
      </c>
      <c r="H41" s="14" t="n">
        <v>49.8</v>
      </c>
      <c r="I41" s="16" t="n">
        <v>3789</v>
      </c>
      <c r="J41" s="16" t="n">
        <v>3789</v>
      </c>
      <c r="K41" s="14" t="n">
        <v>3.21</v>
      </c>
      <c r="L41" s="14" t="n">
        <v>4.17965</v>
      </c>
      <c r="M41" s="17">
        <f>IF(OR(F41="",K41="",K41&lt;=0),"",F41/K41)</f>
        <v/>
      </c>
      <c r="N41" s="18" t="n">
        <v>1.2487462</v>
      </c>
      <c r="O41" s="19">
        <f>IF(OR(N41="",M41="",M41&lt;=0),"",N41/M41)</f>
        <v/>
      </c>
      <c r="P41" s="20" t="n">
        <v>0.08036</v>
      </c>
      <c r="Q41" s="20" t="n">
        <v>0.0968440934016148</v>
      </c>
      <c r="R41" s="20" t="n">
        <v>0.00397470844110338</v>
      </c>
      <c r="S41" s="21" t="n">
        <v>3</v>
      </c>
      <c r="T41" s="20" t="n"/>
      <c r="U41" s="20" t="n"/>
      <c r="V41" s="20" t="n">
        <v>0.09166035137508417</v>
      </c>
      <c r="W41" s="20" t="n">
        <v>0.1013185357254691</v>
      </c>
      <c r="X41" s="20" t="n">
        <v>0.09755339310429112</v>
      </c>
      <c r="Y41" s="14" t="n">
        <v>0.31</v>
      </c>
      <c r="Z41" s="19">
        <f>IF(OR(Y41="",F41="",F41=0),"",Y41/F41)</f>
        <v/>
      </c>
      <c r="AA41" s="22" t="n">
        <v>29.397</v>
      </c>
      <c r="AB41" s="20" t="n">
        <v>-0.048</v>
      </c>
      <c r="AC41" s="20" t="n">
        <v>0.05336443329885146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2026-10-22</t>
        </is>
      </c>
      <c r="AI41" s="11" t="inlineStr">
        <is>
          <t>yahoo</t>
        </is>
      </c>
      <c r="AJ41" s="23" t="inlineStr">
        <is>
          <t>Verificare se posizione e' su risparmio (DANR.MI)</t>
        </is>
      </c>
    </row>
    <row r="42">
      <c r="A42" s="10">
        <f>IF(AD42="","",RANK(AD42,AD$2:AD$67))</f>
        <v/>
      </c>
      <c r="B42" s="11" t="inlineStr">
        <is>
          <t>Lottomatica Group</t>
        </is>
      </c>
      <c r="C42" s="12" t="inlineStr">
        <is>
          <t>LTMC.MI</t>
        </is>
      </c>
      <c r="D42" s="11" t="inlineStr">
        <is>
          <t>Gaming / Concessioni</t>
        </is>
      </c>
      <c r="E42" s="13" t="inlineStr">
        <is>
          <t>Consumi</t>
        </is>
      </c>
      <c r="F42" s="14" t="n">
        <v>24.83</v>
      </c>
      <c r="G42" s="15" t="inlineStr">
        <is>
          <t>EUR</t>
        </is>
      </c>
      <c r="H42" s="14" t="n">
        <v>24.83</v>
      </c>
      <c r="I42" s="16" t="n">
        <v>5736.4</v>
      </c>
      <c r="J42" s="16" t="n">
        <v>5736.4</v>
      </c>
      <c r="K42" s="14" t="n">
        <v>0.9</v>
      </c>
      <c r="L42" s="14" t="n">
        <v>2.26278</v>
      </c>
      <c r="M42" s="17">
        <f>IF(OR(F42="",K42="",K42&lt;=0),"",F42/K42)</f>
        <v/>
      </c>
      <c r="N42" s="18" t="n">
        <v>25.784008</v>
      </c>
      <c r="O42" s="19">
        <f>IF(OR(N42="",M42="",M42&lt;=0),"",N42/M42)</f>
        <v/>
      </c>
      <c r="P42" s="20" t="n">
        <v>0.54611</v>
      </c>
      <c r="Q42" s="20" t="n">
        <v>0.5665811918142258</v>
      </c>
      <c r="R42" s="20" t="n">
        <v>0.5068808803966198</v>
      </c>
      <c r="S42" s="21" t="n">
        <v>4</v>
      </c>
      <c r="T42" s="20" t="n"/>
      <c r="U42" s="20" t="n">
        <v>0.53617682345341</v>
      </c>
      <c r="V42" s="20" t="n">
        <v>0.1903530906289759</v>
      </c>
      <c r="W42" s="20" t="n">
        <v>0.136428439475354</v>
      </c>
      <c r="X42" s="20" t="n">
        <v>1.403366413699163</v>
      </c>
      <c r="Y42" s="14" t="n">
        <v>0.44</v>
      </c>
      <c r="Z42" s="19">
        <f>IF(OR(Y42="",F42="",F42=0),"",Y42/F42)</f>
        <v/>
      </c>
      <c r="AA42" s="22" t="n">
        <v>889.71</v>
      </c>
      <c r="AB42" s="20" t="n">
        <v>0.043</v>
      </c>
      <c r="AC42" s="20" t="n">
        <v>0.09803410237833739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2026-10-22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48.325</v>
      </c>
      <c r="G43" s="15" t="inlineStr">
        <is>
          <t>EUR</t>
        </is>
      </c>
      <c r="H43" s="14" t="n">
        <v>48.325</v>
      </c>
      <c r="I43" s="16" t="n">
        <v>27873.7</v>
      </c>
      <c r="J43" s="16" t="n">
        <v>27873.7</v>
      </c>
      <c r="K43" s="14" t="n">
        <v>2</v>
      </c>
      <c r="L43" s="14" t="n">
        <v>2.86701</v>
      </c>
      <c r="M43" s="17">
        <f>IF(OR(F43="",K43="",K43&lt;=0),"",F43/K43)</f>
        <v/>
      </c>
      <c r="N43" s="18" t="n">
        <v>2.8873158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2026-10-22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50</v>
      </c>
      <c r="G44" s="15" t="inlineStr">
        <is>
          <t>CHF</t>
        </is>
      </c>
      <c r="H44" s="14" t="n">
        <v>54.21817393190197</v>
      </c>
      <c r="I44" s="16" t="n">
        <v>2990.132292344394</v>
      </c>
      <c r="J44" s="16" t="n">
        <v>2757.5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0.8939746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2026-10-22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36.96</v>
      </c>
      <c r="G45" s="15" t="inlineStr">
        <is>
          <t>EUR</t>
        </is>
      </c>
      <c r="H45" s="14" t="n">
        <v>36.96</v>
      </c>
      <c r="I45" s="16" t="n">
        <v>3884.3</v>
      </c>
      <c r="J45" s="16" t="n">
        <v>3884.3</v>
      </c>
      <c r="K45" s="14" t="n">
        <v>2</v>
      </c>
      <c r="L45" s="14" t="n">
        <v>2.38934</v>
      </c>
      <c r="M45" s="17">
        <f>IF(OR(F45="",K45="",K45&lt;=0),"",F45/K45)</f>
        <v/>
      </c>
      <c r="N45" s="18" t="n">
        <v>1.8030146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2026-10-21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9.196999999999999</v>
      </c>
      <c r="G46" s="15" t="inlineStr">
        <is>
          <t>EUR</t>
        </is>
      </c>
      <c r="H46" s="14" t="n">
        <v>9.196999999999999</v>
      </c>
      <c r="I46" s="16" t="n">
        <v>91395.60000000001</v>
      </c>
      <c r="J46" s="16" t="n">
        <v>91395.60000000001</v>
      </c>
      <c r="K46" s="14" t="n">
        <v>0.42</v>
      </c>
      <c r="L46" s="14" t="n">
        <v>0.75905</v>
      </c>
      <c r="M46" s="17">
        <f>IF(OR(F46="",K46="",K46&lt;=0),"",F46/K46)</f>
        <v/>
      </c>
      <c r="N46" s="18" t="n">
        <v>3.6965435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2026-10-22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79.64</v>
      </c>
      <c r="G47" s="15" t="inlineStr">
        <is>
          <t>EUR</t>
        </is>
      </c>
      <c r="H47" s="14" t="n">
        <v>79.64</v>
      </c>
      <c r="I47" s="16" t="n">
        <v>3923.5</v>
      </c>
      <c r="J47" s="16" t="n">
        <v>3923.5</v>
      </c>
      <c r="K47" s="14" t="n">
        <v>2.72</v>
      </c>
      <c r="L47" s="14" t="n">
        <v>4.32937</v>
      </c>
      <c r="M47" s="17">
        <f>IF(OR(F47="",K47="",K47&lt;=0),"",F47/K47)</f>
        <v/>
      </c>
      <c r="N47" s="18" t="n">
        <v>2.7693164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2026-10-22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11.585</v>
      </c>
      <c r="G48" s="15" t="inlineStr">
        <is>
          <t>USD</t>
        </is>
      </c>
      <c r="H48" s="14" t="n">
        <v>10.32339355832718</v>
      </c>
      <c r="I48" s="16" t="n">
        <v>16601.63864379926</v>
      </c>
      <c r="J48" s="16" t="n">
        <v>18630.5</v>
      </c>
      <c r="K48" s="14" t="n">
        <v>0.25</v>
      </c>
      <c r="L48" s="14" t="n">
        <v>0.68704</v>
      </c>
      <c r="M48" s="17">
        <f>IF(OR(F48="",K48="",K48&lt;=0),"",F48/K48)</f>
        <v/>
      </c>
      <c r="N48" s="18" t="n">
        <v>1.8488669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2026-10-22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26.13</v>
      </c>
      <c r="G49" s="15" t="inlineStr">
        <is>
          <t>EUR</t>
        </is>
      </c>
      <c r="H49" s="14" t="n">
        <v>26.13</v>
      </c>
      <c r="I49" s="16" t="n">
        <v>74833.10000000001</v>
      </c>
      <c r="J49" s="16" t="n">
        <v>74833.10000000001</v>
      </c>
      <c r="K49" s="14" t="n">
        <v>1.23</v>
      </c>
      <c r="L49" s="14" t="n">
        <v>2.6635</v>
      </c>
      <c r="M49" s="17">
        <f>IF(OR(F49="",K49="",K49&lt;=0),"",F49/K49)</f>
        <v/>
      </c>
      <c r="N49" s="18" t="n">
        <v>1.6554738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2026-10-22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STMicroelectronics</t>
        </is>
      </c>
      <c r="C50" s="12" t="inlineStr">
        <is>
          <t>STMMI.MI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39.935</v>
      </c>
      <c r="G50" s="15" t="inlineStr">
        <is>
          <t>EUR</t>
        </is>
      </c>
      <c r="H50" s="14" t="n">
        <v>39.935</v>
      </c>
      <c r="I50" s="16" t="n">
        <v>35755.9</v>
      </c>
      <c r="J50" s="16" t="n">
        <v>35755.9</v>
      </c>
      <c r="K50" s="14" t="n">
        <v>0.03</v>
      </c>
      <c r="L50" s="14" t="n">
        <v>1.42</v>
      </c>
      <c r="M50" s="17">
        <f>IF(OR(F50="",K50="",K50&lt;=0),"",F50/K50)</f>
        <v/>
      </c>
      <c r="N50" s="18" t="n">
        <v>2.2678387</v>
      </c>
      <c r="O50" s="19">
        <f>IF(OR(N50="",M50="",M50&lt;=0),"",N50/M50)</f>
        <v/>
      </c>
      <c r="P50" s="20" t="n">
        <v>0.02686</v>
      </c>
      <c r="Q50" s="20" t="n">
        <v>0.1655610564349585</v>
      </c>
      <c r="R50" s="20" t="n">
        <v>0.1215552570620177</v>
      </c>
      <c r="S50" s="21" t="n">
        <v>4</v>
      </c>
      <c r="T50" s="20" t="n"/>
      <c r="U50" s="20" t="n">
        <v>0.009311195871662552</v>
      </c>
      <c r="V50" s="20" t="n">
        <v>0.08923147458307067</v>
      </c>
      <c r="W50" s="20" t="n">
        <v>0.2517185725387052</v>
      </c>
      <c r="X50" s="20" t="n">
        <v>0.3119829827463956</v>
      </c>
      <c r="Y50" s="14" t="n">
        <v>0.32</v>
      </c>
      <c r="Z50" s="19">
        <f>IF(OR(Y50="",F50="",F50=0),"",Y50/F50)</f>
        <v/>
      </c>
      <c r="AA50" s="22" t="n">
        <v>23.446</v>
      </c>
      <c r="AB50" s="20" t="n">
        <v>0.261</v>
      </c>
      <c r="AC50" s="20" t="n">
        <v>0.03949152542372882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2026-10-22</t>
        </is>
      </c>
      <c r="AI50" s="11" t="inlineStr">
        <is>
          <t>yahoo</t>
        </is>
      </c>
      <c r="AJ50" s="23" t="inlineStr">
        <is>
          <t>Bilancio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12.895</v>
      </c>
      <c r="G51" s="15" t="inlineStr">
        <is>
          <t>EUR</t>
        </is>
      </c>
      <c r="H51" s="14" t="n">
        <v>12.895</v>
      </c>
      <c r="I51" s="16" t="n">
        <v>3426.8</v>
      </c>
      <c r="J51" s="16" t="n">
        <v>3426.8</v>
      </c>
      <c r="K51" s="14" t="n">
        <v>0.31</v>
      </c>
      <c r="L51" s="14" t="n">
        <v>0.87932</v>
      </c>
      <c r="M51" s="17">
        <f>IF(OR(F51="",K51="",K51&lt;=0),"",F51/K51)</f>
        <v/>
      </c>
      <c r="N51" s="18" t="n">
        <v>2.2638695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2026-10-22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6.708</v>
      </c>
      <c r="G52" s="15" t="inlineStr">
        <is>
          <t>EUR</t>
        </is>
      </c>
      <c r="H52" s="14" t="n">
        <v>6.708</v>
      </c>
      <c r="I52" s="16" t="n">
        <v>8045.3</v>
      </c>
      <c r="J52" s="16" t="n">
        <v>8045.3</v>
      </c>
      <c r="K52" s="14" t="n">
        <v>0.15</v>
      </c>
      <c r="L52" s="14" t="n">
        <v>0.35193</v>
      </c>
      <c r="M52" s="17">
        <f>IF(OR(F52="",K52="",K52&lt;=0),"",F52/K52)</f>
        <v/>
      </c>
      <c r="N52" s="18" t="n">
        <v>2.015625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2026-10-22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14.32</v>
      </c>
      <c r="G53" s="15" t="inlineStr">
        <is>
          <t>EUR</t>
        </is>
      </c>
      <c r="H53" s="14" t="n">
        <v>14.32</v>
      </c>
      <c r="I53" s="16" t="n">
        <v>3814.1</v>
      </c>
      <c r="J53" s="16" t="n">
        <v>3814.1</v>
      </c>
      <c r="K53" s="14" t="n">
        <v>0.23</v>
      </c>
      <c r="L53" s="14" t="n">
        <v>2.04021</v>
      </c>
      <c r="M53" s="17">
        <f>IF(OR(F53="",K53="",K53&lt;=0),"",F53/K53)</f>
        <v/>
      </c>
      <c r="N53" s="18" t="n">
        <v>1.545435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2026-10-22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INWIT</t>
        </is>
      </c>
      <c r="C54" s="12" t="inlineStr">
        <is>
          <t>INW.MI</t>
        </is>
      </c>
      <c r="D54" s="11" t="inlineStr">
        <is>
          <t>Torri / Infrastrutture</t>
        </is>
      </c>
      <c r="E54" s="13" t="inlineStr">
        <is>
          <t>Industriale</t>
        </is>
      </c>
      <c r="F54" s="14" t="n">
        <v>7.38</v>
      </c>
      <c r="G54" s="15" t="inlineStr">
        <is>
          <t>EUR</t>
        </is>
      </c>
      <c r="H54" s="14" t="n">
        <v>7.38</v>
      </c>
      <c r="I54" s="16" t="n">
        <v>6660.4</v>
      </c>
      <c r="J54" s="16" t="n">
        <v>6660.4</v>
      </c>
      <c r="K54" s="14" t="n">
        <v>0.37</v>
      </c>
      <c r="L54" s="14" t="n">
        <v>0.35606</v>
      </c>
      <c r="M54" s="17">
        <f>IF(OR(F54="",K54="",K54&lt;=0),"",F54/K54)</f>
        <v/>
      </c>
      <c r="N54" s="18" t="n">
        <v>2.193817</v>
      </c>
      <c r="O54" s="19">
        <f>IF(OR(N54="",M54="",M54&lt;=0),"",N54/M54)</f>
        <v/>
      </c>
      <c r="P54" s="20" t="n">
        <v>0.098620005</v>
      </c>
      <c r="Q54" s="20" t="n">
        <v>0.098620005</v>
      </c>
      <c r="R54" s="20" t="n"/>
      <c r="S54" s="21" t="n">
        <v>0</v>
      </c>
      <c r="T54" s="20" t="n"/>
      <c r="U54" s="20" t="n">
        <v>0.1042395007229944</v>
      </c>
      <c r="V54" s="20" t="n">
        <v>0.0868230114415488</v>
      </c>
      <c r="W54" s="20" t="n">
        <v>0.0782900743220354</v>
      </c>
      <c r="X54" s="20" t="n">
        <v>0.06567616975021522</v>
      </c>
      <c r="Y54" s="14" t="n">
        <v>0.55</v>
      </c>
      <c r="Z54" s="19">
        <f>IF(OR(Y54="",F54="",F54=0),"",Y54/F54)</f>
        <v/>
      </c>
      <c r="AA54" s="22" t="n">
        <v>176.713</v>
      </c>
      <c r="AB54" s="20" t="n">
        <v>-0.008</v>
      </c>
      <c r="AC54" s="20" t="n">
        <v>0.31455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2026-10-22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7.77</v>
      </c>
      <c r="G55" s="15" t="inlineStr">
        <is>
          <t>EUR</t>
        </is>
      </c>
      <c r="H55" s="14" t="n">
        <v>7.77</v>
      </c>
      <c r="I55" s="16" t="n">
        <v>384.2</v>
      </c>
      <c r="J55" s="16" t="n">
        <v>384.2</v>
      </c>
      <c r="K55" s="14" t="n">
        <v>0.44</v>
      </c>
      <c r="L55" s="14" t="n">
        <v>0.63139</v>
      </c>
      <c r="M55" s="17">
        <f>IF(OR(F55="",K55="",K55&lt;=0),"",F55/K55)</f>
        <v/>
      </c>
      <c r="N55" s="18" t="n">
        <v>1.0194174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2026-10-22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21.86</v>
      </c>
      <c r="G56" s="15" t="inlineStr">
        <is>
          <t>EUR</t>
        </is>
      </c>
      <c r="H56" s="14" t="n">
        <v>21.86</v>
      </c>
      <c r="I56" s="16" t="n">
        <v>3177.5</v>
      </c>
      <c r="J56" s="16" t="n">
        <v>3177.5</v>
      </c>
      <c r="K56" s="14" t="n">
        <v>0.55</v>
      </c>
      <c r="L56" s="14" t="n">
        <v>1.16663</v>
      </c>
      <c r="M56" s="17">
        <f>IF(OR(F56="",K56="",K56&lt;=0),"",F56/K56)</f>
        <v/>
      </c>
      <c r="N56" s="18" t="n">
        <v>1.6816679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2026-10-22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5.75</v>
      </c>
      <c r="G57" s="15" t="inlineStr">
        <is>
          <t>EUR</t>
        </is>
      </c>
      <c r="H57" s="14" t="n">
        <v>5.75</v>
      </c>
      <c r="I57" s="16" t="n">
        <v>12266.2</v>
      </c>
      <c r="J57" s="16" t="n">
        <v>12266.2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1.0610814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2026-10-22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12.065</v>
      </c>
      <c r="G58" s="15" t="inlineStr">
        <is>
          <t>EUR</t>
        </is>
      </c>
      <c r="H58" s="14" t="n">
        <v>12.065</v>
      </c>
      <c r="I58" s="16" t="n">
        <v>4569.2</v>
      </c>
      <c r="J58" s="16" t="n">
        <v>4569.2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2.6763532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2026-10-22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6.655</v>
      </c>
      <c r="G59" s="15" t="inlineStr">
        <is>
          <t>EUR</t>
        </is>
      </c>
      <c r="H59" s="14" t="n">
        <v>6.655</v>
      </c>
      <c r="I59" s="16" t="n">
        <v>1096</v>
      </c>
      <c r="J59" s="16" t="n">
        <v>1096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1.8810062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2026-10-22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4.216</v>
      </c>
      <c r="G60" s="15" t="inlineStr">
        <is>
          <t>EUR</t>
        </is>
      </c>
      <c r="H60" s="14" t="n">
        <v>4.216</v>
      </c>
      <c r="I60" s="16" t="n">
        <v>8180.2</v>
      </c>
      <c r="J60" s="16" t="n">
        <v>8180.2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3.5369127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2026-10-22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68.34999999999999</v>
      </c>
      <c r="G61" s="15" t="inlineStr">
        <is>
          <t>EUR</t>
        </is>
      </c>
      <c r="H61" s="14" t="n">
        <v>68.34999999999999</v>
      </c>
      <c r="I61" s="16" t="n">
        <v>22499.5</v>
      </c>
      <c r="J61" s="16" t="n">
        <v>22499.5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0.43290728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2026-10-22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8.382</v>
      </c>
      <c r="G62" s="15" t="inlineStr">
        <is>
          <t>EUR</t>
        </is>
      </c>
      <c r="H62" s="14" t="n">
        <v>8.382</v>
      </c>
      <c r="I62" s="16" t="n">
        <v>1542.8</v>
      </c>
      <c r="J62" s="16" t="n">
        <v>1542.8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0.808605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2026-10-22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0.262</v>
      </c>
      <c r="G63" s="15" t="inlineStr">
        <is>
          <t>EUR</t>
        </is>
      </c>
      <c r="H63" s="14" t="n">
        <v>0.262</v>
      </c>
      <c r="I63" s="16" t="n">
        <v>95.90000000000001</v>
      </c>
      <c r="J63" s="16" t="n">
        <v>95.90000000000001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1.2657005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2026-10-22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1.614</v>
      </c>
      <c r="G64" s="15" t="inlineStr">
        <is>
          <t>EUR</t>
        </is>
      </c>
      <c r="H64" s="14" t="n">
        <v>1.614</v>
      </c>
      <c r="I64" s="16" t="n">
        <v>673.1</v>
      </c>
      <c r="J64" s="16" t="n">
        <v>673.1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57.642853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2026-10-22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4.431</v>
      </c>
      <c r="G65" s="15" t="inlineStr">
        <is>
          <t>EUR</t>
        </is>
      </c>
      <c r="H65" s="14" t="n">
        <v>4.431</v>
      </c>
      <c r="I65" s="16" t="n">
        <v>5205.2</v>
      </c>
      <c r="J65" s="16" t="n">
        <v>5205.2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0.7654172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2026-10-22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</v>
      </c>
      <c r="G66" s="15" t="inlineStr">
        <is>
          <t>EUR</t>
        </is>
      </c>
      <c r="H66" s="14" t="n">
        <v>0.02</v>
      </c>
      <c r="I66" s="16" t="n">
        <v>36</v>
      </c>
      <c r="J66" s="16" t="n">
        <v>36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2026-10-22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3.7935</v>
      </c>
      <c r="G67" s="15" t="inlineStr">
        <is>
          <t>EUR</t>
        </is>
      </c>
      <c r="H67" s="14" t="n">
        <v>3.7935</v>
      </c>
      <c r="I67" s="16" t="n">
        <v>11014.1</v>
      </c>
      <c r="J67" s="16" t="n">
        <v>11014.1</v>
      </c>
      <c r="K67" s="14" t="n">
        <v>-7.49</v>
      </c>
      <c r="L67" s="14" t="n">
        <v>1.02592</v>
      </c>
      <c r="M67" s="17">
        <f>IF(OR(F67="",K67="",K67&lt;=0),"",F67/K67)</f>
        <v/>
      </c>
      <c r="N67" s="18" t="n">
        <v>0.19576323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2026-10-22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556.6</v>
      </c>
      <c r="G2" s="15" t="inlineStr">
        <is>
          <t>EUR</t>
        </is>
      </c>
      <c r="H2" s="14" t="n">
        <v>556.6</v>
      </c>
      <c r="I2" s="16" t="n">
        <v>70028.3</v>
      </c>
      <c r="J2" s="16" t="n">
        <v>70028.3</v>
      </c>
      <c r="K2" s="14" t="n">
        <v>53.29</v>
      </c>
      <c r="L2" s="14" t="n">
        <v>51.54804</v>
      </c>
      <c r="M2" s="17">
        <f>IF(OR(F2="",K2="",K2&lt;=0),"",F2/K2)</f>
        <v/>
      </c>
      <c r="N2" s="18" t="n">
        <v>2.086598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432.6</v>
      </c>
      <c r="G3" s="15" t="inlineStr">
        <is>
          <t>EUR</t>
        </is>
      </c>
      <c r="H3" s="14" t="n">
        <v>432.6</v>
      </c>
      <c r="I3" s="16" t="n">
        <v>164079.2</v>
      </c>
      <c r="J3" s="16" t="n">
        <v>164079.2</v>
      </c>
      <c r="K3" s="14" t="n">
        <v>30.5</v>
      </c>
      <c r="L3" s="14" t="n">
        <v>33.38262</v>
      </c>
      <c r="M3" s="17">
        <f>IF(OR(F3="",K3="",K3&lt;=0),"",F3/K3)</f>
        <v/>
      </c>
      <c r="N3" s="18" t="n">
        <v>2.6008537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Bank</t>
        </is>
      </c>
      <c r="C4" s="12" t="inlineStr">
        <is>
          <t>DBK.DE</t>
        </is>
      </c>
      <c r="D4" s="11" t="inlineStr">
        <is>
          <t>Banca</t>
        </is>
      </c>
      <c r="E4" s="13" t="inlineStr">
        <is>
          <t>Finanziario</t>
        </is>
      </c>
      <c r="F4" s="14" t="n">
        <v>28.005</v>
      </c>
      <c r="G4" s="15" t="inlineStr">
        <is>
          <t>EUR</t>
        </is>
      </c>
      <c r="H4" s="14" t="n">
        <v>28.005</v>
      </c>
      <c r="I4" s="16" t="n">
        <v>52621.4</v>
      </c>
      <c r="J4" s="16" t="n">
        <v>52621.4</v>
      </c>
      <c r="K4" s="14" t="n">
        <v>3.29</v>
      </c>
      <c r="L4" s="14" t="n">
        <v>3.90101</v>
      </c>
      <c r="M4" s="17">
        <f>IF(OR(F4="",K4="",K4&lt;=0),"",F4/K4)</f>
        <v/>
      </c>
      <c r="N4" s="18" t="n">
        <v>0.6675804</v>
      </c>
      <c r="O4" s="19">
        <f>IF(OR(N4="",M4="",M4&lt;=0),"",N4/M4)</f>
        <v/>
      </c>
      <c r="P4" s="20" t="n">
        <v>0.08891</v>
      </c>
      <c r="Q4" s="20" t="n">
        <v>0.06875856120342795</v>
      </c>
      <c r="R4" s="20" t="n">
        <v>0.01680390963498571</v>
      </c>
      <c r="S4" s="21" t="n">
        <v>4</v>
      </c>
      <c r="T4" s="20" t="n"/>
      <c r="U4" s="20" t="n">
        <v>0.08813468801261429</v>
      </c>
      <c r="V4" s="20" t="n">
        <v>0.04325032765399738</v>
      </c>
      <c r="W4" s="20" t="n">
        <v>0.0653215429682153</v>
      </c>
      <c r="X4" s="20" t="n">
        <v>0.07832768617888484</v>
      </c>
      <c r="Y4" s="14" t="n">
        <v>1</v>
      </c>
      <c r="Z4" s="19">
        <f>IF(OR(Y4="",F4="",F4=0),"",Y4/F4)</f>
        <v/>
      </c>
      <c r="AA4" s="22" t="n"/>
      <c r="AB4" s="20" t="n">
        <v>0.08699999999999999</v>
      </c>
      <c r="AC4" s="20" t="n">
        <v>0.1897566842580766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Telekom</t>
        </is>
      </c>
      <c r="C5" s="12" t="inlineStr">
        <is>
          <t>DTE.DE</t>
        </is>
      </c>
      <c r="D5" s="11" t="inlineStr">
        <is>
          <t>Telecomunicazioni</t>
        </is>
      </c>
      <c r="E5" s="13" t="inlineStr">
        <is>
          <t>Industriale</t>
        </is>
      </c>
      <c r="F5" s="14" t="n">
        <v>26.18</v>
      </c>
      <c r="G5" s="15" t="inlineStr">
        <is>
          <t>EUR</t>
        </is>
      </c>
      <c r="H5" s="14" t="n">
        <v>26.18</v>
      </c>
      <c r="I5" s="16" t="n">
        <v>125208.7</v>
      </c>
      <c r="J5" s="16" t="n">
        <v>125208.7</v>
      </c>
      <c r="K5" s="14" t="n">
        <v>1.78</v>
      </c>
      <c r="L5" s="14" t="n">
        <v>2.57328</v>
      </c>
      <c r="M5" s="17">
        <f>IF(OR(F5="",K5="",K5&lt;=0),"",F5/K5)</f>
        <v/>
      </c>
      <c r="N5" s="18" t="n">
        <v>2.092057</v>
      </c>
      <c r="O5" s="19">
        <f>IF(OR(N5="",M5="",M5&lt;=0),"",N5/M5)</f>
        <v/>
      </c>
      <c r="P5" s="20" t="n">
        <v>0.15063</v>
      </c>
      <c r="Q5" s="20" t="n">
        <v>0.2022248877631041</v>
      </c>
      <c r="R5" s="20" t="n">
        <v>0.06415451121921879</v>
      </c>
      <c r="S5" s="21" t="n">
        <v>4</v>
      </c>
      <c r="T5" s="20" t="n"/>
      <c r="U5" s="20" t="n">
        <v>0.1545575911598655</v>
      </c>
      <c r="V5" s="20" t="n">
        <v>0.1770885995955511</v>
      </c>
      <c r="W5" s="20" t="n">
        <v>0.3124813350900307</v>
      </c>
      <c r="X5" s="20" t="n">
        <v>0.164772025206969</v>
      </c>
      <c r="Y5" s="14" t="n">
        <v>1</v>
      </c>
      <c r="Z5" s="19">
        <f>IF(OR(Y5="",F5="",F5=0),"",Y5/F5)</f>
        <v/>
      </c>
      <c r="AA5" s="22" t="n">
        <v>165.297</v>
      </c>
      <c r="AB5" s="20" t="n">
        <v>0.043</v>
      </c>
      <c r="AC5" s="20" t="n">
        <v>0.07302501940968202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Hannover Rueck</t>
        </is>
      </c>
      <c r="C6" s="12" t="inlineStr">
        <is>
          <t>HNR1.DE</t>
        </is>
      </c>
      <c r="D6" s="11" t="inlineStr">
        <is>
          <t>Riassicurazione</t>
        </is>
      </c>
      <c r="E6" s="13" t="inlineStr">
        <is>
          <t>Finanziario</t>
        </is>
      </c>
      <c r="F6" s="14" t="n">
        <v>282.8</v>
      </c>
      <c r="G6" s="15" t="inlineStr">
        <is>
          <t>EUR</t>
        </is>
      </c>
      <c r="H6" s="14" t="n">
        <v>282.8</v>
      </c>
      <c r="I6" s="16" t="n">
        <v>34104.9</v>
      </c>
      <c r="J6" s="16" t="n">
        <v>34104.9</v>
      </c>
      <c r="K6" s="14" t="n">
        <v>22.67</v>
      </c>
      <c r="L6" s="14" t="n">
        <v>23.75668</v>
      </c>
      <c r="M6" s="17">
        <f>IF(OR(F6="",K6="",K6&lt;=0),"",F6/K6)</f>
        <v/>
      </c>
      <c r="N6" s="18" t="n">
        <v>2.570839</v>
      </c>
      <c r="O6" s="19">
        <f>IF(OR(N6="",M6="",M6&lt;=0),"",N6/M6)</f>
        <v/>
      </c>
      <c r="P6" s="20" t="n">
        <v>0.22163</v>
      </c>
      <c r="Q6" s="20" t="n">
        <v>0.1670328412048878</v>
      </c>
      <c r="R6" s="20" t="n">
        <v>0.047497809554564</v>
      </c>
      <c r="S6" s="21" t="n">
        <v>4</v>
      </c>
      <c r="T6" s="20" t="n"/>
      <c r="U6" s="20" t="n">
        <v>0.2043128852862237</v>
      </c>
      <c r="V6" s="20" t="n">
        <v>0.1974394845054898</v>
      </c>
      <c r="W6" s="20" t="n">
        <v>0.1801951258047952</v>
      </c>
      <c r="X6" s="20" t="n">
        <v>0.08618386922304271</v>
      </c>
      <c r="Y6" s="14" t="n">
        <v>12.5</v>
      </c>
      <c r="Z6" s="19">
        <f>IF(OR(Y6="",F6="",F6=0),"",Y6/F6)</f>
        <v/>
      </c>
      <c r="AA6" s="22" t="n">
        <v>28.967</v>
      </c>
      <c r="AB6" s="20" t="n">
        <v>-0.233</v>
      </c>
      <c r="AC6" s="20" t="n">
        <v>0.1138114191974286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145.4</v>
      </c>
      <c r="G7" s="15" t="inlineStr">
        <is>
          <t>EUR</t>
        </is>
      </c>
      <c r="H7" s="14" t="n">
        <v>145.4</v>
      </c>
      <c r="I7" s="16" t="n">
        <v>25561.6</v>
      </c>
      <c r="J7" s="16" t="n">
        <v>25561.6</v>
      </c>
      <c r="K7" s="14" t="n">
        <v>11.45</v>
      </c>
      <c r="L7" s="14" t="n">
        <v>14.38566</v>
      </c>
      <c r="M7" s="17">
        <f>IF(OR(F7="",K7="",K7&lt;=0),"",F7/K7)</f>
        <v/>
      </c>
      <c r="N7" s="18" t="n">
        <v>1.3717756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57.12</v>
      </c>
      <c r="G8" s="15" t="inlineStr">
        <is>
          <t>EUR</t>
        </is>
      </c>
      <c r="H8" s="14" t="n">
        <v>57.12</v>
      </c>
      <c r="I8" s="16" t="n">
        <v>63931.2</v>
      </c>
      <c r="J8" s="16" t="n">
        <v>63931.2</v>
      </c>
      <c r="K8" s="14" t="n">
        <v>3.26</v>
      </c>
      <c r="L8" s="14" t="n">
        <v>3.92707</v>
      </c>
      <c r="M8" s="17">
        <f>IF(OR(F8="",K8="",K8&lt;=0),"",F8/K8)</f>
        <v/>
      </c>
      <c r="N8" s="18" t="n">
        <v>2.8463223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317.2</v>
      </c>
      <c r="G9" s="15" t="inlineStr">
        <is>
          <t>EUR</t>
        </is>
      </c>
      <c r="H9" s="14" t="n">
        <v>317.2</v>
      </c>
      <c r="I9" s="16" t="n">
        <v>57187.3</v>
      </c>
      <c r="J9" s="16" t="n">
        <v>57187.3</v>
      </c>
      <c r="K9" s="14" t="n">
        <v>12.11</v>
      </c>
      <c r="L9" s="14" t="n">
        <v>13.59408</v>
      </c>
      <c r="M9" s="17">
        <f>IF(OR(F9="",K9="",K9&lt;=0),"",F9/K9)</f>
        <v/>
      </c>
      <c r="N9" s="18" t="n">
        <v>5.1946354</v>
      </c>
      <c r="O9" s="19">
        <f>IF(OR(N9="",M9="",M9&lt;=0),"",N9/M9)</f>
        <v/>
      </c>
      <c r="P9" s="20" t="n">
        <v>0.20336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/>
      <c r="AB9" s="20" t="n">
        <v>0.165</v>
      </c>
      <c r="AC9" s="20" t="n">
        <v>0.2981980674705325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41.52</v>
      </c>
      <c r="G10" s="15" t="inlineStr">
        <is>
          <t>EUR</t>
        </is>
      </c>
      <c r="H10" s="14" t="n">
        <v>41.52</v>
      </c>
      <c r="I10" s="16" t="n">
        <v>39412.1</v>
      </c>
      <c r="J10" s="16" t="n">
        <v>39412.1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0.4184345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Commerzbank</t>
        </is>
      </c>
      <c r="C11" s="12" t="inlineStr">
        <is>
          <t>CBK.DE</t>
        </is>
      </c>
      <c r="D11" s="11" t="inlineStr">
        <is>
          <t>Banca</t>
        </is>
      </c>
      <c r="E11" s="13" t="inlineStr">
        <is>
          <t>Finanziario</t>
        </is>
      </c>
      <c r="F11" s="14" t="n">
        <v>35.86</v>
      </c>
      <c r="G11" s="15" t="inlineStr">
        <is>
          <t>EUR</t>
        </is>
      </c>
      <c r="H11" s="14" t="n">
        <v>35.86</v>
      </c>
      <c r="I11" s="16" t="n">
        <v>38759.2</v>
      </c>
      <c r="J11" s="16" t="n">
        <v>38759.2</v>
      </c>
      <c r="K11" s="14" t="n">
        <v>2.61</v>
      </c>
      <c r="L11" s="14" t="n">
        <v>3.93641</v>
      </c>
      <c r="M11" s="17">
        <f>IF(OR(F11="",K11="",K11&lt;=0),"",F11/K11)</f>
        <v/>
      </c>
      <c r="N11" s="18" t="n">
        <v>1.1478506</v>
      </c>
      <c r="O11" s="19">
        <f>IF(OR(N11="",M11="",M11&lt;=0),"",N11/M11)</f>
        <v/>
      </c>
      <c r="P11" s="20" t="n">
        <v>0.09666</v>
      </c>
      <c r="Q11" s="20" t="n">
        <v>0.06813536415307286</v>
      </c>
      <c r="R11" s="20" t="n">
        <v>0.0122202754534199</v>
      </c>
      <c r="S11" s="21" t="n">
        <v>4</v>
      </c>
      <c r="T11" s="20" t="n"/>
      <c r="U11" s="20" t="n">
        <v>0.07759614531910491</v>
      </c>
      <c r="V11" s="20" t="n">
        <v>0.07766624115121272</v>
      </c>
      <c r="W11" s="20" t="n">
        <v>0.06951737934483621</v>
      </c>
      <c r="X11" s="20" t="n">
        <v>0.04776169079713763</v>
      </c>
      <c r="Y11" s="14" t="n">
        <v>1.1</v>
      </c>
      <c r="Z11" s="19">
        <f>IF(OR(Y11="",F11="",F11=0),"",Y11/F11)</f>
        <v/>
      </c>
      <c r="AA11" s="22" t="n"/>
      <c r="AB11" s="20" t="n">
        <v>0.101</v>
      </c>
      <c r="AC11" s="20" t="n">
        <v>0.2217411473635379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1015</v>
      </c>
      <c r="G12" s="15" t="inlineStr">
        <is>
          <t>EUR</t>
        </is>
      </c>
      <c r="H12" s="14" t="n">
        <v>1015</v>
      </c>
      <c r="I12" s="16" t="n">
        <v>47368.1</v>
      </c>
      <c r="J12" s="16" t="n">
        <v>47368.1</v>
      </c>
      <c r="K12" s="14" t="n">
        <v>25.75</v>
      </c>
      <c r="L12" s="14" t="n">
        <v>52.99102</v>
      </c>
      <c r="M12" s="17">
        <f>IF(OR(F12="",K12="",K12&lt;=0),"",F12/K12)</f>
        <v/>
      </c>
      <c r="N12" s="18" t="n">
        <v>9.5264015</v>
      </c>
      <c r="O12" s="19">
        <f>IF(OR(N12="",M12="",M12&lt;=0),"",N12/M12)</f>
        <v/>
      </c>
      <c r="P12" s="20" t="n">
        <v>0.25688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51.63</v>
      </c>
      <c r="AB12" s="20" t="n">
        <v>0.6879999999999999</v>
      </c>
      <c r="AC12" s="20" t="n">
        <v>0.1217916456970307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BMW</t>
        </is>
      </c>
      <c r="C13" s="12" t="inlineStr">
        <is>
          <t>BMW.DE</t>
        </is>
      </c>
      <c r="D13" s="11" t="inlineStr">
        <is>
          <t>Auto</t>
        </is>
      </c>
      <c r="E13" s="13" t="inlineStr">
        <is>
          <t>Consumi</t>
        </is>
      </c>
      <c r="F13" s="14" t="n">
        <v>57.48</v>
      </c>
      <c r="G13" s="15" t="inlineStr">
        <is>
          <t>EUR</t>
        </is>
      </c>
      <c r="H13" s="14" t="n">
        <v>57.48</v>
      </c>
      <c r="I13" s="16" t="n">
        <v>34406.1</v>
      </c>
      <c r="J13" s="16" t="n">
        <v>34406.1</v>
      </c>
      <c r="K13" s="14" t="n">
        <v>10.39</v>
      </c>
      <c r="L13" s="14" t="n">
        <v>8.55368</v>
      </c>
      <c r="M13" s="17">
        <f>IF(OR(F13="",K13="",K13&lt;=0),"",F13/K13)</f>
        <v/>
      </c>
      <c r="N13" s="18" t="n">
        <v>0.36102128</v>
      </c>
      <c r="O13" s="19">
        <f>IF(OR(N13="",M13="",M13&lt;=0),"",N13/M13)</f>
        <v/>
      </c>
      <c r="P13" s="20" t="n">
        <v>0.06592000000000001</v>
      </c>
      <c r="Q13" s="20" t="n">
        <v>0.1217802745892722</v>
      </c>
      <c r="R13" s="20" t="n">
        <v>0.05245569366129516</v>
      </c>
      <c r="S13" s="21" t="n">
        <v>4</v>
      </c>
      <c r="T13" s="20" t="n"/>
      <c r="U13" s="20" t="n">
        <v>0.07621973520591033</v>
      </c>
      <c r="V13" s="20" t="n">
        <v>0.07896874830742566</v>
      </c>
      <c r="W13" s="20" t="n">
        <v>0.1260100897361489</v>
      </c>
      <c r="X13" s="20" t="n">
        <v>0.205922525107604</v>
      </c>
      <c r="Y13" s="14" t="n">
        <v>4.4</v>
      </c>
      <c r="Z13" s="19">
        <f>IF(OR(Y13="",F13="",F13=0),"",Y13/F13)</f>
        <v/>
      </c>
      <c r="AA13" s="22" t="n">
        <v>119.855</v>
      </c>
      <c r="AB13" s="20" t="n">
        <v>-0.079</v>
      </c>
      <c r="AC13" s="20" t="n">
        <v>0.04723011145496916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68.2</v>
      </c>
      <c r="G14" s="15" t="inlineStr">
        <is>
          <t>EUR</t>
        </is>
      </c>
      <c r="H14" s="14" t="n">
        <v>68.2</v>
      </c>
      <c r="I14" s="16" t="n">
        <v>11103.1</v>
      </c>
      <c r="J14" s="16" t="n">
        <v>11103.1</v>
      </c>
      <c r="K14" s="14" t="n">
        <v>2.68</v>
      </c>
      <c r="L14" s="14" t="n">
        <v>3.74645</v>
      </c>
      <c r="M14" s="17">
        <f>IF(OR(F14="",K14="",K14&lt;=0),"",F14/K14)</f>
        <v/>
      </c>
      <c r="N14" s="18" t="n">
        <v>4.436638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56.84</v>
      </c>
      <c r="G15" s="15" t="inlineStr">
        <is>
          <t>EUR</t>
        </is>
      </c>
      <c r="H15" s="14" t="n">
        <v>56.84</v>
      </c>
      <c r="I15" s="16" t="n">
        <v>44334.4</v>
      </c>
      <c r="J15" s="16" t="n">
        <v>44334.4</v>
      </c>
      <c r="K15" s="14" t="n">
        <v>4.51</v>
      </c>
      <c r="L15" s="14" t="n">
        <v>3.36276</v>
      </c>
      <c r="M15" s="17">
        <f>IF(OR(F15="",K15="",K15&lt;=0),"",F15/K15)</f>
        <v/>
      </c>
      <c r="N15" s="18" t="n">
        <v>1.0194418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69.38</v>
      </c>
      <c r="G16" s="15" t="inlineStr">
        <is>
          <t>EUR</t>
        </is>
      </c>
      <c r="H16" s="14" t="n">
        <v>69.38</v>
      </c>
      <c r="I16" s="16" t="n">
        <v>34779.9</v>
      </c>
      <c r="J16" s="16" t="n">
        <v>34779.9</v>
      </c>
      <c r="K16" s="14" t="n">
        <v>10.44</v>
      </c>
      <c r="L16" s="14" t="n">
        <v>21.97345</v>
      </c>
      <c r="M16" s="17">
        <f>IF(OR(F16="",K16="",K16&lt;=0),"",F16/K16)</f>
        <v/>
      </c>
      <c r="N16" s="18" t="n">
        <v>0.19835325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39.18</v>
      </c>
      <c r="G17" s="15" t="inlineStr">
        <is>
          <t>EUR</t>
        </is>
      </c>
      <c r="H17" s="14" t="n">
        <v>39.18</v>
      </c>
      <c r="I17" s="16" t="n">
        <v>10522.4</v>
      </c>
      <c r="J17" s="16" t="n">
        <v>10522.4</v>
      </c>
      <c r="K17" s="14" t="n">
        <v>3.32</v>
      </c>
      <c r="L17" s="14" t="n">
        <v>4.26413</v>
      </c>
      <c r="M17" s="17">
        <f>IF(OR(F17="",K17="",K17&lt;=0),"",F17/K17)</f>
        <v/>
      </c>
      <c r="N17" s="18" t="n">
        <v>0.830331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16.585</v>
      </c>
      <c r="G18" s="15" t="inlineStr">
        <is>
          <t>EUR</t>
        </is>
      </c>
      <c r="H18" s="14" t="n">
        <v>16.585</v>
      </c>
      <c r="I18" s="16" t="n">
        <v>14071.3</v>
      </c>
      <c r="J18" s="16" t="n">
        <v>14071.3</v>
      </c>
      <c r="K18" s="14" t="n">
        <v>4.39</v>
      </c>
      <c r="L18" s="14" t="n">
        <v>1.83186</v>
      </c>
      <c r="M18" s="17">
        <f>IF(OR(F18="",K18="",K18&lt;=0),"",F18/K18)</f>
        <v/>
      </c>
      <c r="N18" s="18" t="n">
        <v>0.5163128</v>
      </c>
      <c r="O18" s="19">
        <f>IF(OR(N18="",M18="",M18&lt;=0),"",N18/M18)</f>
        <v/>
      </c>
      <c r="P18" s="20" t="n">
        <v>0.14558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135.1</v>
      </c>
      <c r="AB18" s="20" t="n">
        <v>0.016</v>
      </c>
      <c r="AC18" s="20" t="n">
        <v>0.7151217436320666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18.365</v>
      </c>
      <c r="G19" s="15" t="inlineStr">
        <is>
          <t>EUR</t>
        </is>
      </c>
      <c r="H19" s="14" t="n">
        <v>18.365</v>
      </c>
      <c r="I19" s="16" t="n">
        <v>48011.3</v>
      </c>
      <c r="J19" s="16" t="n">
        <v>48011.3</v>
      </c>
      <c r="K19" s="14" t="n">
        <v>1.29</v>
      </c>
      <c r="L19" s="14" t="n">
        <v>1.24564</v>
      </c>
      <c r="M19" s="17">
        <f>IF(OR(F19="",K19="",K19&lt;=0),"",F19/K19)</f>
        <v/>
      </c>
      <c r="N19" s="18" t="n">
        <v>2.2622566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255.7</v>
      </c>
      <c r="G20" s="15" t="inlineStr">
        <is>
          <t>EUR</t>
        </is>
      </c>
      <c r="H20" s="14" t="n">
        <v>255.7</v>
      </c>
      <c r="I20" s="16" t="n">
        <v>195409.7</v>
      </c>
      <c r="J20" s="16" t="n">
        <v>195409.7</v>
      </c>
      <c r="K20" s="14" t="n">
        <v>10</v>
      </c>
      <c r="L20" s="14" t="n">
        <v>13.00633</v>
      </c>
      <c r="M20" s="17">
        <f>IF(OR(F20="",K20="",K20&lt;=0),"",F20/K20)</f>
        <v/>
      </c>
      <c r="N20" s="18" t="n">
        <v>2.8995533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</v>
      </c>
      <c r="G21" s="15" t="inlineStr">
        <is>
          <t>EUR</t>
        </is>
      </c>
      <c r="H21" s="14" t="n">
        <v>62</v>
      </c>
      <c r="I21" s="16" t="n">
        <v>8951.9</v>
      </c>
      <c r="J21" s="16" t="n">
        <v>8951.9</v>
      </c>
      <c r="K21" s="14" t="n">
        <v>2.52</v>
      </c>
      <c r="L21" s="14" t="n">
        <v>4.17018</v>
      </c>
      <c r="M21" s="17">
        <f>IF(OR(F21="",K21="",K21&lt;=0),"",F21/K21)</f>
        <v/>
      </c>
      <c r="N21" s="18" t="n">
        <v>2.0189521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78.8</v>
      </c>
      <c r="G22" s="15" t="inlineStr">
        <is>
          <t>EUR</t>
        </is>
      </c>
      <c r="H22" s="14" t="n">
        <v>78.8</v>
      </c>
      <c r="I22" s="16" t="n">
        <v>31902.3</v>
      </c>
      <c r="J22" s="16" t="n">
        <v>31902.3</v>
      </c>
      <c r="K22" s="14" t="n">
        <v>4.69</v>
      </c>
      <c r="L22" s="14" t="n">
        <v>5.86276</v>
      </c>
      <c r="M22" s="17">
        <f>IF(OR(F22="",K22="",K22&lt;=0),"",F22/K22)</f>
        <v/>
      </c>
      <c r="N22" s="18" t="n">
        <v>1.5230292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2026-10-22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Infineon Technologies</t>
        </is>
      </c>
      <c r="C23" s="12" t="inlineStr">
        <is>
          <t>IFX.DE</t>
        </is>
      </c>
      <c r="D23" s="11" t="inlineStr">
        <is>
          <t>Semiconduttori</t>
        </is>
      </c>
      <c r="E23" s="13" t="inlineStr">
        <is>
          <t>Tecnologia</t>
        </is>
      </c>
      <c r="F23" s="14" t="n">
        <v>53.09</v>
      </c>
      <c r="G23" s="15" t="inlineStr">
        <is>
          <t>EUR</t>
        </is>
      </c>
      <c r="H23" s="14" t="n">
        <v>53.09</v>
      </c>
      <c r="I23" s="16" t="n">
        <v>68990.39999999999</v>
      </c>
      <c r="J23" s="16" t="n">
        <v>68990.39999999999</v>
      </c>
      <c r="K23" s="14" t="n">
        <v>0.92</v>
      </c>
      <c r="L23" s="14" t="n">
        <v>2.87076</v>
      </c>
      <c r="M23" s="17">
        <f>IF(OR(F23="",K23="",K23&lt;=0),"",F23/K23)</f>
        <v/>
      </c>
      <c r="N23" s="18" t="n">
        <v>3.9732075</v>
      </c>
      <c r="O23" s="19">
        <f>IF(OR(N23="",M23="",M23&lt;=0),"",N23/M23)</f>
        <v/>
      </c>
      <c r="P23" s="20" t="n">
        <v>0.07019</v>
      </c>
      <c r="Q23" s="20" t="n">
        <v>0.1162368598156738</v>
      </c>
      <c r="R23" s="20" t="n">
        <v>0.05085412037839204</v>
      </c>
      <c r="S23" s="21" t="n">
        <v>4</v>
      </c>
      <c r="T23" s="20" t="n"/>
      <c r="U23" s="20" t="n">
        <v>0.05952730045158642</v>
      </c>
      <c r="V23" s="20" t="n">
        <v>0.07555607178117196</v>
      </c>
      <c r="W23" s="20" t="n">
        <v>0.1840530391926778</v>
      </c>
      <c r="X23" s="20" t="n">
        <v>0.1458110278372591</v>
      </c>
      <c r="Y23" s="14" t="n">
        <v>0.35</v>
      </c>
      <c r="Z23" s="19">
        <f>IF(OR(Y23="",F23="",F23=0),"",Y23/F23)</f>
        <v/>
      </c>
      <c r="AA23" s="22" t="n">
        <v>40.183</v>
      </c>
      <c r="AB23" s="20" t="n">
        <v>0.126</v>
      </c>
      <c r="AC23" s="20" t="n">
        <v>0.08211703723912153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2026-10-21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Beiersdorf</t>
        </is>
      </c>
      <c r="C24" s="12" t="inlineStr">
        <is>
          <t>BEI.DE</t>
        </is>
      </c>
      <c r="D24" s="11" t="inlineStr">
        <is>
          <t>Cura della persona</t>
        </is>
      </c>
      <c r="E24" s="13" t="inlineStr">
        <is>
          <t>Consumi</t>
        </is>
      </c>
      <c r="F24" s="14" t="n">
        <v>82.14</v>
      </c>
      <c r="G24" s="15" t="inlineStr">
        <is>
          <t>EUR</t>
        </is>
      </c>
      <c r="H24" s="14" t="n">
        <v>82.14</v>
      </c>
      <c r="I24" s="16" t="n">
        <v>17949.5</v>
      </c>
      <c r="J24" s="16" t="n">
        <v>17949.5</v>
      </c>
      <c r="K24" s="14" t="n">
        <v>4.3</v>
      </c>
      <c r="L24" s="14" t="n">
        <v>4.00944</v>
      </c>
      <c r="M24" s="17">
        <f>IF(OR(F24="",K24="",K24&lt;=0),"",F24/K24)</f>
        <v/>
      </c>
      <c r="N24" s="18" t="n">
        <v>1.9902595</v>
      </c>
      <c r="O24" s="19">
        <f>IF(OR(N24="",M24="",M24&lt;=0),"",N24/M24)</f>
        <v/>
      </c>
      <c r="P24" s="20" t="n">
        <v>0.10887</v>
      </c>
      <c r="Q24" s="20" t="n">
        <v>0.1005514061555024</v>
      </c>
      <c r="R24" s="20" t="n">
        <v>0.008420139168014068</v>
      </c>
      <c r="S24" s="21" t="n">
        <v>4</v>
      </c>
      <c r="T24" s="20" t="n"/>
      <c r="U24" s="20" t="n">
        <v>0.1091733519358214</v>
      </c>
      <c r="V24" s="20" t="n">
        <v>0.1076106194690265</v>
      </c>
      <c r="W24" s="20" t="n">
        <v>0.08844027877913962</v>
      </c>
      <c r="X24" s="20" t="n">
        <v>0.09698137443802184</v>
      </c>
      <c r="Y24" s="14" t="n">
        <v>1</v>
      </c>
      <c r="Z24" s="19">
        <f>IF(OR(Y24="",F24="",F24=0),"",Y24/F24)</f>
        <v/>
      </c>
      <c r="AA24" s="22" t="n">
        <v>1.221</v>
      </c>
      <c r="AB24" s="20" t="n">
        <v>-0.045</v>
      </c>
      <c r="AC24" s="20" t="n">
        <v>0.0952090946000812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2026-10-22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146.35</v>
      </c>
      <c r="G25" s="15" t="inlineStr">
        <is>
          <t>EUR</t>
        </is>
      </c>
      <c r="H25" s="14" t="n">
        <v>146.35</v>
      </c>
      <c r="I25" s="16" t="n">
        <v>63629.7</v>
      </c>
      <c r="J25" s="16" t="n">
        <v>63629.7</v>
      </c>
      <c r="K25" s="14" t="n">
        <v>5.45</v>
      </c>
      <c r="L25" s="14" t="n">
        <v>8.92984</v>
      </c>
      <c r="M25" s="17">
        <f>IF(OR(F25="",K25="",K25&lt;=0),"",F25/K25)</f>
        <v/>
      </c>
      <c r="N25" s="18" t="n">
        <v>2.1033344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2026-10-22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MTU Aero Engines</t>
        </is>
      </c>
      <c r="C26" s="12" t="inlineStr">
        <is>
          <t>MTX.DE</t>
        </is>
      </c>
      <c r="D26" s="11" t="inlineStr">
        <is>
          <t>Aerospazio</t>
        </is>
      </c>
      <c r="E26" s="13" t="inlineStr">
        <is>
          <t>Industriale</t>
        </is>
      </c>
      <c r="F26" s="14" t="n">
        <v>332.8</v>
      </c>
      <c r="G26" s="15" t="inlineStr">
        <is>
          <t>EUR</t>
        </is>
      </c>
      <c r="H26" s="14" t="n">
        <v>332.8</v>
      </c>
      <c r="I26" s="16" t="n">
        <v>17928.1</v>
      </c>
      <c r="J26" s="16" t="n">
        <v>17928.1</v>
      </c>
      <c r="K26" s="14" t="n">
        <v>17.25</v>
      </c>
      <c r="L26" s="14" t="n">
        <v>20.68168</v>
      </c>
      <c r="M26" s="17">
        <f>IF(OR(F26="",K26="",K26&lt;=0),"",F26/K26)</f>
        <v/>
      </c>
      <c r="N26" s="18" t="n">
        <v>3.9463072</v>
      </c>
      <c r="O26" s="19">
        <f>IF(OR(N26="",M26="",M26&lt;=0),"",N26/M26)</f>
        <v/>
      </c>
      <c r="P26" s="20" t="n">
        <v>0.22635001</v>
      </c>
      <c r="Q26" s="20" t="n">
        <v>0.1243017554814219</v>
      </c>
      <c r="R26" s="20" t="n">
        <v>0.1027890079928216</v>
      </c>
      <c r="S26" s="21" t="n">
        <v>4</v>
      </c>
      <c r="T26" s="20" t="n"/>
      <c r="U26" s="20" t="n">
        <v>0.2355122855818266</v>
      </c>
      <c r="V26" s="20" t="n">
        <v>0.1882247992863515</v>
      </c>
      <c r="W26" s="20" t="n">
        <v>-0.03562696472231924</v>
      </c>
      <c r="X26" s="20" t="n">
        <v>0.1090969017798286</v>
      </c>
      <c r="Y26" s="14" t="n">
        <v>3.6</v>
      </c>
      <c r="Z26" s="19">
        <f>IF(OR(Y26="",F26="",F26=0),"",Y26/F26)</f>
        <v/>
      </c>
      <c r="AA26" s="22" t="n">
        <v>55.565</v>
      </c>
      <c r="AB26" s="20" t="n">
        <v>0.167</v>
      </c>
      <c r="AC26" s="20" t="n">
        <v>0.1074974323861691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2026-10-22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SAP</t>
        </is>
      </c>
      <c r="C27" s="12" t="inlineStr">
        <is>
          <t>SAP.DE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215.35</v>
      </c>
      <c r="G27" s="15" t="inlineStr">
        <is>
          <t>EUR</t>
        </is>
      </c>
      <c r="H27" s="14" t="n">
        <v>215.35</v>
      </c>
      <c r="I27" s="16" t="n">
        <v>248557.9</v>
      </c>
      <c r="J27" s="16" t="n">
        <v>248557.9</v>
      </c>
      <c r="K27" s="14" t="n">
        <v>6.68</v>
      </c>
      <c r="L27" s="14" t="n">
        <v>8.432079999999999</v>
      </c>
      <c r="M27" s="17">
        <f>IF(OR(F27="",K27="",K27&lt;=0),"",F27/K27)</f>
        <v/>
      </c>
      <c r="N27" s="18" t="n">
        <v>5.6393538</v>
      </c>
      <c r="O27" s="19">
        <f>IF(OR(N27="",M27="",M27&lt;=0),"",N27/M27)</f>
        <v/>
      </c>
      <c r="P27" s="20" t="n">
        <v>0.18320999</v>
      </c>
      <c r="Q27" s="20" t="n">
        <v>0.1071119412848688</v>
      </c>
      <c r="R27" s="20" t="n">
        <v>0.04498832458418268</v>
      </c>
      <c r="S27" s="21" t="n">
        <v>4</v>
      </c>
      <c r="T27" s="20" t="n"/>
      <c r="U27" s="20" t="n">
        <v>0.160610954111156</v>
      </c>
      <c r="V27" s="20" t="n">
        <v>0.06875302610150094</v>
      </c>
      <c r="W27" s="20" t="n">
        <v>0.1422480709965938</v>
      </c>
      <c r="X27" s="20" t="n">
        <v>0.05683571393022446</v>
      </c>
      <c r="Y27" s="14" t="n">
        <v>2.5</v>
      </c>
      <c r="Z27" s="19">
        <f>IF(OR(Y27="",F27="",F27=0),"",Y27/F27)</f>
        <v/>
      </c>
      <c r="AA27" s="22" t="n">
        <v>21.966</v>
      </c>
      <c r="AB27" s="20" t="n">
        <v>0.094</v>
      </c>
      <c r="AC27" s="20" t="n">
        <v>0.2118478191304348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2026-10-22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41.76</v>
      </c>
      <c r="G28" s="15" t="inlineStr">
        <is>
          <t>EUR</t>
        </is>
      </c>
      <c r="H28" s="14" t="n">
        <v>41.76</v>
      </c>
      <c r="I28" s="16" t="n">
        <v>46737.7</v>
      </c>
      <c r="J28" s="16" t="n">
        <v>46737.7</v>
      </c>
      <c r="K28" s="14" t="n">
        <v>1.97</v>
      </c>
      <c r="L28" s="14" t="n">
        <v>2.37702</v>
      </c>
      <c r="M28" s="17">
        <f>IF(OR(F28="",K28="",K28&lt;=0),"",F28/K28)</f>
        <v/>
      </c>
      <c r="N28" s="18" t="n">
        <v>2.4375436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2026-10-22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159</v>
      </c>
      <c r="G29" s="15" t="inlineStr">
        <is>
          <t>EUR</t>
        </is>
      </c>
      <c r="H29" s="14" t="n">
        <v>159</v>
      </c>
      <c r="I29" s="16" t="n">
        <v>27835</v>
      </c>
      <c r="J29" s="16" t="n">
        <v>27835</v>
      </c>
      <c r="K29" s="14" t="n">
        <v>7.8</v>
      </c>
      <c r="L29" s="14" t="n">
        <v>11.65038</v>
      </c>
      <c r="M29" s="17">
        <f>IF(OR(F29="",K29="",K29&lt;=0),"",F29/K29)</f>
        <v/>
      </c>
      <c r="N29" s="18" t="n">
        <v>4.6734467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2026-10-22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40.43</v>
      </c>
      <c r="G30" s="15" t="inlineStr">
        <is>
          <t>EUR</t>
        </is>
      </c>
      <c r="H30" s="14" t="n">
        <v>40.43</v>
      </c>
      <c r="I30" s="16" t="n">
        <v>30735.4</v>
      </c>
      <c r="J30" s="16" t="n">
        <v>30735.4</v>
      </c>
      <c r="K30" s="14" t="n">
        <v>1.44</v>
      </c>
      <c r="L30" s="14" t="n">
        <v>4.80066</v>
      </c>
      <c r="M30" s="17">
        <f>IF(OR(F30="",K30="",K30&lt;=0),"",F30/K30)</f>
        <v/>
      </c>
      <c r="N30" s="18" t="n">
        <v>1.361738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2026-10-22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102.3</v>
      </c>
      <c r="G31" s="15" t="inlineStr">
        <is>
          <t>EUR</t>
        </is>
      </c>
      <c r="H31" s="14" t="n">
        <v>102.3</v>
      </c>
      <c r="I31" s="16" t="n">
        <v>14033.5</v>
      </c>
      <c r="J31" s="16" t="n">
        <v>14033.5</v>
      </c>
      <c r="K31" s="14" t="n">
        <v>1.77</v>
      </c>
      <c r="L31" s="14" t="n">
        <v>4.38623</v>
      </c>
      <c r="M31" s="17">
        <f>IF(OR(F31="",K31="",K31&lt;=0),"",F31/K31)</f>
        <v/>
      </c>
      <c r="N31" s="18" t="n">
        <v>3.7585423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2026-10-22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26.23</v>
      </c>
      <c r="G32" s="15" t="inlineStr">
        <is>
          <t>EUR</t>
        </is>
      </c>
      <c r="H32" s="14" t="n">
        <v>26.23</v>
      </c>
      <c r="I32" s="16" t="n">
        <v>6406</v>
      </c>
      <c r="J32" s="16" t="n">
        <v>6406</v>
      </c>
      <c r="K32" s="14" t="n">
        <v>0.37</v>
      </c>
      <c r="L32" s="14" t="n">
        <v>1.85143</v>
      </c>
      <c r="M32" s="17">
        <f>IF(OR(F32="",K32="",K32&lt;=0),"",F32/K32)</f>
        <v/>
      </c>
      <c r="N32" s="18" t="n">
        <v>2.5456133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2026-10-22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42.96</v>
      </c>
      <c r="G33" s="15" t="inlineStr">
        <is>
          <t>EUR</t>
        </is>
      </c>
      <c r="H33" s="14" t="n">
        <v>42.96</v>
      </c>
      <c r="I33" s="16" t="n">
        <v>39136.6</v>
      </c>
      <c r="J33" s="16" t="n">
        <v>39136.6</v>
      </c>
      <c r="K33" s="14" t="n">
        <v>0.92</v>
      </c>
      <c r="L33" s="14" t="n">
        <v>1.81587</v>
      </c>
      <c r="M33" s="17">
        <f>IF(OR(F33="",K33="",K33&lt;=0),"",F33/K33)</f>
        <v/>
      </c>
      <c r="N33" s="18" t="n">
        <v>1.7124407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2026-10-22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44.935</v>
      </c>
      <c r="G34" s="15" t="inlineStr">
        <is>
          <t>EUR</t>
        </is>
      </c>
      <c r="H34" s="14" t="n">
        <v>44.935</v>
      </c>
      <c r="I34" s="16" t="n">
        <v>9278.9</v>
      </c>
      <c r="J34" s="16" t="n">
        <v>9278.9</v>
      </c>
      <c r="K34" s="14" t="n">
        <v>1.69</v>
      </c>
      <c r="L34" s="14" t="n">
        <v>2.28349</v>
      </c>
      <c r="M34" s="17">
        <f>IF(OR(F34="",K34="",K34&lt;=0),"",F34/K34)</f>
        <v/>
      </c>
      <c r="N34" s="18" t="n">
        <v>3.1021206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2026-10-22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122.2</v>
      </c>
      <c r="G35" s="15" t="inlineStr">
        <is>
          <t>EUR</t>
        </is>
      </c>
      <c r="H35" s="14" t="n">
        <v>122.2</v>
      </c>
      <c r="I35" s="16" t="n">
        <v>103973.7</v>
      </c>
      <c r="J35" s="16" t="n">
        <v>103973.7</v>
      </c>
      <c r="K35" s="14" t="n">
        <v>3.1</v>
      </c>
      <c r="L35" s="14" t="n">
        <v>6.24731</v>
      </c>
      <c r="M35" s="17">
        <f>IF(OR(F35="",K35="",K35&lt;=0),"",F35/K35)</f>
        <v/>
      </c>
      <c r="N35" s="18" t="n">
        <v>9.693027499999999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2026-10-22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45.305</v>
      </c>
      <c r="G36" s="15" t="inlineStr">
        <is>
          <t>EUR</t>
        </is>
      </c>
      <c r="H36" s="14" t="n">
        <v>45.305</v>
      </c>
      <c r="I36" s="16" t="n">
        <v>25517.5</v>
      </c>
      <c r="J36" s="16" t="n">
        <v>25517.5</v>
      </c>
      <c r="K36" s="14" t="n">
        <v>2.77</v>
      </c>
      <c r="L36" s="14" t="n">
        <v>3.94267</v>
      </c>
      <c r="M36" s="17">
        <f>IF(OR(F36="",K36="",K36&lt;=0),"",F36/K36)</f>
        <v/>
      </c>
      <c r="N36" s="18" t="n">
        <v>1.2953539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2026-10-22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25.22</v>
      </c>
      <c r="G37" s="15" t="inlineStr">
        <is>
          <t>EUR</t>
        </is>
      </c>
      <c r="H37" s="14" t="n">
        <v>25.22</v>
      </c>
      <c r="I37" s="16" t="n">
        <v>7723.6</v>
      </c>
      <c r="J37" s="16" t="n">
        <v>7723.6</v>
      </c>
      <c r="K37" s="14" t="n">
        <v>0.31</v>
      </c>
      <c r="L37" s="14" t="n">
        <v>12.91484</v>
      </c>
      <c r="M37" s="17">
        <f>IF(OR(F37="",K37="",K37&lt;=0),"",F37/K37)</f>
        <v/>
      </c>
      <c r="N37" s="18" t="n">
        <v>0.21619119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2026-10-22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273.5</v>
      </c>
      <c r="G38" s="15" t="inlineStr">
        <is>
          <t>EUR</t>
        </is>
      </c>
      <c r="H38" s="14" t="n">
        <v>273.5</v>
      </c>
      <c r="I38" s="16" t="n">
        <v>18885.8</v>
      </c>
      <c r="J38" s="16" t="n">
        <v>18885.8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6.9772186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2026-10-22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52.37</v>
      </c>
      <c r="G39" s="15" t="inlineStr">
        <is>
          <t>EUR</t>
        </is>
      </c>
      <c r="H39" s="14" t="n">
        <v>52.37</v>
      </c>
      <c r="I39" s="16" t="n">
        <v>46312.1</v>
      </c>
      <c r="J39" s="16" t="n">
        <v>46312.1</v>
      </c>
      <c r="K39" s="14" t="n">
        <v>2.4</v>
      </c>
      <c r="L39" s="14" t="n">
        <v>2.92646</v>
      </c>
      <c r="M39" s="17">
        <f>IF(OR(F39="",K39="",K39&lt;=0),"",F39/K39)</f>
        <v/>
      </c>
      <c r="N39" s="18" t="n">
        <v>1.2504178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2026-10-22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44.21</v>
      </c>
      <c r="G40" s="15" t="inlineStr">
        <is>
          <t>EUR</t>
        </is>
      </c>
      <c r="H40" s="14" t="n">
        <v>44.21</v>
      </c>
      <c r="I40" s="16" t="n">
        <v>43433</v>
      </c>
      <c r="J40" s="16" t="n">
        <v>43433</v>
      </c>
      <c r="K40" s="14" t="n">
        <v>-1.76</v>
      </c>
      <c r="L40" s="14" t="n">
        <v>4.84719</v>
      </c>
      <c r="M40" s="17">
        <f>IF(OR(F40="",K40="",K40&lt;=0),"",F40/K40)</f>
        <v/>
      </c>
      <c r="N40" s="18" t="n">
        <v>1.4681367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2026-10-22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67.08</v>
      </c>
      <c r="G41" s="15" t="inlineStr">
        <is>
          <t>EUR</t>
        </is>
      </c>
      <c r="H41" s="14" t="n">
        <v>67.08</v>
      </c>
      <c r="I41" s="16" t="n">
        <v>13416.4</v>
      </c>
      <c r="J41" s="16" t="n">
        <v>13416.4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3.1927655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2026-10-22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60.3</v>
      </c>
      <c r="G42" s="15" t="inlineStr">
        <is>
          <t>EUR</t>
        </is>
      </c>
      <c r="H42" s="14" t="n">
        <v>60.3</v>
      </c>
      <c r="I42" s="16" t="n">
        <v>11381</v>
      </c>
      <c r="J42" s="16" t="n">
        <v>11381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1.7100077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2026-10-22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453</v>
      </c>
      <c r="G43" s="15" t="inlineStr">
        <is>
          <t>EUR</t>
        </is>
      </c>
      <c r="H43" s="14" t="n">
        <v>453</v>
      </c>
      <c r="I43" s="16" t="n">
        <v>208824</v>
      </c>
      <c r="J43" s="16" t="n">
        <v>208824</v>
      </c>
      <c r="K43" s="14" t="n"/>
      <c r="L43" s="14" t="n"/>
      <c r="M43" s="17">
        <f>IF(OR(F43="",K43="",K43&lt;=0),"",F43/K43)</f>
        <v/>
      </c>
      <c r="N43" s="18" t="n">
        <v>5.9984107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2026-10-22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25.1</v>
      </c>
      <c r="G44" s="15" t="inlineStr">
        <is>
          <t>EUR</t>
        </is>
      </c>
      <c r="H44" s="14" t="n">
        <v>25.1</v>
      </c>
      <c r="I44" s="16" t="n">
        <v>3694.9</v>
      </c>
      <c r="J44" s="16" t="n">
        <v>3694.9</v>
      </c>
      <c r="K44" s="14" t="n">
        <v>-3.01</v>
      </c>
      <c r="L44" s="14" t="n">
        <v>0.27222</v>
      </c>
      <c r="M44" s="17">
        <f>IF(OR(F44="",K44="",K44&lt;=0),"",F44/K44)</f>
        <v/>
      </c>
      <c r="N44" s="18" t="n">
        <v>2.0212595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2026-10-22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79.98</v>
      </c>
      <c r="G2" s="15" t="inlineStr">
        <is>
          <t>EUR</t>
        </is>
      </c>
      <c r="H2" s="14" t="n">
        <v>79.98</v>
      </c>
      <c r="I2" s="16" t="n">
        <v>176342.2</v>
      </c>
      <c r="J2" s="16" t="n">
        <v>176342.2</v>
      </c>
      <c r="K2" s="14" t="n">
        <v>6.85</v>
      </c>
      <c r="L2" s="14" t="n">
        <v>9.969588</v>
      </c>
      <c r="M2" s="17">
        <f>IF(OR(F2="",K2="",K2&lt;=0),"",F2/K2)</f>
        <v/>
      </c>
      <c r="N2" s="18" t="n">
        <v>1.5551721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82.56999999999999</v>
      </c>
      <c r="G3" s="15" t="inlineStr">
        <is>
          <t>EUR</t>
        </is>
      </c>
      <c r="H3" s="14" t="n">
        <v>82.56999999999999</v>
      </c>
      <c r="I3" s="16" t="n">
        <v>90496.7</v>
      </c>
      <c r="J3" s="16" t="n">
        <v>90496.7</v>
      </c>
      <c r="K3" s="14" t="n">
        <v>11.23</v>
      </c>
      <c r="L3" s="14" t="n">
        <v>13.24923</v>
      </c>
      <c r="M3" s="17">
        <f>IF(OR(F3="",K3="",K3&lt;=0),"",F3/K3)</f>
        <v/>
      </c>
      <c r="N3" s="18" t="n">
        <v>0.7535134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105.95</v>
      </c>
      <c r="G4" s="15" t="inlineStr">
        <is>
          <t>EUR</t>
        </is>
      </c>
      <c r="H4" s="14" t="n">
        <v>105.95</v>
      </c>
      <c r="I4" s="16" t="n">
        <v>58436.6</v>
      </c>
      <c r="J4" s="16" t="n">
        <v>58436.6</v>
      </c>
      <c r="K4" s="14" t="n">
        <v>9.01</v>
      </c>
      <c r="L4" s="14" t="n">
        <v>10.09107</v>
      </c>
      <c r="M4" s="17">
        <f>IF(OR(F4="",K4="",K4&lt;=0),"",F4/K4)</f>
        <v/>
      </c>
      <c r="N4" s="18" t="n">
        <v>1.9193145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42.02</v>
      </c>
      <c r="G5" s="15" t="inlineStr">
        <is>
          <t>EUR</t>
        </is>
      </c>
      <c r="H5" s="14" t="n">
        <v>42.02</v>
      </c>
      <c r="I5" s="16" t="n">
        <v>87866.60000000001</v>
      </c>
      <c r="J5" s="16" t="n">
        <v>87866.60000000001</v>
      </c>
      <c r="K5" s="14" t="n">
        <v>3.71</v>
      </c>
      <c r="L5" s="14" t="n">
        <v>4.47797</v>
      </c>
      <c r="M5" s="17">
        <f>IF(OR(F5="",K5="",K5&lt;=0),"",F5/K5)</f>
        <v/>
      </c>
      <c r="N5" s="18" t="n">
        <v>1.9021322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79.2</v>
      </c>
      <c r="G6" s="15" t="inlineStr">
        <is>
          <t>EUR</t>
        </is>
      </c>
      <c r="H6" s="14" t="n">
        <v>79.2</v>
      </c>
      <c r="I6" s="16" t="n">
        <v>4604.2</v>
      </c>
      <c r="J6" s="16" t="n">
        <v>4604.2</v>
      </c>
      <c r="K6" s="14" t="n">
        <v>7.91</v>
      </c>
      <c r="L6" s="14" t="n">
        <v>14.21599</v>
      </c>
      <c r="M6" s="17">
        <f>IF(OR(F6="",K6="",K6&lt;=0),"",F6/K6)</f>
        <v/>
      </c>
      <c r="N6" s="18" t="n">
        <v>1.0980631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14.855</v>
      </c>
      <c r="G7" s="15" t="inlineStr">
        <is>
          <t>EUR</t>
        </is>
      </c>
      <c r="H7" s="14" t="n">
        <v>14.855</v>
      </c>
      <c r="I7" s="16" t="n">
        <v>45060.3</v>
      </c>
      <c r="J7" s="16" t="n">
        <v>45060.3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0.6403017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Saint-Gobain</t>
        </is>
      </c>
      <c r="C8" s="12" t="inlineStr">
        <is>
          <t>SGO.PA</t>
        </is>
      </c>
      <c r="D8" s="11" t="inlineStr">
        <is>
          <t>Materiali da costruzione</t>
        </is>
      </c>
      <c r="E8" s="13" t="inlineStr">
        <is>
          <t>Materiali</t>
        </is>
      </c>
      <c r="F8" s="14" t="n">
        <v>66.40000000000001</v>
      </c>
      <c r="G8" s="15" t="inlineStr">
        <is>
          <t>EUR</t>
        </is>
      </c>
      <c r="H8" s="14" t="n">
        <v>66.40000000000001</v>
      </c>
      <c r="I8" s="16" t="n">
        <v>32427.1</v>
      </c>
      <c r="J8" s="16" t="n">
        <v>32427.1</v>
      </c>
      <c r="K8" s="14" t="n">
        <v>5.39</v>
      </c>
      <c r="L8" s="14" t="n">
        <v>6.80531</v>
      </c>
      <c r="M8" s="17">
        <f>IF(OR(F8="",K8="",K8&lt;=0),"",F8/K8)</f>
        <v/>
      </c>
      <c r="N8" s="18" t="n">
        <v>1.2792848</v>
      </c>
      <c r="O8" s="19">
        <f>IF(OR(N8="",M8="",M8&lt;=0),"",N8/M8)</f>
        <v/>
      </c>
      <c r="P8" s="20" t="n">
        <v>0.11038999</v>
      </c>
      <c r="Q8" s="20" t="n">
        <v>0.1193836987434596</v>
      </c>
      <c r="R8" s="20" t="n">
        <v>0.007575505655233246</v>
      </c>
      <c r="S8" s="21" t="n">
        <v>4</v>
      </c>
      <c r="T8" s="20" t="n"/>
      <c r="U8" s="20" t="n">
        <v>0.1174768754329489</v>
      </c>
      <c r="V8" s="20" t="n">
        <v>0.1131489954247066</v>
      </c>
      <c r="W8" s="20" t="n">
        <v>0.114682249817385</v>
      </c>
      <c r="X8" s="20" t="n">
        <v>0.1322266742987979</v>
      </c>
      <c r="Y8" s="14" t="n">
        <v>2.3</v>
      </c>
      <c r="Z8" s="19">
        <f>IF(OR(Y8="",F8="",F8=0),"",Y8/F8)</f>
        <v/>
      </c>
      <c r="AA8" s="22" t="n">
        <v>66.318</v>
      </c>
      <c r="AB8" s="20" t="n">
        <v>-0.011</v>
      </c>
      <c r="AC8" s="20" t="n">
        <v>0.0574618691564658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194.78</v>
      </c>
      <c r="G9" s="15" t="inlineStr">
        <is>
          <t>EUR</t>
        </is>
      </c>
      <c r="H9" s="14" t="n">
        <v>194.78</v>
      </c>
      <c r="I9" s="16" t="n">
        <v>154164.6</v>
      </c>
      <c r="J9" s="16" t="n">
        <v>154164.6</v>
      </c>
      <c r="K9" s="14" t="n">
        <v>7.51</v>
      </c>
      <c r="L9" s="14" t="n">
        <v>8.72044</v>
      </c>
      <c r="M9" s="17">
        <f>IF(OR(F9="",K9="",K9&lt;=0),"",F9/K9)</f>
        <v/>
      </c>
      <c r="N9" s="18" t="n">
        <v>5.9582143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Capgemini</t>
        </is>
      </c>
      <c r="C10" s="12" t="inlineStr">
        <is>
          <t>CAP.PA</t>
        </is>
      </c>
      <c r="D10" s="11" t="inlineStr">
        <is>
          <t>Servizi IT</t>
        </is>
      </c>
      <c r="E10" s="13" t="inlineStr">
        <is>
          <t>Tecnologia</t>
        </is>
      </c>
      <c r="F10" s="14" t="n">
        <v>126.8</v>
      </c>
      <c r="G10" s="15" t="inlineStr">
        <is>
          <t>EUR</t>
        </is>
      </c>
      <c r="H10" s="14" t="n">
        <v>126.8</v>
      </c>
      <c r="I10" s="16" t="n">
        <v>21049.1</v>
      </c>
      <c r="J10" s="16" t="n">
        <v>21049.1</v>
      </c>
      <c r="K10" s="14" t="n">
        <v>7.87</v>
      </c>
      <c r="L10" s="14" t="n">
        <v>13.73574</v>
      </c>
      <c r="M10" s="17">
        <f>IF(OR(F10="",K10="",K10&lt;=0),"",F10/K10)</f>
        <v/>
      </c>
      <c r="N10" s="18" t="n">
        <v>1.8377345</v>
      </c>
      <c r="O10" s="19">
        <f>IF(OR(N10="",M10="",M10&lt;=0),"",N10/M10)</f>
        <v/>
      </c>
      <c r="P10" s="20" t="n">
        <v>0.12202</v>
      </c>
      <c r="Q10" s="20" t="n">
        <v>0.1493697560657985</v>
      </c>
      <c r="R10" s="20" t="n">
        <v>0.009817698883656849</v>
      </c>
      <c r="S10" s="21" t="n">
        <v>4</v>
      </c>
      <c r="T10" s="20" t="n"/>
      <c r="U10" s="20" t="n">
        <v>0.137448489010989</v>
      </c>
      <c r="V10" s="20" t="n">
        <v>0.1419108280254777</v>
      </c>
      <c r="W10" s="20" t="n">
        <v>0.1590778649320834</v>
      </c>
      <c r="X10" s="20" t="n">
        <v>0.1590418422946438</v>
      </c>
      <c r="Y10" s="14" t="n">
        <v>3.4</v>
      </c>
      <c r="Z10" s="19">
        <f>IF(OR(Y10="",F10="",F10=0),"",Y10/F10)</f>
        <v/>
      </c>
      <c r="AA10" s="22" t="n">
        <v>87.509</v>
      </c>
      <c r="AB10" s="20" t="n">
        <v>0.08799999999999999</v>
      </c>
      <c r="AC10" s="20" t="n">
        <v>0.06120632379256621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1289.5</v>
      </c>
      <c r="G11" s="15" t="inlineStr">
        <is>
          <t>EUR</t>
        </is>
      </c>
      <c r="H11" s="14" t="n">
        <v>1289.5</v>
      </c>
      <c r="I11" s="16" t="n">
        <v>135056.5</v>
      </c>
      <c r="J11" s="16" t="n">
        <v>135056.5</v>
      </c>
      <c r="K11" s="14" t="n">
        <v>43</v>
      </c>
      <c r="L11" s="14" t="n">
        <v>48.64987</v>
      </c>
      <c r="M11" s="17">
        <f>IF(OR(F11="",K11="",K11&lt;=0),"",F11/K11)</f>
        <v/>
      </c>
      <c r="N11" s="18" t="n">
        <v>7.100067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13.685</v>
      </c>
      <c r="G12" s="15" t="inlineStr">
        <is>
          <t>EUR</t>
        </is>
      </c>
      <c r="H12" s="14" t="n">
        <v>13.685</v>
      </c>
      <c r="I12" s="16" t="n">
        <v>9683.700000000001</v>
      </c>
      <c r="J12" s="16" t="n">
        <v>9683.700000000001</v>
      </c>
      <c r="K12" s="14" t="n">
        <v>2.15</v>
      </c>
      <c r="L12" s="14" t="n">
        <v>1.81321</v>
      </c>
      <c r="M12" s="17">
        <f>IF(OR(F12="",K12="",K12&lt;=0),"",F12/K12)</f>
        <v/>
      </c>
      <c r="N12" s="18" t="n">
        <v>0.875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101.5</v>
      </c>
      <c r="G13" s="15" t="inlineStr">
        <is>
          <t>EUR</t>
        </is>
      </c>
      <c r="H13" s="14" t="n">
        <v>101.5</v>
      </c>
      <c r="I13" s="16" t="n">
        <v>25346.7</v>
      </c>
      <c r="J13" s="16" t="n">
        <v>25346.7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2.4096098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387.8</v>
      </c>
      <c r="G14" s="15" t="inlineStr">
        <is>
          <t>EUR</t>
        </is>
      </c>
      <c r="H14" s="14" t="n">
        <v>387.8</v>
      </c>
      <c r="I14" s="16" t="n">
        <v>191171.9</v>
      </c>
      <c r="J14" s="16" t="n">
        <v>191171.9</v>
      </c>
      <c r="K14" s="14" t="n">
        <v>21.94</v>
      </c>
      <c r="L14" s="14" t="n">
        <v>24.12314</v>
      </c>
      <c r="M14" s="17">
        <f>IF(OR(F14="",K14="",K14&lt;=0),"",F14/K14)</f>
        <v/>
      </c>
      <c r="N14" s="18" t="n">
        <v>2.8081915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59.72</v>
      </c>
      <c r="G15" s="15" t="inlineStr">
        <is>
          <t>EUR</t>
        </is>
      </c>
      <c r="H15" s="14" t="n">
        <v>59.72</v>
      </c>
      <c r="I15" s="16" t="n">
        <v>43277.6</v>
      </c>
      <c r="J15" s="16" t="n">
        <v>43277.6</v>
      </c>
      <c r="K15" s="14" t="n">
        <v>7.79</v>
      </c>
      <c r="L15" s="14" t="n">
        <v>9.22852</v>
      </c>
      <c r="M15" s="17">
        <f>IF(OR(F15="",K15="",K15&lt;=0),"",F15/K15)</f>
        <v/>
      </c>
      <c r="N15" s="18" t="n">
        <v>0.6095246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123.65</v>
      </c>
      <c r="G16" s="15" t="inlineStr">
        <is>
          <t>EUR</t>
        </is>
      </c>
      <c r="H16" s="14" t="n">
        <v>123.65</v>
      </c>
      <c r="I16" s="16" t="n">
        <v>32410.3</v>
      </c>
      <c r="J16" s="16" t="n">
        <v>32410.3</v>
      </c>
      <c r="K16" s="14" t="n">
        <v>4.97</v>
      </c>
      <c r="L16" s="14" t="n">
        <v>6.91055</v>
      </c>
      <c r="M16" s="17">
        <f>IF(OR(F16="",K16="",K16&lt;=0),"",F16/K16)</f>
        <v/>
      </c>
      <c r="N16" s="18" t="n">
        <v>4.3252416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413</v>
      </c>
      <c r="G17" s="15" t="inlineStr">
        <is>
          <t>EUR</t>
        </is>
      </c>
      <c r="H17" s="14" t="n">
        <v>413</v>
      </c>
      <c r="I17" s="16" t="n">
        <v>219880.9</v>
      </c>
      <c r="J17" s="16" t="n">
        <v>219880.9</v>
      </c>
      <c r="K17" s="14" t="n">
        <v>11.78</v>
      </c>
      <c r="L17" s="14" t="n">
        <v>14.94049</v>
      </c>
      <c r="M17" s="17">
        <f>IF(OR(F17="",K17="",K17&lt;=0),"",F17/K17)</f>
        <v/>
      </c>
      <c r="N17" s="18" t="n">
        <v>6.497491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67.59999999999999</v>
      </c>
      <c r="G18" s="15" t="inlineStr">
        <is>
          <t>EUR</t>
        </is>
      </c>
      <c r="H18" s="14" t="n">
        <v>67.59999999999999</v>
      </c>
      <c r="I18" s="16" t="n">
        <v>17022.6</v>
      </c>
      <c r="J18" s="16" t="n">
        <v>17022.6</v>
      </c>
      <c r="K18" s="14" t="n">
        <v>4.77</v>
      </c>
      <c r="L18" s="14" t="n">
        <v>5.92596</v>
      </c>
      <c r="M18" s="17">
        <f>IF(OR(F18="",K18="",K18&lt;=0),"",F18/K18)</f>
        <v/>
      </c>
      <c r="N18" s="18" t="n">
        <v>1.0976521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26.67</v>
      </c>
      <c r="G19" s="15" t="inlineStr">
        <is>
          <t>EUR</t>
        </is>
      </c>
      <c r="H19" s="14" t="n">
        <v>26.67</v>
      </c>
      <c r="I19" s="16" t="n">
        <v>7717.6</v>
      </c>
      <c r="J19" s="16" t="n">
        <v>7717.6</v>
      </c>
      <c r="K19" s="14" t="n">
        <v>3.27</v>
      </c>
      <c r="L19" s="14" t="n">
        <v>6.30119</v>
      </c>
      <c r="M19" s="17">
        <f>IF(OR(F19="",K19="",K19&lt;=0),"",F19/K19)</f>
        <v/>
      </c>
      <c r="N19" s="18" t="n">
        <v>0.37618482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226.7</v>
      </c>
      <c r="G20" s="15" t="inlineStr">
        <is>
          <t>EUR</t>
        </is>
      </c>
      <c r="H20" s="14" t="n">
        <v>226.7</v>
      </c>
      <c r="I20" s="16" t="n">
        <v>46622.6</v>
      </c>
      <c r="J20" s="16" t="n">
        <v>46622.6</v>
      </c>
      <c r="K20" s="14" t="n">
        <v>7.26</v>
      </c>
      <c r="L20" s="14" t="n">
        <v>12.40802</v>
      </c>
      <c r="M20" s="17">
        <f>IF(OR(F20="",K20="",K20&lt;=0),"",F20/K20)</f>
        <v/>
      </c>
      <c r="N20" s="18" t="n">
        <v>5.817295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235.75</v>
      </c>
      <c r="G21" s="15" t="inlineStr">
        <is>
          <t>EUR</t>
        </is>
      </c>
      <c r="H21" s="14" t="n">
        <v>235.75</v>
      </c>
      <c r="I21" s="16" t="n">
        <v>132798.3</v>
      </c>
      <c r="J21" s="16" t="n">
        <v>132798.3</v>
      </c>
      <c r="K21" s="14" t="n">
        <v>8.32</v>
      </c>
      <c r="L21" s="14" t="n">
        <v>12.63666</v>
      </c>
      <c r="M21" s="17">
        <f>IF(OR(F21="",K21="",K21&lt;=0),"",F21/K21)</f>
        <v/>
      </c>
      <c r="N21" s="18" t="n">
        <v>5.4191666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14.365</v>
      </c>
      <c r="G22" s="15" t="inlineStr">
        <is>
          <t>EUR</t>
        </is>
      </c>
      <c r="H22" s="14" t="n">
        <v>14.365</v>
      </c>
      <c r="I22" s="16" t="n">
        <v>38178.9</v>
      </c>
      <c r="J22" s="16" t="n">
        <v>38178.9</v>
      </c>
      <c r="K22" s="14" t="n">
        <v>1.07</v>
      </c>
      <c r="L22" s="14" t="n">
        <v>1.15176</v>
      </c>
      <c r="M22" s="17">
        <f>IF(OR(F22="",K22="",K22&lt;=0),"",F22/K22)</f>
        <v/>
      </c>
      <c r="N22" s="18" t="n">
        <v>1.1996826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2026-10-22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90.12</v>
      </c>
      <c r="G23" s="15" t="inlineStr">
        <is>
          <t>EUR</t>
        </is>
      </c>
      <c r="H23" s="14" t="n">
        <v>90.12</v>
      </c>
      <c r="I23" s="16" t="n">
        <v>13026.4</v>
      </c>
      <c r="J23" s="16" t="n">
        <v>13026.4</v>
      </c>
      <c r="K23" s="14" t="n">
        <v>10.8</v>
      </c>
      <c r="L23" s="14" t="n">
        <v>9.419409999999999</v>
      </c>
      <c r="M23" s="17">
        <f>IF(OR(F23="",K23="",K23&lt;=0),"",F23/K23)</f>
        <v/>
      </c>
      <c r="N23" s="18" t="n">
        <v>0.7930516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2026-10-22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24.06</v>
      </c>
      <c r="G24" s="15" t="inlineStr">
        <is>
          <t>EUR</t>
        </is>
      </c>
      <c r="H24" s="14" t="n">
        <v>24.06</v>
      </c>
      <c r="I24" s="16" t="n">
        <v>31616.9</v>
      </c>
      <c r="J24" s="16" t="n">
        <v>31616.9</v>
      </c>
      <c r="K24" s="14" t="n">
        <v>0.97</v>
      </c>
      <c r="L24" s="14" t="n">
        <v>1.4092</v>
      </c>
      <c r="M24" s="17">
        <f>IF(OR(F24="",K24="",K24&lt;=0),"",F24/K24)</f>
        <v/>
      </c>
      <c r="N24" s="18" t="n">
        <v>3.4185846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2026-10-22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74.95</v>
      </c>
      <c r="G25" s="15" t="inlineStr">
        <is>
          <t>EUR</t>
        </is>
      </c>
      <c r="H25" s="14" t="n">
        <v>74.95</v>
      </c>
      <c r="I25" s="16" t="n">
        <v>89795.2</v>
      </c>
      <c r="J25" s="16" t="n">
        <v>89795.2</v>
      </c>
      <c r="K25" s="14" t="n">
        <v>3.25</v>
      </c>
      <c r="L25" s="14" t="n">
        <v>9.04649</v>
      </c>
      <c r="M25" s="17">
        <f>IF(OR(F25="",K25="",K25&lt;=0),"",F25/K25)</f>
        <v/>
      </c>
      <c r="N25" s="18" t="n">
        <v>1.2974985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2026-10-22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23.11</v>
      </c>
      <c r="G26" s="15" t="inlineStr">
        <is>
          <t>EUR</t>
        </is>
      </c>
      <c r="H26" s="14" t="n">
        <v>23.11</v>
      </c>
      <c r="I26" s="16" t="n">
        <v>58713.5</v>
      </c>
      <c r="J26" s="16" t="n">
        <v>58713.5</v>
      </c>
      <c r="K26" s="14" t="n">
        <v>1.63</v>
      </c>
      <c r="L26" s="14" t="n">
        <v>2.11565</v>
      </c>
      <c r="M26" s="17">
        <f>IF(OR(F26="",K26="",K26&lt;=0),"",F26/K26)</f>
        <v/>
      </c>
      <c r="N26" s="18" t="n">
        <v>1.7226986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2026-10-22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173.58</v>
      </c>
      <c r="G27" s="15" t="inlineStr">
        <is>
          <t>EUR</t>
        </is>
      </c>
      <c r="H27" s="14" t="n">
        <v>173.58</v>
      </c>
      <c r="I27" s="16" t="n">
        <v>110772.6</v>
      </c>
      <c r="J27" s="16" t="n">
        <v>110772.6</v>
      </c>
      <c r="K27" s="14" t="n">
        <v>5.55</v>
      </c>
      <c r="L27" s="14" t="n">
        <v>7.19494</v>
      </c>
      <c r="M27" s="17">
        <f>IF(OR(F27="",K27="",K27&lt;=0),"",F27/K27)</f>
        <v/>
      </c>
      <c r="N27" s="18" t="n">
        <v>4.166287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2026-10-22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177.15</v>
      </c>
      <c r="G28" s="15" t="inlineStr">
        <is>
          <t>EUR</t>
        </is>
      </c>
      <c r="H28" s="14" t="n">
        <v>177.15</v>
      </c>
      <c r="I28" s="16" t="n">
        <v>81200.7</v>
      </c>
      <c r="J28" s="16" t="n">
        <v>81200.7</v>
      </c>
      <c r="K28" s="14" t="n">
        <v>5.35</v>
      </c>
      <c r="L28" s="14" t="n">
        <v>7.94314</v>
      </c>
      <c r="M28" s="17">
        <f>IF(OR(F28="",K28="",K28&lt;=0),"",F28/K28)</f>
        <v/>
      </c>
      <c r="N28" s="18" t="n">
        <v>2.0760574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2026-10-22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31.82</v>
      </c>
      <c r="G29" s="15" t="inlineStr">
        <is>
          <t>EUR</t>
        </is>
      </c>
      <c r="H29" s="14" t="n">
        <v>31.82</v>
      </c>
      <c r="I29" s="16" t="n">
        <v>23612.5</v>
      </c>
      <c r="J29" s="16" t="n">
        <v>23612.5</v>
      </c>
      <c r="K29" s="14" t="n">
        <v>1.72</v>
      </c>
      <c r="L29" s="14" t="n">
        <v>2.63791</v>
      </c>
      <c r="M29" s="17">
        <f>IF(OR(F29="",K29="",K29&lt;=0),"",F29/K29)</f>
        <v/>
      </c>
      <c r="N29" s="18" t="n">
        <v>3.2655993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2026-10-22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83.26000000000001</v>
      </c>
      <c r="G30" s="15" t="inlineStr">
        <is>
          <t>EUR</t>
        </is>
      </c>
      <c r="H30" s="14" t="n">
        <v>83.26000000000001</v>
      </c>
      <c r="I30" s="16" t="n">
        <v>14246.8</v>
      </c>
      <c r="J30" s="16" t="n">
        <v>14246.8</v>
      </c>
      <c r="K30" s="14" t="n">
        <v>2.88</v>
      </c>
      <c r="L30" s="14" t="n">
        <v>4.70132</v>
      </c>
      <c r="M30" s="17">
        <f>IF(OR(F30="",K30="",K30&lt;=0),"",F30/K30)</f>
        <v/>
      </c>
      <c r="N30" s="18" t="n">
        <v>3.9925196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2026-10-22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62.38</v>
      </c>
      <c r="G31" s="15" t="inlineStr">
        <is>
          <t>EUR</t>
        </is>
      </c>
      <c r="H31" s="14" t="n">
        <v>62.38</v>
      </c>
      <c r="I31" s="16" t="n">
        <v>40178.7</v>
      </c>
      <c r="J31" s="16" t="n">
        <v>40178.7</v>
      </c>
      <c r="K31" s="14" t="n">
        <v>3.02</v>
      </c>
      <c r="L31" s="14" t="n">
        <v>4.21785</v>
      </c>
      <c r="M31" s="17">
        <f>IF(OR(F31="",K31="",K31&lt;=0),"",F31/K31)</f>
        <v/>
      </c>
      <c r="N31" s="18" t="n">
        <v>2.278888</v>
      </c>
      <c r="O31" s="19">
        <f>IF(OR(N31="",M31="",M31&lt;=0),"",N31/M31)</f>
        <v/>
      </c>
      <c r="P31" s="20" t="n">
        <v>0.121929996</v>
      </c>
      <c r="Q31" s="20" t="n">
        <v>0.121929996</v>
      </c>
      <c r="R31" s="20" t="n"/>
      <c r="S31" s="21" t="n">
        <v>0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0.07131999999999999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2026-10-22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302</v>
      </c>
      <c r="G32" s="15" t="inlineStr">
        <is>
          <t>EUR</t>
        </is>
      </c>
      <c r="H32" s="14" t="n">
        <v>302</v>
      </c>
      <c r="I32" s="16" t="n">
        <v>125037.4</v>
      </c>
      <c r="J32" s="16" t="n">
        <v>125037.4</v>
      </c>
      <c r="K32" s="14" t="n">
        <v>9.31</v>
      </c>
      <c r="L32" s="14" t="n">
        <v>12.95271</v>
      </c>
      <c r="M32" s="17">
        <f>IF(OR(F32="",K32="",K32&lt;=0),"",F32/K32)</f>
        <v/>
      </c>
      <c r="N32" s="18" t="n">
        <v>8.627338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2026-10-22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26.57</v>
      </c>
      <c r="G33" s="15" t="inlineStr">
        <is>
          <t>EUR</t>
        </is>
      </c>
      <c r="H33" s="14" t="n">
        <v>26.57</v>
      </c>
      <c r="I33" s="16" t="n">
        <v>6065.1</v>
      </c>
      <c r="J33" s="16" t="n">
        <v>6065.1</v>
      </c>
      <c r="K33" s="14" t="n">
        <v>2.06</v>
      </c>
      <c r="L33" s="14" t="n">
        <v>2.42424</v>
      </c>
      <c r="M33" s="17">
        <f>IF(OR(F33="",K33="",K33&lt;=0),"",F33/K33)</f>
        <v/>
      </c>
      <c r="N33" s="18" t="n">
        <v>-6.238554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2026-10-22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213.5</v>
      </c>
      <c r="G34" s="15" t="inlineStr">
        <is>
          <t>EUR</t>
        </is>
      </c>
      <c r="H34" s="14" t="n">
        <v>213.5</v>
      </c>
      <c r="I34" s="16" t="n">
        <v>26179</v>
      </c>
      <c r="J34" s="16" t="n">
        <v>26179</v>
      </c>
      <c r="K34" s="14" t="n">
        <v>-2.98</v>
      </c>
      <c r="L34" s="14" t="n">
        <v>9.608470000000001</v>
      </c>
      <c r="M34" s="17">
        <f>IF(OR(F34="",K34="",K34&lt;=0),"",F34/K34)</f>
        <v/>
      </c>
      <c r="N34" s="18" t="n">
        <v>1.8076981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2026-10-22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31.45</v>
      </c>
      <c r="G35" s="15" t="inlineStr">
        <is>
          <t>EUR</t>
        </is>
      </c>
      <c r="H35" s="14" t="n">
        <v>31.45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0.37496722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2026-10-22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11.512</v>
      </c>
      <c r="G36" s="15" t="inlineStr">
        <is>
          <t>EUR</t>
        </is>
      </c>
      <c r="H36" s="14" t="n">
        <v>11.512</v>
      </c>
      <c r="I36" s="16" t="n">
        <v>651.1</v>
      </c>
      <c r="J36" s="16" t="n">
        <v>651.1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0.17467567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2026-10-22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33.93</v>
      </c>
      <c r="G2" s="15" t="inlineStr">
        <is>
          <t>EUR</t>
        </is>
      </c>
      <c r="H2" s="14" t="n">
        <v>33.93</v>
      </c>
      <c r="I2" s="16" t="n">
        <v>70912.2</v>
      </c>
      <c r="J2" s="16" t="n">
        <v>70912.2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1.5185683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157.25</v>
      </c>
      <c r="G3" s="15" t="inlineStr">
        <is>
          <t>EUR</t>
        </is>
      </c>
      <c r="H3" s="14" t="n">
        <v>157.25</v>
      </c>
      <c r="I3" s="16" t="n">
        <v>12440.6</v>
      </c>
      <c r="J3" s="16" t="n">
        <v>12440.6</v>
      </c>
      <c r="K3" s="14" t="n">
        <v>2.62</v>
      </c>
      <c r="L3" s="14" t="n">
        <v>6.53739</v>
      </c>
      <c r="M3" s="17">
        <f>IF(OR(F3="",K3="",K3&lt;=0),"",F3/K3)</f>
        <v/>
      </c>
      <c r="N3" s="18" t="n">
        <v>22.169744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1419.6</v>
      </c>
      <c r="G4" s="15" t="inlineStr">
        <is>
          <t>EUR</t>
        </is>
      </c>
      <c r="H4" s="14" t="n">
        <v>1419.6</v>
      </c>
      <c r="I4" s="16" t="n">
        <v>547139</v>
      </c>
      <c r="J4" s="16" t="n">
        <v>547139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24.648829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86.8</v>
      </c>
      <c r="G5" s="15" t="inlineStr">
        <is>
          <t>EUR</t>
        </is>
      </c>
      <c r="H5" s="14" t="n">
        <v>86.8</v>
      </c>
      <c r="I5" s="16" t="n">
        <v>19307.5</v>
      </c>
      <c r="J5" s="16" t="n">
        <v>19307.5</v>
      </c>
      <c r="K5" s="14" t="n">
        <v>5.85</v>
      </c>
      <c r="L5" s="14" t="n">
        <v>6.19867</v>
      </c>
      <c r="M5" s="17">
        <f>IF(OR(F5="",K5="",K5&lt;=0),"",F5/K5)</f>
        <v/>
      </c>
      <c r="N5" s="18" t="n">
        <v>20.612682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28.79</v>
      </c>
      <c r="G6" s="15" t="inlineStr">
        <is>
          <t>EUR</t>
        </is>
      </c>
      <c r="H6" s="14" t="n">
        <v>28.79</v>
      </c>
      <c r="I6" s="16" t="n">
        <v>81792.8</v>
      </c>
      <c r="J6" s="16" t="n">
        <v>81792.8</v>
      </c>
      <c r="K6" s="14" t="n">
        <v>2.29</v>
      </c>
      <c r="L6" s="14" t="n">
        <v>2.99754</v>
      </c>
      <c r="M6" s="17">
        <f>IF(OR(F6="",K6="",K6&lt;=0),"",F6/K6)</f>
        <v/>
      </c>
      <c r="N6" s="18" t="n">
        <v>1.6385885</v>
      </c>
      <c r="O6" s="19">
        <f>IF(OR(N6="",M6="",M6&lt;=0),"",N6/M6)</f>
        <v/>
      </c>
      <c r="P6" s="20" t="n">
        <v>0.17124</v>
      </c>
      <c r="Q6" s="20" t="n">
        <v>0.17124</v>
      </c>
      <c r="R6" s="20" t="n"/>
      <c r="S6" s="21" t="n">
        <v>0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954.4</v>
      </c>
      <c r="G7" s="15" t="inlineStr">
        <is>
          <t>EUR</t>
        </is>
      </c>
      <c r="H7" s="14" t="n">
        <v>954.4</v>
      </c>
      <c r="I7" s="16" t="n">
        <v>30127.2</v>
      </c>
      <c r="J7" s="16" t="n">
        <v>30127.2</v>
      </c>
      <c r="K7" s="14" t="n">
        <v>35.58</v>
      </c>
      <c r="L7" s="14" t="n">
        <v>46.92313</v>
      </c>
      <c r="M7" s="17">
        <f>IF(OR(F7="",K7="",K7&lt;=0),"",F7/K7)</f>
        <v/>
      </c>
      <c r="N7" s="18" t="n">
        <v>5.0987263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32.91</v>
      </c>
      <c r="G8" s="15" t="inlineStr">
        <is>
          <t>EUR</t>
        </is>
      </c>
      <c r="H8" s="14" t="n">
        <v>32.91</v>
      </c>
      <c r="I8" s="16" t="n">
        <v>28730.8</v>
      </c>
      <c r="J8" s="16" t="n">
        <v>28730.8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1.9906847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ABN AMRO</t>
        </is>
      </c>
      <c r="C9" s="12" t="inlineStr">
        <is>
          <t>ABN.AS</t>
        </is>
      </c>
      <c r="D9" s="11" t="inlineStr">
        <is>
          <t>Banca</t>
        </is>
      </c>
      <c r="E9" s="13" t="inlineStr">
        <is>
          <t>Finanziario</t>
        </is>
      </c>
      <c r="F9" s="14" t="n">
        <v>38.81</v>
      </c>
      <c r="G9" s="15" t="inlineStr">
        <is>
          <t>EUR</t>
        </is>
      </c>
      <c r="H9" s="14" t="n">
        <v>38.81</v>
      </c>
      <c r="I9" s="16" t="n">
        <v>31627.7</v>
      </c>
      <c r="J9" s="16" t="n">
        <v>31627.7</v>
      </c>
      <c r="K9" s="14" t="n">
        <v>2.78</v>
      </c>
      <c r="L9" s="14" t="n">
        <v>3.81075</v>
      </c>
      <c r="M9" s="17">
        <f>IF(OR(F9="",K9="",K9&lt;=0),"",F9/K9)</f>
        <v/>
      </c>
      <c r="N9" s="18" t="n">
        <v>1.1569879</v>
      </c>
      <c r="O9" s="19">
        <f>IF(OR(N9="",M9="",M9&lt;=0),"",N9/M9)</f>
        <v/>
      </c>
      <c r="P9" s="20" t="n">
        <v>0.0912</v>
      </c>
      <c r="Q9" s="20" t="n">
        <v>0.09219355240720387</v>
      </c>
      <c r="R9" s="20" t="n">
        <v>0.01186740445601576</v>
      </c>
      <c r="S9" s="21" t="n">
        <v>4</v>
      </c>
      <c r="T9" s="20" t="n"/>
      <c r="U9" s="20" t="n">
        <v>0.08328402366863906</v>
      </c>
      <c r="V9" s="20" t="n">
        <v>0.09204780510227534</v>
      </c>
      <c r="W9" s="20" t="n">
        <v>0.1116030787056195</v>
      </c>
      <c r="X9" s="20" t="n">
        <v>0.08183930215228159</v>
      </c>
      <c r="Y9" s="14" t="n">
        <v>1.38</v>
      </c>
      <c r="Z9" s="19">
        <f>IF(OR(Y9="",F9="",F9=0),"",Y9/F9)</f>
        <v/>
      </c>
      <c r="AA9" s="22" t="n"/>
      <c r="AB9" s="20" t="n">
        <v>0.118</v>
      </c>
      <c r="AC9" s="20" t="n">
        <v>0.2616811653687586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4.177</v>
      </c>
      <c r="G10" s="15" t="inlineStr">
        <is>
          <t>EUR</t>
        </is>
      </c>
      <c r="H10" s="14" t="n">
        <v>4.177</v>
      </c>
      <c r="I10" s="16" t="n">
        <v>15756.2</v>
      </c>
      <c r="J10" s="16" t="n">
        <v>15756.2</v>
      </c>
      <c r="K10" s="14" t="n">
        <v>0.22</v>
      </c>
      <c r="L10" s="14" t="n">
        <v>0.26973</v>
      </c>
      <c r="M10" s="17">
        <f>IF(OR(F10="",K10="",K10&lt;=0),"",F10/K10)</f>
        <v/>
      </c>
      <c r="N10" s="18" t="n">
        <v>6.870066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16.05</v>
      </c>
      <c r="G11" s="15" t="inlineStr">
        <is>
          <t>EUR</t>
        </is>
      </c>
      <c r="H11" s="14" t="n">
        <v>16.05</v>
      </c>
      <c r="I11" s="16" t="n">
        <v>28861.3</v>
      </c>
      <c r="J11" s="16" t="n">
        <v>28861.3</v>
      </c>
      <c r="K11" s="14" t="n">
        <v>0.18</v>
      </c>
      <c r="L11" s="14" t="n">
        <v>1.08942</v>
      </c>
      <c r="M11" s="17">
        <f>IF(OR(F11="",K11="",K11&lt;=0),"",F11/K11)</f>
        <v/>
      </c>
      <c r="N11" s="18" t="n">
        <v>8.025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75.66</v>
      </c>
      <c r="G12" s="15" t="inlineStr">
        <is>
          <t>EUR</t>
        </is>
      </c>
      <c r="H12" s="14" t="n">
        <v>75.66</v>
      </c>
      <c r="I12" s="16" t="n">
        <v>19586.1</v>
      </c>
      <c r="J12" s="16" t="n">
        <v>19586.1</v>
      </c>
      <c r="K12" s="14" t="n">
        <v>6.78</v>
      </c>
      <c r="L12" s="14" t="n">
        <v>8.92845</v>
      </c>
      <c r="M12" s="17">
        <f>IF(OR(F12="",K12="",K12&lt;=0),"",F12/K12)</f>
        <v/>
      </c>
      <c r="N12" s="18" t="n">
        <v>0.9423224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709.2</v>
      </c>
      <c r="G13" s="15" t="inlineStr">
        <is>
          <t>EUR</t>
        </is>
      </c>
      <c r="H13" s="14" t="n">
        <v>709.2</v>
      </c>
      <c r="I13" s="16" t="n">
        <v>34621</v>
      </c>
      <c r="J13" s="16" t="n">
        <v>34621</v>
      </c>
      <c r="K13" s="14" t="n">
        <v>21.86</v>
      </c>
      <c r="L13" s="14" t="n">
        <v>31.64102</v>
      </c>
      <c r="M13" s="17">
        <f>IF(OR(F13="",K13="",K13&lt;=0),"",F13/K13)</f>
        <v/>
      </c>
      <c r="N13" s="18" t="n">
        <v>7.810487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60.02</v>
      </c>
      <c r="G14" s="15" t="inlineStr">
        <is>
          <t>EUR</t>
        </is>
      </c>
      <c r="H14" s="14" t="n">
        <v>60.02</v>
      </c>
      <c r="I14" s="16" t="n">
        <v>10287.4</v>
      </c>
      <c r="J14" s="16" t="n">
        <v>10287.4</v>
      </c>
      <c r="K14" s="14" t="n">
        <v>3.79</v>
      </c>
      <c r="L14" s="14" t="n">
        <v>4.22133</v>
      </c>
      <c r="M14" s="17">
        <f>IF(OR(F14="",K14="",K14&lt;=0),"",F14/K14)</f>
        <v/>
      </c>
      <c r="N14" s="18" t="n">
        <v>2.0352662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77.90000000000001</v>
      </c>
      <c r="G15" s="15" t="inlineStr">
        <is>
          <t>EUR</t>
        </is>
      </c>
      <c r="H15" s="14" t="n">
        <v>77.90000000000001</v>
      </c>
      <c r="I15" s="16" t="n">
        <v>43091.6</v>
      </c>
      <c r="J15" s="16" t="n">
        <v>43091.6</v>
      </c>
      <c r="K15" s="14" t="n">
        <v>4.1</v>
      </c>
      <c r="L15" s="14" t="n">
        <v>5.6914</v>
      </c>
      <c r="M15" s="17">
        <f>IF(OR(F15="",K15="",K15&lt;=0),"",F15/K15)</f>
        <v/>
      </c>
      <c r="N15" s="18" t="n">
        <v>2.2342043</v>
      </c>
      <c r="O15" s="19">
        <f>IF(OR(N15="",M15="",M15&lt;=0),"",N15/M15)</f>
        <v/>
      </c>
      <c r="P15" s="20" t="n">
        <v>0.121309996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1.92</v>
      </c>
      <c r="Z15" s="19">
        <f>IF(OR(Y15="",F15="",F15=0),"",Y15/F15)</f>
        <v/>
      </c>
      <c r="AA15" s="22" t="n">
        <v>95.107</v>
      </c>
      <c r="AB15" s="20" t="n">
        <v>0.047</v>
      </c>
      <c r="AC15" s="20" t="n">
        <v>0.07880916328730915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IMCD</t>
        </is>
      </c>
      <c r="C16" s="12" t="inlineStr">
        <is>
          <t>IMCD.AS</t>
        </is>
      </c>
      <c r="D16" s="11" t="inlineStr">
        <is>
          <t>Distribuzione chimica</t>
        </is>
      </c>
      <c r="E16" s="13" t="inlineStr">
        <is>
          <t>Industriale</t>
        </is>
      </c>
      <c r="F16" s="14" t="n">
        <v>100.55</v>
      </c>
      <c r="G16" s="15" t="inlineStr">
        <is>
          <t>EUR</t>
        </is>
      </c>
      <c r="H16" s="14" t="n">
        <v>100.55</v>
      </c>
      <c r="I16" s="16" t="n">
        <v>5935.8</v>
      </c>
      <c r="J16" s="16" t="n">
        <v>5935.8</v>
      </c>
      <c r="K16" s="14" t="n">
        <v>3.89</v>
      </c>
      <c r="L16" s="14" t="n">
        <v>6.53018</v>
      </c>
      <c r="M16" s="17">
        <f>IF(OR(F16="",K16="",K16&lt;=0),"",F16/K16)</f>
        <v/>
      </c>
      <c r="N16" s="18" t="n">
        <v>2.7965512</v>
      </c>
      <c r="O16" s="19">
        <f>IF(OR(N16="",M16="",M16&lt;=0),"",N16/M16)</f>
        <v/>
      </c>
      <c r="P16" s="20" t="n">
        <v>0.11225</v>
      </c>
      <c r="Q16" s="20" t="n">
        <v>0.11225</v>
      </c>
      <c r="R16" s="20" t="n"/>
      <c r="S16" s="21" t="n">
        <v>0</v>
      </c>
      <c r="T16" s="20" t="n"/>
      <c r="U16" s="20" t="n">
        <v>0.1066097892969804</v>
      </c>
      <c r="V16" s="20" t="n">
        <v>0.1256902408615362</v>
      </c>
      <c r="W16" s="20" t="n">
        <v>0.1694539770556378</v>
      </c>
      <c r="X16" s="20" t="n">
        <v>0.1872533216903464</v>
      </c>
      <c r="Y16" s="14" t="n">
        <v>1.81</v>
      </c>
      <c r="Z16" s="19">
        <f>IF(OR(Y16="",F16="",F16=0),"",Y16/F16)</f>
        <v/>
      </c>
      <c r="AA16" s="22" t="n">
        <v>85.125</v>
      </c>
      <c r="AB16" s="20" t="n">
        <v>0.066</v>
      </c>
      <c r="AC16" s="20" t="n">
        <v>0.04817180950993896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7.332</v>
      </c>
      <c r="G17" s="15" t="inlineStr">
        <is>
          <t>EUR</t>
        </is>
      </c>
      <c r="H17" s="14" t="n">
        <v>7.332</v>
      </c>
      <c r="I17" s="16" t="n">
        <v>10851.3</v>
      </c>
      <c r="J17" s="16" t="n">
        <v>10851.3</v>
      </c>
      <c r="K17" s="14" t="n">
        <v>0.59</v>
      </c>
      <c r="L17" s="14" t="n">
        <v>0.9792</v>
      </c>
      <c r="M17" s="17">
        <f>IF(OR(F17="",K17="",K17&lt;=0),"",F17/K17)</f>
        <v/>
      </c>
      <c r="N17" s="18" t="n">
        <v>1.2211858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40.65</v>
      </c>
      <c r="G18" s="15" t="inlineStr">
        <is>
          <t>EUR</t>
        </is>
      </c>
      <c r="H18" s="14" t="n">
        <v>40.65</v>
      </c>
      <c r="I18" s="16" t="n">
        <v>7132.1</v>
      </c>
      <c r="J18" s="16" t="n">
        <v>7132.1</v>
      </c>
      <c r="K18" s="14" t="n">
        <v>1.93</v>
      </c>
      <c r="L18" s="14" t="n">
        <v>2.92325</v>
      </c>
      <c r="M18" s="17">
        <f>IF(OR(F18="",K18="",K18&lt;=0),"",F18/K18)</f>
        <v/>
      </c>
      <c r="N18" s="18" t="n">
        <v>1.8275414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23.9</v>
      </c>
      <c r="G19" s="15" t="inlineStr">
        <is>
          <t>EUR</t>
        </is>
      </c>
      <c r="H19" s="14" t="n">
        <v>23.9</v>
      </c>
      <c r="I19" s="16" t="n">
        <v>23360.5</v>
      </c>
      <c r="J19" s="16" t="n">
        <v>23360.5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2.0408163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53.92</v>
      </c>
      <c r="G20" s="15" t="inlineStr">
        <is>
          <t>EUR</t>
        </is>
      </c>
      <c r="H20" s="14" t="n">
        <v>53.92</v>
      </c>
      <c r="I20" s="16" t="n">
        <v>40544.3</v>
      </c>
      <c r="J20" s="16" t="n">
        <v>40544.3</v>
      </c>
      <c r="K20" s="14" t="n">
        <v>2.03</v>
      </c>
      <c r="L20" s="14" t="n">
        <v>6.6399665</v>
      </c>
      <c r="M20" s="17">
        <f>IF(OR(F20="",K20="",K20&lt;=0),"",F20/K20)</f>
        <v/>
      </c>
      <c r="N20" s="18" t="n">
        <v>0.8325775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108.8</v>
      </c>
      <c r="G21" s="15" t="inlineStr">
        <is>
          <t>EUR</t>
        </is>
      </c>
      <c r="H21" s="14" t="n">
        <v>108.8</v>
      </c>
      <c r="I21" s="16" t="n">
        <v>26586.5</v>
      </c>
      <c r="J21" s="16" t="n">
        <v>26586.5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1.5270818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613</v>
      </c>
      <c r="G2" s="15" t="inlineStr">
        <is>
          <t>CHF</t>
        </is>
      </c>
      <c r="H2" s="14" t="n">
        <v>664.7148124051181</v>
      </c>
      <c r="I2" s="16" t="n">
        <v>17138.47321622208</v>
      </c>
      <c r="J2" s="16" t="n">
        <v>15805.1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10.784658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Julius Baer Gruppe</t>
        </is>
      </c>
      <c r="C3" s="12" t="inlineStr">
        <is>
          <t>BAER.SW</t>
        </is>
      </c>
      <c r="D3" s="11" t="inlineStr">
        <is>
          <t>Gestione patrimoni</t>
        </is>
      </c>
      <c r="E3" s="13" t="inlineStr">
        <is>
          <t>Finanziario</t>
        </is>
      </c>
      <c r="F3" s="14" t="n">
        <v>68.3</v>
      </c>
      <c r="G3" s="15" t="inlineStr">
        <is>
          <t>CHF</t>
        </is>
      </c>
      <c r="H3" s="14" t="n">
        <v>74.06202559097808</v>
      </c>
      <c r="I3" s="16" t="n">
        <v>15239.31901973541</v>
      </c>
      <c r="J3" s="16" t="n">
        <v>14053.7</v>
      </c>
      <c r="K3" s="14" t="n">
        <v>5.54</v>
      </c>
      <c r="L3" s="14" t="n">
        <v>6.23582</v>
      </c>
      <c r="M3" s="17">
        <f>IF(OR(F3="",K3="",K3&lt;=0),"",F3/K3)</f>
        <v/>
      </c>
      <c r="N3" s="18" t="n">
        <v>1.9056921</v>
      </c>
      <c r="O3" s="19">
        <f>IF(OR(N3="",M3="",M3&lt;=0),"",N3/M3)</f>
        <v/>
      </c>
      <c r="P3" s="20" t="n">
        <v>0.16169001</v>
      </c>
      <c r="Q3" s="20" t="n">
        <v>0.1200210000885957</v>
      </c>
      <c r="R3" s="20" t="n">
        <v>0.03239015609690895</v>
      </c>
      <c r="S3" s="21" t="n">
        <v>4</v>
      </c>
      <c r="T3" s="20" t="n"/>
      <c r="U3" s="20" t="n">
        <v>0.1056556265736975</v>
      </c>
      <c r="V3" s="20" t="n">
        <v>0.1497055980314615</v>
      </c>
      <c r="W3" s="20" t="n">
        <v>0.07368574813756837</v>
      </c>
      <c r="X3" s="20" t="n">
        <v>0.1510370276116554</v>
      </c>
      <c r="Y3" s="14" t="n">
        <v>2.6</v>
      </c>
      <c r="Z3" s="19">
        <f>IF(OR(Y3="",F3="",F3=0),"",Y3/F3)</f>
        <v/>
      </c>
      <c r="AA3" s="22" t="n"/>
      <c r="AB3" s="20" t="n">
        <v>0.257</v>
      </c>
      <c r="AC3" s="20" t="n">
        <v>0.2798606497202866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559.8</v>
      </c>
      <c r="G4" s="15" t="inlineStr">
        <is>
          <t>CHF</t>
        </is>
      </c>
      <c r="H4" s="14" t="n">
        <v>607.0266753415744</v>
      </c>
      <c r="I4" s="16" t="n">
        <v>19642.37692474517</v>
      </c>
      <c r="J4" s="16" t="n">
        <v>18114.2</v>
      </c>
      <c r="K4" s="14" t="n">
        <v>18.86</v>
      </c>
      <c r="L4" s="14" t="n">
        <v>21.05756</v>
      </c>
      <c r="M4" s="17">
        <f>IF(OR(F4="",K4="",K4&lt;=0),"",F4/K4)</f>
        <v/>
      </c>
      <c r="N4" s="18" t="n">
        <v>16.342615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Zurich Insurance</t>
        </is>
      </c>
      <c r="C5" s="12" t="inlineStr">
        <is>
          <t>ZURN.SW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622</v>
      </c>
      <c r="G5" s="15" t="inlineStr">
        <is>
          <t>CHF</t>
        </is>
      </c>
      <c r="H5" s="14" t="n">
        <v>674.4740837128605</v>
      </c>
      <c r="I5" s="16" t="n">
        <v>100745.7167642594</v>
      </c>
      <c r="J5" s="16" t="n">
        <v>92907.7</v>
      </c>
      <c r="K5" s="14" t="n">
        <v>39.19</v>
      </c>
      <c r="L5" s="14" t="n">
        <v>43.32865</v>
      </c>
      <c r="M5" s="17">
        <f>IF(OR(F5="",K5="",K5&lt;=0),"",F5/K5)</f>
        <v/>
      </c>
      <c r="N5" s="18" t="n">
        <v>3.541018</v>
      </c>
      <c r="O5" s="19">
        <f>IF(OR(N5="",M5="",M5&lt;=0),"",N5/M5)</f>
        <v/>
      </c>
      <c r="P5" s="20" t="n">
        <v>0.25695</v>
      </c>
      <c r="Q5" s="20" t="n">
        <v>0.1990037305965541</v>
      </c>
      <c r="R5" s="20" t="n">
        <v>0.03527491247151992</v>
      </c>
      <c r="S5" s="21" t="n">
        <v>4</v>
      </c>
      <c r="T5" s="20" t="n"/>
      <c r="U5" s="20" t="n">
        <v>0.238400841662283</v>
      </c>
      <c r="V5" s="20" t="n">
        <v>0.2282506281407035</v>
      </c>
      <c r="W5" s="20" t="n">
        <v>0.1750201126307321</v>
      </c>
      <c r="X5" s="20" t="n">
        <v>0.1543433399524978</v>
      </c>
      <c r="Y5" s="14" t="n">
        <v>30</v>
      </c>
      <c r="Z5" s="19">
        <f>IF(OR(Y5="",F5="",F5=0),"",Y5/F5)</f>
        <v/>
      </c>
      <c r="AA5" s="22" t="n">
        <v>46.416</v>
      </c>
      <c r="AB5" s="20" t="n">
        <v>0.113</v>
      </c>
      <c r="AC5" s="20" t="n">
        <v>0.08144806730574039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100.9</v>
      </c>
      <c r="G6" s="15" t="inlineStr">
        <is>
          <t>CHF</t>
        </is>
      </c>
      <c r="H6" s="14" t="n">
        <v>109.4122749945782</v>
      </c>
      <c r="I6" s="16" t="n">
        <v>21640.09976144003</v>
      </c>
      <c r="J6" s="16" t="n">
        <v>19956.5</v>
      </c>
      <c r="K6" s="14" t="n">
        <v>3.4</v>
      </c>
      <c r="L6" s="14" t="n">
        <v>4.4884</v>
      </c>
      <c r="M6" s="17">
        <f>IF(OR(F6="",K6="",K6&lt;=0),"",F6/K6)</f>
        <v/>
      </c>
      <c r="N6" s="18" t="n">
        <v>19.799843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224.1</v>
      </c>
      <c r="G7" s="15" t="inlineStr">
        <is>
          <t>CHF</t>
        </is>
      </c>
      <c r="H7" s="14" t="n">
        <v>243.0058555627846</v>
      </c>
      <c r="I7" s="16" t="n">
        <v>28859.35805682064</v>
      </c>
      <c r="J7" s="16" t="n">
        <v>26614.1</v>
      </c>
      <c r="K7" s="14" t="n">
        <v>7.26</v>
      </c>
      <c r="L7" s="14" t="n">
        <v>9.53532</v>
      </c>
      <c r="M7" s="17">
        <f>IF(OR(F7="",K7="",K7&lt;=0),"",F7/K7)</f>
        <v/>
      </c>
      <c r="N7" s="18" t="n">
        <v>12.976259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ABB</t>
        </is>
      </c>
      <c r="C8" s="12" t="inlineStr">
        <is>
          <t>ABBN.SW</t>
        </is>
      </c>
      <c r="D8" s="11" t="inlineStr">
        <is>
          <t>Automazione / Elettrificazione</t>
        </is>
      </c>
      <c r="E8" s="13" t="inlineStr">
        <is>
          <t>Industriale</t>
        </is>
      </c>
      <c r="F8" s="14" t="n">
        <v>68.92</v>
      </c>
      <c r="G8" s="15" t="inlineStr">
        <is>
          <t>CHF</t>
        </is>
      </c>
      <c r="H8" s="14" t="n">
        <v>74.73433094773368</v>
      </c>
      <c r="I8" s="16" t="n">
        <v>135204.2940793754</v>
      </c>
      <c r="J8" s="16" t="n">
        <v>124685.4</v>
      </c>
      <c r="K8" s="14" t="n">
        <v>2.2</v>
      </c>
      <c r="L8" s="14" t="n">
        <v>3.068811</v>
      </c>
      <c r="M8" s="17">
        <f>IF(OR(F8="",K8="",K8&lt;=0),"",F8/K8)</f>
        <v/>
      </c>
      <c r="N8" s="18" t="n">
        <v>9.118745000000001</v>
      </c>
      <c r="O8" s="19">
        <f>IF(OR(N8="",M8="",M8&lt;=0),"",N8/M8)</f>
        <v/>
      </c>
      <c r="P8" s="20" t="n">
        <v>0.31129</v>
      </c>
      <c r="Q8" s="20" t="n">
        <v>0.2600388332410384</v>
      </c>
      <c r="R8" s="20" t="n">
        <v>0.03907452780269946</v>
      </c>
      <c r="S8" s="21" t="n">
        <v>4</v>
      </c>
      <c r="T8" s="20" t="n"/>
      <c r="U8" s="20" t="n">
        <v>0.2942748803381612</v>
      </c>
      <c r="V8" s="20" t="n">
        <v>0.2729038074762466</v>
      </c>
      <c r="W8" s="20" t="n">
        <v>0.2792692020879941</v>
      </c>
      <c r="X8" s="20" t="n">
        <v>0.1937074430617516</v>
      </c>
      <c r="Y8" s="14" t="n">
        <v>0.9399999999999999</v>
      </c>
      <c r="Z8" s="19">
        <f>IF(OR(Y8="",F8="",F8=0),"",Y8/F8)</f>
        <v/>
      </c>
      <c r="AA8" s="22" t="n">
        <v>49.616</v>
      </c>
      <c r="AB8" s="20" t="n">
        <v>0.068</v>
      </c>
      <c r="AC8" s="20" t="n">
        <v>0.1504515390728477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90.06</v>
      </c>
      <c r="G9" s="15" t="inlineStr">
        <is>
          <t>CHF</t>
        </is>
      </c>
      <c r="H9" s="14" t="n">
        <v>97.65777488614184</v>
      </c>
      <c r="I9" s="16" t="n">
        <v>13983.40923877684</v>
      </c>
      <c r="J9" s="16" t="n">
        <v>12895.5</v>
      </c>
      <c r="K9" s="14" t="n">
        <v>4.33</v>
      </c>
      <c r="L9" s="14" t="n">
        <v>4.943556</v>
      </c>
      <c r="M9" s="17">
        <f>IF(OR(F9="",K9="",K9&lt;=0),"",F9/K9)</f>
        <v/>
      </c>
      <c r="N9" s="18" t="n">
        <v>6.65947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84.37</v>
      </c>
      <c r="G10" s="15" t="inlineStr">
        <is>
          <t>CHF</t>
        </is>
      </c>
      <c r="H10" s="14" t="n">
        <v>91.48774669269139</v>
      </c>
      <c r="I10" s="16" t="n">
        <v>235326.6102797658</v>
      </c>
      <c r="J10" s="16" t="n">
        <v>217018.2</v>
      </c>
      <c r="K10" s="14" t="n">
        <v>2.89</v>
      </c>
      <c r="L10" s="14" t="n">
        <v>4.8037</v>
      </c>
      <c r="M10" s="17">
        <f>IF(OR(F10="",K10="",K10&lt;=0),"",F10/K10)</f>
        <v/>
      </c>
      <c r="N10" s="18" t="n">
        <v>7.426937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154.35</v>
      </c>
      <c r="G11" s="15" t="inlineStr">
        <is>
          <t>CHF</t>
        </is>
      </c>
      <c r="H11" s="14" t="n">
        <v>167.3715029277814</v>
      </c>
      <c r="I11" s="16" t="n">
        <v>49361.09303838647</v>
      </c>
      <c r="J11" s="16" t="n">
        <v>45520.8</v>
      </c>
      <c r="K11" s="14" t="n">
        <v>13.03</v>
      </c>
      <c r="L11" s="14" t="n">
        <v>12.858044</v>
      </c>
      <c r="M11" s="17">
        <f>IF(OR(F11="",K11="",K11&lt;=0),"",F11/K11)</f>
        <v/>
      </c>
      <c r="N11" s="18" t="n">
        <v>2.2475789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281</v>
      </c>
      <c r="G12" s="15" t="inlineStr">
        <is>
          <t>CHF</t>
        </is>
      </c>
      <c r="H12" s="14" t="n">
        <v>304.7061374972891</v>
      </c>
      <c r="I12" s="16" t="n">
        <v>18100.9542398612</v>
      </c>
      <c r="J12" s="16" t="n">
        <v>16692.7</v>
      </c>
      <c r="K12" s="14" t="n">
        <v>9.01</v>
      </c>
      <c r="L12" s="14" t="n">
        <v>12.21901</v>
      </c>
      <c r="M12" s="17">
        <f>IF(OR(F12="",K12="",K12&lt;=0),"",F12/K12)</f>
        <v/>
      </c>
      <c r="N12" s="18" t="n">
        <v>6.3860736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3975</v>
      </c>
      <c r="G13" s="15" t="inlineStr">
        <is>
          <t>CHF</t>
        </is>
      </c>
      <c r="H13" s="14" t="n">
        <v>4310.344827586207</v>
      </c>
      <c r="I13" s="16" t="n">
        <v>39790.17566688354</v>
      </c>
      <c r="J13" s="16" t="n">
        <v>36694.5</v>
      </c>
      <c r="K13" s="14" t="n">
        <v>102.7</v>
      </c>
      <c r="L13" s="14" t="n">
        <v>133.94225</v>
      </c>
      <c r="M13" s="17">
        <f>IF(OR(F13="",K13="",K13&lt;=0),"",F13/K13)</f>
        <v/>
      </c>
      <c r="N13" s="18" t="n">
        <v>8.335867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128.88</v>
      </c>
      <c r="G14" s="15" t="inlineStr">
        <is>
          <t>CHF</t>
        </is>
      </c>
      <c r="H14" s="14" t="n">
        <v>139.7527651268705</v>
      </c>
      <c r="I14" s="16" t="n">
        <v>265630.1236174366</v>
      </c>
      <c r="J14" s="16" t="n">
        <v>244964.1</v>
      </c>
      <c r="K14" s="14" t="n">
        <v>5.25</v>
      </c>
      <c r="L14" s="14" t="n">
        <v>8.107547</v>
      </c>
      <c r="M14" s="17">
        <f>IF(OR(F14="",K14="",K14&lt;=0),"",F14/K14)</f>
        <v/>
      </c>
      <c r="N14" s="18" t="n">
        <v>7.1427097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38.39</v>
      </c>
      <c r="G15" s="15" t="inlineStr">
        <is>
          <t>CHF</t>
        </is>
      </c>
      <c r="H15" s="14" t="n">
        <v>41.62871394491433</v>
      </c>
      <c r="I15" s="16" t="n">
        <v>127456.4085881587</v>
      </c>
      <c r="J15" s="16" t="n">
        <v>117540.3</v>
      </c>
      <c r="K15" s="14" t="n">
        <v>2.33</v>
      </c>
      <c r="L15" s="14" t="n">
        <v>3.54923</v>
      </c>
      <c r="M15" s="17">
        <f>IF(OR(F15="",K15="",K15&lt;=0),"",F15/K15)</f>
        <v/>
      </c>
      <c r="N15" s="18" t="n">
        <v>1.5967798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184.5</v>
      </c>
      <c r="G16" s="15" t="inlineStr">
        <is>
          <t>CHF</t>
        </is>
      </c>
      <c r="H16" s="14" t="n">
        <v>200.0650618087183</v>
      </c>
      <c r="I16" s="16" t="n">
        <v>32098.24333116461</v>
      </c>
      <c r="J16" s="16" t="n">
        <v>29601</v>
      </c>
      <c r="K16" s="14" t="n">
        <v>6.48</v>
      </c>
      <c r="L16" s="14" t="n">
        <v>8.37627</v>
      </c>
      <c r="M16" s="17">
        <f>IF(OR(F16="",K16="",K16&lt;=0),"",F16/K16)</f>
        <v/>
      </c>
      <c r="N16" s="18" t="n">
        <v>4.343936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96.95999999999999</v>
      </c>
      <c r="G17" s="15" t="inlineStr">
        <is>
          <t>CHF</t>
        </is>
      </c>
      <c r="H17" s="14" t="n">
        <v>105.1398828887443</v>
      </c>
      <c r="I17" s="16" t="n">
        <v>16764.58468878768</v>
      </c>
      <c r="J17" s="16" t="n">
        <v>15460.3</v>
      </c>
      <c r="K17" s="14" t="n">
        <v>2.31</v>
      </c>
      <c r="L17" s="14" t="n">
        <v>3.86032</v>
      </c>
      <c r="M17" s="17">
        <f>IF(OR(F17="",K17="",K17&lt;=0),"",F17/K17)</f>
        <v/>
      </c>
      <c r="N17" s="18" t="n">
        <v>6.7591496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933.2</v>
      </c>
      <c r="G18" s="15" t="inlineStr">
        <is>
          <t>CHF</t>
        </is>
      </c>
      <c r="H18" s="14" t="n">
        <v>1011.927998265018</v>
      </c>
      <c r="I18" s="16" t="n">
        <v>28278.78985035784</v>
      </c>
      <c r="J18" s="16" t="n">
        <v>26078.7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4.1303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684</v>
      </c>
      <c r="G19" s="15" t="inlineStr">
        <is>
          <t>CHF</t>
        </is>
      </c>
      <c r="H19" s="14" t="n">
        <v>741.7046193884189</v>
      </c>
      <c r="I19" s="16" t="n">
        <v>38421.70895684233</v>
      </c>
      <c r="J19" s="16" t="n">
        <v>35432.5</v>
      </c>
      <c r="K19" s="14" t="n">
        <v>25.38</v>
      </c>
      <c r="L19" s="14" t="n">
        <v>30.88335</v>
      </c>
      <c r="M19" s="17">
        <f>IF(OR(F19="",K19="",K19&lt;=0),"",F19/K19)</f>
        <v/>
      </c>
      <c r="N19" s="18" t="n">
        <v>3.0762727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63.6</v>
      </c>
      <c r="G20" s="15" t="inlineStr">
        <is>
          <t>CHF</t>
        </is>
      </c>
      <c r="H20" s="14" t="n">
        <v>68.9655172413793</v>
      </c>
      <c r="I20" s="16" t="n">
        <v>38146.60594231186</v>
      </c>
      <c r="J20" s="16" t="n">
        <v>35178.8</v>
      </c>
      <c r="K20" s="14" t="n">
        <v>0.7</v>
      </c>
      <c r="L20" s="14" t="n">
        <v>4.28708</v>
      </c>
      <c r="M20" s="17">
        <f>IF(OR(F20="",K20="",K20&lt;=0),"",F20/K20)</f>
        <v/>
      </c>
      <c r="N20" s="18" t="n">
        <v>2.2292323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172.45</v>
      </c>
      <c r="G21" s="15" t="inlineStr">
        <is>
          <t>CHF</t>
        </is>
      </c>
      <c r="H21" s="14" t="n">
        <v>186.9984818911299</v>
      </c>
      <c r="I21" s="16" t="n">
        <v>109943.9384081544</v>
      </c>
      <c r="J21" s="16" t="n">
        <v>101390.3</v>
      </c>
      <c r="K21" s="14" t="n">
        <v>5.47</v>
      </c>
      <c r="L21" s="14" t="n">
        <v>7.9421606</v>
      </c>
      <c r="M21" s="17">
        <f>IF(OR(F21="",K21="",K21&lt;=0),"",F21/K21)</f>
        <v/>
      </c>
      <c r="N21" s="18" t="n">
        <v>4.547087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57.84</v>
      </c>
      <c r="G22" s="15" t="inlineStr">
        <is>
          <t>CHF</t>
        </is>
      </c>
      <c r="H22" s="14" t="n">
        <v>62.7195836044242</v>
      </c>
      <c r="I22" s="16" t="n">
        <v>30318.69442637172</v>
      </c>
      <c r="J22" s="16" t="n">
        <v>27959.9</v>
      </c>
      <c r="K22" s="14" t="n">
        <v>1.05</v>
      </c>
      <c r="L22" s="14" t="n">
        <v>3.6125124</v>
      </c>
      <c r="M22" s="17">
        <f>IF(OR(F22="",K22="",K22&lt;=0),"",F22/K22)</f>
        <v/>
      </c>
      <c r="N22" s="18" t="n">
        <v>1.5683078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2026-10-22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628.2</v>
      </c>
      <c r="G23" s="15" t="inlineStr">
        <is>
          <t>CHF</t>
        </is>
      </c>
      <c r="H23" s="14" t="n">
        <v>681.1971372804164</v>
      </c>
      <c r="I23" s="16" t="n">
        <v>47577.64042507048</v>
      </c>
      <c r="J23" s="16" t="n">
        <v>43876.1</v>
      </c>
      <c r="K23" s="14" t="n">
        <v>15.09</v>
      </c>
      <c r="L23" s="14" t="n">
        <v>22.3505</v>
      </c>
      <c r="M23" s="17">
        <f>IF(OR(F23="",K23="",K23&lt;=0),"",F23/K23)</f>
        <v/>
      </c>
      <c r="N23" s="18" t="n">
        <v>5.3981595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2026-10-22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215.94</v>
      </c>
      <c r="G2" s="15" t="inlineStr">
        <is>
          <t>USD</t>
        </is>
      </c>
      <c r="H2" s="14" t="n">
        <v>192.4241350871964</v>
      </c>
      <c r="I2" s="16" t="n">
        <v>60986.8843445759</v>
      </c>
      <c r="J2" s="16" t="n">
        <v>68440</v>
      </c>
      <c r="K2" s="14" t="n">
        <v>27.09</v>
      </c>
      <c r="L2" s="14" t="n">
        <v>9.792770000000001</v>
      </c>
      <c r="M2" s="17">
        <f>IF(OR(F2="",K2="",K2&lt;=0),"",F2/K2)</f>
        <v/>
      </c>
      <c r="N2" s="18" t="n">
        <v>3.6921027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2026-10-22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211.45</v>
      </c>
      <c r="G3" s="15" t="inlineStr">
        <is>
          <t>USD</t>
        </is>
      </c>
      <c r="H3" s="14" t="n">
        <v>188.4230960645905</v>
      </c>
      <c r="I3" s="16" t="n">
        <v>71529.84494414362</v>
      </c>
      <c r="J3" s="16" t="n">
        <v>80271.39999999999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15.569545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2026-10-22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157.87</v>
      </c>
      <c r="G4" s="15" t="inlineStr">
        <is>
          <t>USD</t>
        </is>
      </c>
      <c r="H4" s="14" t="n">
        <v>140.6779577948305</v>
      </c>
      <c r="I4" s="16" t="n">
        <v>74886.3513331079</v>
      </c>
      <c r="J4" s="16" t="n">
        <v>84038.10000000001</v>
      </c>
      <c r="K4" s="14" t="n">
        <v>12.85</v>
      </c>
      <c r="L4" s="14" t="n">
        <v>16.1329</v>
      </c>
      <c r="M4" s="17">
        <f>IF(OR(F4="",K4="",K4&lt;=0),"",F4/K4)</f>
        <v/>
      </c>
      <c r="N4" s="18" t="n">
        <v>2.6020844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2026-10-22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269.96</v>
      </c>
      <c r="G5" s="15" t="inlineStr">
        <is>
          <t>USD</t>
        </is>
      </c>
      <c r="H5" s="14" t="n">
        <v>240.5613573591717</v>
      </c>
      <c r="I5" s="16" t="n">
        <v>93657.72937916618</v>
      </c>
      <c r="J5" s="16" t="n">
        <v>105103.5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8.9756365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2026-10-22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Alphabet</t>
        </is>
      </c>
      <c r="C6" s="12" t="inlineStr">
        <is>
          <t>GOOGL</t>
        </is>
      </c>
      <c r="D6" s="11" t="inlineStr">
        <is>
          <t>Internet / Cloud</t>
        </is>
      </c>
      <c r="E6" s="13" t="inlineStr">
        <is>
          <t>Tecnologia</t>
        </is>
      </c>
      <c r="F6" s="14" t="n">
        <v>326.55</v>
      </c>
      <c r="G6" s="15" t="inlineStr">
        <is>
          <t>USD</t>
        </is>
      </c>
      <c r="H6" s="14" t="n">
        <v>290.9887066440862</v>
      </c>
      <c r="I6" s="16" t="n">
        <v>3558772.901827067</v>
      </c>
      <c r="J6" s="16" t="n">
        <v>3993685.2</v>
      </c>
      <c r="K6" s="14" t="n">
        <v>19.93</v>
      </c>
      <c r="L6" s="14" t="n">
        <v>15.34647</v>
      </c>
      <c r="M6" s="17">
        <f>IF(OR(F6="",K6="",K6&lt;=0),"",F6/K6)</f>
        <v/>
      </c>
      <c r="N6" s="18" t="n">
        <v>6.4160247</v>
      </c>
      <c r="O6" s="19">
        <f>IF(OR(N6="",M6="",M6&lt;=0),"",N6/M6)</f>
        <v/>
      </c>
      <c r="P6" s="20" t="n">
        <v>0.48676</v>
      </c>
      <c r="Q6" s="20" t="n">
        <v>0.280199841988681</v>
      </c>
      <c r="R6" s="20" t="n">
        <v>0.03440628523217517</v>
      </c>
      <c r="S6" s="21" t="n">
        <v>4</v>
      </c>
      <c r="T6" s="20" t="n"/>
      <c r="U6" s="20" t="n">
        <v>0.3182786895115167</v>
      </c>
      <c r="V6" s="20" t="n">
        <v>0.3079757847202569</v>
      </c>
      <c r="W6" s="20" t="n">
        <v>0.2604109690555758</v>
      </c>
      <c r="X6" s="20" t="n">
        <v>0.2341339246673746</v>
      </c>
      <c r="Y6" s="14" t="n">
        <v>0.88</v>
      </c>
      <c r="Z6" s="19">
        <f>IF(OR(Y6="",F6="",F6=0),"",Y6/F6)</f>
        <v/>
      </c>
      <c r="AA6" s="22" t="n">
        <v>18.859</v>
      </c>
      <c r="AB6" s="20" t="n">
        <v>0.242</v>
      </c>
      <c r="AC6" s="20" t="n">
        <v>0.6060009406905044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2026-10-22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81.62</v>
      </c>
      <c r="G7" s="15" t="inlineStr">
        <is>
          <t>USD</t>
        </is>
      </c>
      <c r="H7" s="14" t="n">
        <v>72.73158241093346</v>
      </c>
      <c r="I7" s="16" t="n">
        <v>30054.39719980735</v>
      </c>
      <c r="J7" s="16" t="n">
        <v>33727.3</v>
      </c>
      <c r="K7" s="14" t="n">
        <v>6.08</v>
      </c>
      <c r="L7" s="14" t="n">
        <v>6.54458</v>
      </c>
      <c r="M7" s="17">
        <f>IF(OR(F7="",K7="",K7&lt;=0),"",F7/K7)</f>
        <v/>
      </c>
      <c r="N7" s="18" t="n">
        <v>10.738061</v>
      </c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2026-10-22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457.41</v>
      </c>
      <c r="G8" s="15" t="inlineStr">
        <is>
          <t>USD</t>
        </is>
      </c>
      <c r="H8" s="14" t="n">
        <v>407.598053302929</v>
      </c>
      <c r="I8" s="16" t="n">
        <v>118992.7718423092</v>
      </c>
      <c r="J8" s="16" t="n">
        <v>133534.7</v>
      </c>
      <c r="K8" s="14" t="n">
        <v>28.88</v>
      </c>
      <c r="L8" s="14" t="n">
        <v>58.43788</v>
      </c>
      <c r="M8" s="17">
        <f>IF(OR(F8="",K8="",K8&lt;=0),"",F8/K8)</f>
        <v/>
      </c>
      <c r="N8" s="18" t="n">
        <v>6.7854915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2026-10-22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57.22</v>
      </c>
      <c r="G9" s="15" t="inlineStr">
        <is>
          <t>USD</t>
        </is>
      </c>
      <c r="H9" s="14" t="n">
        <v>50.9887422880864</v>
      </c>
      <c r="I9" s="16" t="n">
        <v>43952.26020833027</v>
      </c>
      <c r="J9" s="16" t="n">
        <v>49323.6</v>
      </c>
      <c r="K9" s="14" t="n">
        <v>5.35</v>
      </c>
      <c r="L9" s="14" t="n">
        <v>5.77857</v>
      </c>
      <c r="M9" s="17">
        <f>IF(OR(F9="",K9="",K9&lt;=0),"",F9/K9)</f>
        <v/>
      </c>
      <c r="N9" s="18" t="n">
        <v>2.4885836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2026-10-22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PepsiCo</t>
        </is>
      </c>
      <c r="C10" s="12" t="inlineStr">
        <is>
          <t>PEP</t>
        </is>
      </c>
      <c r="D10" s="11" t="inlineStr">
        <is>
          <t>Bevande e snack</t>
        </is>
      </c>
      <c r="E10" s="13" t="inlineStr">
        <is>
          <t>Consumi</t>
        </is>
      </c>
      <c r="F10" s="14" t="n">
        <v>138.34</v>
      </c>
      <c r="G10" s="15" t="inlineStr">
        <is>
          <t>USD</t>
        </is>
      </c>
      <c r="H10" s="14" t="n">
        <v>123.2747746965025</v>
      </c>
      <c r="I10" s="16" t="n">
        <v>167991.5987091525</v>
      </c>
      <c r="J10" s="16" t="n">
        <v>188521.6</v>
      </c>
      <c r="K10" s="14" t="n">
        <v>7.95</v>
      </c>
      <c r="L10" s="14" t="n">
        <v>8.638719999999999</v>
      </c>
      <c r="M10" s="17">
        <f>IF(OR(F10="",K10="",K10&lt;=0),"",F10/K10)</f>
        <v/>
      </c>
      <c r="N10" s="18" t="n">
        <v>8.464786</v>
      </c>
      <c r="O10" s="19">
        <f>IF(OR(N10="",M10="",M10&lt;=0),"",N10/M10)</f>
        <v/>
      </c>
      <c r="P10" s="20" t="n">
        <v>0.5218699999999999</v>
      </c>
      <c r="Q10" s="20" t="n">
        <v>0.486168855450935</v>
      </c>
      <c r="R10" s="20" t="n">
        <v>0.04979556056471136</v>
      </c>
      <c r="S10" s="21" t="n">
        <v>4</v>
      </c>
      <c r="T10" s="20" t="n"/>
      <c r="U10" s="20" t="n">
        <v>0.4038028030971283</v>
      </c>
      <c r="V10" s="20" t="n">
        <v>0.5309018347098277</v>
      </c>
      <c r="W10" s="20" t="n">
        <v>0.490406961033346</v>
      </c>
      <c r="X10" s="20" t="n">
        <v>0.5195638229634381</v>
      </c>
      <c r="Y10" s="14" t="n">
        <v>5.92</v>
      </c>
      <c r="Z10" s="19">
        <f>IF(OR(Y10="",F10="",F10=0),"",Y10/F10)</f>
        <v/>
      </c>
      <c r="AA10" s="22" t="n">
        <v>230.716</v>
      </c>
      <c r="AB10" s="20" t="n">
        <v>0.056</v>
      </c>
      <c r="AC10" s="20" t="n">
        <v>0.1160074527548576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2026-10-22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Target</t>
        </is>
      </c>
      <c r="C11" s="12" t="inlineStr">
        <is>
          <t>TGT</t>
        </is>
      </c>
      <c r="D11" s="11" t="inlineStr">
        <is>
          <t>Grande distribuzione</t>
        </is>
      </c>
      <c r="E11" s="13" t="inlineStr">
        <is>
          <t>Consumi</t>
        </is>
      </c>
      <c r="F11" s="14" t="n">
        <v>154.11</v>
      </c>
      <c r="G11" s="15" t="inlineStr">
        <is>
          <t>USD</t>
        </is>
      </c>
      <c r="H11" s="14" t="n">
        <v>137.3274217758999</v>
      </c>
      <c r="I11" s="16" t="n">
        <v>62386.71334248493</v>
      </c>
      <c r="J11" s="16" t="n">
        <v>70010.89999999999</v>
      </c>
      <c r="K11" s="14" t="n">
        <v>9.630000000000001</v>
      </c>
      <c r="L11" s="14" t="n">
        <v>9.545249999999999</v>
      </c>
      <c r="M11" s="17">
        <f>IF(OR(F11="",K11="",K11&lt;=0),"",F11/K11)</f>
        <v/>
      </c>
      <c r="N11" s="18" t="n">
        <v>3.9236703</v>
      </c>
      <c r="O11" s="19">
        <f>IF(OR(N11="",M11="",M11&lt;=0),"",N11/M11)</f>
        <v/>
      </c>
      <c r="P11" s="20" t="n">
        <v>0.26408002</v>
      </c>
      <c r="Q11" s="20" t="n">
        <v>0.265930196598988</v>
      </c>
      <c r="R11" s="20" t="n">
        <v>0.03014032785235156</v>
      </c>
      <c r="S11" s="21" t="n">
        <v>4</v>
      </c>
      <c r="T11" s="20" t="n">
        <v>0.2291988864831426</v>
      </c>
      <c r="U11" s="20" t="n">
        <v>0.278944497477158</v>
      </c>
      <c r="V11" s="20" t="n">
        <v>0.3080702799285289</v>
      </c>
      <c r="W11" s="20" t="n">
        <v>0.2475071225071225</v>
      </c>
      <c r="X11" s="20" t="n"/>
      <c r="Y11" s="14" t="n">
        <v>4.64</v>
      </c>
      <c r="Z11" s="19">
        <f>IF(OR(Y11="",F11="",F11=0),"",Y11/F11)</f>
        <v/>
      </c>
      <c r="AA11" s="22" t="n">
        <v>107.583</v>
      </c>
      <c r="AB11" s="20" t="n">
        <v>0.053</v>
      </c>
      <c r="AC11" s="20" t="n">
        <v>0.04191639625882802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2026-10-22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American Express</t>
        </is>
      </c>
      <c r="C12" s="12" t="inlineStr">
        <is>
          <t>AXP</t>
        </is>
      </c>
      <c r="D12" s="11" t="inlineStr">
        <is>
          <t>Pagamenti / Credito</t>
        </is>
      </c>
      <c r="E12" s="13" t="inlineStr">
        <is>
          <t>Finanziario</t>
        </is>
      </c>
      <c r="F12" s="14" t="n">
        <v>324.345</v>
      </c>
      <c r="G12" s="15" t="inlineStr">
        <is>
          <t>USD</t>
        </is>
      </c>
      <c r="H12" s="14" t="n">
        <v>289.0238311329847</v>
      </c>
      <c r="I12" s="16" t="n">
        <v>195180.6638427708</v>
      </c>
      <c r="J12" s="16" t="n">
        <v>219033.4</v>
      </c>
      <c r="K12" s="14" t="n">
        <v>16.48</v>
      </c>
      <c r="L12" s="14" t="n">
        <v>20.14957</v>
      </c>
      <c r="M12" s="17">
        <f>IF(OR(F12="",K12="",K12&lt;=0),"",F12/K12)</f>
        <v/>
      </c>
      <c r="N12" s="18" t="n">
        <v>6.38663</v>
      </c>
      <c r="O12" s="19">
        <f>IF(OR(N12="",M12="",M12&lt;=0),"",N12/M12)</f>
        <v/>
      </c>
      <c r="P12" s="20" t="n">
        <v>0.34377</v>
      </c>
      <c r="Q12" s="20" t="n">
        <v>0.3152128333482085</v>
      </c>
      <c r="R12" s="20" t="n">
        <v>0.01461690524528727</v>
      </c>
      <c r="S12" s="21" t="n">
        <v>4</v>
      </c>
      <c r="T12" s="20" t="n"/>
      <c r="U12" s="20" t="n">
        <v>0.3236243054310808</v>
      </c>
      <c r="V12" s="20" t="n">
        <v>0.3346880782447793</v>
      </c>
      <c r="W12" s="20" t="n">
        <v>0.2984638414655879</v>
      </c>
      <c r="X12" s="20" t="n">
        <v>0.304075108251386</v>
      </c>
      <c r="Y12" s="14" t="n">
        <v>3.8</v>
      </c>
      <c r="Z12" s="19">
        <f>IF(OR(Y12="",F12="",F12=0),"",Y12/F12)</f>
        <v/>
      </c>
      <c r="AA12" s="22" t="n">
        <v>172.38</v>
      </c>
      <c r="AB12" s="20" t="n">
        <v>0.128</v>
      </c>
      <c r="AC12" s="20" t="n">
        <v>0.1565969756610827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2026-10-22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Microsoft</t>
        </is>
      </c>
      <c r="C13" s="12" t="inlineStr">
        <is>
          <t>MSFT</t>
        </is>
      </c>
      <c r="D13" s="11" t="inlineStr">
        <is>
          <t>Software / Cloud</t>
        </is>
      </c>
      <c r="E13" s="13" t="inlineStr">
        <is>
          <t>Tecnologia</t>
        </is>
      </c>
      <c r="F13" s="14" t="n">
        <v>524.01</v>
      </c>
      <c r="G13" s="15" t="inlineStr">
        <is>
          <t>USD</t>
        </is>
      </c>
      <c r="H13" s="14" t="n">
        <v>466.945313638241</v>
      </c>
      <c r="I13" s="16" t="n">
        <v>3467323.85292038</v>
      </c>
      <c r="J13" s="16" t="n">
        <v>3891060.3</v>
      </c>
      <c r="K13" s="14" t="n">
        <v>17.95</v>
      </c>
      <c r="L13" s="14" t="n">
        <v>23.70396</v>
      </c>
      <c r="M13" s="17">
        <f>IF(OR(F13="",K13="",K13&lt;=0),"",F13/K13)</f>
        <v/>
      </c>
      <c r="N13" s="18" t="n">
        <v>8.797280000000001</v>
      </c>
      <c r="O13" s="19">
        <f>IF(OR(N13="",M13="",M13&lt;=0),"",N13/M13)</f>
        <v/>
      </c>
      <c r="P13" s="20" t="n">
        <v>0.34039003</v>
      </c>
      <c r="Q13" s="20" t="n">
        <v>0.3194939082909419</v>
      </c>
      <c r="R13" s="20" t="n">
        <v>0.0217208688577156</v>
      </c>
      <c r="S13" s="21" t="n">
        <v>4</v>
      </c>
      <c r="T13" s="20" t="n">
        <v>0.30233483352811</v>
      </c>
      <c r="U13" s="20" t="n">
        <v>0.2964722734140952</v>
      </c>
      <c r="V13" s="20" t="n">
        <v>0.3282813797829982</v>
      </c>
      <c r="W13" s="20" t="n">
        <v>0.3508871464385641</v>
      </c>
      <c r="X13" s="20" t="n"/>
      <c r="Y13" s="14" t="n">
        <v>3.92</v>
      </c>
      <c r="Z13" s="19">
        <f>IF(OR(Y13="",F13="",F13=0),"",Y13/F13)</f>
        <v/>
      </c>
      <c r="AA13" s="22" t="n">
        <v>29.118</v>
      </c>
      <c r="AB13" s="20" t="n">
        <v>0.177</v>
      </c>
      <c r="AC13" s="20" t="n">
        <v>0.403053884998448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2026-10-22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Lam Research</t>
        </is>
      </c>
      <c r="C14" s="12" t="inlineStr">
        <is>
          <t>LRCX</t>
        </is>
      </c>
      <c r="D14" s="11" t="inlineStr">
        <is>
          <t>Apparecchiature semicond.</t>
        </is>
      </c>
      <c r="E14" s="13" t="inlineStr">
        <is>
          <t>Tecnologia</t>
        </is>
      </c>
      <c r="F14" s="14" t="n">
        <v>231.875</v>
      </c>
      <c r="G14" s="15" t="inlineStr">
        <is>
          <t>USD</t>
        </is>
      </c>
      <c r="H14" s="14" t="n">
        <v>206.6238136674246</v>
      </c>
      <c r="I14" s="16" t="n">
        <v>258574.0528609434</v>
      </c>
      <c r="J14" s="16" t="n">
        <v>290174</v>
      </c>
      <c r="K14" s="14" t="n">
        <v>5.76</v>
      </c>
      <c r="L14" s="14" t="n">
        <v>11.76569</v>
      </c>
      <c r="M14" s="17">
        <f>IF(OR(F14="",K14="",K14&lt;=0),"",F14/K14)</f>
        <v/>
      </c>
      <c r="N14" s="18" t="n">
        <v>23.264273</v>
      </c>
      <c r="O14" s="19">
        <f>IF(OR(N14="",M14="",M14&lt;=0),"",N14/M14)</f>
        <v/>
      </c>
      <c r="P14" s="20" t="n">
        <v>0.65066004</v>
      </c>
      <c r="Q14" s="20" t="n">
        <v>0.5309012392377671</v>
      </c>
      <c r="R14" s="20" t="n">
        <v>0.05000376314785111</v>
      </c>
      <c r="S14" s="21" t="n">
        <v>4</v>
      </c>
      <c r="T14" s="20" t="n">
        <v>0.5825869637054072</v>
      </c>
      <c r="U14" s="20" t="n">
        <v>0.5433405001754783</v>
      </c>
      <c r="V14" s="20" t="n">
        <v>0.4482455201468384</v>
      </c>
      <c r="W14" s="20" t="n">
        <v>0.5494319729233443</v>
      </c>
      <c r="X14" s="20" t="n">
        <v>0.7335166506699354</v>
      </c>
      <c r="Y14" s="14" t="n">
        <v>1.32</v>
      </c>
      <c r="Z14" s="19">
        <f>IF(OR(Y14="",F14="",F14=0),"",Y14/F14)</f>
        <v/>
      </c>
      <c r="AA14" s="22" t="n">
        <v>33.049</v>
      </c>
      <c r="AB14" s="20" t="n">
        <v>0.3</v>
      </c>
      <c r="AC14" s="20" t="n">
        <v>0.3127229874801411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2026-10-22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Progressive</t>
        </is>
      </c>
      <c r="C15" s="12" t="inlineStr">
        <is>
          <t>PGR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228.433</v>
      </c>
      <c r="G15" s="15" t="inlineStr">
        <is>
          <t>USD</t>
        </is>
      </c>
      <c r="H15" s="14" t="n">
        <v>203.5566474500951</v>
      </c>
      <c r="I15" s="16" t="n">
        <v>118144.2664175151</v>
      </c>
      <c r="J15" s="16" t="n">
        <v>132582.5</v>
      </c>
      <c r="K15" s="14" t="n">
        <v>19.85</v>
      </c>
      <c r="L15" s="14" t="n">
        <v>16.30119</v>
      </c>
      <c r="M15" s="17">
        <f>IF(OR(F15="",K15="",K15&lt;=0),"",F15/K15)</f>
        <v/>
      </c>
      <c r="N15" s="18" t="n">
        <v>3.8386939</v>
      </c>
      <c r="O15" s="19">
        <f>IF(OR(N15="",M15="",M15&lt;=0),"",N15/M15)</f>
        <v/>
      </c>
      <c r="P15" s="20" t="n">
        <v>0.33238998</v>
      </c>
      <c r="Q15" s="20" t="n">
        <v>0.2355508402188087</v>
      </c>
      <c r="R15" s="20" t="n">
        <v>0.128500392044818</v>
      </c>
      <c r="S15" s="21" t="n">
        <v>4</v>
      </c>
      <c r="T15" s="20" t="n"/>
      <c r="U15" s="20" t="n">
        <v>0.3729182468753092</v>
      </c>
      <c r="V15" s="20" t="n">
        <v>0.3313664960337619</v>
      </c>
      <c r="W15" s="20" t="n">
        <v>0.1924840952803669</v>
      </c>
      <c r="X15" s="20" t="n">
        <v>0.04543452268579699</v>
      </c>
      <c r="Y15" s="14" t="n">
        <v>0.4</v>
      </c>
      <c r="Z15" s="19">
        <f>IF(OR(Y15="",F15="",F15=0),"",Y15/F15)</f>
        <v/>
      </c>
      <c r="AA15" s="22" t="n">
        <v>24.327</v>
      </c>
      <c r="AB15" s="20" t="n">
        <v>0.03</v>
      </c>
      <c r="AC15" s="20" t="n">
        <v>0.1326152152173169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2026-10-22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345.77</v>
      </c>
      <c r="G16" s="15" t="inlineStr">
        <is>
          <t>USD</t>
        </is>
      </c>
      <c r="H16" s="14" t="n">
        <v>308.1156487408534</v>
      </c>
      <c r="I16" s="16" t="n">
        <v>4496695.132856328</v>
      </c>
      <c r="J16" s="16" t="n">
        <v>5046229.5</v>
      </c>
      <c r="K16" s="14" t="n">
        <v>8.720000000000001</v>
      </c>
      <c r="L16" s="14" t="n">
        <v>9.5707</v>
      </c>
      <c r="M16" s="17">
        <f>IF(OR(F16="",K16="",K16&lt;=0),"",F16/K16)</f>
        <v/>
      </c>
      <c r="N16" s="18" t="n">
        <v>46.979618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2026-10-22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414.1872</v>
      </c>
      <c r="G17" s="15" t="inlineStr">
        <is>
          <t>USD</t>
        </is>
      </c>
      <c r="H17" s="14" t="n">
        <v>369.0822160053145</v>
      </c>
      <c r="I17" s="16" t="n">
        <v>692898.4230648761</v>
      </c>
      <c r="J17" s="16" t="n">
        <v>777576.5</v>
      </c>
      <c r="K17" s="14" t="n">
        <v>11.75</v>
      </c>
      <c r="L17" s="14" t="n">
        <v>15.02288</v>
      </c>
      <c r="M17" s="17">
        <f>IF(OR(F17="",K17="",K17&lt;=0),"",F17/K17)</f>
        <v/>
      </c>
      <c r="N17" s="18" t="n">
        <v>21.949507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2026-10-22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Arista Networks</t>
        </is>
      </c>
      <c r="C18" s="12" t="inlineStr">
        <is>
          <t>ANET</t>
        </is>
      </c>
      <c r="D18" s="11" t="inlineStr">
        <is>
          <t>Reti</t>
        </is>
      </c>
      <c r="E18" s="13" t="inlineStr">
        <is>
          <t>Tecnologia</t>
        </is>
      </c>
      <c r="F18" s="14" t="n">
        <v>171.26</v>
      </c>
      <c r="G18" s="15" t="inlineStr">
        <is>
          <t>USD</t>
        </is>
      </c>
      <c r="H18" s="14" t="n">
        <v>152.6097868622453</v>
      </c>
      <c r="I18" s="16" t="n">
        <v>192475.1951174849</v>
      </c>
      <c r="J18" s="16" t="n">
        <v>215997.3</v>
      </c>
      <c r="K18" s="14" t="n">
        <v>3.17</v>
      </c>
      <c r="L18" s="14" t="n">
        <v>5.21686</v>
      </c>
      <c r="M18" s="17">
        <f>IF(OR(F18="",K18="",K18&lt;=0),"",F18/K18)</f>
        <v/>
      </c>
      <c r="N18" s="18" t="n">
        <v>14.596437</v>
      </c>
      <c r="O18" s="19">
        <f>IF(OR(N18="",M18="",M18&lt;=0),"",N18/M18)</f>
        <v/>
      </c>
      <c r="P18" s="20" t="n">
        <v>0.31476</v>
      </c>
      <c r="Q18" s="20" t="n">
        <v>0.283789737682183</v>
      </c>
      <c r="R18" s="20" t="n">
        <v>0.00446577937764146</v>
      </c>
      <c r="S18" s="21" t="n">
        <v>4</v>
      </c>
      <c r="T18" s="20" t="n"/>
      <c r="U18" s="20" t="n">
        <v>0.2838527141182652</v>
      </c>
      <c r="V18" s="20" t="n">
        <v>0.2853583863609077</v>
      </c>
      <c r="W18" s="20" t="n">
        <v>0.2891374069667529</v>
      </c>
      <c r="X18" s="20" t="n">
        <v>0.2768104432828062</v>
      </c>
      <c r="Y18" s="14" t="n"/>
      <c r="Z18" s="19">
        <f>IF(OR(Y18="",F18="",F18=0),"",Y18/F18)</f>
        <v/>
      </c>
      <c r="AA18" s="22" t="n"/>
      <c r="AB18" s="20" t="n">
        <v>0.377</v>
      </c>
      <c r="AC18" s="20" t="n">
        <v>0.4491155672518516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2026-10-22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Caterpillar</t>
        </is>
      </c>
      <c r="C19" s="12" t="inlineStr">
        <is>
          <t>CAT</t>
        </is>
      </c>
      <c r="D19" s="11" t="inlineStr">
        <is>
          <t>Macchine movimento terra</t>
        </is>
      </c>
      <c r="E19" s="13" t="inlineStr">
        <is>
          <t>Industriale</t>
        </is>
      </c>
      <c r="F19" s="14" t="n">
        <v>700.894</v>
      </c>
      <c r="G19" s="15" t="inlineStr">
        <is>
          <t>USD</t>
        </is>
      </c>
      <c r="H19" s="14" t="n">
        <v>624.5666469288016</v>
      </c>
      <c r="I19" s="16" t="n">
        <v>287097.6293621017</v>
      </c>
      <c r="J19" s="16" t="n">
        <v>322183.4</v>
      </c>
      <c r="K19" s="14" t="n">
        <v>23.23</v>
      </c>
      <c r="L19" s="14" t="n">
        <v>32.58528</v>
      </c>
      <c r="M19" s="17">
        <f>IF(OR(F19="",K19="",K19&lt;=0),"",F19/K19)</f>
        <v/>
      </c>
      <c r="N19" s="18" t="n">
        <v>16.611618</v>
      </c>
      <c r="O19" s="19">
        <f>IF(OR(N19="",M19="",M19&lt;=0),"",N19/M19)</f>
        <v/>
      </c>
      <c r="P19" s="20" t="n">
        <v>0.56972003</v>
      </c>
      <c r="Q19" s="20" t="n">
        <v>0.4807783755577582</v>
      </c>
      <c r="R19" s="20" t="n">
        <v>0.06174601377681064</v>
      </c>
      <c r="S19" s="21" t="n">
        <v>4</v>
      </c>
      <c r="T19" s="20" t="n"/>
      <c r="U19" s="20" t="n">
        <v>0.4167370297401257</v>
      </c>
      <c r="V19" s="20" t="n">
        <v>0.5536914473346672</v>
      </c>
      <c r="W19" s="20" t="n">
        <v>0.5301631271160357</v>
      </c>
      <c r="X19" s="20" t="n">
        <v>0.4225218980402042</v>
      </c>
      <c r="Y19" s="14" t="n">
        <v>6.52</v>
      </c>
      <c r="Z19" s="19">
        <f>IF(OR(Y19="",F19="",F19=0),"",Y19/F19)</f>
        <v/>
      </c>
      <c r="AA19" s="22" t="n">
        <v>232.783</v>
      </c>
      <c r="AB19" s="20" t="n">
        <v>0.24</v>
      </c>
      <c r="AC19" s="20" t="n">
        <v>0.160440312121795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2026-10-22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Mastercard</t>
        </is>
      </c>
      <c r="C20" s="12" t="inlineStr">
        <is>
          <t>MA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632.83</v>
      </c>
      <c r="G20" s="15" t="inlineStr">
        <is>
          <t>USD</t>
        </is>
      </c>
      <c r="H20" s="14" t="n">
        <v>563.9148161861187</v>
      </c>
      <c r="I20" s="16" t="n">
        <v>493995.0107310719</v>
      </c>
      <c r="J20" s="16" t="n">
        <v>554365.4</v>
      </c>
      <c r="K20" s="14" t="n">
        <v>18.18</v>
      </c>
      <c r="L20" s="14" t="n">
        <v>23.06799</v>
      </c>
      <c r="M20" s="17">
        <f>IF(OR(F20="",K20="",K20&lt;=0),"",F20/K20)</f>
        <v/>
      </c>
      <c r="N20" s="18" t="n">
        <v>98.94153</v>
      </c>
      <c r="O20" s="19">
        <f>IF(OR(N20="",M20="",M20&lt;=0),"",N20/M20)</f>
        <v/>
      </c>
      <c r="P20" s="20" t="n">
        <v>2.41202</v>
      </c>
      <c r="Q20" s="20" t="n">
        <v>1.778040213012595</v>
      </c>
      <c r="R20" s="20" t="n">
        <v>0.1832547811414374</v>
      </c>
      <c r="S20" s="21" t="n">
        <v>4</v>
      </c>
      <c r="T20" s="20" t="n"/>
      <c r="U20" s="20" t="n">
        <v>1.934599974150187</v>
      </c>
      <c r="V20" s="20" t="n">
        <v>1.985196607555898</v>
      </c>
      <c r="W20" s="20" t="n">
        <v>1.615673257324289</v>
      </c>
      <c r="X20" s="20" t="n">
        <v>1.576691013020006</v>
      </c>
      <c r="Y20" s="14" t="n">
        <v>3.48</v>
      </c>
      <c r="Z20" s="19">
        <f>IF(OR(Y20="",F20="",F20=0),"",Y20/F20)</f>
        <v/>
      </c>
      <c r="AA20" s="22" t="n">
        <v>439.583</v>
      </c>
      <c r="AB20" s="20" t="n">
        <v>0.141</v>
      </c>
      <c r="AC20" s="20" t="n">
        <v>0.4957762937391357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2026-10-22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KLA Corporation</t>
        </is>
      </c>
      <c r="C21" s="12" t="inlineStr">
        <is>
          <t>KLAC</t>
        </is>
      </c>
      <c r="D21" s="11" t="inlineStr">
        <is>
          <t>Apparecchiature semicond.</t>
        </is>
      </c>
      <c r="E21" s="13" t="inlineStr">
        <is>
          <t>Tecnologia</t>
        </is>
      </c>
      <c r="F21" s="14" t="n">
        <v>149.19</v>
      </c>
      <c r="G21" s="15" t="inlineStr">
        <is>
          <t>USD</t>
        </is>
      </c>
      <c r="H21" s="14" t="n">
        <v>132.9432097511291</v>
      </c>
      <c r="I21" s="16" t="n">
        <v>173491.7352702283</v>
      </c>
      <c r="J21" s="16" t="n">
        <v>194693.9</v>
      </c>
      <c r="K21" s="14" t="n">
        <v>3.66</v>
      </c>
      <c r="L21" s="14" t="n">
        <v>6.74039</v>
      </c>
      <c r="M21" s="17">
        <f>IF(OR(F21="",K21="",K21&lt;=0),"",F21/K21)</f>
        <v/>
      </c>
      <c r="N21" s="18" t="n">
        <v>30.71017</v>
      </c>
      <c r="O21" s="19">
        <f>IF(OR(N21="",M21="",M21&lt;=0),"",N21/M21)</f>
        <v/>
      </c>
      <c r="P21" s="20" t="n">
        <v>0.87496</v>
      </c>
      <c r="Q21" s="20" t="n">
        <v>0.9016067947009443</v>
      </c>
      <c r="R21" s="20" t="n">
        <v>0.1538102798939616</v>
      </c>
      <c r="S21" s="21" t="n">
        <v>4</v>
      </c>
      <c r="T21" s="20" t="n">
        <v>0.7607729037988479</v>
      </c>
      <c r="U21" s="20" t="n">
        <v>0.8655692449130551</v>
      </c>
      <c r="V21" s="20" t="n">
        <v>0.8199605264095421</v>
      </c>
      <c r="W21" s="20" t="n">
        <v>1.160124503682332</v>
      </c>
      <c r="X21" s="20" t="n">
        <v>2.370431819008942</v>
      </c>
      <c r="Y21" s="14" t="n">
        <v>0.92</v>
      </c>
      <c r="Z21" s="19">
        <f>IF(OR(Y21="",F21="",F21=0),"",Y21/F21)</f>
        <v/>
      </c>
      <c r="AA21" s="22" t="n">
        <v>96.88</v>
      </c>
      <c r="AB21" s="20" t="n">
        <v>0.152</v>
      </c>
      <c r="AC21" s="20" t="n">
        <v>0.3557406191520203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2026-10-22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Applied Materials</t>
        </is>
      </c>
      <c r="C22" s="12" t="inlineStr">
        <is>
          <t>AMAT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381.27</v>
      </c>
      <c r="G22" s="15" t="inlineStr">
        <is>
          <t>USD</t>
        </is>
      </c>
      <c r="H22" s="14" t="n">
        <v>339.7496989195858</v>
      </c>
      <c r="I22" s="16" t="n">
        <v>269624.4949133784</v>
      </c>
      <c r="J22" s="16" t="n">
        <v>302574.9</v>
      </c>
      <c r="K22" s="14" t="n">
        <v>11.59</v>
      </c>
      <c r="L22" s="14" t="n">
        <v>18.49094</v>
      </c>
      <c r="M22" s="17">
        <f>IF(OR(F22="",K22="",K22&lt;=0),"",F22/K22)</f>
        <v/>
      </c>
      <c r="N22" s="18" t="n">
        <v>11.807314</v>
      </c>
      <c r="O22" s="19">
        <f>IF(OR(N22="",M22="",M22&lt;=0),"",N22/M22)</f>
        <v/>
      </c>
      <c r="P22" s="20" t="n">
        <v>0.41068</v>
      </c>
      <c r="Q22" s="20" t="n">
        <v>0.4187390558280515</v>
      </c>
      <c r="R22" s="20" t="n">
        <v>0.07244233633790677</v>
      </c>
      <c r="S22" s="21" t="n">
        <v>4</v>
      </c>
      <c r="T22" s="20" t="n"/>
      <c r="U22" s="20" t="n">
        <v>0.3427871662992897</v>
      </c>
      <c r="V22" s="20" t="n">
        <v>0.377716962265144</v>
      </c>
      <c r="W22" s="20" t="n">
        <v>0.4193528656186923</v>
      </c>
      <c r="X22" s="20" t="n">
        <v>0.5350992291290799</v>
      </c>
      <c r="Y22" s="14" t="n">
        <v>2.12</v>
      </c>
      <c r="Z22" s="19">
        <f>IF(OR(Y22="",F22="",F22=0),"",Y22/F22)</f>
        <v/>
      </c>
      <c r="AA22" s="22" t="n">
        <v>28.666</v>
      </c>
      <c r="AB22" s="20" t="n">
        <v>0.248</v>
      </c>
      <c r="AC22" s="20" t="n">
        <v>0.3266709080654258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2026-10-22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Eli Lilly</t>
        </is>
      </c>
      <c r="C23" s="12" t="inlineStr">
        <is>
          <t>LLY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1314.19</v>
      </c>
      <c r="G23" s="15" t="inlineStr">
        <is>
          <t>USD</t>
        </is>
      </c>
      <c r="H23" s="14" t="n">
        <v>1171.074715616572</v>
      </c>
      <c r="I23" s="16" t="n">
        <v>1043845.684647728</v>
      </c>
      <c r="J23" s="16" t="n">
        <v>1171412.5</v>
      </c>
      <c r="K23" s="14" t="n">
        <v>29.79</v>
      </c>
      <c r="L23" s="14" t="n">
        <v>47.22087</v>
      </c>
      <c r="M23" s="17">
        <f>IF(OR(F23="",K23="",K23&lt;=0),"",F23/K23)</f>
        <v/>
      </c>
      <c r="N23" s="18" t="n">
        <v>34.582127</v>
      </c>
      <c r="O23" s="19">
        <f>IF(OR(N23="",M23="",M23&lt;=0),"",N23/M23)</f>
        <v/>
      </c>
      <c r="P23" s="20" t="n">
        <v>1.02286</v>
      </c>
      <c r="Q23" s="20" t="n">
        <v>0.6481702467386419</v>
      </c>
      <c r="R23" s="20" t="n">
        <v>0.1178900700269788</v>
      </c>
      <c r="S23" s="21" t="n">
        <v>4</v>
      </c>
      <c r="T23" s="20" t="n"/>
      <c r="U23" s="20" t="n">
        <v>0.7778405879027699</v>
      </c>
      <c r="V23" s="20" t="n">
        <v>0.7420123318385651</v>
      </c>
      <c r="W23" s="20" t="n">
        <v>0.4864508582515619</v>
      </c>
      <c r="X23" s="20" t="n">
        <v>0.5863772089616707</v>
      </c>
      <c r="Y23" s="14" t="n">
        <v>6.92</v>
      </c>
      <c r="Z23" s="19">
        <f>IF(OR(Y23="",F23="",F23=0),"",Y23/F23)</f>
        <v/>
      </c>
      <c r="AA23" s="22" t="n">
        <v>162.071</v>
      </c>
      <c r="AB23" s="20" t="n">
        <v>0.477</v>
      </c>
      <c r="AC23" s="20" t="n">
        <v>0.4098098933705641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2026-10-22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1093.165</v>
      </c>
      <c r="G24" s="15" t="inlineStr">
        <is>
          <t>USD</t>
        </is>
      </c>
      <c r="H24" s="14" t="n">
        <v>974.1193370037743</v>
      </c>
      <c r="I24" s="16" t="n">
        <v>60631.60277256856</v>
      </c>
      <c r="J24" s="16" t="n">
        <v>68041.3</v>
      </c>
      <c r="K24" s="14" t="n">
        <v>41.59</v>
      </c>
      <c r="L24" s="14" t="n">
        <v>57.31793</v>
      </c>
      <c r="M24" s="17">
        <f>IF(OR(F24="",K24="",K24&lt;=0),"",F24/K24)</f>
        <v/>
      </c>
      <c r="N24" s="18" t="n">
        <v>7.3878474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2026-10-22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Travelers</t>
        </is>
      </c>
      <c r="C25" s="12" t="inlineStr">
        <is>
          <t>TRV</t>
        </is>
      </c>
      <c r="D25" s="11" t="inlineStr">
        <is>
          <t>Assicurazione</t>
        </is>
      </c>
      <c r="E25" s="13" t="inlineStr">
        <is>
          <t>Finanziario</t>
        </is>
      </c>
      <c r="F25" s="14" t="n">
        <v>406.96</v>
      </c>
      <c r="G25" s="15" t="inlineStr">
        <is>
          <t>USD</t>
        </is>
      </c>
      <c r="H25" s="14" t="n">
        <v>362.6420580489277</v>
      </c>
      <c r="I25" s="16" t="n">
        <v>75638.08329735517</v>
      </c>
      <c r="J25" s="16" t="n">
        <v>84881.7</v>
      </c>
      <c r="K25" s="14" t="n">
        <v>38.03</v>
      </c>
      <c r="L25" s="14" t="n">
        <v>31.01379</v>
      </c>
      <c r="M25" s="17">
        <f>IF(OR(F25="",K25="",K25&lt;=0),"",F25/K25)</f>
        <v/>
      </c>
      <c r="N25" s="18" t="n">
        <v>2.8758798</v>
      </c>
      <c r="O25" s="19">
        <f>IF(OR(N25="",M25="",M25&lt;=0),"",N25/M25)</f>
        <v/>
      </c>
      <c r="P25" s="20" t="n">
        <v>0.27497</v>
      </c>
      <c r="Q25" s="20" t="n">
        <v>0.1556010112383756</v>
      </c>
      <c r="R25" s="20" t="n">
        <v>0.03026061633724604</v>
      </c>
      <c r="S25" s="21" t="n">
        <v>4</v>
      </c>
      <c r="T25" s="20" t="n"/>
      <c r="U25" s="20" t="n">
        <v>0.1911594819723962</v>
      </c>
      <c r="V25" s="20" t="n">
        <v>0.1794071202985932</v>
      </c>
      <c r="W25" s="20" t="n">
        <v>0.1200192608643313</v>
      </c>
      <c r="X25" s="20" t="n">
        <v>0.1318181818181818</v>
      </c>
      <c r="Y25" s="14" t="n">
        <v>5</v>
      </c>
      <c r="Z25" s="19">
        <f>IF(OR(Y25="",F25="",F25=0),"",Y25/F25)</f>
        <v/>
      </c>
      <c r="AA25" s="22" t="n">
        <v>33.844</v>
      </c>
      <c r="AB25" s="20" t="n">
        <v>-0.005</v>
      </c>
      <c r="AC25" s="20" t="n">
        <v>0.1694109936921439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2026-10-22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Netflix</t>
        </is>
      </c>
      <c r="C26" s="12" t="inlineStr">
        <is>
          <t>NFLX</t>
        </is>
      </c>
      <c r="D26" s="11" t="inlineStr">
        <is>
          <t>Streaming</t>
        </is>
      </c>
      <c r="E26" s="13" t="inlineStr">
        <is>
          <t>Consumi</t>
        </is>
      </c>
      <c r="F26" s="14" t="n">
        <v>67.27500000000001</v>
      </c>
      <c r="G26" s="15" t="inlineStr">
        <is>
          <t>USD</t>
        </is>
      </c>
      <c r="H26" s="14" t="n">
        <v>59.94875283871046</v>
      </c>
      <c r="I26" s="16" t="n">
        <v>249622.9533103697</v>
      </c>
      <c r="J26" s="16" t="n">
        <v>280129</v>
      </c>
      <c r="K26" s="14" t="n">
        <v>3.46</v>
      </c>
      <c r="L26" s="14" t="n">
        <v>3.7711</v>
      </c>
      <c r="M26" s="17">
        <f>IF(OR(F26="",K26="",K26&lt;=0),"",F26/K26)</f>
        <v/>
      </c>
      <c r="N26" s="18" t="n">
        <v>9.498094</v>
      </c>
      <c r="O26" s="19">
        <f>IF(OR(N26="",M26="",M26&lt;=0),"",N26/M26)</f>
        <v/>
      </c>
      <c r="P26" s="20" t="n">
        <v>0.53463</v>
      </c>
      <c r="Q26" s="20" t="n">
        <v>0.3108822652973959</v>
      </c>
      <c r="R26" s="20" t="n">
        <v>0.07637252776064919</v>
      </c>
      <c r="S26" s="21" t="n">
        <v>4</v>
      </c>
      <c r="T26" s="20" t="n"/>
      <c r="U26" s="20" t="n">
        <v>0.4125868742290204</v>
      </c>
      <c r="V26" s="20" t="n">
        <v>0.3520766023750739</v>
      </c>
      <c r="W26" s="20" t="n">
        <v>0.262672808597771</v>
      </c>
      <c r="X26" s="20" t="n">
        <v>0.2161927759877186</v>
      </c>
      <c r="Y26" s="14" t="n"/>
      <c r="Z26" s="19">
        <f>IF(OR(Y26="",F26="",F26=0),"",Y26/F26)</f>
        <v/>
      </c>
      <c r="AA26" s="22" t="n">
        <v>51.671</v>
      </c>
      <c r="AB26" s="20" t="n">
        <v>0.118</v>
      </c>
      <c r="AC26" s="20" t="n">
        <v>0.3268185307423786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2026-10-22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Union Pacific</t>
        </is>
      </c>
      <c r="C27" s="12" t="inlineStr">
        <is>
          <t>UNP</t>
        </is>
      </c>
      <c r="D27" s="11" t="inlineStr">
        <is>
          <t>Ferrovie</t>
        </is>
      </c>
      <c r="E27" s="13" t="inlineStr">
        <is>
          <t>Industriale</t>
        </is>
      </c>
      <c r="F27" s="14" t="n">
        <v>296.585</v>
      </c>
      <c r="G27" s="15" t="inlineStr">
        <is>
          <t>USD</t>
        </is>
      </c>
      <c r="H27" s="14" t="n">
        <v>264.286894993221</v>
      </c>
      <c r="I27" s="16" t="n">
        <v>157006.3851770861</v>
      </c>
      <c r="J27" s="16" t="n">
        <v>176193.9</v>
      </c>
      <c r="K27" s="14" t="n">
        <v>12.34</v>
      </c>
      <c r="L27" s="14" t="n">
        <v>14.24306</v>
      </c>
      <c r="M27" s="17">
        <f>IF(OR(F27="",K27="",K27&lt;=0),"",F27/K27)</f>
        <v/>
      </c>
      <c r="N27" s="18" t="n">
        <v>8.521089</v>
      </c>
      <c r="O27" s="19">
        <f>IF(OR(N27="",M27="",M27&lt;=0),"",N27/M27)</f>
        <v/>
      </c>
      <c r="P27" s="20" t="n">
        <v>0.39696</v>
      </c>
      <c r="Q27" s="20" t="n">
        <v>0.4481773006556505</v>
      </c>
      <c r="R27" s="20" t="n">
        <v>0.07521532837259973</v>
      </c>
      <c r="S27" s="21" t="n">
        <v>4</v>
      </c>
      <c r="T27" s="20" t="n"/>
      <c r="U27" s="20" t="n">
        <v>0.3865273190014621</v>
      </c>
      <c r="V27" s="20" t="n">
        <v>0.3994671403197158</v>
      </c>
      <c r="W27" s="20" t="n">
        <v>0.4313632675142007</v>
      </c>
      <c r="X27" s="20" t="n">
        <v>0.5753514757872236</v>
      </c>
      <c r="Y27" s="14" t="n">
        <v>5.68</v>
      </c>
      <c r="Z27" s="19">
        <f>IF(OR(Y27="",F27="",F27=0),"",Y27/F27)</f>
        <v/>
      </c>
      <c r="AA27" s="22" t="n">
        <v>150.772</v>
      </c>
      <c r="AB27" s="20" t="n">
        <v>0.115</v>
      </c>
      <c r="AC27" s="20" t="n">
        <v>0.2990616022847817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2026-10-22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Airbnb</t>
        </is>
      </c>
      <c r="C28" s="12" t="inlineStr">
        <is>
          <t>ABNB</t>
        </is>
      </c>
      <c r="D28" s="11" t="inlineStr">
        <is>
          <t>Viaggi / Piattaforme</t>
        </is>
      </c>
      <c r="E28" s="13" t="inlineStr">
        <is>
          <t>Consumi</t>
        </is>
      </c>
      <c r="F28" s="14" t="n">
        <v>176.37</v>
      </c>
      <c r="G28" s="15" t="inlineStr">
        <is>
          <t>USD</t>
        </is>
      </c>
      <c r="H28" s="14" t="n">
        <v>157.1633078879727</v>
      </c>
      <c r="I28" s="16" t="n">
        <v>94107.11111170519</v>
      </c>
      <c r="J28" s="16" t="n">
        <v>105607.8</v>
      </c>
      <c r="K28" s="14" t="n">
        <v>4.39</v>
      </c>
      <c r="L28" s="14" t="n">
        <v>6.19918</v>
      </c>
      <c r="M28" s="17">
        <f>IF(OR(F28="",K28="",K28&lt;=0),"",F28/K28)</f>
        <v/>
      </c>
      <c r="N28" s="18" t="n">
        <v>13.342158</v>
      </c>
      <c r="O28" s="19">
        <f>IF(OR(N28="",M28="",M28&lt;=0),"",N28/M28)</f>
        <v/>
      </c>
      <c r="P28" s="20" t="n">
        <v>0.34542</v>
      </c>
      <c r="Q28" s="20" t="n">
        <v>0.3871020421928419</v>
      </c>
      <c r="R28" s="20" t="n">
        <v>0.1160358943905926</v>
      </c>
      <c r="S28" s="21" t="n">
        <v>4</v>
      </c>
      <c r="T28" s="20" t="n"/>
      <c r="U28" s="20" t="n">
        <v>0.3062568605927552</v>
      </c>
      <c r="V28" s="20" t="n">
        <v>0.3147883975273419</v>
      </c>
      <c r="W28" s="20" t="n">
        <v>0.5868952847519902</v>
      </c>
      <c r="X28" s="20" t="n">
        <v>0.3404676258992806</v>
      </c>
      <c r="Y28" s="14" t="n"/>
      <c r="Z28" s="19">
        <f>IF(OR(Y28="",F28="",F28=0),"",Y28/F28)</f>
        <v/>
      </c>
      <c r="AA28" s="22" t="n">
        <v>32.004</v>
      </c>
      <c r="AB28" s="20" t="n">
        <v>0.165</v>
      </c>
      <c r="AC28" s="20" t="n">
        <v>0.2198349860305531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2026-10-22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Coca-Cola</t>
        </is>
      </c>
      <c r="C29" s="12" t="inlineStr">
        <is>
          <t>KO</t>
        </is>
      </c>
      <c r="D29" s="11" t="inlineStr">
        <is>
          <t>Bevande</t>
        </is>
      </c>
      <c r="E29" s="13" t="inlineStr">
        <is>
          <t>Consumi</t>
        </is>
      </c>
      <c r="F29" s="14" t="n">
        <v>94.86</v>
      </c>
      <c r="G29" s="15" t="inlineStr">
        <is>
          <t>USD</t>
        </is>
      </c>
      <c r="H29" s="14" t="n">
        <v>84.52974647759308</v>
      </c>
      <c r="I29" s="16" t="n">
        <v>363693.3778348676</v>
      </c>
      <c r="J29" s="16" t="n">
        <v>408139.8</v>
      </c>
      <c r="K29" s="14" t="n">
        <v>3.33</v>
      </c>
      <c r="L29" s="14" t="n">
        <v>3.52319</v>
      </c>
      <c r="M29" s="17">
        <f>IF(OR(F29="",K29="",K29&lt;=0),"",F29/K29)</f>
        <v/>
      </c>
      <c r="N29" s="18" t="n">
        <v>11.2915125</v>
      </c>
      <c r="O29" s="19">
        <f>IF(OR(N29="",M29="",M29&lt;=0),"",N29/M29)</f>
        <v/>
      </c>
      <c r="P29" s="20" t="n">
        <v>0.42054</v>
      </c>
      <c r="Q29" s="20" t="n">
        <v>0.4110027875944097</v>
      </c>
      <c r="R29" s="20" t="n">
        <v>0.01145865829768229</v>
      </c>
      <c r="S29" s="21" t="n">
        <v>4</v>
      </c>
      <c r="T29" s="20" t="n"/>
      <c r="U29" s="20" t="n">
        <v>0.4074419472162641</v>
      </c>
      <c r="V29" s="20" t="n">
        <v>0.4277035725780496</v>
      </c>
      <c r="W29" s="20" t="n">
        <v>0.4130141474885317</v>
      </c>
      <c r="X29" s="20" t="n">
        <v>0.3958514830947936</v>
      </c>
      <c r="Y29" s="14" t="n">
        <v>2.12</v>
      </c>
      <c r="Z29" s="19">
        <f>IF(OR(Y29="",F29="",F29=0),"",Y29/F29)</f>
        <v/>
      </c>
      <c r="AA29" s="22" t="n">
        <v>115.519</v>
      </c>
      <c r="AB29" s="20" t="n">
        <v>0.067</v>
      </c>
      <c r="AC29" s="20" t="n">
        <v>0.2986170554640079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2026-10-22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Sherwin-Williams</t>
        </is>
      </c>
      <c r="C30" s="12" t="inlineStr">
        <is>
          <t>SHW</t>
        </is>
      </c>
      <c r="D30" s="11" t="inlineStr">
        <is>
          <t>Vernici</t>
        </is>
      </c>
      <c r="E30" s="13" t="inlineStr">
        <is>
          <t>Materiali</t>
        </is>
      </c>
      <c r="F30" s="14" t="n">
        <v>344.327</v>
      </c>
      <c r="G30" s="15" t="inlineStr">
        <is>
          <t>USD</t>
        </is>
      </c>
      <c r="H30" s="14" t="n">
        <v>306.8297914335884</v>
      </c>
      <c r="I30" s="16" t="n">
        <v>74485.44544084277</v>
      </c>
      <c r="J30" s="16" t="n">
        <v>83588.2</v>
      </c>
      <c r="K30" s="14" t="n">
        <v>10.85</v>
      </c>
      <c r="L30" s="14" t="n">
        <v>13.49897</v>
      </c>
      <c r="M30" s="17">
        <f>IF(OR(F30="",K30="",K30&lt;=0),"",F30/K30)</f>
        <v/>
      </c>
      <c r="N30" s="18" t="n">
        <v>21.556814</v>
      </c>
      <c r="O30" s="19">
        <f>IF(OR(N30="",M30="",M30&lt;=0),"",N30/M30)</f>
        <v/>
      </c>
      <c r="P30" s="20" t="n">
        <v>0.65124</v>
      </c>
      <c r="Q30" s="20" t="n">
        <v>0.628633586608092</v>
      </c>
      <c r="R30" s="20" t="n">
        <v>0.04100468246861673</v>
      </c>
      <c r="S30" s="21" t="n">
        <v>4</v>
      </c>
      <c r="T30" s="20" t="n"/>
      <c r="U30" s="20" t="n">
        <v>0.5585759954765892</v>
      </c>
      <c r="V30" s="20" t="n">
        <v>0.661877962085308</v>
      </c>
      <c r="W30" s="20" t="n">
        <v>0.642876365789332</v>
      </c>
      <c r="X30" s="20" t="n">
        <v>0.6512040230811386</v>
      </c>
      <c r="Y30" s="14" t="n">
        <v>3.2</v>
      </c>
      <c r="Z30" s="19">
        <f>IF(OR(Y30="",F30="",F30=0),"",Y30/F30)</f>
        <v/>
      </c>
      <c r="AA30" s="22" t="n">
        <v>389.958</v>
      </c>
      <c r="AB30" s="20" t="n">
        <v>0.075</v>
      </c>
      <c r="AC30" s="20" t="n">
        <v>0.1140309547261212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2026-10-22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Texas Instruments</t>
        </is>
      </c>
      <c r="C31" s="12" t="inlineStr">
        <is>
          <t>TXN</t>
        </is>
      </c>
      <c r="D31" s="11" t="inlineStr">
        <is>
          <t>Semiconduttori</t>
        </is>
      </c>
      <c r="E31" s="13" t="inlineStr">
        <is>
          <t>Tecnologia</t>
        </is>
      </c>
      <c r="F31" s="14" t="n">
        <v>284.13</v>
      </c>
      <c r="G31" s="15" t="inlineStr">
        <is>
          <t>USD</t>
        </is>
      </c>
      <c r="H31" s="14" t="n">
        <v>253.1882444305136</v>
      </c>
      <c r="I31" s="16" t="n">
        <v>231223.6095164134</v>
      </c>
      <c r="J31" s="16" t="n">
        <v>259481.1</v>
      </c>
      <c r="K31" s="14" t="n">
        <v>7.71</v>
      </c>
      <c r="L31" s="14" t="n">
        <v>11.52254</v>
      </c>
      <c r="M31" s="17">
        <f>IF(OR(F31="",K31="",K31&lt;=0),"",F31/K31)</f>
        <v/>
      </c>
      <c r="N31" s="18" t="n">
        <v>15.836028</v>
      </c>
      <c r="O31" s="19">
        <f>IF(OR(N31="",M31="",M31&lt;=0),"",N31/M31)</f>
        <v/>
      </c>
      <c r="P31" s="20" t="n">
        <v>0.35176</v>
      </c>
      <c r="Q31" s="20" t="n">
        <v>0.3941751364874861</v>
      </c>
      <c r="R31" s="20" t="n">
        <v>0.124723387337169</v>
      </c>
      <c r="S31" s="21" t="n">
        <v>4</v>
      </c>
      <c r="T31" s="20" t="n"/>
      <c r="U31" s="20" t="n">
        <v>0.3073188717507528</v>
      </c>
      <c r="V31" s="20" t="n">
        <v>0.2839140980890966</v>
      </c>
      <c r="W31" s="20" t="n">
        <v>0.3852754926910102</v>
      </c>
      <c r="X31" s="20" t="n">
        <v>0.6001920834190848</v>
      </c>
      <c r="Y31" s="14" t="n">
        <v>6.08</v>
      </c>
      <c r="Z31" s="19">
        <f>IF(OR(Y31="",F31="",F31=0),"",Y31/F31)</f>
        <v/>
      </c>
      <c r="AA31" s="22" t="n">
        <v>78.036</v>
      </c>
      <c r="AB31" s="20" t="n">
        <v>0.228</v>
      </c>
      <c r="AC31" s="20" t="n">
        <v>0.3402895563850243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2026-10-22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United Parcel Service</t>
        </is>
      </c>
      <c r="C32" s="12" t="inlineStr">
        <is>
          <t>UPS</t>
        </is>
      </c>
      <c r="D32" s="11" t="inlineStr">
        <is>
          <t>Logistica</t>
        </is>
      </c>
      <c r="E32" s="13" t="inlineStr">
        <is>
          <t>Industriale</t>
        </is>
      </c>
      <c r="F32" s="14" t="n">
        <v>101.505</v>
      </c>
      <c r="G32" s="15" t="inlineStr">
        <is>
          <t>USD</t>
        </is>
      </c>
      <c r="H32" s="14" t="n">
        <v>90.45110601104875</v>
      </c>
      <c r="I32" s="16" t="n">
        <v>76954.14889479095</v>
      </c>
      <c r="J32" s="16" t="n">
        <v>86358.60000000001</v>
      </c>
      <c r="K32" s="14" t="n">
        <v>5.38</v>
      </c>
      <c r="L32" s="14" t="n">
        <v>8.05861</v>
      </c>
      <c r="M32" s="17">
        <f>IF(OR(F32="",K32="",K32&lt;=0),"",F32/K32)</f>
        <v/>
      </c>
      <c r="N32" s="18" t="n">
        <v>5.733126</v>
      </c>
      <c r="O32" s="19">
        <f>IF(OR(N32="",M32="",M32&lt;=0),"",N32/M32)</f>
        <v/>
      </c>
      <c r="P32" s="20" t="n">
        <v>0.29602</v>
      </c>
      <c r="Q32" s="20" t="n">
        <v>0.4151223305037616</v>
      </c>
      <c r="R32" s="20" t="n">
        <v>0.09887106435484694</v>
      </c>
      <c r="S32" s="21" t="n">
        <v>4</v>
      </c>
      <c r="T32" s="20" t="n"/>
      <c r="U32" s="20" t="n">
        <v>0.3433783200838109</v>
      </c>
      <c r="V32" s="20" t="n">
        <v>0.3458547673166646</v>
      </c>
      <c r="W32" s="20" t="n">
        <v>0.3876112330983474</v>
      </c>
      <c r="X32" s="20" t="n">
        <v>0.5836450015162236</v>
      </c>
      <c r="Y32" s="14" t="n">
        <v>6.56</v>
      </c>
      <c r="Z32" s="19">
        <f>IF(OR(Y32="",F32="",F32=0),"",Y32/F32)</f>
        <v/>
      </c>
      <c r="AA32" s="22" t="n">
        <v>189.9</v>
      </c>
      <c r="AB32" s="20" t="n">
        <v>0.076</v>
      </c>
      <c r="AC32" s="20" t="n">
        <v>0.05154464614655824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2026-10-22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584.215</v>
      </c>
      <c r="G33" s="15" t="inlineStr">
        <is>
          <t>USD</t>
        </is>
      </c>
      <c r="H33" s="14" t="n">
        <v>520.5939894413561</v>
      </c>
      <c r="I33" s="16" t="n">
        <v>120148.2612188377</v>
      </c>
      <c r="J33" s="16" t="n">
        <v>134831.4</v>
      </c>
      <c r="K33" s="14" t="n">
        <v>27.13</v>
      </c>
      <c r="L33" s="14" t="n">
        <v>32.64446</v>
      </c>
      <c r="M33" s="17">
        <f>IF(OR(F33="",K33="",K33&lt;=0),"",F33/K33)</f>
        <v/>
      </c>
      <c r="N33" s="18" t="n">
        <v>15.324878</v>
      </c>
      <c r="O33" s="19">
        <f>IF(OR(N33="",M33="",M33&lt;=0),"",N33/M33)</f>
        <v/>
      </c>
      <c r="P33" s="20" t="n">
        <v>0.8916500000000001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14.4</v>
      </c>
      <c r="Z33" s="19">
        <f>IF(OR(Y33="",F33="",F33=0),"",Y33/F33)</f>
        <v/>
      </c>
      <c r="AA33" s="22" t="n">
        <v>234.238</v>
      </c>
      <c r="AB33" s="20" t="n">
        <v>0.105</v>
      </c>
      <c r="AC33" s="20" t="n">
        <v>0.08377305276622961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2026-10-22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Chipotle Mexican Grill</t>
        </is>
      </c>
      <c r="C34" s="12" t="inlineStr">
        <is>
          <t>CMG</t>
        </is>
      </c>
      <c r="D34" s="11" t="inlineStr">
        <is>
          <t>Ristorazione</t>
        </is>
      </c>
      <c r="E34" s="13" t="inlineStr">
        <is>
          <t>Consumi</t>
        </is>
      </c>
      <c r="F34" s="14" t="n">
        <v>28.005</v>
      </c>
      <c r="G34" s="15" t="inlineStr">
        <is>
          <t>USD</t>
        </is>
      </c>
      <c r="H34" s="14" t="n">
        <v>24.95525564099719</v>
      </c>
      <c r="I34" s="16" t="n">
        <v>31578.80197842023</v>
      </c>
      <c r="J34" s="16" t="n">
        <v>35438</v>
      </c>
      <c r="K34" s="14" t="n">
        <v>1.09</v>
      </c>
      <c r="L34" s="14" t="n">
        <v>1.36821</v>
      </c>
      <c r="M34" s="17">
        <f>IF(OR(F34="",K34="",K34&lt;=0),"",F34/K34)</f>
        <v/>
      </c>
      <c r="N34" s="18" t="n">
        <v>16.14121</v>
      </c>
      <c r="O34" s="19">
        <f>IF(OR(N34="",M34="",M34&lt;=0),"",N34/M34)</f>
        <v/>
      </c>
      <c r="P34" s="20" t="n">
        <v>0.49560001</v>
      </c>
      <c r="Q34" s="20" t="n">
        <v>0.4357911689420391</v>
      </c>
      <c r="R34" s="20" t="n">
        <v>0.06324374116647129</v>
      </c>
      <c r="S34" s="21" t="n">
        <v>4</v>
      </c>
      <c r="T34" s="20" t="n"/>
      <c r="U34" s="20" t="n">
        <v>0.5425553600340846</v>
      </c>
      <c r="V34" s="20" t="n">
        <v>0.4196664465445107</v>
      </c>
      <c r="W34" s="20" t="n">
        <v>0.4012586347036631</v>
      </c>
      <c r="X34" s="20" t="n">
        <v>0.3796842344858982</v>
      </c>
      <c r="Y34" s="14" t="n"/>
      <c r="Z34" s="19">
        <f>IF(OR(Y34="",F34="",F34=0),"",Y34/F34)</f>
        <v/>
      </c>
      <c r="AA34" s="22" t="n">
        <v>246.35</v>
      </c>
      <c r="AB34" s="20" t="n">
        <v>0.093</v>
      </c>
      <c r="AC34" s="20" t="n">
        <v>0.1190217542914609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2026-10-22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Costco Wholesale</t>
        </is>
      </c>
      <c r="C35" s="12" t="inlineStr">
        <is>
          <t>COST</t>
        </is>
      </c>
      <c r="D35" s="11" t="inlineStr">
        <is>
          <t>Grande distribuzione</t>
        </is>
      </c>
      <c r="E35" s="13" t="inlineStr">
        <is>
          <t>Consumi</t>
        </is>
      </c>
      <c r="F35" s="14" t="n">
        <v>1012.195</v>
      </c>
      <c r="G35" s="15" t="inlineStr">
        <is>
          <t>USD</t>
        </is>
      </c>
      <c r="H35" s="14" t="n">
        <v>901.9669695961135</v>
      </c>
      <c r="I35" s="16" t="n">
        <v>399688.0258882373</v>
      </c>
      <c r="J35" s="16" t="n">
        <v>448533.3</v>
      </c>
      <c r="K35" s="14" t="n">
        <v>20.76</v>
      </c>
      <c r="L35" s="14" t="n">
        <v>25.02632</v>
      </c>
      <c r="M35" s="17">
        <f>IF(OR(F35="",K35="",K35&lt;=0),"",F35/K35)</f>
        <v/>
      </c>
      <c r="N35" s="18" t="n">
        <v>12.531663</v>
      </c>
      <c r="O35" s="19">
        <f>IF(OR(N35="",M35="",M35&lt;=0),"",N35/M35)</f>
        <v/>
      </c>
      <c r="P35" s="20" t="n">
        <v>0.28402</v>
      </c>
      <c r="Q35" s="20" t="n">
        <v>0.2809463090154591</v>
      </c>
      <c r="R35" s="20" t="n">
        <v>0.02157800377927351</v>
      </c>
      <c r="S35" s="21" t="n">
        <v>4</v>
      </c>
      <c r="T35" s="20" t="n"/>
      <c r="U35" s="20" t="n">
        <v>0.2777053902071047</v>
      </c>
      <c r="V35" s="20" t="n">
        <v>0.3118702904072475</v>
      </c>
      <c r="W35" s="20" t="n">
        <v>0.2510974539069359</v>
      </c>
      <c r="X35" s="20" t="n">
        <v>0.2831121015405484</v>
      </c>
      <c r="Y35" s="14" t="n">
        <v>5.88</v>
      </c>
      <c r="Z35" s="19">
        <f>IF(OR(Y35="",F35="",F35=0),"",Y35/F35)</f>
        <v/>
      </c>
      <c r="AA35" s="22" t="n">
        <v>28.436</v>
      </c>
      <c r="AB35" s="20" t="n">
        <v>0.111</v>
      </c>
      <c r="AC35" s="20" t="n">
        <v>0.03352044755935837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2026-10-22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277.73</v>
      </c>
      <c r="G36" s="15" t="inlineStr">
        <is>
          <t>USD</t>
        </is>
      </c>
      <c r="H36" s="14" t="n">
        <v>247.4852043982914</v>
      </c>
      <c r="I36" s="16" t="n">
        <v>70483.78264823338</v>
      </c>
      <c r="J36" s="16" t="n">
        <v>79097.5</v>
      </c>
      <c r="K36" s="14" t="n">
        <v>11.03</v>
      </c>
      <c r="L36" s="14" t="n">
        <v>12.34399</v>
      </c>
      <c r="M36" s="17">
        <f>IF(OR(F36="",K36="",K36&lt;=0),"",F36/K36)</f>
        <v/>
      </c>
      <c r="N36" s="18" t="n">
        <v>27.330252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2026-10-22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334.83</v>
      </c>
      <c r="G37" s="15" t="inlineStr">
        <is>
          <t>USD</t>
        </is>
      </c>
      <c r="H37" s="14" t="n">
        <v>298.3670146857737</v>
      </c>
      <c r="I37" s="16" t="n">
        <v>792343.4905367407</v>
      </c>
      <c r="J37" s="16" t="n">
        <v>889174.6</v>
      </c>
      <c r="K37" s="14" t="n">
        <v>23.84</v>
      </c>
      <c r="L37" s="14" t="n">
        <v>25.53124</v>
      </c>
      <c r="M37" s="17">
        <f>IF(OR(F37="",K37="",K37&lt;=0),"",F37/K37)</f>
        <v/>
      </c>
      <c r="N37" s="18" t="n">
        <v>2.5308964</v>
      </c>
      <c r="O37" s="19">
        <f>IF(OR(N37="",M37="",M37&lt;=0),"",N37/M37)</f>
        <v/>
      </c>
      <c r="P37" s="20" t="n">
        <v>0.18013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>
        <v>6.6</v>
      </c>
      <c r="Z37" s="19">
        <f>IF(OR(Y37="",F37="",F37=0),"",Y37/F37)</f>
        <v/>
      </c>
      <c r="AA37" s="22" t="n"/>
      <c r="AB37" s="20" t="n">
        <v>0.102</v>
      </c>
      <c r="AC37" s="20" t="n">
        <v>0.3548422550385764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2026-10-22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Accenture</t>
        </is>
      </c>
      <c r="C38" s="12" t="inlineStr">
        <is>
          <t>ACN</t>
        </is>
      </c>
      <c r="D38" s="11" t="inlineStr">
        <is>
          <t>Consulenza IT</t>
        </is>
      </c>
      <c r="E38" s="13" t="inlineStr">
        <is>
          <t>Tecnologia</t>
        </is>
      </c>
      <c r="F38" s="14" t="n">
        <v>251.01</v>
      </c>
      <c r="G38" s="15" t="inlineStr">
        <is>
          <t>USD</t>
        </is>
      </c>
      <c r="H38" s="14" t="n">
        <v>223.6750122637638</v>
      </c>
      <c r="I38" s="16" t="n">
        <v>136876.1687333504</v>
      </c>
      <c r="J38" s="16" t="n">
        <v>153603.6</v>
      </c>
      <c r="K38" s="14" t="n">
        <v>13.56</v>
      </c>
      <c r="L38" s="14" t="n">
        <v>15.88639</v>
      </c>
      <c r="M38" s="17">
        <f>IF(OR(F38="",K38="",K38&lt;=0),"",F38/K38)</f>
        <v/>
      </c>
      <c r="N38" s="18" t="n">
        <v>4.735412</v>
      </c>
      <c r="O38" s="19">
        <f>IF(OR(N38="",M38="",M38&lt;=0),"",N38/M38)</f>
        <v/>
      </c>
      <c r="P38" s="20" t="n">
        <v>0.26025</v>
      </c>
      <c r="Q38" s="20" t="n">
        <v>0.2703743517719677</v>
      </c>
      <c r="R38" s="20" t="n">
        <v>0.02468970483462087</v>
      </c>
      <c r="S38" s="21" t="n">
        <v>4</v>
      </c>
      <c r="T38" s="20" t="n"/>
      <c r="U38" s="20" t="n">
        <v>0.2461395487020766</v>
      </c>
      <c r="V38" s="20" t="n">
        <v>0.2568092866657528</v>
      </c>
      <c r="W38" s="20" t="n">
        <v>0.2674502806015326</v>
      </c>
      <c r="X38" s="20" t="n">
        <v>0.3110982911185091</v>
      </c>
      <c r="Y38" s="14" t="n">
        <v>6.84</v>
      </c>
      <c r="Z38" s="19">
        <f>IF(OR(Y38="",F38="",F38=0),"",Y38/F38)</f>
        <v/>
      </c>
      <c r="AA38" s="22" t="n">
        <v>40.283</v>
      </c>
      <c r="AB38" s="20" t="n">
        <v>0.062</v>
      </c>
      <c r="AC38" s="20" t="n">
        <v>0.1200904027970557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2026-10-22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TJX Companies</t>
        </is>
      </c>
      <c r="C39" s="12" t="inlineStr">
        <is>
          <t>TJX</t>
        </is>
      </c>
      <c r="D39" s="11" t="inlineStr">
        <is>
          <t>Abbigliamento / Retail</t>
        </is>
      </c>
      <c r="E39" s="13" t="inlineStr">
        <is>
          <t>Consumi</t>
        </is>
      </c>
      <c r="F39" s="14" t="n">
        <v>147.3</v>
      </c>
      <c r="G39" s="15" t="inlineStr">
        <is>
          <t>USD</t>
        </is>
      </c>
      <c r="H39" s="14" t="n">
        <v>131.2590307416135</v>
      </c>
      <c r="I39" s="16" t="n">
        <v>145002.4661192639</v>
      </c>
      <c r="J39" s="16" t="n">
        <v>162723</v>
      </c>
      <c r="K39" s="14" t="n">
        <v>5.4</v>
      </c>
      <c r="L39" s="14" t="n">
        <v>5.77334</v>
      </c>
      <c r="M39" s="17">
        <f>IF(OR(F39="",K39="",K39&lt;=0),"",F39/K39)</f>
        <v/>
      </c>
      <c r="N39" s="18" t="n">
        <v>15.229529</v>
      </c>
      <c r="O39" s="19">
        <f>IF(OR(N39="",M39="",M39&lt;=0),"",N39/M39)</f>
        <v/>
      </c>
      <c r="P39" s="20" t="n">
        <v>0.62171</v>
      </c>
      <c r="Q39" s="20" t="n">
        <v>0.5702624372175532</v>
      </c>
      <c r="R39" s="20" t="n">
        <v>0.02863520188802303</v>
      </c>
      <c r="S39" s="21" t="n">
        <v>4</v>
      </c>
      <c r="T39" s="20" t="n">
        <v>0.5391560353287537</v>
      </c>
      <c r="U39" s="20" t="n">
        <v>0.5795305611819374</v>
      </c>
      <c r="V39" s="20" t="n">
        <v>0.6127088468912627</v>
      </c>
      <c r="W39" s="20" t="n">
        <v>0.549654305468259</v>
      </c>
      <c r="X39" s="20" t="n"/>
      <c r="Y39" s="14" t="n">
        <v>1.92</v>
      </c>
      <c r="Z39" s="19">
        <f>IF(OR(Y39="",F39="",F39=0),"",Y39/F39)</f>
        <v/>
      </c>
      <c r="AA39" s="22" t="n">
        <v>134.419</v>
      </c>
      <c r="AB39" s="20" t="n">
        <v>0.054</v>
      </c>
      <c r="AC39" s="20" t="n">
        <v>0.1004936031272776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2026-10-22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NVIDIA</t>
        </is>
      </c>
      <c r="C40" s="12" t="inlineStr">
        <is>
          <t>NVDA</t>
        </is>
      </c>
      <c r="D40" s="11" t="inlineStr">
        <is>
          <t>Semiconduttori</t>
        </is>
      </c>
      <c r="E40" s="13" t="inlineStr">
        <is>
          <t>Tecnologia</t>
        </is>
      </c>
      <c r="F40" s="14" t="n">
        <v>212.92</v>
      </c>
      <c r="G40" s="15" t="inlineStr">
        <is>
          <t>USD</t>
        </is>
      </c>
      <c r="H40" s="14" t="n">
        <v>189.7330130719915</v>
      </c>
      <c r="I40" s="16" t="n">
        <v>4581482.763675379</v>
      </c>
      <c r="J40" s="16" t="n">
        <v>5141378.9</v>
      </c>
      <c r="K40" s="14" t="n">
        <v>7.91</v>
      </c>
      <c r="L40" s="14" t="n">
        <v>15.9146</v>
      </c>
      <c r="M40" s="17">
        <f>IF(OR(F40="",K40="",K40&lt;=0),"",F40/K40)</f>
        <v/>
      </c>
      <c r="N40" s="18" t="n">
        <v>22.45281</v>
      </c>
      <c r="O40" s="19">
        <f>IF(OR(N40="",M40="",M40&lt;=0),"",N40/M40)</f>
        <v/>
      </c>
      <c r="P40" s="20" t="n">
        <v>1.17211</v>
      </c>
      <c r="Q40" s="20" t="n">
        <v>0.6430369043825913</v>
      </c>
      <c r="R40" s="20" t="n">
        <v>0.2698604910859732</v>
      </c>
      <c r="S40" s="21" t="n">
        <v>4</v>
      </c>
      <c r="T40" s="20" t="n">
        <v>0.7633333969089534</v>
      </c>
      <c r="U40" s="20" t="n">
        <v>0.9187288060811577</v>
      </c>
      <c r="V40" s="20" t="n">
        <v>0.6924472986178976</v>
      </c>
      <c r="W40" s="20" t="n">
        <v>0.1976381159223564</v>
      </c>
      <c r="X40" s="20" t="n"/>
      <c r="Y40" s="14" t="n">
        <v>1</v>
      </c>
      <c r="Z40" s="19">
        <f>IF(OR(Y40="",F40="",F40=0),"",Y40/F40)</f>
        <v/>
      </c>
      <c r="AA40" s="22" t="n">
        <v>16.971</v>
      </c>
      <c r="AB40" s="20" t="n">
        <v>1.059</v>
      </c>
      <c r="AC40" s="20" t="n">
        <v>0.8932193547407126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2026-10-22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CSX Corporation</t>
        </is>
      </c>
      <c r="C41" s="12" t="inlineStr">
        <is>
          <t>CSX</t>
        </is>
      </c>
      <c r="D41" s="11" t="inlineStr">
        <is>
          <t>Ferrovie</t>
        </is>
      </c>
      <c r="E41" s="13" t="inlineStr">
        <is>
          <t>Industriale</t>
        </is>
      </c>
      <c r="F41" s="14" t="n">
        <v>51.8551</v>
      </c>
      <c r="G41" s="15" t="inlineStr">
        <is>
          <t>USD</t>
        </is>
      </c>
      <c r="H41" s="14" t="n">
        <v>46.20807987107565</v>
      </c>
      <c r="I41" s="16" t="n">
        <v>85599.33381363624</v>
      </c>
      <c r="J41" s="16" t="n">
        <v>96060.3</v>
      </c>
      <c r="K41" s="14" t="n">
        <v>1.92</v>
      </c>
      <c r="L41" s="14" t="n">
        <v>2.30857</v>
      </c>
      <c r="M41" s="17">
        <f>IF(OR(F41="",K41="",K41&lt;=0),"",F41/K41)</f>
        <v/>
      </c>
      <c r="N41" s="18" t="n">
        <v>7.330379</v>
      </c>
      <c r="O41" s="19">
        <f>IF(OR(N41="",M41="",M41&lt;=0),"",N41/M41)</f>
        <v/>
      </c>
      <c r="P41" s="20" t="n">
        <v>0.24357</v>
      </c>
      <c r="Q41" s="20" t="n">
        <v>0.2823661415471586</v>
      </c>
      <c r="R41" s="20" t="n">
        <v>0.04013263354129347</v>
      </c>
      <c r="S41" s="21" t="n">
        <v>4</v>
      </c>
      <c r="T41" s="20" t="n"/>
      <c r="U41" s="20" t="n">
        <v>0.219612314709236</v>
      </c>
      <c r="V41" s="20" t="n">
        <v>0.2775555911054231</v>
      </c>
      <c r="W41" s="20" t="n">
        <v>0.3061769616026711</v>
      </c>
      <c r="X41" s="20" t="n">
        <v>0.326119698771304</v>
      </c>
      <c r="Y41" s="14" t="n">
        <v>0.5600000000000001</v>
      </c>
      <c r="Z41" s="19">
        <f>IF(OR(Y41="",F41="",F41=0),"",Y41/F41)</f>
        <v/>
      </c>
      <c r="AA41" s="22" t="n">
        <v>138.068</v>
      </c>
      <c r="AB41" s="20" t="n">
        <v>0.101</v>
      </c>
      <c r="AC41" s="20" t="n">
        <v>0.2287113301163781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2026-10-22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Booking Holdings</t>
        </is>
      </c>
      <c r="C42" s="12" t="inlineStr">
        <is>
          <t>BKNG</t>
        </is>
      </c>
      <c r="D42" s="11" t="inlineStr">
        <is>
          <t>Viaggi</t>
        </is>
      </c>
      <c r="E42" s="13" t="inlineStr">
        <is>
          <t>Consumi</t>
        </is>
      </c>
      <c r="F42" s="14" t="n">
        <v>162.56</v>
      </c>
      <c r="G42" s="15" t="inlineStr">
        <is>
          <t>USD</t>
        </is>
      </c>
      <c r="H42" s="14" t="n">
        <v>144.8572168184433</v>
      </c>
      <c r="I42" s="16" t="n">
        <v>112246.6992541939</v>
      </c>
      <c r="J42" s="16" t="n">
        <v>125964.2</v>
      </c>
      <c r="K42" s="14" t="n">
        <v>9.02</v>
      </c>
      <c r="L42" s="14" t="n">
        <v>12.36543</v>
      </c>
      <c r="M42" s="17">
        <f>IF(OR(F42="",K42="",K42&lt;=0),"",F42/K42)</f>
        <v/>
      </c>
      <c r="N42" s="18" t="n">
        <v>-11.426965</v>
      </c>
      <c r="O42" s="19">
        <f>IF(OR(N42="",M42="",M42&lt;=0),"",N42/M42)</f>
        <v/>
      </c>
      <c r="P42" s="20" t="n">
        <v>1.09920920201294</v>
      </c>
      <c r="Q42" s="20" t="n">
        <v>1.09920920201294</v>
      </c>
      <c r="R42" s="20" t="n"/>
      <c r="S42" s="21" t="n">
        <v>1</v>
      </c>
      <c r="T42" s="20" t="n"/>
      <c r="U42" s="20" t="n"/>
      <c r="V42" s="20" t="n"/>
      <c r="W42" s="20" t="n"/>
      <c r="X42" s="20" t="n">
        <v>1.09920920201294</v>
      </c>
      <c r="Y42" s="14" t="n">
        <v>1.68</v>
      </c>
      <c r="Z42" s="19">
        <f>IF(OR(Y42="",F42="",F42=0),"",Y42/F42)</f>
        <v/>
      </c>
      <c r="AA42" s="22" t="n"/>
      <c r="AB42" s="20" t="n">
        <v>0.081</v>
      </c>
      <c r="AC42" s="20" t="n">
        <v>0.2678233063119961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2026-10-22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Goldman Sachs</t>
        </is>
      </c>
      <c r="C43" s="12" t="inlineStr">
        <is>
          <t>GS</t>
        </is>
      </c>
      <c r="D43" s="11" t="inlineStr">
        <is>
          <t>Banca d'investimento</t>
        </is>
      </c>
      <c r="E43" s="13" t="inlineStr">
        <is>
          <t>Finanziario</t>
        </is>
      </c>
      <c r="F43" s="14" t="n">
        <v>888.24</v>
      </c>
      <c r="G43" s="15" t="inlineStr">
        <is>
          <t>USD</t>
        </is>
      </c>
      <c r="H43" s="14" t="n">
        <v>791.5106684720354</v>
      </c>
      <c r="I43" s="16" t="n">
        <v>230465.2834121289</v>
      </c>
      <c r="J43" s="16" t="n">
        <v>258630.1</v>
      </c>
      <c r="K43" s="14" t="n">
        <v>69.55</v>
      </c>
      <c r="L43" s="14" t="n">
        <v>73.84513</v>
      </c>
      <c r="M43" s="17">
        <f>IF(OR(F43="",K43="",K43&lt;=0),"",F43/K43)</f>
        <v/>
      </c>
      <c r="N43" s="18" t="n">
        <v>2.386164</v>
      </c>
      <c r="O43" s="19">
        <f>IF(OR(N43="",M43="",M43&lt;=0),"",N43/M43)</f>
        <v/>
      </c>
      <c r="P43" s="20" t="n">
        <v>0.17753</v>
      </c>
      <c r="Q43" s="20" t="n">
        <v>0.1058492814900844</v>
      </c>
      <c r="R43" s="20" t="n">
        <v>0.02401629869746958</v>
      </c>
      <c r="S43" s="21" t="n">
        <v>4</v>
      </c>
      <c r="T43" s="20" t="n"/>
      <c r="U43" s="20" t="n">
        <v>0.1374387862881285</v>
      </c>
      <c r="V43" s="20" t="n">
        <v>0.117020230171481</v>
      </c>
      <c r="W43" s="20" t="n">
        <v>0.07284547281981096</v>
      </c>
      <c r="X43" s="20" t="n">
        <v>0.09609263668091715</v>
      </c>
      <c r="Y43" s="14" t="n">
        <v>20</v>
      </c>
      <c r="Z43" s="19">
        <f>IF(OR(Y43="",F43="",F43=0),"",Y43/F43)</f>
        <v/>
      </c>
      <c r="AA43" s="22" t="n">
        <v>671.2</v>
      </c>
      <c r="AB43" s="20" t="n">
        <v>0.233</v>
      </c>
      <c r="AC43" s="20" t="n">
        <v>0.3646346232005902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2026-10-22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Cadence Design</t>
        </is>
      </c>
      <c r="C44" s="12" t="inlineStr">
        <is>
          <t>CDNS</t>
        </is>
      </c>
      <c r="D44" s="11" t="inlineStr">
        <is>
          <t>Software EDA</t>
        </is>
      </c>
      <c r="E44" s="13" t="inlineStr">
        <is>
          <t>Tecnologia</t>
        </is>
      </c>
      <c r="F44" s="14" t="n">
        <v>312.67</v>
      </c>
      <c r="G44" s="15" t="inlineStr">
        <is>
          <t>USD</t>
        </is>
      </c>
      <c r="H44" s="14" t="n">
        <v>278.6202385742044</v>
      </c>
      <c r="I44" s="16" t="n">
        <v>76847.92977419081</v>
      </c>
      <c r="J44" s="16" t="n">
        <v>86239.39999999999</v>
      </c>
      <c r="K44" s="14" t="n">
        <v>5.03</v>
      </c>
      <c r="L44" s="14" t="n">
        <v>9.568099999999999</v>
      </c>
      <c r="M44" s="17">
        <f>IF(OR(F44="",K44="",K44&lt;=0),"",F44/K44)</f>
        <v/>
      </c>
      <c r="N44" s="18" t="n">
        <v>12.55602</v>
      </c>
      <c r="O44" s="19">
        <f>IF(OR(N44="",M44="",M44&lt;=0),"",N44/M44)</f>
        <v/>
      </c>
      <c r="P44" s="20" t="n">
        <v>0.23229</v>
      </c>
      <c r="Q44" s="20" t="n">
        <v>0.2608754092791846</v>
      </c>
      <c r="R44" s="20" t="n">
        <v>0.04740689685132777</v>
      </c>
      <c r="S44" s="21" t="n">
        <v>4</v>
      </c>
      <c r="T44" s="20" t="n"/>
      <c r="U44" s="20" t="n">
        <v>0.2025669227963051</v>
      </c>
      <c r="V44" s="20" t="n">
        <v>0.2258406728206954</v>
      </c>
      <c r="W44" s="20" t="n">
        <v>0.3058346412491837</v>
      </c>
      <c r="X44" s="20" t="n">
        <v>0.3092594002505544</v>
      </c>
      <c r="Y44" s="14" t="n"/>
      <c r="Z44" s="19">
        <f>IF(OR(Y44="",F44="",F44=0),"",Y44/F44)</f>
        <v/>
      </c>
      <c r="AA44" s="22" t="n">
        <v>38.661</v>
      </c>
      <c r="AB44" s="20" t="n">
        <v>0.242</v>
      </c>
      <c r="AC44" s="20" t="n">
        <v>0.2601579539488204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2026-10-22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Meta Platforms</t>
        </is>
      </c>
      <c r="C45" s="12" t="inlineStr">
        <is>
          <t>META</t>
        </is>
      </c>
      <c r="D45" s="11" t="inlineStr">
        <is>
          <t>Internet / Pubblicita'</t>
        </is>
      </c>
      <c r="E45" s="13" t="inlineStr">
        <is>
          <t>Tecnologia</t>
        </is>
      </c>
      <c r="F45" s="14" t="n">
        <v>647.21</v>
      </c>
      <c r="G45" s="15" t="inlineStr">
        <is>
          <t>USD</t>
        </is>
      </c>
      <c r="H45" s="14" t="n">
        <v>576.728834258518</v>
      </c>
      <c r="I45" s="16" t="n">
        <v>1469220.291951095</v>
      </c>
      <c r="J45" s="16" t="n">
        <v>1648771.5</v>
      </c>
      <c r="K45" s="14" t="n">
        <v>29.31</v>
      </c>
      <c r="L45" s="14" t="n">
        <v>34.94467</v>
      </c>
      <c r="M45" s="17">
        <f>IF(OR(F45="",K45="",K45&lt;=0),"",F45/K45)</f>
        <v/>
      </c>
      <c r="N45" s="18" t="n">
        <v>7.537355</v>
      </c>
      <c r="O45" s="19">
        <f>IF(OR(N45="",M45="",M45&lt;=0),"",N45/M45)</f>
        <v/>
      </c>
      <c r="P45" s="20" t="n">
        <v>0.29848</v>
      </c>
      <c r="Q45" s="20" t="n">
        <v>0.2648871265585463</v>
      </c>
      <c r="R45" s="20" t="n">
        <v>0.05609730945851681</v>
      </c>
      <c r="S45" s="21" t="n">
        <v>4</v>
      </c>
      <c r="T45" s="20" t="n"/>
      <c r="U45" s="20" t="n">
        <v>0.2782966539773433</v>
      </c>
      <c r="V45" s="20" t="n">
        <v>0.3414423145364849</v>
      </c>
      <c r="W45" s="20" t="n">
        <v>0.2552621957589052</v>
      </c>
      <c r="X45" s="20" t="n">
        <v>0.1845473419614519</v>
      </c>
      <c r="Y45" s="14" t="n">
        <v>2.1</v>
      </c>
      <c r="Z45" s="19">
        <f>IF(OR(Y45="",F45="",F45=0),"",Y45/F45)</f>
        <v/>
      </c>
      <c r="AA45" s="22" t="n">
        <v>42.997</v>
      </c>
      <c r="AB45" s="20" t="n">
        <v>0.28</v>
      </c>
      <c r="AC45" s="20" t="n">
        <v>0.3388533326433327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2026-10-22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Waste Management</t>
        </is>
      </c>
      <c r="C46" s="12" t="inlineStr">
        <is>
          <t>WM</t>
        </is>
      </c>
      <c r="D46" s="11" t="inlineStr">
        <is>
          <t>Servizi ambientali</t>
        </is>
      </c>
      <c r="E46" s="13" t="inlineStr">
        <is>
          <t>Industriale</t>
        </is>
      </c>
      <c r="F46" s="14" t="n">
        <v>239.06</v>
      </c>
      <c r="G46" s="15" t="inlineStr">
        <is>
          <t>USD</t>
        </is>
      </c>
      <c r="H46" s="14" t="n">
        <v>213.026367203599</v>
      </c>
      <c r="I46" s="16" t="n">
        <v>85149.86297109672</v>
      </c>
      <c r="J46" s="16" t="n">
        <v>95555.89999999999</v>
      </c>
      <c r="K46" s="14" t="n">
        <v>7.06</v>
      </c>
      <c r="L46" s="14" t="n">
        <v>9.08544</v>
      </c>
      <c r="M46" s="17">
        <f>IF(OR(F46="",K46="",K46&lt;=0),"",F46/K46)</f>
        <v/>
      </c>
      <c r="N46" s="18" t="n">
        <v>9.633689</v>
      </c>
      <c r="O46" s="19">
        <f>IF(OR(N46="",M46="",M46&lt;=0),"",N46/M46)</f>
        <v/>
      </c>
      <c r="P46" s="20" t="n">
        <v>0.29841</v>
      </c>
      <c r="Q46" s="20" t="n">
        <v>0.3160924607555183</v>
      </c>
      <c r="R46" s="20" t="n">
        <v>0.02613080609356336</v>
      </c>
      <c r="S46" s="21" t="n">
        <v>4</v>
      </c>
      <c r="T46" s="20" t="n"/>
      <c r="U46" s="20" t="n">
        <v>0.2710710710710711</v>
      </c>
      <c r="V46" s="20" t="n">
        <v>0.3327678138633058</v>
      </c>
      <c r="W46" s="20" t="n">
        <v>0.333767926988266</v>
      </c>
      <c r="X46" s="20" t="n">
        <v>0.3267630310994306</v>
      </c>
      <c r="Y46" s="14" t="n">
        <v>3.78</v>
      </c>
      <c r="Z46" s="19">
        <f>IF(OR(Y46="",F46="",F46=0),"",Y46/F46)</f>
        <v/>
      </c>
      <c r="AA46" s="22" t="n">
        <v>235.301</v>
      </c>
      <c r="AB46" s="20" t="n">
        <v>0.04</v>
      </c>
      <c r="AC46" s="20" t="n">
        <v>0.1131963155054753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2026-10-22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Cisco Systems</t>
        </is>
      </c>
      <c r="C47" s="12" t="inlineStr">
        <is>
          <t>CSCO</t>
        </is>
      </c>
      <c r="D47" s="11" t="inlineStr">
        <is>
          <t>Reti</t>
        </is>
      </c>
      <c r="E47" s="13" t="inlineStr">
        <is>
          <t>Tecnologia</t>
        </is>
      </c>
      <c r="F47" s="14" t="n">
        <v>104.56</v>
      </c>
      <c r="G47" s="15" t="inlineStr">
        <is>
          <t>USD</t>
        </is>
      </c>
      <c r="H47" s="14" t="n">
        <v>93.17341652642982</v>
      </c>
      <c r="I47" s="16" t="n">
        <v>367344.3036654954</v>
      </c>
      <c r="J47" s="16" t="n">
        <v>412236.9</v>
      </c>
      <c r="K47" s="14" t="n">
        <v>3.33</v>
      </c>
      <c r="L47" s="14" t="n">
        <v>5.62203</v>
      </c>
      <c r="M47" s="17">
        <f>IF(OR(F47="",K47="",K47&lt;=0),"",F47/K47)</f>
        <v/>
      </c>
      <c r="N47" s="18" t="n">
        <v>8.205289</v>
      </c>
      <c r="O47" s="19">
        <f>IF(OR(N47="",M47="",M47&lt;=0),"",N47/M47)</f>
        <v/>
      </c>
      <c r="P47" s="20" t="n">
        <v>0.27319</v>
      </c>
      <c r="Q47" s="20" t="n">
        <v>0.2481407932680991</v>
      </c>
      <c r="R47" s="20" t="n">
        <v>0.0271800865071588</v>
      </c>
      <c r="S47" s="21" t="n">
        <v>4</v>
      </c>
      <c r="T47" s="20" t="n">
        <v>0.2638361340359948</v>
      </c>
      <c r="U47" s="20" t="n">
        <v>0.2173216916081378</v>
      </c>
      <c r="V47" s="20" t="n">
        <v>0.2270277405020129</v>
      </c>
      <c r="W47" s="20" t="n">
        <v>0.2843776069262507</v>
      </c>
      <c r="X47" s="20" t="n">
        <v>0.2969853921001684</v>
      </c>
      <c r="Y47" s="14" t="n">
        <v>1.68</v>
      </c>
      <c r="Z47" s="19">
        <f>IF(OR(Y47="",F47="",F47=0),"",Y47/F47)</f>
        <v/>
      </c>
      <c r="AA47" s="22" t="n">
        <v>62.017</v>
      </c>
      <c r="AB47" s="20" t="n">
        <v>0.176</v>
      </c>
      <c r="AC47" s="20" t="n">
        <v>0.2095065190682985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2026-10-22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Procter &amp; Gamble</t>
        </is>
      </c>
      <c r="C48" s="12" t="inlineStr">
        <is>
          <t>PG</t>
        </is>
      </c>
      <c r="D48" s="11" t="inlineStr">
        <is>
          <t>Beni per la casa</t>
        </is>
      </c>
      <c r="E48" s="13" t="inlineStr">
        <is>
          <t>Consumi</t>
        </is>
      </c>
      <c r="F48" s="14" t="n">
        <v>166.0549</v>
      </c>
      <c r="G48" s="15" t="inlineStr">
        <is>
          <t>USD</t>
        </is>
      </c>
      <c r="H48" s="14" t="n">
        <v>147.9715222260391</v>
      </c>
      <c r="I48" s="16" t="n">
        <v>343949.898793317</v>
      </c>
      <c r="J48" s="16" t="n">
        <v>385983.5</v>
      </c>
      <c r="K48" s="14" t="n">
        <v>6.62</v>
      </c>
      <c r="L48" s="14" t="n">
        <v>7.39108</v>
      </c>
      <c r="M48" s="17">
        <f>IF(OR(F48="",K48="",K48&lt;=0),"",F48/K48)</f>
        <v/>
      </c>
      <c r="N48" s="18" t="n">
        <v>7.2364535</v>
      </c>
      <c r="O48" s="19">
        <f>IF(OR(N48="",M48="",M48&lt;=0),"",N48/M48)</f>
        <v/>
      </c>
      <c r="P48" s="20" t="n">
        <v>0.30290002</v>
      </c>
      <c r="Q48" s="20" t="n">
        <v>0.3032410724344928</v>
      </c>
      <c r="R48" s="20" t="n">
        <v>0.007281835576251603</v>
      </c>
      <c r="S48" s="21" t="n">
        <v>4</v>
      </c>
      <c r="T48" s="20" t="n">
        <v>0.2967030935078863</v>
      </c>
      <c r="U48" s="20" t="n">
        <v>0.3071214335153426</v>
      </c>
      <c r="V48" s="20" t="n">
        <v>0.2958875233663445</v>
      </c>
      <c r="W48" s="20" t="n">
        <v>0.3132522393483977</v>
      </c>
      <c r="X48" s="20" t="n">
        <v>0.3164266243104595</v>
      </c>
      <c r="Y48" s="14" t="n">
        <v>4.35</v>
      </c>
      <c r="Z48" s="19">
        <f>IF(OR(Y48="",F48="",F48=0),"",Y48/F48)</f>
        <v/>
      </c>
      <c r="AA48" s="22" t="n">
        <v>64.48999999999999</v>
      </c>
      <c r="AB48" s="20" t="n">
        <v>0.015</v>
      </c>
      <c r="AC48" s="20" t="n">
        <v>0.1810138843643717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2026-10-22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Blackstone</t>
        </is>
      </c>
      <c r="C49" s="12" t="inlineStr">
        <is>
          <t>BX</t>
        </is>
      </c>
      <c r="D49" s="11" t="inlineStr">
        <is>
          <t>Private equity</t>
        </is>
      </c>
      <c r="E49" s="13" t="inlineStr">
        <is>
          <t>Finanziario</t>
        </is>
      </c>
      <c r="F49" s="14" t="n">
        <v>116.67</v>
      </c>
      <c r="G49" s="15" t="inlineStr">
        <is>
          <t>USD</t>
        </is>
      </c>
      <c r="H49" s="14" t="n">
        <v>103.9646375874002</v>
      </c>
      <c r="I49" s="16" t="n">
        <v>124268.7076421182</v>
      </c>
      <c r="J49" s="16" t="n">
        <v>139455.4</v>
      </c>
      <c r="K49" s="14" t="n">
        <v>4.47</v>
      </c>
      <c r="L49" s="14" t="n">
        <v>7.38745</v>
      </c>
      <c r="M49" s="17">
        <f>IF(OR(F49="",K49="",K49&lt;=0),"",F49/K49)</f>
        <v/>
      </c>
      <c r="N49" s="18" t="n">
        <v>10.353181</v>
      </c>
      <c r="O49" s="19">
        <f>IF(OR(N49="",M49="",M49&lt;=0),"",N49/M49)</f>
        <v/>
      </c>
      <c r="P49" s="20" t="n">
        <v>0.31374002</v>
      </c>
      <c r="Q49" s="20" t="n">
        <v>0.31374002</v>
      </c>
      <c r="R49" s="20" t="n"/>
      <c r="S49" s="21" t="n">
        <v>0</v>
      </c>
      <c r="T49" s="20" t="n"/>
      <c r="U49" s="20" t="n">
        <v>0.3484167031522379</v>
      </c>
      <c r="V49" s="20" t="n">
        <v>0.3380905349413399</v>
      </c>
      <c r="W49" s="20" t="n">
        <v>0.2040371447122241</v>
      </c>
      <c r="X49" s="20" t="n">
        <v>0.2282721154935056</v>
      </c>
      <c r="Y49" s="14" t="n">
        <v>5.23</v>
      </c>
      <c r="Z49" s="19">
        <f>IF(OR(Y49="",F49="",F49=0),"",Y49/F49)</f>
        <v/>
      </c>
      <c r="AA49" s="22" t="n">
        <v>68.185</v>
      </c>
      <c r="AB49" s="20" t="n">
        <v>0.286</v>
      </c>
      <c r="AC49" s="20" t="n">
        <v>0.2835642627903986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2026-10-22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Bank of America</t>
        </is>
      </c>
      <c r="C50" s="12" t="inlineStr">
        <is>
          <t>BAC</t>
        </is>
      </c>
      <c r="D50" s="11" t="inlineStr">
        <is>
          <t>Banca</t>
        </is>
      </c>
      <c r="E50" s="13" t="inlineStr">
        <is>
          <t>Finanziario</t>
        </is>
      </c>
      <c r="F50" s="14" t="n">
        <v>51.045</v>
      </c>
      <c r="G50" s="15" t="inlineStr">
        <is>
          <t>USD</t>
        </is>
      </c>
      <c r="H50" s="14" t="n">
        <v>45.48619975699703</v>
      </c>
      <c r="I50" s="16" t="n">
        <v>318073.5130771153</v>
      </c>
      <c r="J50" s="16" t="n">
        <v>356944.8</v>
      </c>
      <c r="K50" s="14" t="n">
        <v>4.19</v>
      </c>
      <c r="L50" s="14" t="n">
        <v>5.18876</v>
      </c>
      <c r="M50" s="17">
        <f>IF(OR(F50="",K50="",K50&lt;=0),"",F50/K50)</f>
        <v/>
      </c>
      <c r="N50" s="18" t="n">
        <v>1.3003439</v>
      </c>
      <c r="O50" s="19">
        <f>IF(OR(N50="",M50="",M50&lt;=0),"",N50/M50)</f>
        <v/>
      </c>
      <c r="P50" s="20" t="n">
        <v>0.1073</v>
      </c>
      <c r="Q50" s="20" t="n">
        <v>0.09583073596940467</v>
      </c>
      <c r="R50" s="20" t="n">
        <v>0.004886619979617854</v>
      </c>
      <c r="S50" s="21" t="n">
        <v>4</v>
      </c>
      <c r="T50" s="20" t="n"/>
      <c r="U50" s="20" t="n">
        <v>0.1006090824850038</v>
      </c>
      <c r="V50" s="20" t="n">
        <v>0.09175644553906444</v>
      </c>
      <c r="W50" s="20" t="n">
        <v>0.0901949623859062</v>
      </c>
      <c r="X50" s="20" t="n">
        <v>0.1007624534676442</v>
      </c>
      <c r="Y50" s="14" t="n">
        <v>1.28</v>
      </c>
      <c r="Z50" s="19">
        <f>IF(OR(Y50="",F50="",F50=0),"",Y50/F50)</f>
        <v/>
      </c>
      <c r="AA50" s="22" t="n"/>
      <c r="AB50" s="20" t="n">
        <v>0.07099999999999999</v>
      </c>
      <c r="AC50" s="20" t="n">
        <v>0.2720054449543312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2026-10-22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Nike</t>
        </is>
      </c>
      <c r="C51" s="12" t="inlineStr">
        <is>
          <t>NKE</t>
        </is>
      </c>
      <c r="D51" s="11" t="inlineStr">
        <is>
          <t>Abbigliamento sportivo</t>
        </is>
      </c>
      <c r="E51" s="13" t="inlineStr">
        <is>
          <t>Consumi</t>
        </is>
      </c>
      <c r="F51" s="14" t="n">
        <v>38.355</v>
      </c>
      <c r="G51" s="15" t="inlineStr">
        <is>
          <t>USD</t>
        </is>
      </c>
      <c r="H51" s="14" t="n">
        <v>34.17814069310649</v>
      </c>
      <c r="I51" s="16" t="n">
        <v>50765.07618682268</v>
      </c>
      <c r="J51" s="16" t="n">
        <v>56969</v>
      </c>
      <c r="K51" s="14" t="n">
        <v>2.08</v>
      </c>
      <c r="L51" s="14" t="n">
        <v>1.59418</v>
      </c>
      <c r="M51" s="17">
        <f>IF(OR(F51="",K51="",K51&lt;=0),"",F51/K51)</f>
        <v/>
      </c>
      <c r="N51" s="18" t="n">
        <v>3.7372115</v>
      </c>
      <c r="O51" s="19">
        <f>IF(OR(N51="",M51="",M51&lt;=0),"",N51/M51)</f>
        <v/>
      </c>
      <c r="P51" s="20" t="n">
        <v>0.21563</v>
      </c>
      <c r="Q51" s="20" t="n">
        <v>0.3024388129670675</v>
      </c>
      <c r="R51" s="20" t="n">
        <v>0.07793665822629463</v>
      </c>
      <c r="S51" s="21" t="n">
        <v>4</v>
      </c>
      <c r="T51" s="20" t="n">
        <v>0.2090817356205853</v>
      </c>
      <c r="U51" s="20" t="n">
        <v>0.2436237039279497</v>
      </c>
      <c r="V51" s="20" t="n">
        <v>0.395010395010395</v>
      </c>
      <c r="W51" s="20" t="n">
        <v>0.3620394173093402</v>
      </c>
      <c r="X51" s="20" t="n"/>
      <c r="Y51" s="14" t="n">
        <v>1.64</v>
      </c>
      <c r="Z51" s="19">
        <f>IF(OR(Y51="",F51="",F51=0),"",Y51/F51)</f>
        <v/>
      </c>
      <c r="AA51" s="22" t="n">
        <v>73.095</v>
      </c>
      <c r="AB51" s="20" t="n">
        <v>-0.043</v>
      </c>
      <c r="AC51" s="20" t="n">
        <v>0.06666235475667055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2026-10-22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Northrop Grumman</t>
        </is>
      </c>
      <c r="C52" s="12" t="inlineStr">
        <is>
          <t>NOC</t>
        </is>
      </c>
      <c r="D52" s="11" t="inlineStr">
        <is>
          <t>Difesa</t>
        </is>
      </c>
      <c r="E52" s="13" t="inlineStr">
        <is>
          <t>Industriale</t>
        </is>
      </c>
      <c r="F52" s="14" t="n">
        <v>552.66</v>
      </c>
      <c r="G52" s="15" t="inlineStr">
        <is>
          <t>USD</t>
        </is>
      </c>
      <c r="H52" s="14" t="n">
        <v>492.4753287824856</v>
      </c>
      <c r="I52" s="16" t="n">
        <v>69962.48914528807</v>
      </c>
      <c r="J52" s="16" t="n">
        <v>78512.5</v>
      </c>
      <c r="K52" s="14" t="n">
        <v>31.68</v>
      </c>
      <c r="L52" s="14" t="n">
        <v>30.10452</v>
      </c>
      <c r="M52" s="17">
        <f>IF(OR(F52="",K52="",K52&lt;=0),"",F52/K52)</f>
        <v/>
      </c>
      <c r="N52" s="18" t="n">
        <v>4.202386</v>
      </c>
      <c r="O52" s="19">
        <f>IF(OR(N52="",M52="",M52&lt;=0),"",N52/M52)</f>
        <v/>
      </c>
      <c r="P52" s="20" t="n">
        <v>0.26073998</v>
      </c>
      <c r="Q52" s="20" t="n">
        <v>0.2456284021316426</v>
      </c>
      <c r="R52" s="20" t="n">
        <v>0.06641956155607608</v>
      </c>
      <c r="S52" s="21" t="n">
        <v>4</v>
      </c>
      <c r="T52" s="20" t="n"/>
      <c r="U52" s="20" t="n">
        <v>0.250809643756747</v>
      </c>
      <c r="V52" s="20" t="n">
        <v>0.2729888816219752</v>
      </c>
      <c r="W52" s="20" t="n">
        <v>0.1389658668469077</v>
      </c>
      <c r="X52" s="20" t="n">
        <v>0.3197492163009404</v>
      </c>
      <c r="Y52" s="14" t="n">
        <v>9.880000000000001</v>
      </c>
      <c r="Z52" s="19">
        <f>IF(OR(Y52="",F52="",F52=0),"",Y52/F52)</f>
        <v/>
      </c>
      <c r="AA52" s="22" t="n">
        <v>89.038</v>
      </c>
      <c r="AB52" s="20" t="n">
        <v>0.067</v>
      </c>
      <c r="AC52" s="20" t="n">
        <v>0.1077370453353673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2026-10-22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Broadcom</t>
        </is>
      </c>
      <c r="C53" s="12" t="inlineStr">
        <is>
          <t>AVGO</t>
        </is>
      </c>
      <c r="D53" s="11" t="inlineStr">
        <is>
          <t>Semiconduttori</t>
        </is>
      </c>
      <c r="E53" s="13" t="inlineStr">
        <is>
          <t>Tecnologia</t>
        </is>
      </c>
      <c r="F53" s="14" t="n">
        <v>324.58</v>
      </c>
      <c r="G53" s="15" t="inlineStr">
        <is>
          <t>USD</t>
        </is>
      </c>
      <c r="H53" s="14" t="n">
        <v>289.2332396341678</v>
      </c>
      <c r="I53" s="16" t="n">
        <v>1380692.447080913</v>
      </c>
      <c r="J53" s="16" t="n">
        <v>1549424.8</v>
      </c>
      <c r="K53" s="14" t="n">
        <v>7.83</v>
      </c>
      <c r="L53" s="14" t="n">
        <v>19.39695</v>
      </c>
      <c r="M53" s="17">
        <f>IF(OR(F53="",K53="",K53&lt;=0),"",F53/K53)</f>
        <v/>
      </c>
      <c r="N53" s="18" t="n">
        <v>15.5435295</v>
      </c>
      <c r="O53" s="19">
        <f>IF(OR(N53="",M53="",M53&lt;=0),"",N53/M53)</f>
        <v/>
      </c>
      <c r="P53" s="20" t="n">
        <v>0.44245</v>
      </c>
      <c r="Q53" s="20" t="n">
        <v>0.3662036929009307</v>
      </c>
      <c r="R53" s="20" t="n">
        <v>0.1955383898306939</v>
      </c>
      <c r="S53" s="21" t="n">
        <v>4</v>
      </c>
      <c r="T53" s="20" t="n"/>
      <c r="U53" s="20" t="n">
        <v>0.2844806377011268</v>
      </c>
      <c r="V53" s="20" t="n">
        <v>0.08710363781435622</v>
      </c>
      <c r="W53" s="20" t="n">
        <v>0.5870435217608805</v>
      </c>
      <c r="X53" s="20" t="n">
        <v>0.5061869743273592</v>
      </c>
      <c r="Y53" s="14" t="n">
        <v>2.6</v>
      </c>
      <c r="Z53" s="19">
        <f>IF(OR(Y53="",F53="",F53=0),"",Y53/F53)</f>
        <v/>
      </c>
      <c r="AA53" s="22" t="n">
        <v>59.604</v>
      </c>
      <c r="AB53" s="20" t="n">
        <v>0.855</v>
      </c>
      <c r="AC53" s="20" t="n">
        <v>0.5989481418128884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2026-10-22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Charles Schwab</t>
        </is>
      </c>
      <c r="C54" s="12" t="inlineStr">
        <is>
          <t>SCHW</t>
        </is>
      </c>
      <c r="D54" s="11" t="inlineStr">
        <is>
          <t>Intermediazione</t>
        </is>
      </c>
      <c r="E54" s="13" t="inlineStr">
        <is>
          <t>Finanziario</t>
        </is>
      </c>
      <c r="F54" s="14" t="n">
        <v>92.13</v>
      </c>
      <c r="G54" s="15" t="inlineStr">
        <is>
          <t>USD</t>
        </is>
      </c>
      <c r="H54" s="14" t="n">
        <v>82.09704346384829</v>
      </c>
      <c r="I54" s="16" t="n">
        <v>141973.3498721494</v>
      </c>
      <c r="J54" s="16" t="n">
        <v>159323.7</v>
      </c>
      <c r="K54" s="14" t="n">
        <v>5.85</v>
      </c>
      <c r="L54" s="14" t="n">
        <v>7.8094</v>
      </c>
      <c r="M54" s="17">
        <f>IF(OR(F54="",K54="",K54&lt;=0),"",F54/K54)</f>
        <v/>
      </c>
      <c r="N54" s="18" t="n">
        <v>3.097327</v>
      </c>
      <c r="O54" s="19">
        <f>IF(OR(N54="",M54="",M54&lt;=0),"",N54/M54)</f>
        <v/>
      </c>
      <c r="P54" s="20" t="n">
        <v>0.21122</v>
      </c>
      <c r="Q54" s="20" t="n">
        <v>0.1554644312241724</v>
      </c>
      <c r="R54" s="20" t="n">
        <v>0.03275755535947185</v>
      </c>
      <c r="S54" s="21" t="n">
        <v>4</v>
      </c>
      <c r="T54" s="20" t="n"/>
      <c r="U54" s="20" t="n">
        <v>0.179099645928174</v>
      </c>
      <c r="V54" s="20" t="n">
        <v>0.1228320413436692</v>
      </c>
      <c r="W54" s="20" t="n">
        <v>0.1237120953171542</v>
      </c>
      <c r="X54" s="20" t="n">
        <v>0.1962139423076923</v>
      </c>
      <c r="Y54" s="14" t="n">
        <v>1.28</v>
      </c>
      <c r="Z54" s="19">
        <f>IF(OR(Y54="",F54="",F54=0),"",Y54/F54)</f>
        <v/>
      </c>
      <c r="AA54" s="22" t="n">
        <v>77.821</v>
      </c>
      <c r="AB54" s="20" t="n">
        <v>0.169</v>
      </c>
      <c r="AC54" s="20" t="n">
        <v>0.4287655077964968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2026-10-22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NextEra Energy</t>
        </is>
      </c>
      <c r="C55" s="12" t="inlineStr">
        <is>
          <t>NEE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80.93000000000001</v>
      </c>
      <c r="G55" s="15" t="inlineStr">
        <is>
          <t>USD</t>
        </is>
      </c>
      <c r="H55" s="14" t="n">
        <v>72.1167234074595</v>
      </c>
      <c r="I55" s="16" t="n">
        <v>150379.1853296424</v>
      </c>
      <c r="J55" s="16" t="n">
        <v>168756.8</v>
      </c>
      <c r="K55" s="14" t="n">
        <v>5.55</v>
      </c>
      <c r="L55" s="14" t="n">
        <v>4.38018</v>
      </c>
      <c r="M55" s="17">
        <f>IF(OR(F55="",K55="",K55&lt;=0),"",F55/K55)</f>
        <v/>
      </c>
      <c r="N55" s="18" t="n">
        <v>3.086474</v>
      </c>
      <c r="O55" s="19">
        <f>IF(OR(N55="",M55="",M55&lt;=0),"",N55/M55)</f>
        <v/>
      </c>
      <c r="P55" s="20" t="n">
        <v>0.11677</v>
      </c>
      <c r="Q55" s="20" t="n">
        <v>0.1308789630201321</v>
      </c>
      <c r="R55" s="20" t="n">
        <v>0.01775346387851813</v>
      </c>
      <c r="S55" s="21" t="n">
        <v>4</v>
      </c>
      <c r="T55" s="20" t="n"/>
      <c r="U55" s="20" t="n">
        <v>0.1251648110167008</v>
      </c>
      <c r="V55" s="20" t="n">
        <v>0.138639947306441</v>
      </c>
      <c r="W55" s="20" t="n">
        <v>0.1539984831886745</v>
      </c>
      <c r="X55" s="20" t="n">
        <v>0.1057126105687119</v>
      </c>
      <c r="Y55" s="14" t="n">
        <v>2.49</v>
      </c>
      <c r="Z55" s="19">
        <f>IF(OR(Y55="",F55="",F55=0),"",Y55/F55)</f>
        <v/>
      </c>
      <c r="AA55" s="22" t="n">
        <v>161.676</v>
      </c>
      <c r="AB55" s="20" t="n">
        <v>0.124</v>
      </c>
      <c r="AC55" s="20" t="n">
        <v>0.3392310053990953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2026-10-22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Valero Energy</t>
        </is>
      </c>
      <c r="C56" s="12" t="inlineStr">
        <is>
          <t>VLO</t>
        </is>
      </c>
      <c r="D56" s="11" t="inlineStr">
        <is>
          <t>Raffinazione</t>
        </is>
      </c>
      <c r="E56" s="13" t="inlineStr">
        <is>
          <t>Energia</t>
        </is>
      </c>
      <c r="F56" s="14" t="n">
        <v>421.705</v>
      </c>
      <c r="G56" s="15" t="inlineStr">
        <is>
          <t>USD</t>
        </is>
      </c>
      <c r="H56" s="14" t="n">
        <v>375.7813276231645</v>
      </c>
      <c r="I56" s="16" t="n">
        <v>108197.7190513171</v>
      </c>
      <c r="J56" s="16" t="n">
        <v>121420.4</v>
      </c>
      <c r="K56" s="14" t="n">
        <v>23.99</v>
      </c>
      <c r="L56" s="14" t="n">
        <v>49.22243</v>
      </c>
      <c r="M56" s="17">
        <f>IF(OR(F56="",K56="",K56&lt;=0),"",F56/K56)</f>
        <v/>
      </c>
      <c r="N56" s="18" t="n">
        <v>4.8566737</v>
      </c>
      <c r="O56" s="19">
        <f>IF(OR(N56="",M56="",M56&lt;=0),"",N56/M56)</f>
        <v/>
      </c>
      <c r="P56" s="20" t="n">
        <v>0.27637</v>
      </c>
      <c r="Q56" s="20" t="n">
        <v>0.2591503425025153</v>
      </c>
      <c r="R56" s="20" t="n">
        <v>0.1626219038409605</v>
      </c>
      <c r="S56" s="21" t="n">
        <v>4</v>
      </c>
      <c r="T56" s="20" t="n"/>
      <c r="U56" s="20" t="n">
        <v>0.09896733403582719</v>
      </c>
      <c r="V56" s="20" t="n">
        <v>0.1130058746736292</v>
      </c>
      <c r="W56" s="20" t="n">
        <v>0.3353450239125484</v>
      </c>
      <c r="X56" s="20" t="n">
        <v>0.4892831373880565</v>
      </c>
      <c r="Y56" s="14" t="n">
        <v>4.8</v>
      </c>
      <c r="Z56" s="19">
        <f>IF(OR(Y56="",F56="",F56=0),"",Y56/F56)</f>
        <v/>
      </c>
      <c r="AA56" s="22" t="n">
        <v>40.148</v>
      </c>
      <c r="AB56" s="20" t="n">
        <v>0.517</v>
      </c>
      <c r="AC56" s="20" t="n">
        <v>0.05862886806263092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2026-10-22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Phillips 66</t>
        </is>
      </c>
      <c r="C57" s="12" t="inlineStr">
        <is>
          <t>PSX</t>
        </is>
      </c>
      <c r="D57" s="11" t="inlineStr">
        <is>
          <t>Raffinazione</t>
        </is>
      </c>
      <c r="E57" s="13" t="inlineStr">
        <is>
          <t>Energia</t>
        </is>
      </c>
      <c r="F57" s="14" t="n">
        <v>280.93</v>
      </c>
      <c r="G57" s="15" t="inlineStr">
        <is>
          <t>USD</t>
        </is>
      </c>
      <c r="H57" s="14" t="n">
        <v>250.3367244144025</v>
      </c>
      <c r="I57" s="16" t="n">
        <v>99889.54815437595</v>
      </c>
      <c r="J57" s="16" t="n">
        <v>112096.9</v>
      </c>
      <c r="K57" s="14" t="n">
        <v>17.5</v>
      </c>
      <c r="L57" s="14" t="n">
        <v>30.35085</v>
      </c>
      <c r="M57" s="17">
        <f>IF(OR(F57="",K57="",K57&lt;=0),"",F57/K57)</f>
        <v/>
      </c>
      <c r="N57" s="18" t="n">
        <v>3.5579674</v>
      </c>
      <c r="O57" s="19">
        <f>IF(OR(N57="",M57="",M57&lt;=0),"",N57/M57)</f>
        <v/>
      </c>
      <c r="P57" s="20" t="n">
        <v>0.23452999</v>
      </c>
      <c r="Q57" s="20" t="n">
        <v>0.2079323006455208</v>
      </c>
      <c r="R57" s="20" t="n">
        <v>0.1098238706639464</v>
      </c>
      <c r="S57" s="21" t="n">
        <v>4</v>
      </c>
      <c r="T57" s="20" t="n"/>
      <c r="U57" s="20" t="n">
        <v>0.151342247275977</v>
      </c>
      <c r="V57" s="20" t="n">
        <v>0.07724022183304145</v>
      </c>
      <c r="W57" s="20" t="n">
        <v>0.2293757970114116</v>
      </c>
      <c r="X57" s="20" t="n">
        <v>0.3737709364616532</v>
      </c>
      <c r="Y57" s="14" t="n">
        <v>5.32</v>
      </c>
      <c r="Z57" s="19">
        <f>IF(OR(Y57="",F57="",F57=0),"",Y57/F57)</f>
        <v/>
      </c>
      <c r="AA57" s="22" t="n">
        <v>62.884</v>
      </c>
      <c r="AB57" s="20" t="n">
        <v>0.531</v>
      </c>
      <c r="AC57" s="20" t="n">
        <v>0.05352178787695655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2026-10-22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Amgen</t>
        </is>
      </c>
      <c r="C58" s="12" t="inlineStr">
        <is>
          <t>AMGN</t>
        </is>
      </c>
      <c r="D58" s="11" t="inlineStr">
        <is>
          <t>Biotecnologie</t>
        </is>
      </c>
      <c r="E58" s="13" t="inlineStr">
        <is>
          <t>Salute</t>
        </is>
      </c>
      <c r="F58" s="14" t="n">
        <v>447.5658</v>
      </c>
      <c r="G58" s="15" t="inlineStr">
        <is>
          <t>USD</t>
        </is>
      </c>
      <c r="H58" s="14" t="n">
        <v>398.8258866333663</v>
      </c>
      <c r="I58" s="16" t="n">
        <v>215618.042458242</v>
      </c>
      <c r="J58" s="16" t="n">
        <v>241968.4</v>
      </c>
      <c r="K58" s="14" t="n">
        <v>16.1</v>
      </c>
      <c r="L58" s="14" t="n">
        <v>24.47562</v>
      </c>
      <c r="M58" s="17">
        <f>IF(OR(F58="",K58="",K58&lt;=0),"",F58/K58)</f>
        <v/>
      </c>
      <c r="N58" s="18" t="n">
        <v>20.70147</v>
      </c>
      <c r="O58" s="19">
        <f>IF(OR(N58="",M58="",M58&lt;=0),"",N58/M58)</f>
        <v/>
      </c>
      <c r="P58" s="20" t="n">
        <v>0.91473</v>
      </c>
      <c r="Q58" s="20" t="n">
        <v>1.113513443906775</v>
      </c>
      <c r="R58" s="20" t="n">
        <v>0.4130744959321571</v>
      </c>
      <c r="S58" s="21" t="n">
        <v>4</v>
      </c>
      <c r="T58" s="20" t="n"/>
      <c r="U58" s="20" t="n">
        <v>0.8906213906213907</v>
      </c>
      <c r="V58" s="20" t="n">
        <v>0.6959332993023651</v>
      </c>
      <c r="W58" s="20" t="n">
        <v>1.077824133504493</v>
      </c>
      <c r="X58" s="20" t="n">
        <v>1.789674952198853</v>
      </c>
      <c r="Y58" s="14" t="n">
        <v>10.08</v>
      </c>
      <c r="Z58" s="19">
        <f>IF(OR(Y58="",F58="",F58=0),"",Y58/F58)</f>
        <v/>
      </c>
      <c r="AA58" s="22" t="n">
        <v>490.281</v>
      </c>
      <c r="AB58" s="20" t="n">
        <v>0.095</v>
      </c>
      <c r="AC58" s="20" t="n">
        <v>0.2378982902233953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2026-10-22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Moody's</t>
        </is>
      </c>
      <c r="C59" s="12" t="inlineStr">
        <is>
          <t>MCO</t>
        </is>
      </c>
      <c r="D59" s="11" t="inlineStr">
        <is>
          <t>Dati e rating</t>
        </is>
      </c>
      <c r="E59" s="13" t="inlineStr">
        <is>
          <t>Finanziario</t>
        </is>
      </c>
      <c r="F59" s="14" t="n">
        <v>487.84</v>
      </c>
      <c r="G59" s="15" t="inlineStr">
        <is>
          <t>USD</t>
        </is>
      </c>
      <c r="H59" s="14" t="n">
        <v>434.7142264561354</v>
      </c>
      <c r="I59" s="16" t="n">
        <v>75284.22748535589</v>
      </c>
      <c r="J59" s="16" t="n">
        <v>84484.60000000001</v>
      </c>
      <c r="K59" s="14" t="n">
        <v>15.76</v>
      </c>
      <c r="L59" s="14" t="n">
        <v>18.76318</v>
      </c>
      <c r="M59" s="17">
        <f>IF(OR(F59="",K59="",K59&lt;=0),"",F59/K59)</f>
        <v/>
      </c>
      <c r="N59" s="18" t="n">
        <v>27.92924</v>
      </c>
      <c r="O59" s="19">
        <f>IF(OR(N59="",M59="",M59&lt;=0),"",N59/M59)</f>
        <v/>
      </c>
      <c r="P59" s="20" t="n">
        <v>0.76741</v>
      </c>
      <c r="Q59" s="20" t="n">
        <v>0.5534057442590806</v>
      </c>
      <c r="R59" s="20" t="n">
        <v>0.04536086460562505</v>
      </c>
      <c r="S59" s="21" t="n">
        <v>4</v>
      </c>
      <c r="T59" s="20" t="n"/>
      <c r="U59" s="20" t="n">
        <v>0.6065614208189443</v>
      </c>
      <c r="V59" s="20" t="n">
        <v>0.5772791023842917</v>
      </c>
      <c r="W59" s="20" t="n">
        <v>0.4843279083785413</v>
      </c>
      <c r="X59" s="20" t="n">
        <v>0.5454545454545454</v>
      </c>
      <c r="Y59" s="14" t="n">
        <v>4.12</v>
      </c>
      <c r="Z59" s="19">
        <f>IF(OR(Y59="",F59="",F59=0),"",Y59/F59)</f>
        <v/>
      </c>
      <c r="AA59" s="22" t="n">
        <v>219.578</v>
      </c>
      <c r="AB59" s="20" t="n">
        <v>0.008</v>
      </c>
      <c r="AC59" s="20" t="n">
        <v>0.3735423767815496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2026-10-22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FedEx</t>
        </is>
      </c>
      <c r="C60" s="12" t="inlineStr">
        <is>
          <t>FDX</t>
        </is>
      </c>
      <c r="D60" s="11" t="inlineStr">
        <is>
          <t>Logistica</t>
        </is>
      </c>
      <c r="E60" s="13" t="inlineStr">
        <is>
          <t>Industriale</t>
        </is>
      </c>
      <c r="F60" s="14" t="n">
        <v>301.99</v>
      </c>
      <c r="G60" s="15" t="inlineStr">
        <is>
          <t>USD</t>
        </is>
      </c>
      <c r="H60" s="14" t="n">
        <v>269.1032905204336</v>
      </c>
      <c r="I60" s="16" t="n">
        <v>63688.78866984166</v>
      </c>
      <c r="J60" s="16" t="n">
        <v>71472.10000000001</v>
      </c>
      <c r="K60" s="14" t="n">
        <v>18.55</v>
      </c>
      <c r="L60" s="14" t="n">
        <v>20.85888</v>
      </c>
      <c r="M60" s="17">
        <f>IF(OR(F60="",K60="",K60&lt;=0),"",F60/K60)</f>
        <v/>
      </c>
      <c r="N60" s="18" t="n">
        <v>2.2901797</v>
      </c>
      <c r="O60" s="19">
        <f>IF(OR(N60="",M60="",M60&lt;=0),"",N60/M60)</f>
        <v/>
      </c>
      <c r="P60" s="20" t="n">
        <v>0.14846</v>
      </c>
      <c r="Q60" s="20" t="n">
        <v>0.1487776787174603</v>
      </c>
      <c r="R60" s="20" t="n">
        <v>0.006420595404348427</v>
      </c>
      <c r="S60" s="21" t="n">
        <v>4</v>
      </c>
      <c r="T60" s="20" t="n">
        <v>0.1400764685436218</v>
      </c>
      <c r="U60" s="20" t="n">
        <v>0.1457576405214789</v>
      </c>
      <c r="V60" s="20" t="n">
        <v>0.1570226959611341</v>
      </c>
      <c r="W60" s="20" t="n">
        <v>0.1522539098436063</v>
      </c>
      <c r="X60" s="20" t="n"/>
      <c r="Y60" s="14" t="n">
        <v>4.88</v>
      </c>
      <c r="Z60" s="19">
        <f>IF(OR(Y60="",F60="",F60=0),"",Y60/F60)</f>
        <v/>
      </c>
      <c r="AA60" s="22" t="n">
        <v>135.697</v>
      </c>
      <c r="AB60" s="20" t="n">
        <v>0.125</v>
      </c>
      <c r="AC60" s="20" t="n">
        <v>0.0467271945945946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2026-10-22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AbbVie</t>
        </is>
      </c>
      <c r="C61" s="12" t="inlineStr">
        <is>
          <t>ABBV</t>
        </is>
      </c>
      <c r="D61" s="11" t="inlineStr">
        <is>
          <t>Farmaceutica</t>
        </is>
      </c>
      <c r="E61" s="13" t="inlineStr">
        <is>
          <t>Salute</t>
        </is>
      </c>
      <c r="F61" s="14" t="n">
        <v>283.51</v>
      </c>
      <c r="G61" s="15" t="inlineStr">
        <is>
          <t>USD</t>
        </is>
      </c>
      <c r="H61" s="14" t="n">
        <v>252.6357624273921</v>
      </c>
      <c r="I61" s="16" t="n">
        <v>446437.0925723696</v>
      </c>
      <c r="J61" s="16" t="n">
        <v>500995.5</v>
      </c>
      <c r="K61" s="14" t="n">
        <v>3.54</v>
      </c>
      <c r="L61" s="14" t="n">
        <v>16.19291</v>
      </c>
      <c r="M61" s="17">
        <f>IF(OR(F61="",K61="",K61&lt;=0),"",F61/K61)</f>
        <v/>
      </c>
      <c r="N61" s="18" t="n">
        <v>-84.40309999999999</v>
      </c>
      <c r="O61" s="19">
        <f>IF(OR(N61="",M61="",M61&lt;=0),"",N61/M61)</f>
        <v/>
      </c>
      <c r="P61" s="20" t="n">
        <v>1.286616541353383</v>
      </c>
      <c r="Q61" s="20" t="n">
        <v>0.8140013147022048</v>
      </c>
      <c r="R61" s="20" t="n">
        <v>0.3456887382306248</v>
      </c>
      <c r="S61" s="21" t="n">
        <v>3</v>
      </c>
      <c r="T61" s="20" t="n"/>
      <c r="U61" s="20" t="n"/>
      <c r="V61" s="20" t="n">
        <v>1.286616541353383</v>
      </c>
      <c r="W61" s="20" t="n">
        <v>0.4694015444015444</v>
      </c>
      <c r="X61" s="20" t="n">
        <v>0.6859858583516866</v>
      </c>
      <c r="Y61" s="14" t="n">
        <v>6.92</v>
      </c>
      <c r="Z61" s="19">
        <f>IF(OR(Y61="",F61="",F61=0),"",Y61/F61)</f>
        <v/>
      </c>
      <c r="AA61" s="22" t="n"/>
      <c r="AB61" s="20" t="n">
        <v>0.102</v>
      </c>
      <c r="AC61" s="20" t="n">
        <v>0.1025179877043819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2026-10-22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Cigna Group</t>
        </is>
      </c>
      <c r="C62" s="12" t="inlineStr">
        <is>
          <t>CI</t>
        </is>
      </c>
      <c r="D62" s="11" t="inlineStr">
        <is>
          <t>Assicurazione sanitaria</t>
        </is>
      </c>
      <c r="E62" s="13" t="inlineStr">
        <is>
          <t>Salute</t>
        </is>
      </c>
      <c r="F62" s="14" t="n">
        <v>311.26</v>
      </c>
      <c r="G62" s="15" t="inlineStr">
        <is>
          <t>USD</t>
        </is>
      </c>
      <c r="H62" s="14" t="n">
        <v>277.3637875671054</v>
      </c>
      <c r="I62" s="16" t="n">
        <v>73290.74766409273</v>
      </c>
      <c r="J62" s="16" t="n">
        <v>82247.5</v>
      </c>
      <c r="K62" s="14" t="n">
        <v>24.19</v>
      </c>
      <c r="L62" s="14" t="n">
        <v>33.48462</v>
      </c>
      <c r="M62" s="17">
        <f>IF(OR(F62="",K62="",K62&lt;=0),"",F62/K62)</f>
        <v/>
      </c>
      <c r="N62" s="18" t="n">
        <v>1.9258398</v>
      </c>
      <c r="O62" s="19">
        <f>IF(OR(N62="",M62="",M62&lt;=0),"",N62/M62)</f>
        <v/>
      </c>
      <c r="P62" s="20" t="n">
        <v>0.16758</v>
      </c>
      <c r="Q62" s="20" t="n">
        <v>0.1220696910352129</v>
      </c>
      <c r="R62" s="20" t="n">
        <v>0.02642867866442709</v>
      </c>
      <c r="S62" s="21" t="n">
        <v>4</v>
      </c>
      <c r="T62" s="20" t="n"/>
      <c r="U62" s="20" t="n">
        <v>0.1428091961738547</v>
      </c>
      <c r="V62" s="20" t="n">
        <v>0.0836887383325616</v>
      </c>
      <c r="W62" s="20" t="n">
        <v>0.1117192739545248</v>
      </c>
      <c r="X62" s="20" t="n">
        <v>0.1500615556799105</v>
      </c>
      <c r="Y62" s="14" t="n">
        <v>6.24</v>
      </c>
      <c r="Z62" s="19">
        <f>IF(OR(Y62="",F62="",F62=0),"",Y62/F62)</f>
        <v/>
      </c>
      <c r="AA62" s="22" t="n">
        <v>74.29000000000001</v>
      </c>
      <c r="AB62" s="20" t="n">
        <v>0.067</v>
      </c>
      <c r="AC62" s="20" t="n">
        <v>0.02342854221592527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2026-10-22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398.7</v>
      </c>
      <c r="G63" s="15" t="inlineStr">
        <is>
          <t>USD</t>
        </is>
      </c>
      <c r="H63" s="14" t="n">
        <v>355.2815720073409</v>
      </c>
      <c r="I63" s="16" t="n">
        <v>92645.43977344673</v>
      </c>
      <c r="J63" s="16" t="n">
        <v>103967.5</v>
      </c>
      <c r="K63" s="14" t="n">
        <v>9.66</v>
      </c>
      <c r="L63" s="14" t="n">
        <v>13.16034</v>
      </c>
      <c r="M63" s="17">
        <f>IF(OR(F63="",K63="",K63&lt;=0),"",F63/K63)</f>
        <v/>
      </c>
      <c r="N63" s="18" t="n">
        <v>-23.067577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2026-10-22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Chubb</t>
        </is>
      </c>
      <c r="C64" s="12" t="inlineStr">
        <is>
          <t>CB</t>
        </is>
      </c>
      <c r="D64" s="11" t="inlineStr">
        <is>
          <t>Assicurazione</t>
        </is>
      </c>
      <c r="E64" s="13" t="inlineStr">
        <is>
          <t>Finanziario</t>
        </is>
      </c>
      <c r="F64" s="14" t="n">
        <v>363.54</v>
      </c>
      <c r="G64" s="15" t="inlineStr">
        <is>
          <t>USD</t>
        </is>
      </c>
      <c r="H64" s="14" t="n">
        <v>323.9504958303203</v>
      </c>
      <c r="I64" s="16" t="n">
        <v>124980.0727761374</v>
      </c>
      <c r="J64" s="16" t="n">
        <v>140253.7</v>
      </c>
      <c r="K64" s="14" t="n">
        <v>28.53</v>
      </c>
      <c r="L64" s="14" t="n">
        <v>29.32868</v>
      </c>
      <c r="M64" s="17">
        <f>IF(OR(F64="",K64="",K64&lt;=0),"",F64/K64)</f>
        <v/>
      </c>
      <c r="N64" s="18" t="n">
        <v>1.933199</v>
      </c>
      <c r="O64" s="19">
        <f>IF(OR(N64="",M64="",M64&lt;=0),"",N64/M64)</f>
        <v/>
      </c>
      <c r="P64" s="20" t="n">
        <v>0.1425</v>
      </c>
      <c r="Q64" s="20" t="n">
        <v>0.1350415459271134</v>
      </c>
      <c r="R64" s="20" t="n">
        <v>0.0185040460098504</v>
      </c>
      <c r="S64" s="21" t="n">
        <v>4</v>
      </c>
      <c r="T64" s="20" t="n"/>
      <c r="U64" s="20" t="n">
        <v>0.1397833425979907</v>
      </c>
      <c r="V64" s="20" t="n">
        <v>0.1448274784836226</v>
      </c>
      <c r="W64" s="20" t="n">
        <v>0.1517132438200548</v>
      </c>
      <c r="X64" s="20" t="n">
        <v>0.1038421188067856</v>
      </c>
      <c r="Y64" s="14" t="n">
        <v>4.08</v>
      </c>
      <c r="Z64" s="19">
        <f>IF(OR(Y64="",F64="",F64=0),"",Y64/F64)</f>
        <v/>
      </c>
      <c r="AA64" s="22" t="n"/>
      <c r="AB64" s="20" t="n">
        <v>-0.004</v>
      </c>
      <c r="AC64" s="20" t="n">
        <v>0.1878125931452085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2026-10-22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GE Aerospace</t>
        </is>
      </c>
      <c r="C65" s="12" t="inlineStr">
        <is>
          <t>GE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290.09</v>
      </c>
      <c r="G65" s="15" t="inlineStr">
        <is>
          <t>USD</t>
        </is>
      </c>
      <c r="H65" s="14" t="n">
        <v>258.4992004605205</v>
      </c>
      <c r="I65" s="16" t="n">
        <v>268209.0716653813</v>
      </c>
      <c r="J65" s="16" t="n">
        <v>300986.5</v>
      </c>
      <c r="K65" s="14" t="n">
        <v>8.48</v>
      </c>
      <c r="L65" s="14" t="n">
        <v>9.27341</v>
      </c>
      <c r="M65" s="17">
        <f>IF(OR(F65="",K65="",K65&lt;=0),"",F65/K65)</f>
        <v/>
      </c>
      <c r="N65" s="18" t="n">
        <v>17.108398</v>
      </c>
      <c r="O65" s="19">
        <f>IF(OR(N65="",M65="",M65&lt;=0),"",N65/M65)</f>
        <v/>
      </c>
      <c r="P65" s="20" t="n">
        <v>0.50165004</v>
      </c>
      <c r="Q65" s="20" t="n">
        <v>0.290242814454953</v>
      </c>
      <c r="R65" s="20" t="n">
        <v>0.1695110836679429</v>
      </c>
      <c r="S65" s="21" t="n">
        <v>4</v>
      </c>
      <c r="T65" s="20" t="n"/>
      <c r="U65" s="20" t="n">
        <v>0.4660277346468919</v>
      </c>
      <c r="V65" s="20" t="n">
        <v>0.3389515044979837</v>
      </c>
      <c r="W65" s="20" t="n">
        <v>0.3460205087034267</v>
      </c>
      <c r="X65" s="20" t="n">
        <v>0.009971509971509971</v>
      </c>
      <c r="Y65" s="14" t="n">
        <v>1.88</v>
      </c>
      <c r="Z65" s="19">
        <f>IF(OR(Y65="",F65="",F65=0),"",Y65/F65)</f>
        <v/>
      </c>
      <c r="AA65" s="22" t="n">
        <v>108.879</v>
      </c>
      <c r="AB65" s="20" t="n">
        <v>0.159</v>
      </c>
      <c r="AC65" s="20" t="n">
        <v>0.200676041260495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2026-10-22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American Tower</t>
        </is>
      </c>
      <c r="C66" s="12" t="inlineStr">
        <is>
          <t>AMT</t>
        </is>
      </c>
      <c r="D66" s="11" t="inlineStr">
        <is>
          <t>REIT / Torri</t>
        </is>
      </c>
      <c r="E66" s="13" t="inlineStr">
        <is>
          <t>Immobiliare</t>
        </is>
      </c>
      <c r="F66" s="14" t="n">
        <v>182.155</v>
      </c>
      <c r="G66" s="15" t="inlineStr">
        <is>
          <t>USD</t>
        </is>
      </c>
      <c r="H66" s="14" t="n">
        <v>162.3183214170985</v>
      </c>
      <c r="I66" s="16" t="n">
        <v>75633.89512733152</v>
      </c>
      <c r="J66" s="16" t="n">
        <v>84877</v>
      </c>
      <c r="K66" s="14" t="n">
        <v>7.27</v>
      </c>
      <c r="L66" s="14" t="n">
        <v>6.9767</v>
      </c>
      <c r="M66" s="17">
        <f>IF(OR(F66="",K66="",K66&lt;=0),"",F66/K66)</f>
        <v/>
      </c>
      <c r="N66" s="18" t="n">
        <v>22.817863</v>
      </c>
      <c r="O66" s="19">
        <f>IF(OR(N66="",M66="",M66&lt;=0),"",N66/M66)</f>
        <v/>
      </c>
      <c r="P66" s="20" t="n">
        <v>0.33914003</v>
      </c>
      <c r="Q66" s="20" t="n">
        <v>0.5073666137979995</v>
      </c>
      <c r="R66" s="20" t="n">
        <v>0.172987839167374</v>
      </c>
      <c r="S66" s="21" t="n">
        <v>4</v>
      </c>
      <c r="T66" s="20" t="n"/>
      <c r="U66" s="20" t="n">
        <v>0.692539356605065</v>
      </c>
      <c r="V66" s="20" t="n">
        <v>0.6667257997752942</v>
      </c>
      <c r="W66" s="20" t="n">
        <v>0.353318088704683</v>
      </c>
      <c r="X66" s="20" t="n">
        <v>0.3168832101069557</v>
      </c>
      <c r="Y66" s="14" t="n">
        <v>7.16</v>
      </c>
      <c r="Z66" s="19">
        <f>IF(OR(Y66="",F66="",F66=0),"",Y66/F66)</f>
        <v/>
      </c>
      <c r="AA66" s="22" t="n">
        <v>438.721</v>
      </c>
      <c r="AB66" s="20" t="n">
        <v>0.047</v>
      </c>
      <c r="AC66" s="20" t="n">
        <v>0.3195047193882344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2026-10-22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Morgan Stanley</t>
        </is>
      </c>
      <c r="C67" s="12" t="inlineStr">
        <is>
          <t>MS</t>
        </is>
      </c>
      <c r="D67" s="11" t="inlineStr">
        <is>
          <t>Banca d'investimento</t>
        </is>
      </c>
      <c r="E67" s="13" t="inlineStr">
        <is>
          <t>Finanziario</t>
        </is>
      </c>
      <c r="F67" s="14" t="n">
        <v>183.77</v>
      </c>
      <c r="G67" s="15" t="inlineStr">
        <is>
          <t>USD</t>
        </is>
      </c>
      <c r="H67" s="14" t="n">
        <v>163.7574479252296</v>
      </c>
      <c r="I67" s="16" t="n">
        <v>257191.9567531346</v>
      </c>
      <c r="J67" s="16" t="n">
        <v>288623</v>
      </c>
      <c r="K67" s="14" t="n">
        <v>12.61</v>
      </c>
      <c r="L67" s="14" t="n">
        <v>13.64112</v>
      </c>
      <c r="M67" s="17">
        <f>IF(OR(F67="",K67="",K67&lt;=0),"",F67/K67)</f>
        <v/>
      </c>
      <c r="N67" s="18" t="n">
        <v>2.710432</v>
      </c>
      <c r="O67" s="19">
        <f>IF(OR(N67="",M67="",M67&lt;=0),"",N67/M67)</f>
        <v/>
      </c>
      <c r="P67" s="20" t="n">
        <v>0.1863907554150638</v>
      </c>
      <c r="Q67" s="20" t="n">
        <v>0.1202621939362582</v>
      </c>
      <c r="R67" s="20" t="n">
        <v>0.02193423207360017</v>
      </c>
      <c r="S67" s="21" t="n">
        <v>4</v>
      </c>
      <c r="T67" s="20" t="n"/>
      <c r="U67" s="20" t="n">
        <v>0.1510409201662606</v>
      </c>
      <c r="V67" s="20" t="n">
        <v>0.1281204849250318</v>
      </c>
      <c r="W67" s="20" t="n">
        <v>0.09175266059492317</v>
      </c>
      <c r="X67" s="20" t="n">
        <v>0.1101347100588171</v>
      </c>
      <c r="Y67" s="14" t="n">
        <v>4.6</v>
      </c>
      <c r="Z67" s="19">
        <f>IF(OR(Y67="",F67="",F67=0),"",Y67/F67)</f>
        <v/>
      </c>
      <c r="AA67" s="22" t="n">
        <v>517.282</v>
      </c>
      <c r="AB67" s="20" t="n">
        <v>0.108</v>
      </c>
      <c r="AC67" s="20" t="n">
        <v>0.300882264924355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2026-10-22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Parker Hannifin</t>
        </is>
      </c>
      <c r="C68" s="12" t="inlineStr">
        <is>
          <t>PH</t>
        </is>
      </c>
      <c r="D68" s="11" t="inlineStr">
        <is>
          <t>Componenti industriali</t>
        </is>
      </c>
      <c r="E68" s="13" t="inlineStr">
        <is>
          <t>Industriale</t>
        </is>
      </c>
      <c r="F68" s="14" t="n">
        <v>887.215</v>
      </c>
      <c r="G68" s="15" t="inlineStr">
        <is>
          <t>USD</t>
        </is>
      </c>
      <c r="H68" s="14" t="n">
        <v>790.5972909668748</v>
      </c>
      <c r="I68" s="16" t="n">
        <v>99704.11024332824</v>
      </c>
      <c r="J68" s="16" t="n">
        <v>111888.8</v>
      </c>
      <c r="K68" s="14" t="n">
        <v>28.48</v>
      </c>
      <c r="L68" s="14" t="n">
        <v>39.74666</v>
      </c>
      <c r="M68" s="17">
        <f>IF(OR(F68="",K68="",K68&lt;=0),"",F68/K68)</f>
        <v/>
      </c>
      <c r="N68" s="18" t="n">
        <v>7.262908</v>
      </c>
      <c r="O68" s="19">
        <f>IF(OR(N68="",M68="",M68&lt;=0),"",N68/M68)</f>
        <v/>
      </c>
      <c r="P68" s="20" t="n">
        <v>0.25076</v>
      </c>
      <c r="Q68" s="20" t="n">
        <v>0.2330477121157223</v>
      </c>
      <c r="R68" s="20" t="n">
        <v>0.02018286569552279</v>
      </c>
      <c r="S68" s="21" t="n">
        <v>4</v>
      </c>
      <c r="T68" s="20" t="n">
        <v>0.2368216047779798</v>
      </c>
      <c r="U68" s="20" t="n">
        <v>0.2580763046338255</v>
      </c>
      <c r="V68" s="20" t="n">
        <v>0.2355864811133201</v>
      </c>
      <c r="W68" s="20" t="n">
        <v>0.201706457937764</v>
      </c>
      <c r="X68" s="20" t="n">
        <v>0.1486893495046514</v>
      </c>
      <c r="Y68" s="14" t="n">
        <v>8</v>
      </c>
      <c r="Z68" s="19">
        <f>IF(OR(Y68="",F68="",F68=0),"",Y68/F68)</f>
        <v/>
      </c>
      <c r="AA68" s="22" t="n">
        <v>56.66</v>
      </c>
      <c r="AB68" s="20" t="n">
        <v>0.098</v>
      </c>
      <c r="AC68" s="20" t="n">
        <v>0.1696823108051537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2026-10-22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Wells Fargo</t>
        </is>
      </c>
      <c r="C69" s="12" t="inlineStr">
        <is>
          <t>WFC</t>
        </is>
      </c>
      <c r="D69" s="11" t="inlineStr">
        <is>
          <t>Banca</t>
        </is>
      </c>
      <c r="E69" s="13" t="inlineStr">
        <is>
          <t>Finanziario</t>
        </is>
      </c>
      <c r="F69" s="14" t="n">
        <v>82.98</v>
      </c>
      <c r="G69" s="15" t="inlineStr">
        <is>
          <t>USD</t>
        </is>
      </c>
      <c r="H69" s="14" t="n">
        <v>73.94347841778067</v>
      </c>
      <c r="I69" s="16" t="n">
        <v>221951.6248540267</v>
      </c>
      <c r="J69" s="16" t="n">
        <v>249076</v>
      </c>
      <c r="K69" s="14" t="n">
        <v>7.09</v>
      </c>
      <c r="L69" s="14" t="n">
        <v>8.013019999999999</v>
      </c>
      <c r="M69" s="17">
        <f>IF(OR(F69="",K69="",K69&lt;=0),"",F69/K69)</f>
        <v/>
      </c>
      <c r="N69" s="18" t="n">
        <v>1.5698664</v>
      </c>
      <c r="O69" s="19">
        <f>IF(OR(N69="",M69="",M69&lt;=0),"",N69/M69)</f>
        <v/>
      </c>
      <c r="P69" s="20" t="n">
        <v>0.1291</v>
      </c>
      <c r="Q69" s="20" t="n">
        <v>0.1017166869476873</v>
      </c>
      <c r="R69" s="20" t="n">
        <v>0.01579883207450957</v>
      </c>
      <c r="S69" s="21" t="n">
        <v>4</v>
      </c>
      <c r="T69" s="20" t="n"/>
      <c r="U69" s="20" t="n">
        <v>0.1178133471733741</v>
      </c>
      <c r="V69" s="20" t="n">
        <v>0.1101049575703439</v>
      </c>
      <c r="W69" s="20" t="n">
        <v>0.1030608124478424</v>
      </c>
      <c r="X69" s="20" t="n">
        <v>0.07588763059918881</v>
      </c>
      <c r="Y69" s="14" t="n">
        <v>2</v>
      </c>
      <c r="Z69" s="19">
        <f>IF(OR(Y69="",F69="",F69=0),"",Y69/F69)</f>
        <v/>
      </c>
      <c r="AA69" s="22" t="n"/>
      <c r="AB69" s="20" t="n">
        <v>0.004</v>
      </c>
      <c r="AC69" s="20" t="n">
        <v>0.2625718340243013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2026-10-22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Boeing</t>
        </is>
      </c>
      <c r="C70" s="12" t="inlineStr">
        <is>
          <t>BA</t>
        </is>
      </c>
      <c r="D70" s="11" t="inlineStr">
        <is>
          <t>Aerospazio</t>
        </is>
      </c>
      <c r="E70" s="13" t="inlineStr">
        <is>
          <t>Industriale</t>
        </is>
      </c>
      <c r="F70" s="14" t="n">
        <v>189.59</v>
      </c>
      <c r="G70" s="15" t="inlineStr">
        <is>
          <t>USD</t>
        </is>
      </c>
      <c r="H70" s="14" t="n">
        <v>168.9436499545317</v>
      </c>
      <c r="I70" s="16" t="n">
        <v>133430.4632338821</v>
      </c>
      <c r="J70" s="16" t="n">
        <v>149736.8</v>
      </c>
      <c r="K70" s="14" t="n">
        <v>2.8</v>
      </c>
      <c r="L70" s="14" t="n">
        <v>3.75734</v>
      </c>
      <c r="M70" s="17">
        <f>IF(OR(F70="",K70="",K70&lt;=0),"",F70/K70)</f>
        <v/>
      </c>
      <c r="N70" s="18" t="n">
        <v>24.57102</v>
      </c>
      <c r="O70" s="19">
        <f>IF(OR(N70="",M70="",M70&lt;=0),"",N70/M70)</f>
        <v/>
      </c>
      <c r="P70" s="20" t="n">
        <v>1.73537</v>
      </c>
      <c r="Q70" s="20" t="n">
        <v>0.4097909790979098</v>
      </c>
      <c r="R70" s="20" t="n"/>
      <c r="S70" s="21" t="n">
        <v>1</v>
      </c>
      <c r="T70" s="20" t="n"/>
      <c r="U70" s="20" t="n">
        <v>0.4097909790979098</v>
      </c>
      <c r="V70" s="20" t="n"/>
      <c r="W70" s="20" t="n"/>
      <c r="X70" s="20" t="n"/>
      <c r="Y70" s="14" t="n"/>
      <c r="Z70" s="19">
        <f>IF(OR(Y70="",F70="",F70=0),"",Y70/F70)</f>
        <v/>
      </c>
      <c r="AA70" s="22" t="n">
        <v>790.875</v>
      </c>
      <c r="AB70" s="20" t="n">
        <v>0.08</v>
      </c>
      <c r="AC70" s="20" t="n">
        <v>0.02335043466013883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2026-10-22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121.9</v>
      </c>
      <c r="G71" s="15" t="inlineStr">
        <is>
          <t>USD</t>
        </is>
      </c>
      <c r="H71" s="14" t="n">
        <v>108.6250906137318</v>
      </c>
      <c r="I71" s="16" t="n">
        <v>182159.3759092005</v>
      </c>
      <c r="J71" s="16" t="n">
        <v>204420.8</v>
      </c>
      <c r="K71" s="14" t="n">
        <v>10.26</v>
      </c>
      <c r="L71" s="14" t="n">
        <v>13.05007</v>
      </c>
      <c r="M71" s="17">
        <f>IF(OR(F71="",K71="",K71&lt;=0),"",F71/K71)</f>
        <v/>
      </c>
      <c r="N71" s="18" t="n">
        <v>1.0540951</v>
      </c>
      <c r="O71" s="19">
        <f>IF(OR(N71="",M71="",M71&lt;=0),"",N71/M71)</f>
        <v/>
      </c>
      <c r="P71" s="20" t="n">
        <v>0.09353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0.08</v>
      </c>
      <c r="AC71" s="20" t="n">
        <v>0.2096041586142959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2026-10-22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Qualcomm</t>
        </is>
      </c>
      <c r="C72" s="12" t="inlineStr">
        <is>
          <t>QCOM</t>
        </is>
      </c>
      <c r="D72" s="11" t="inlineStr">
        <is>
          <t>Semiconduttori</t>
        </is>
      </c>
      <c r="E72" s="13" t="inlineStr">
        <is>
          <t>Tecnologia</t>
        </is>
      </c>
      <c r="F72" s="14" t="n">
        <v>173.91</v>
      </c>
      <c r="G72" s="15" t="inlineStr">
        <is>
          <t>USD</t>
        </is>
      </c>
      <c r="H72" s="14" t="n">
        <v>154.9712018755873</v>
      </c>
      <c r="I72" s="16" t="n">
        <v>165484.3997349869</v>
      </c>
      <c r="J72" s="16" t="n">
        <v>185708</v>
      </c>
      <c r="K72" s="14" t="n">
        <v>8.640000000000001</v>
      </c>
      <c r="L72" s="14" t="n">
        <v>10.19254</v>
      </c>
      <c r="M72" s="17">
        <f>IF(OR(F72="",K72="",K72&lt;=0),"",F72/K72)</f>
        <v/>
      </c>
      <c r="N72" s="18" t="n">
        <v>6.6461577</v>
      </c>
      <c r="O72" s="19">
        <f>IF(OR(N72="",M72="",M72&lt;=0),"",N72/M72)</f>
        <v/>
      </c>
      <c r="P72" s="20" t="n">
        <v>0.33754003</v>
      </c>
      <c r="Q72" s="20" t="n">
        <v>0.4251401367558992</v>
      </c>
      <c r="R72" s="20" t="n">
        <v>0.1748827626991776</v>
      </c>
      <c r="S72" s="21" t="n">
        <v>4</v>
      </c>
      <c r="T72" s="20" t="n"/>
      <c r="U72" s="20" t="n">
        <v>0.2612939734037537</v>
      </c>
      <c r="V72" s="20" t="n">
        <v>0.386008982263835</v>
      </c>
      <c r="W72" s="20" t="n">
        <v>0.3351095871368333</v>
      </c>
      <c r="X72" s="20" t="n">
        <v>0.718148004219175</v>
      </c>
      <c r="Y72" s="14" t="n">
        <v>3.68</v>
      </c>
      <c r="Z72" s="19">
        <f>IF(OR(Y72="",F72="",F72=0),"",Y72/F72)</f>
        <v/>
      </c>
      <c r="AA72" s="22" t="n">
        <v>55.21</v>
      </c>
      <c r="AB72" s="20" t="n">
        <v>-0.04</v>
      </c>
      <c r="AC72" s="20" t="n">
        <v>0.2091048743564267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2026-10-22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ConocoPhillips</t>
        </is>
      </c>
      <c r="C73" s="12" t="inlineStr">
        <is>
          <t>COP</t>
        </is>
      </c>
      <c r="D73" s="11" t="inlineStr">
        <is>
          <t>Esplorazione e produzione</t>
        </is>
      </c>
      <c r="E73" s="13" t="inlineStr">
        <is>
          <t>Energia</t>
        </is>
      </c>
      <c r="F73" s="14" t="n">
        <v>145.995</v>
      </c>
      <c r="G73" s="15" t="inlineStr">
        <is>
          <t>USD</t>
        </is>
      </c>
      <c r="H73" s="14" t="n">
        <v>130.0961452350432</v>
      </c>
      <c r="I73" s="16" t="n">
        <v>156289.4061130351</v>
      </c>
      <c r="J73" s="16" t="n">
        <v>175389.3</v>
      </c>
      <c r="K73" s="14" t="n">
        <v>7.55</v>
      </c>
      <c r="L73" s="14" t="n">
        <v>10.68245</v>
      </c>
      <c r="M73" s="17">
        <f>IF(OR(F73="",K73="",K73&lt;=0),"",F73/K73)</f>
        <v/>
      </c>
      <c r="N73" s="18" t="n">
        <v>2.6838796</v>
      </c>
      <c r="O73" s="19">
        <f>IF(OR(N73="",M73="",M73&lt;=0),"",N73/M73)</f>
        <v/>
      </c>
      <c r="P73" s="20" t="n">
        <v>0.1418</v>
      </c>
      <c r="Q73" s="20" t="n">
        <v>0.2195092664055975</v>
      </c>
      <c r="R73" s="20" t="n">
        <v>0.1046819831646029</v>
      </c>
      <c r="S73" s="21" t="n">
        <v>4</v>
      </c>
      <c r="T73" s="20" t="n"/>
      <c r="U73" s="20" t="n">
        <v>0.1238699272721634</v>
      </c>
      <c r="V73" s="20" t="n">
        <v>0.1426785604049633</v>
      </c>
      <c r="W73" s="20" t="n">
        <v>0.222346232675176</v>
      </c>
      <c r="X73" s="20" t="n">
        <v>0.3891423452700873</v>
      </c>
      <c r="Y73" s="14" t="n">
        <v>3.36</v>
      </c>
      <c r="Z73" s="19">
        <f>IF(OR(Y73="",F73="",F73=0),"",Y73/F73)</f>
        <v/>
      </c>
      <c r="AA73" s="22" t="n">
        <v>35.639</v>
      </c>
      <c r="AB73" s="20" t="n">
        <v>0.355</v>
      </c>
      <c r="AC73" s="20" t="n">
        <v>0.1569795092290988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2026-10-22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Eaton</t>
        </is>
      </c>
      <c r="C74" s="12" t="inlineStr">
        <is>
          <t>ETN</t>
        </is>
      </c>
      <c r="D74" s="11" t="inlineStr">
        <is>
          <t>Elettrificazione</t>
        </is>
      </c>
      <c r="E74" s="13" t="inlineStr">
        <is>
          <t>Industriale</t>
        </is>
      </c>
      <c r="F74" s="14" t="n">
        <v>368.32</v>
      </c>
      <c r="G74" s="15" t="inlineStr">
        <is>
          <t>USD</t>
        </is>
      </c>
      <c r="H74" s="14" t="n">
        <v>328.2099538543862</v>
      </c>
      <c r="I74" s="16" t="n">
        <v>127443.9642900584</v>
      </c>
      <c r="J74" s="16" t="n">
        <v>143018.7</v>
      </c>
      <c r="K74" s="14" t="n">
        <v>9.83</v>
      </c>
      <c r="L74" s="14" t="n">
        <v>16.29552</v>
      </c>
      <c r="M74" s="17">
        <f>IF(OR(F74="",K74="",K74&lt;=0),"",F74/K74)</f>
        <v/>
      </c>
      <c r="N74" s="18" t="n">
        <v>7.0631104</v>
      </c>
      <c r="O74" s="19">
        <f>IF(OR(N74="",M74="",M74&lt;=0),"",N74/M74)</f>
        <v/>
      </c>
      <c r="P74" s="20" t="n">
        <v>0.19684</v>
      </c>
      <c r="Q74" s="20" t="n">
        <v>0.182290452743209</v>
      </c>
      <c r="R74" s="20" t="n">
        <v>0.02701399831554398</v>
      </c>
      <c r="S74" s="21" t="n">
        <v>4</v>
      </c>
      <c r="T74" s="20" t="n"/>
      <c r="U74" s="20" t="n">
        <v>0.2103989703989704</v>
      </c>
      <c r="V74" s="20" t="n">
        <v>0.2052141929900476</v>
      </c>
      <c r="W74" s="20" t="n">
        <v>0.1690481193528052</v>
      </c>
      <c r="X74" s="20" t="n">
        <v>0.144500528231013</v>
      </c>
      <c r="Y74" s="14" t="n">
        <v>4.4</v>
      </c>
      <c r="Z74" s="19">
        <f>IF(OR(Y74="",F74="",F74=0),"",Y74/F74)</f>
        <v/>
      </c>
      <c r="AA74" s="22" t="n">
        <v>105.059</v>
      </c>
      <c r="AB74" s="20" t="n">
        <v>0.214</v>
      </c>
      <c r="AC74" s="20" t="n">
        <v>0.1395001433984261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2026-10-22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Intuit</t>
        </is>
      </c>
      <c r="C75" s="12" t="inlineStr">
        <is>
          <t>INTU</t>
        </is>
      </c>
      <c r="D75" s="11" t="inlineStr">
        <is>
          <t>Software</t>
        </is>
      </c>
      <c r="E75" s="13" t="inlineStr">
        <is>
          <t>Tecnologia</t>
        </is>
      </c>
      <c r="F75" s="14" t="n">
        <v>354.13</v>
      </c>
      <c r="G75" s="15" t="inlineStr">
        <is>
          <t>USD</t>
        </is>
      </c>
      <c r="H75" s="14" t="n">
        <v>315.5652447829436</v>
      </c>
      <c r="I75" s="16" t="n">
        <v>84330.40740646681</v>
      </c>
      <c r="J75" s="16" t="n">
        <v>94636.3</v>
      </c>
      <c r="K75" s="14" t="n">
        <v>16.46</v>
      </c>
      <c r="L75" s="14" t="n">
        <v>26.94382</v>
      </c>
      <c r="M75" s="17">
        <f>IF(OR(F75="",K75="",K75&lt;=0),"",F75/K75)</f>
        <v/>
      </c>
      <c r="N75" s="18" t="n">
        <v>5.0043807</v>
      </c>
      <c r="O75" s="19">
        <f>IF(OR(N75="",M75="",M75&lt;=0),"",N75/M75)</f>
        <v/>
      </c>
      <c r="P75" s="20" t="n">
        <v>0.23596</v>
      </c>
      <c r="Q75" s="20" t="n">
        <v>0.23596</v>
      </c>
      <c r="R75" s="20" t="n"/>
      <c r="S75" s="21" t="n">
        <v>0</v>
      </c>
      <c r="T75" s="20" t="n">
        <v>0.2404170176916597</v>
      </c>
      <c r="U75" s="20" t="n">
        <v>0.1962962962962963</v>
      </c>
      <c r="V75" s="20" t="n">
        <v>0.1607181601215014</v>
      </c>
      <c r="W75" s="20" t="n">
        <v>0.1380508425502345</v>
      </c>
      <c r="X75" s="20" t="n">
        <v>0.125661456115808</v>
      </c>
      <c r="Y75" s="14" t="n">
        <v>5.52</v>
      </c>
      <c r="Z75" s="19">
        <f>IF(OR(Y75="",F75="",F75=0),"",Y75/F75)</f>
        <v/>
      </c>
      <c r="AA75" s="22" t="n">
        <v>44.34</v>
      </c>
      <c r="AB75" s="20" t="n">
        <v>0.137</v>
      </c>
      <c r="AC75" s="20" t="n">
        <v>0.2128869884371503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2026-10-22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Deere &amp; Company</t>
        </is>
      </c>
      <c r="C76" s="12" t="inlineStr">
        <is>
          <t>DE</t>
        </is>
      </c>
      <c r="D76" s="11" t="inlineStr">
        <is>
          <t>Macchine agricole</t>
        </is>
      </c>
      <c r="E76" s="13" t="inlineStr">
        <is>
          <t>Industriale</t>
        </is>
      </c>
      <c r="F76" s="14" t="n">
        <v>638.28</v>
      </c>
      <c r="G76" s="15" t="inlineStr">
        <is>
          <t>USD</t>
        </is>
      </c>
      <c r="H76" s="14" t="n">
        <v>568.771311213558</v>
      </c>
      <c r="I76" s="16" t="n">
        <v>153355.1920164569</v>
      </c>
      <c r="J76" s="16" t="n">
        <v>172096.5</v>
      </c>
      <c r="K76" s="14" t="n">
        <v>17.99</v>
      </c>
      <c r="L76" s="14" t="n">
        <v>22.77821</v>
      </c>
      <c r="M76" s="17">
        <f>IF(OR(F76="",K76="",K76&lt;=0),"",F76/K76)</f>
        <v/>
      </c>
      <c r="N76" s="18" t="n">
        <v>6.148482</v>
      </c>
      <c r="O76" s="19">
        <f>IF(OR(N76="",M76="",M76&lt;=0),"",N76/M76)</f>
        <v/>
      </c>
      <c r="P76" s="20" t="n">
        <v>0.18242</v>
      </c>
      <c r="Q76" s="20" t="n">
        <v>0.3308055602273648</v>
      </c>
      <c r="R76" s="20" t="n">
        <v>0.09758236298151571</v>
      </c>
      <c r="S76" s="21" t="n">
        <v>4</v>
      </c>
      <c r="T76" s="20" t="n"/>
      <c r="U76" s="20" t="n">
        <v>0.193718689788054</v>
      </c>
      <c r="V76" s="20" t="n">
        <v>0.3109125941495884</v>
      </c>
      <c r="W76" s="20" t="n">
        <v>0.4666513656185449</v>
      </c>
      <c r="X76" s="20" t="n">
        <v>0.3519395913532721</v>
      </c>
      <c r="Y76" s="14" t="n">
        <v>6.48</v>
      </c>
      <c r="Z76" s="19">
        <f>IF(OR(Y76="",F76="",F76=0),"",Y76/F76)</f>
        <v/>
      </c>
      <c r="AA76" s="22" t="n">
        <v>230.298</v>
      </c>
      <c r="AB76" s="20" t="n">
        <v>0.049</v>
      </c>
      <c r="AC76" s="20" t="n">
        <v>0.1091010844285235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2026-10-22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Williams Companies</t>
        </is>
      </c>
      <c r="C77" s="12" t="inlineStr">
        <is>
          <t>WMB</t>
        </is>
      </c>
      <c r="D77" s="11" t="inlineStr">
        <is>
          <t>Gasdotti</t>
        </is>
      </c>
      <c r="E77" s="13" t="inlineStr">
        <is>
          <t>Energia</t>
        </is>
      </c>
      <c r="F77" s="14" t="n">
        <v>70.7646</v>
      </c>
      <c r="G77" s="15" t="inlineStr">
        <is>
          <t>USD</t>
        </is>
      </c>
      <c r="H77" s="14" t="n">
        <v>63.0583354162796</v>
      </c>
      <c r="I77" s="16" t="n">
        <v>77130.94313578983</v>
      </c>
      <c r="J77" s="16" t="n">
        <v>86557</v>
      </c>
      <c r="K77" s="14" t="n">
        <v>2.51</v>
      </c>
      <c r="L77" s="14" t="n">
        <v>2.64886</v>
      </c>
      <c r="M77" s="17">
        <f>IF(OR(F77="",K77="",K77&lt;=0),"",F77/K77)</f>
        <v/>
      </c>
      <c r="N77" s="18" t="n">
        <v>6.579082</v>
      </c>
      <c r="O77" s="19">
        <f>IF(OR(N77="",M77="",M77&lt;=0),"",N77/M77)</f>
        <v/>
      </c>
      <c r="P77" s="20" t="n">
        <v>0.21503</v>
      </c>
      <c r="Q77" s="20" t="n">
        <v>0.2045179374667133</v>
      </c>
      <c r="R77" s="20" t="n">
        <v>0.03170850933970622</v>
      </c>
      <c r="S77" s="21" t="n">
        <v>4</v>
      </c>
      <c r="T77" s="20" t="n"/>
      <c r="U77" s="20" t="n">
        <v>0.2044194581088467</v>
      </c>
      <c r="V77" s="20" t="n">
        <v>0.1789160501769058</v>
      </c>
      <c r="W77" s="20" t="n">
        <v>0.2563296242541526</v>
      </c>
      <c r="X77" s="20" t="n">
        <v>0.1784066173269482</v>
      </c>
      <c r="Y77" s="14" t="n">
        <v>2.1</v>
      </c>
      <c r="Z77" s="19">
        <f>IF(OR(Y77="",F77="",F77=0),"",Y77/F77)</f>
        <v/>
      </c>
      <c r="AA77" s="22" t="n">
        <v>200.371</v>
      </c>
      <c r="AB77" s="20" t="n">
        <v>0.078</v>
      </c>
      <c r="AC77" s="20" t="n">
        <v>0.2569037764016737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2026-10-22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Exelon</t>
        </is>
      </c>
      <c r="C78" s="12" t="inlineStr">
        <is>
          <t>EXC</t>
        </is>
      </c>
      <c r="D78" s="11" t="inlineStr">
        <is>
          <t>Utility / Reti</t>
        </is>
      </c>
      <c r="E78" s="13" t="inlineStr">
        <is>
          <t>Utility</t>
        </is>
      </c>
      <c r="F78" s="14" t="n">
        <v>44.485</v>
      </c>
      <c r="G78" s="15" t="inlineStr">
        <is>
          <t>USD</t>
        </is>
      </c>
      <c r="H78" s="14" t="n">
        <v>39.6405837239693</v>
      </c>
      <c r="I78" s="16" t="n">
        <v>40839.82611074502</v>
      </c>
      <c r="J78" s="16" t="n">
        <v>45830.8</v>
      </c>
      <c r="K78" s="14" t="n">
        <v>2.72</v>
      </c>
      <c r="L78" s="14" t="n">
        <v>3.03314</v>
      </c>
      <c r="M78" s="17">
        <f>IF(OR(F78="",K78="",K78&lt;=0),"",F78/K78)</f>
        <v/>
      </c>
      <c r="N78" s="18" t="n">
        <v>1.5462288</v>
      </c>
      <c r="O78" s="19">
        <f>IF(OR(N78="",M78="",M78&lt;=0),"",N78/M78)</f>
        <v/>
      </c>
      <c r="P78" s="20" t="n">
        <v>0.09711</v>
      </c>
      <c r="Q78" s="20" t="n">
        <v>0.09139612675562522</v>
      </c>
      <c r="R78" s="20" t="n">
        <v>0.003040648385819987</v>
      </c>
      <c r="S78" s="21" t="n">
        <v>4</v>
      </c>
      <c r="T78" s="20" t="n"/>
      <c r="U78" s="20" t="n">
        <v>0.09611778595735815</v>
      </c>
      <c r="V78" s="20" t="n">
        <v>0.09137847776828498</v>
      </c>
      <c r="W78" s="20" t="n">
        <v>0.09039021549213745</v>
      </c>
      <c r="X78" s="20" t="n">
        <v>0.08769802780472033</v>
      </c>
      <c r="Y78" s="14" t="n">
        <v>1.68</v>
      </c>
      <c r="Z78" s="19">
        <f>IF(OR(Y78="",F78="",F78=0),"",Y78/F78)</f>
        <v/>
      </c>
      <c r="AA78" s="22" t="n">
        <v>177.362</v>
      </c>
      <c r="AB78" s="20" t="n">
        <v>0.099</v>
      </c>
      <c r="AC78" s="20" t="n">
        <v>0.1147250418006431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2026-10-22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Norfolk Southern</t>
        </is>
      </c>
      <c r="C79" s="12" t="inlineStr">
        <is>
          <t>NSC</t>
        </is>
      </c>
      <c r="D79" s="11" t="inlineStr">
        <is>
          <t>Ferrovie</t>
        </is>
      </c>
      <c r="E79" s="13" t="inlineStr">
        <is>
          <t>Industriale</t>
        </is>
      </c>
      <c r="F79" s="14" t="n">
        <v>336.37</v>
      </c>
      <c r="G79" s="15" t="inlineStr">
        <is>
          <t>USD</t>
        </is>
      </c>
      <c r="H79" s="14" t="n">
        <v>299.7393086935271</v>
      </c>
      <c r="I79" s="16" t="n">
        <v>67323.94203038028</v>
      </c>
      <c r="J79" s="16" t="n">
        <v>75551.5</v>
      </c>
      <c r="K79" s="14" t="n">
        <v>11.72</v>
      </c>
      <c r="L79" s="14" t="n">
        <v>14.31276</v>
      </c>
      <c r="M79" s="17">
        <f>IF(OR(F79="",K79="",K79&lt;=0),"",F79/K79)</f>
        <v/>
      </c>
      <c r="N79" s="18" t="n">
        <v>4.648434</v>
      </c>
      <c r="O79" s="19">
        <f>IF(OR(N79="",M79="",M79&lt;=0),"",N79/M79)</f>
        <v/>
      </c>
      <c r="P79" s="20" t="n">
        <v>0.16985</v>
      </c>
      <c r="Q79" s="20" t="n">
        <v>0.1919584509394721</v>
      </c>
      <c r="R79" s="20" t="n">
        <v>0.04103328172323672</v>
      </c>
      <c r="S79" s="21" t="n">
        <v>4</v>
      </c>
      <c r="T79" s="20" t="n"/>
      <c r="U79" s="20" t="n">
        <v>0.1847944941146202</v>
      </c>
      <c r="V79" s="20" t="n">
        <v>0.1832797427652733</v>
      </c>
      <c r="W79" s="20" t="n">
        <v>0.1429465613019326</v>
      </c>
      <c r="X79" s="20" t="n">
        <v>0.2568130055760622</v>
      </c>
      <c r="Y79" s="14" t="n">
        <v>5.4</v>
      </c>
      <c r="Z79" s="19">
        <f>IF(OR(Y79="",F79="",F79=0),"",Y79/F79)</f>
        <v/>
      </c>
      <c r="AA79" s="22" t="n">
        <v>105.519</v>
      </c>
      <c r="AB79" s="20" t="n">
        <v>0.114</v>
      </c>
      <c r="AC79" s="20" t="n">
        <v>0.2161740505747126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2026-10-22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Regeneron</t>
        </is>
      </c>
      <c r="C80" s="12" t="inlineStr">
        <is>
          <t>REGN</t>
        </is>
      </c>
      <c r="D80" s="11" t="inlineStr">
        <is>
          <t>Biotecnologie</t>
        </is>
      </c>
      <c r="E80" s="13" t="inlineStr">
        <is>
          <t>Salute</t>
        </is>
      </c>
      <c r="F80" s="14" t="n">
        <v>820.35</v>
      </c>
      <c r="G80" s="15" t="inlineStr">
        <is>
          <t>USD</t>
        </is>
      </c>
      <c r="H80" s="14" t="n">
        <v>731.0138891302286</v>
      </c>
      <c r="I80" s="16" t="n">
        <v>75261.50443522751</v>
      </c>
      <c r="J80" s="16" t="n">
        <v>84459.10000000001</v>
      </c>
      <c r="K80" s="14" t="n">
        <v>40.44</v>
      </c>
      <c r="L80" s="14" t="n">
        <v>62.27519</v>
      </c>
      <c r="M80" s="17">
        <f>IF(OR(F80="",K80="",K80&lt;=0),"",F80/K80)</f>
        <v/>
      </c>
      <c r="N80" s="18" t="n">
        <v>2.5951326</v>
      </c>
      <c r="O80" s="19">
        <f>IF(OR(N80="",M80="",M80&lt;=0),"",N80/M80)</f>
        <v/>
      </c>
      <c r="P80" s="20" t="n">
        <v>0.14043</v>
      </c>
      <c r="Q80" s="20" t="n">
        <v>0.1595230520456649</v>
      </c>
      <c r="R80" s="20" t="n">
        <v>0.01865889297829353</v>
      </c>
      <c r="S80" s="21" t="n">
        <v>4</v>
      </c>
      <c r="T80" s="20" t="n"/>
      <c r="U80" s="20" t="n">
        <v>0.1441249772050331</v>
      </c>
      <c r="V80" s="20" t="n">
        <v>0.1503256840728224</v>
      </c>
      <c r="W80" s="20" t="n">
        <v>0.1522190266082986</v>
      </c>
      <c r="X80" s="20" t="n">
        <v>0.1914225202965055</v>
      </c>
      <c r="Y80" s="14" t="n">
        <v>3.76</v>
      </c>
      <c r="Z80" s="19">
        <f>IF(OR(Y80="",F80="",F80=0),"",Y80/F80)</f>
        <v/>
      </c>
      <c r="AA80" s="22" t="n">
        <v>8.535</v>
      </c>
      <c r="AB80" s="20" t="n">
        <v>0.167</v>
      </c>
      <c r="AC80" s="20" t="n">
        <v>0.301800884339987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2026-10-22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Ecolab</t>
        </is>
      </c>
      <c r="C81" s="12" t="inlineStr">
        <is>
          <t>ECL</t>
        </is>
      </c>
      <c r="D81" s="11" t="inlineStr">
        <is>
          <t>Chimica specialistica</t>
        </is>
      </c>
      <c r="E81" s="13" t="inlineStr">
        <is>
          <t>Materiali</t>
        </is>
      </c>
      <c r="F81" s="14" t="n">
        <v>290.22</v>
      </c>
      <c r="G81" s="15" t="inlineStr">
        <is>
          <t>USD</t>
        </is>
      </c>
      <c r="H81" s="14" t="n">
        <v>258.615043461175</v>
      </c>
      <c r="I81" s="16" t="n">
        <v>72497.22310960932</v>
      </c>
      <c r="J81" s="16" t="n">
        <v>81357</v>
      </c>
      <c r="K81" s="14" t="n">
        <v>7.45</v>
      </c>
      <c r="L81" s="14" t="n">
        <v>9.4063</v>
      </c>
      <c r="M81" s="17">
        <f>IF(OR(F81="",K81="",K81&lt;=0),"",F81/K81)</f>
        <v/>
      </c>
      <c r="N81" s="18" t="n">
        <v>8.090884000000001</v>
      </c>
      <c r="O81" s="19">
        <f>IF(OR(N81="",M81="",M81&lt;=0),"",N81/M81)</f>
        <v/>
      </c>
      <c r="P81" s="20" t="n">
        <v>0.21956</v>
      </c>
      <c r="Q81" s="20" t="n">
        <v>0.1937744228136611</v>
      </c>
      <c r="R81" s="20" t="n">
        <v>0.03527525358757358</v>
      </c>
      <c r="S81" s="21" t="n">
        <v>4</v>
      </c>
      <c r="T81" s="20" t="n"/>
      <c r="U81" s="20" t="n">
        <v>0.2124288696933721</v>
      </c>
      <c r="V81" s="20" t="n">
        <v>0.2412158998778162</v>
      </c>
      <c r="W81" s="20" t="n">
        <v>0.1705843598891195</v>
      </c>
      <c r="X81" s="20" t="n">
        <v>0.1508685617943367</v>
      </c>
      <c r="Y81" s="14" t="n">
        <v>2.92</v>
      </c>
      <c r="Z81" s="19">
        <f>IF(OR(Y81="",F81="",F81=0),"",Y81/F81)</f>
        <v/>
      </c>
      <c r="AA81" s="22" t="n">
        <v>138.023</v>
      </c>
      <c r="AB81" s="20" t="n">
        <v>0.097</v>
      </c>
      <c r="AC81" s="20" t="n">
        <v>0.1316070939979604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2026-10-22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Cummins</t>
        </is>
      </c>
      <c r="C82" s="12" t="inlineStr">
        <is>
          <t>CMI</t>
        </is>
      </c>
      <c r="D82" s="11" t="inlineStr">
        <is>
          <t>Motori</t>
        </is>
      </c>
      <c r="E82" s="13" t="inlineStr">
        <is>
          <t>Industriale</t>
        </is>
      </c>
      <c r="F82" s="14" t="n">
        <v>518.245</v>
      </c>
      <c r="G82" s="15" t="inlineStr">
        <is>
          <t>USD</t>
        </is>
      </c>
      <c r="H82" s="14" t="n">
        <v>461.8081221092159</v>
      </c>
      <c r="I82" s="16" t="n">
        <v>63724.43267004305</v>
      </c>
      <c r="J82" s="16" t="n">
        <v>71512.10000000001</v>
      </c>
      <c r="K82" s="14" t="n">
        <v>19.57</v>
      </c>
      <c r="L82" s="14" t="n">
        <v>34.80721</v>
      </c>
      <c r="M82" s="17">
        <f>IF(OR(F82="",K82="",K82&lt;=0),"",F82/K82)</f>
        <v/>
      </c>
      <c r="N82" s="18" t="n">
        <v>5.553359</v>
      </c>
      <c r="O82" s="19">
        <f>IF(OR(N82="",M82="",M82&lt;=0),"",N82/M82)</f>
        <v/>
      </c>
      <c r="P82" s="20" t="n">
        <v>0.21114</v>
      </c>
      <c r="Q82" s="20" t="n">
        <v>0.2342815370053821</v>
      </c>
      <c r="R82" s="20" t="n">
        <v>0.106522642649389</v>
      </c>
      <c r="S82" s="21" t="n">
        <v>4</v>
      </c>
      <c r="T82" s="20" t="n"/>
      <c r="U82" s="20" t="n">
        <v>0.2302210705320269</v>
      </c>
      <c r="V82" s="20" t="n">
        <v>0.3841884918703145</v>
      </c>
      <c r="W82" s="20" t="n">
        <v>0.08305084745762711</v>
      </c>
      <c r="X82" s="20" t="n">
        <v>0.2396657381615599</v>
      </c>
      <c r="Y82" s="14" t="n">
        <v>8.800000000000001</v>
      </c>
      <c r="Z82" s="19">
        <f>IF(OR(Y82="",F82="",F82=0),"",Y82/F82)</f>
        <v/>
      </c>
      <c r="AA82" s="22" t="n">
        <v>59.586</v>
      </c>
      <c r="AB82" s="20" t="n">
        <v>0.094</v>
      </c>
      <c r="AC82" s="20" t="n">
        <v>0.08063558253638253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2026-10-22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Johnson &amp; Johnson</t>
        </is>
      </c>
      <c r="C83" s="12" t="inlineStr">
        <is>
          <t>JNJ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268.21</v>
      </c>
      <c r="G83" s="15" t="inlineStr">
        <is>
          <t>USD</t>
        </is>
      </c>
      <c r="H83" s="14" t="n">
        <v>239.0019323503609</v>
      </c>
      <c r="I83" s="16" t="n">
        <v>575970.3299342324</v>
      </c>
      <c r="J83" s="16" t="n">
        <v>646358.8</v>
      </c>
      <c r="K83" s="14" t="n">
        <v>6.59</v>
      </c>
      <c r="L83" s="14" t="n">
        <v>11.6175</v>
      </c>
      <c r="M83" s="17">
        <f>IF(OR(F83="",K83="",K83&lt;=0),"",F83/K83)</f>
        <v/>
      </c>
      <c r="N83" s="18" t="n">
        <v>7.601462</v>
      </c>
      <c r="O83" s="19">
        <f>IF(OR(N83="",M83="",M83&lt;=0),"",N83/M83)</f>
        <v/>
      </c>
      <c r="P83" s="20" t="n">
        <v>0.1892842099345645</v>
      </c>
      <c r="Q83" s="20" t="n">
        <v>0.3175483250119345</v>
      </c>
      <c r="R83" s="20" t="n">
        <v>0.1216970967224712</v>
      </c>
      <c r="S83" s="21" t="n">
        <v>4</v>
      </c>
      <c r="T83" s="20" t="n"/>
      <c r="U83" s="20" t="n">
        <v>0.3287059746885117</v>
      </c>
      <c r="V83" s="20" t="n">
        <v>0.1967547908798433</v>
      </c>
      <c r="W83" s="20" t="n">
        <v>0.5111379300316981</v>
      </c>
      <c r="X83" s="20" t="n">
        <v>0.233594604447685</v>
      </c>
      <c r="Y83" s="14" t="n">
        <v>5.36</v>
      </c>
      <c r="Z83" s="19">
        <f>IF(OR(Y83="",F83="",F83=0),"",Y83/F83)</f>
        <v/>
      </c>
      <c r="AA83" s="22" t="n">
        <v>57.709</v>
      </c>
      <c r="AB83" s="20" t="n">
        <v>0.059</v>
      </c>
      <c r="AC83" s="20" t="n">
        <v>0.1708725653923328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2026-10-22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196.6</v>
      </c>
      <c r="G84" s="15" t="inlineStr">
        <is>
          <t>USD</t>
        </is>
      </c>
      <c r="H84" s="14" t="n">
        <v>175.190260989825</v>
      </c>
      <c r="I84" s="16" t="n">
        <v>67446.20095107103</v>
      </c>
      <c r="J84" s="16" t="n">
        <v>75688.7</v>
      </c>
      <c r="K84" s="14" t="n">
        <v>4.42</v>
      </c>
      <c r="L84" s="14" t="n">
        <v>9.19448</v>
      </c>
      <c r="M84" s="17">
        <f>IF(OR(F84="",K84="",K84&lt;=0),"",F84/K84)</f>
        <v/>
      </c>
      <c r="N84" s="18" t="n">
        <v>15.907436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2026-10-22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120.335</v>
      </c>
      <c r="G85" s="15" t="inlineStr">
        <is>
          <t>USD</t>
        </is>
      </c>
      <c r="H85" s="14" t="n">
        <v>107.2305191058524</v>
      </c>
      <c r="I85" s="16" t="n">
        <v>850739.6798366793</v>
      </c>
      <c r="J85" s="16" t="n">
        <v>954707.3</v>
      </c>
      <c r="K85" s="14" t="n">
        <v>2.76</v>
      </c>
      <c r="L85" s="14" t="n">
        <v>3.22649</v>
      </c>
      <c r="M85" s="17">
        <f>IF(OR(F85="",K85="",K85&lt;=0),"",F85/K85)</f>
        <v/>
      </c>
      <c r="N85" s="18" t="n">
        <v>9.728757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2026-10-22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347.75</v>
      </c>
      <c r="G86" s="15" t="inlineStr">
        <is>
          <t>USD</t>
        </is>
      </c>
      <c r="H86" s="14" t="n">
        <v>309.8800267508222</v>
      </c>
      <c r="I86" s="16" t="n">
        <v>83840.30240369771</v>
      </c>
      <c r="J86" s="16" t="n">
        <v>94086.3</v>
      </c>
      <c r="K86" s="14" t="n">
        <v>16.39</v>
      </c>
      <c r="L86" s="14" t="n">
        <v>18.62244</v>
      </c>
      <c r="M86" s="17">
        <f>IF(OR(F86="",K86="",K86&lt;=0),"",F86/K86)</f>
        <v/>
      </c>
      <c r="N86" s="18" t="n">
        <v>3.502014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2026-10-22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442.115</v>
      </c>
      <c r="G87" s="15" t="inlineStr">
        <is>
          <t>USD</t>
        </is>
      </c>
      <c r="H87" s="14" t="n">
        <v>393.9686787259231</v>
      </c>
      <c r="I87" s="16" t="n">
        <v>139180.4642363696</v>
      </c>
      <c r="J87" s="16" t="n">
        <v>156189.5</v>
      </c>
      <c r="K87" s="14" t="n">
        <v>8.27</v>
      </c>
      <c r="L87" s="14" t="n">
        <v>12.39739</v>
      </c>
      <c r="M87" s="17">
        <f>IF(OR(F87="",K87="",K87&lt;=0),"",F87/K87)</f>
        <v/>
      </c>
      <c r="N87" s="18" t="n">
        <v>9.573112</v>
      </c>
      <c r="O87" s="19">
        <f>IF(OR(N87="",M87="",M87&lt;=0),"",N87/M87)</f>
        <v/>
      </c>
      <c r="P87" s="20" t="n">
        <v>0.17932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0.217</v>
      </c>
      <c r="AC87" s="20" t="n">
        <v>0.2938189784096893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2026-10-22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177.03</v>
      </c>
      <c r="G88" s="15" t="inlineStr">
        <is>
          <t>USD</t>
        </is>
      </c>
      <c r="H88" s="14" t="n">
        <v>157.7514338912956</v>
      </c>
      <c r="I88" s="16" t="n">
        <v>648659.9415349286</v>
      </c>
      <c r="J88" s="16" t="n">
        <v>727931.7</v>
      </c>
      <c r="K88" s="14" t="n">
        <v>7.77</v>
      </c>
      <c r="L88" s="14" t="n">
        <v>12.27615</v>
      </c>
      <c r="M88" s="17">
        <f>IF(OR(F88="",K88="",K88&lt;=0),"",F88/K88)</f>
        <v/>
      </c>
      <c r="N88" s="18" t="n">
        <v>2.806436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2026-10-22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111.11</v>
      </c>
      <c r="G89" s="15" t="inlineStr">
        <is>
          <t>USD</t>
        </is>
      </c>
      <c r="H89" s="14" t="n">
        <v>99.0101215594072</v>
      </c>
      <c r="I89" s="16" t="n">
        <v>32865.46127568986</v>
      </c>
      <c r="J89" s="16" t="n">
        <v>36881.9</v>
      </c>
      <c r="K89" s="14" t="n">
        <v>5.07</v>
      </c>
      <c r="L89" s="14" t="n">
        <v>7.40582</v>
      </c>
      <c r="M89" s="17">
        <f>IF(OR(F89="",K89="",K89&lt;=0),"",F89/K89)</f>
        <v/>
      </c>
      <c r="N89" s="18" t="n">
        <v>21.115545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2026-10-22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305.935</v>
      </c>
      <c r="G90" s="15" t="inlineStr">
        <is>
          <t>USD</t>
        </is>
      </c>
      <c r="H90" s="14" t="n">
        <v>272.6186800402955</v>
      </c>
      <c r="I90" s="16" t="n">
        <v>104569.1598308158</v>
      </c>
      <c r="J90" s="16" t="n">
        <v>117348.4</v>
      </c>
      <c r="K90" s="14" t="n">
        <v>9.65</v>
      </c>
      <c r="L90" s="14" t="n">
        <v>16.66221</v>
      </c>
      <c r="M90" s="17">
        <f>IF(OR(F90="",K90="",K90&lt;=0),"",F90/K90)</f>
        <v/>
      </c>
      <c r="N90" s="18" t="n">
        <v>4.891986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2026-10-22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49.245</v>
      </c>
      <c r="G91" s="15" t="inlineStr">
        <is>
          <t>USD</t>
        </is>
      </c>
      <c r="H91" s="14" t="n">
        <v>43.88221974793454</v>
      </c>
      <c r="I91" s="16" t="n">
        <v>65127.46962797021</v>
      </c>
      <c r="J91" s="16" t="n">
        <v>73086.60000000001</v>
      </c>
      <c r="K91" s="14" t="n">
        <v>2.07</v>
      </c>
      <c r="L91" s="14" t="n">
        <v>3.15192</v>
      </c>
      <c r="M91" s="17">
        <f>IF(OR(F91="",K91="",K91&lt;=0),"",F91/K91)</f>
        <v/>
      </c>
      <c r="N91" s="18" t="n">
        <v>2.8031077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2026-10-22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1142.165</v>
      </c>
      <c r="G92" s="15" t="inlineStr">
        <is>
          <t>USD</t>
        </is>
      </c>
      <c r="H92" s="14" t="n">
        <v>1017.783237250475</v>
      </c>
      <c r="I92" s="16" t="n">
        <v>165365.5269943152</v>
      </c>
      <c r="J92" s="16" t="n">
        <v>185574.6</v>
      </c>
      <c r="K92" s="14" t="n">
        <v>43.92</v>
      </c>
      <c r="L92" s="14" t="n">
        <v>64.82592</v>
      </c>
      <c r="M92" s="17">
        <f>IF(OR(F92="",K92="",K92&lt;=0),"",F92/K92)</f>
        <v/>
      </c>
      <c r="N92" s="18" t="n">
        <v>3.072781</v>
      </c>
      <c r="O92" s="19">
        <f>IF(OR(N92="",M92="",M92&lt;=0),"",N92/M92)</f>
        <v/>
      </c>
      <c r="P92" s="20" t="n">
        <v>0.1200718700030968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0.191</v>
      </c>
      <c r="AC92" s="20" t="n">
        <v>0.2854311199207136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2026-10-22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258.295</v>
      </c>
      <c r="G93" s="15" t="inlineStr">
        <is>
          <t>USD</t>
        </is>
      </c>
      <c r="H93" s="14" t="n">
        <v>230.1666758004417</v>
      </c>
      <c r="I93" s="16" t="n">
        <v>52219.26228503884</v>
      </c>
      <c r="J93" s="16" t="n">
        <v>58600.9</v>
      </c>
      <c r="K93" s="14" t="n">
        <v>12.54</v>
      </c>
      <c r="L93" s="14" t="n">
        <v>20.95428</v>
      </c>
      <c r="M93" s="17">
        <f>IF(OR(F93="",K93="",K93&lt;=0),"",F93/K93)</f>
        <v/>
      </c>
      <c r="N93" s="18" t="n">
        <v>2.650539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2026-10-22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248.545</v>
      </c>
      <c r="G94" s="15" t="inlineStr">
        <is>
          <t>USD</t>
        </is>
      </c>
      <c r="H94" s="14" t="n">
        <v>221.4784507513533</v>
      </c>
      <c r="I94" s="16" t="n">
        <v>208662.472258943</v>
      </c>
      <c r="J94" s="16" t="n">
        <v>234162.8</v>
      </c>
      <c r="K94" s="14" t="n">
        <v>11.72</v>
      </c>
      <c r="L94" s="14" t="n">
        <v>13.20947</v>
      </c>
      <c r="M94" s="17">
        <f>IF(OR(F94="",K94="",K94&lt;=0),"",F94/K94)</f>
        <v/>
      </c>
      <c r="N94" s="18" t="n">
        <v>7.132874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2026-10-22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Oracle</t>
        </is>
      </c>
      <c r="C95" s="12" t="inlineStr">
        <is>
          <t>ORCL</t>
        </is>
      </c>
      <c r="D95" s="11" t="inlineStr">
        <is>
          <t>Software / Cloud</t>
        </is>
      </c>
      <c r="E95" s="13" t="inlineStr">
        <is>
          <t>Tecnologia</t>
        </is>
      </c>
      <c r="F95" s="14" t="n">
        <v>123.92</v>
      </c>
      <c r="G95" s="15" t="inlineStr">
        <is>
          <t>USD</t>
        </is>
      </c>
      <c r="H95" s="14" t="n">
        <v>110.4251126239019</v>
      </c>
      <c r="I95" s="16" t="n">
        <v>334753.8358513592</v>
      </c>
      <c r="J95" s="16" t="n">
        <v>375663.6</v>
      </c>
      <c r="K95" s="14" t="n">
        <v>6.38</v>
      </c>
      <c r="L95" s="14" t="n">
        <v>10.99551</v>
      </c>
      <c r="M95" s="17">
        <f>IF(OR(F95="",K95="",K95&lt;=0),"",F95/K95)</f>
        <v/>
      </c>
      <c r="N95" s="18" t="n">
        <v>6.0620294</v>
      </c>
      <c r="O95" s="19">
        <f>IF(OR(N95="",M95="",M95&lt;=0),"",N95/M95)</f>
        <v/>
      </c>
      <c r="P95" s="20" t="n">
        <v>0.41192</v>
      </c>
      <c r="Q95" s="20" t="n">
        <v>2.534365642083217</v>
      </c>
      <c r="R95" s="20" t="n">
        <v>3.125849047166543</v>
      </c>
      <c r="S95" s="21" t="n">
        <v>4</v>
      </c>
      <c r="T95" s="20" t="n">
        <v>0.4019713936200245</v>
      </c>
      <c r="U95" s="20" t="n">
        <v>0.6084299056280866</v>
      </c>
      <c r="V95" s="20" t="n">
        <v>1.202550551470588</v>
      </c>
      <c r="W95" s="20" t="n">
        <v>7.924510717614166</v>
      </c>
      <c r="X95" s="20" t="n"/>
      <c r="Y95" s="14" t="n">
        <v>2</v>
      </c>
      <c r="Z95" s="19">
        <f>IF(OR(Y95="",F95="",F95=0),"",Y95/F95)</f>
        <v/>
      </c>
      <c r="AA95" s="22" t="n">
        <v>251.716</v>
      </c>
      <c r="AB95" s="20" t="n">
        <v>0.296</v>
      </c>
      <c r="AC95" s="20" t="n">
        <v>0.2781596719568865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2026-10-22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509.625</v>
      </c>
      <c r="G96" s="15" t="inlineStr">
        <is>
          <t>USD</t>
        </is>
      </c>
      <c r="H96" s="14" t="n">
        <v>454.1268400658167</v>
      </c>
      <c r="I96" s="16" t="n">
        <v>209343.4508827905</v>
      </c>
      <c r="J96" s="16" t="n">
        <v>234927</v>
      </c>
      <c r="K96" s="14" t="n">
        <v>15.49</v>
      </c>
      <c r="L96" s="14" t="n">
        <v>19.5749</v>
      </c>
      <c r="M96" s="17">
        <f>IF(OR(F96="",K96="",K96&lt;=0),"",F96/K96)</f>
        <v/>
      </c>
      <c r="N96" s="18" t="n">
        <v>6.011288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2026-10-22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Micron Technology</t>
        </is>
      </c>
      <c r="C97" s="12" t="inlineStr">
        <is>
          <t>MU</t>
        </is>
      </c>
      <c r="D97" s="11" t="inlineStr">
        <is>
          <t>Semiconduttori / Memorie</t>
        </is>
      </c>
      <c r="E97" s="13" t="inlineStr">
        <is>
          <t>Tecnologia</t>
        </is>
      </c>
      <c r="F97" s="14" t="n">
        <v>864.05</v>
      </c>
      <c r="G97" s="15" t="inlineStr">
        <is>
          <t>USD</t>
        </is>
      </c>
      <c r="H97" s="14" t="n">
        <v>769.9549593502455</v>
      </c>
      <c r="I97" s="16" t="n">
        <v>871144.8897419686</v>
      </c>
      <c r="J97" s="16" t="n">
        <v>977606.2</v>
      </c>
      <c r="K97" s="14" t="n">
        <v>74.33</v>
      </c>
      <c r="L97" s="14" t="n">
        <v>206.84993</v>
      </c>
      <c r="M97" s="17">
        <f>IF(OR(F97="",K97="",K97&lt;=0),"",F97/K97)</f>
        <v/>
      </c>
      <c r="N97" s="18" t="n">
        <v>7.062117</v>
      </c>
      <c r="O97" s="19">
        <f>IF(OR(N97="",M97="",M97&lt;=0),"",N97/M97)</f>
        <v/>
      </c>
      <c r="P97" s="20" t="n">
        <v>0.8826000000000001</v>
      </c>
      <c r="Q97" s="20" t="n">
        <v>0.05418569393215231</v>
      </c>
      <c r="R97" s="20" t="n">
        <v>0.1236757150852483</v>
      </c>
      <c r="S97" s="21" t="n">
        <v>4</v>
      </c>
      <c r="T97" s="20" t="n"/>
      <c r="U97" s="20" t="n">
        <v>0.1576479276285424</v>
      </c>
      <c r="V97" s="20" t="n">
        <v>0.0172387051029226</v>
      </c>
      <c r="W97" s="20" t="n">
        <v>-0.132207615593835</v>
      </c>
      <c r="X97" s="20" t="n">
        <v>0.1740637585909792</v>
      </c>
      <c r="Y97" s="14" t="n">
        <v>0.6</v>
      </c>
      <c r="Z97" s="19">
        <f>IF(OR(Y97="",F97="",F97=0),"",Y97/F97)</f>
        <v/>
      </c>
      <c r="AA97" s="22" t="n">
        <v>3.743</v>
      </c>
      <c r="AB97" s="20" t="n">
        <v>3.793</v>
      </c>
      <c r="AC97" s="20" t="n">
        <v>2.273235509230028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2026-10-22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Thermo Fisher</t>
        </is>
      </c>
      <c r="C98" s="12" t="inlineStr">
        <is>
          <t>TMO</t>
        </is>
      </c>
      <c r="D98" s="11" t="inlineStr">
        <is>
          <t>Strumentazione life science</t>
        </is>
      </c>
      <c r="E98" s="13" t="inlineStr">
        <is>
          <t>Salute</t>
        </is>
      </c>
      <c r="F98" s="14" t="n">
        <v>680.6351</v>
      </c>
      <c r="G98" s="15" t="inlineStr">
        <is>
          <t>USD</t>
        </is>
      </c>
      <c r="H98" s="14" t="n">
        <v>606.5139410368038</v>
      </c>
      <c r="I98" s="16" t="n">
        <v>224256.9005670515</v>
      </c>
      <c r="J98" s="16" t="n">
        <v>251663</v>
      </c>
      <c r="K98" s="14" t="n">
        <v>18.96</v>
      </c>
      <c r="L98" s="14" t="n">
        <v>27.69546</v>
      </c>
      <c r="M98" s="17">
        <f>IF(OR(F98="",K98="",K98&lt;=0),"",F98/K98)</f>
        <v/>
      </c>
      <c r="N98" s="18" t="n">
        <v>4.598295</v>
      </c>
      <c r="O98" s="19">
        <f>IF(OR(N98="",M98="",M98&lt;=0),"",N98/M98)</f>
        <v/>
      </c>
      <c r="P98" s="20" t="n">
        <v>0.13379</v>
      </c>
      <c r="Q98" s="20" t="n">
        <v>0.1348992605873013</v>
      </c>
      <c r="R98" s="20" t="n">
        <v>0.0133965212757604</v>
      </c>
      <c r="S98" s="21" t="n">
        <v>4</v>
      </c>
      <c r="T98" s="20" t="n"/>
      <c r="U98" s="20" t="n">
        <v>0.1255266163611512</v>
      </c>
      <c r="V98" s="20" t="n">
        <v>0.1277604114147424</v>
      </c>
      <c r="W98" s="20" t="n">
        <v>0.1282764523376485</v>
      </c>
      <c r="X98" s="20" t="n">
        <v>0.1580335622356633</v>
      </c>
      <c r="Y98" s="14" t="n">
        <v>1.88</v>
      </c>
      <c r="Z98" s="19">
        <f>IF(OR(Y98="",F98="",F98=0),"",Y98/F98)</f>
        <v/>
      </c>
      <c r="AA98" s="22" t="n">
        <v>75.36199999999999</v>
      </c>
      <c r="AB98" s="20" t="n">
        <v>0.091</v>
      </c>
      <c r="AC98" s="20" t="n">
        <v>0.1587180465471194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2026-10-22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Elevance Health</t>
        </is>
      </c>
      <c r="C99" s="12" t="inlineStr">
        <is>
          <t>ELV</t>
        </is>
      </c>
      <c r="D99" s="11" t="inlineStr">
        <is>
          <t>Assicurazione sanitaria</t>
        </is>
      </c>
      <c r="E99" s="13" t="inlineStr">
        <is>
          <t>Salute</t>
        </is>
      </c>
      <c r="F99" s="14" t="n">
        <v>447.9</v>
      </c>
      <c r="G99" s="15" t="inlineStr">
        <is>
          <t>USD</t>
        </is>
      </c>
      <c r="H99" s="14" t="n">
        <v>399.1236922550489</v>
      </c>
      <c r="I99" s="16" t="n">
        <v>86557.71186905108</v>
      </c>
      <c r="J99" s="16" t="n">
        <v>97135.8</v>
      </c>
      <c r="K99" s="14" t="n">
        <v>23.55</v>
      </c>
      <c r="L99" s="14" t="n">
        <v>30.1139</v>
      </c>
      <c r="M99" s="17">
        <f>IF(OR(F99="",K99="",K99&lt;=0),"",F99/K99)</f>
        <v/>
      </c>
      <c r="N99" s="18" t="n">
        <v>2.252916</v>
      </c>
      <c r="O99" s="19">
        <f>IF(OR(N99="",M99="",M99&lt;=0),"",N99/M99)</f>
        <v/>
      </c>
      <c r="P99" s="20" t="n">
        <v>0.11133</v>
      </c>
      <c r="Q99" s="20" t="n">
        <v>0.1471779214463593</v>
      </c>
      <c r="R99" s="20" t="n">
        <v>0.01225127753653764</v>
      </c>
      <c r="S99" s="21" t="n">
        <v>4</v>
      </c>
      <c r="T99" s="20" t="n"/>
      <c r="U99" s="20" t="n">
        <v>0.1290278474089604</v>
      </c>
      <c r="V99" s="20" t="n">
        <v>0.1447416192666102</v>
      </c>
      <c r="W99" s="20" t="n">
        <v>0.1523177123085534</v>
      </c>
      <c r="X99" s="20" t="n">
        <v>0.1626245068013134</v>
      </c>
      <c r="Y99" s="14" t="n">
        <v>6.88</v>
      </c>
      <c r="Z99" s="19">
        <f>IF(OR(Y99="",F99="",F99=0),"",Y99/F99)</f>
        <v/>
      </c>
      <c r="AA99" s="22" t="n">
        <v>68.953</v>
      </c>
      <c r="AB99" s="20" t="n">
        <v>0.014</v>
      </c>
      <c r="AC99" s="20" t="n">
        <v>0.02492404172253609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2026-10-22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156.55</v>
      </c>
      <c r="G100" s="15" t="inlineStr">
        <is>
          <t>USD</t>
        </is>
      </c>
      <c r="H100" s="14" t="n">
        <v>139.5017057881847</v>
      </c>
      <c r="I100" s="16" t="n">
        <v>144225.5160248742</v>
      </c>
      <c r="J100" s="16" t="n">
        <v>161851.1</v>
      </c>
      <c r="K100" s="14" t="n">
        <v>1.64</v>
      </c>
      <c r="L100" s="14" t="n">
        <v>5.00711</v>
      </c>
      <c r="M100" s="17">
        <f>IF(OR(F100="",K100="",K100&lt;=0),"",F100/K100)</f>
        <v/>
      </c>
      <c r="N100" s="18" t="n">
        <v>12.931604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2026-10-22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424.7401</v>
      </c>
      <c r="G101" s="15" t="inlineStr">
        <is>
          <t>USD</t>
        </is>
      </c>
      <c r="H101" s="14" t="n">
        <v>378.4859052484454</v>
      </c>
      <c r="I101" s="16" t="n">
        <v>339726.9758694574</v>
      </c>
      <c r="J101" s="16" t="n">
        <v>381244.5</v>
      </c>
      <c r="K101" s="14" t="n">
        <v>15.55</v>
      </c>
      <c r="L101" s="14" t="n">
        <v>23.27457</v>
      </c>
      <c r="M101" s="17">
        <f>IF(OR(F101="",K101="",K101&lt;=0),"",F101/K101)</f>
        <v/>
      </c>
      <c r="N101" s="18" t="n">
        <v>3.6792512</v>
      </c>
      <c r="O101" s="19">
        <f>IF(OR(N101="",M101="",M101&lt;=0),"",N101/M101)</f>
        <v/>
      </c>
      <c r="P101" s="20" t="n">
        <v>0.15773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70.426</v>
      </c>
      <c r="AB101" s="20" t="n">
        <v>-0.004</v>
      </c>
      <c r="AC101" s="20" t="n">
        <v>0.03548965910355321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2026-10-22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Boston Scientific</t>
        </is>
      </c>
      <c r="C102" s="12" t="inlineStr">
        <is>
          <t>BSX</t>
        </is>
      </c>
      <c r="D102" s="11" t="inlineStr">
        <is>
          <t>Dispositivi medicali</t>
        </is>
      </c>
      <c r="E102" s="13" t="inlineStr">
        <is>
          <t>Salute</t>
        </is>
      </c>
      <c r="F102" s="14" t="n">
        <v>45.52</v>
      </c>
      <c r="G102" s="15" t="inlineStr">
        <is>
          <t>USD</t>
        </is>
      </c>
      <c r="H102" s="14" t="n">
        <v>40.56287222918024</v>
      </c>
      <c r="I102" s="16" t="n">
        <v>58784.88712213461</v>
      </c>
      <c r="J102" s="16" t="n">
        <v>65968.89999999999</v>
      </c>
      <c r="K102" s="14" t="n">
        <v>2.47</v>
      </c>
      <c r="L102" s="14" t="n">
        <v>3.37691</v>
      </c>
      <c r="M102" s="17">
        <f>IF(OR(F102="",K102="",K102&lt;=0),"",F102/K102)</f>
        <v/>
      </c>
      <c r="N102" s="18" t="n">
        <v>2.641597</v>
      </c>
      <c r="O102" s="19">
        <f>IF(OR(N102="",M102="",M102&lt;=0),"",N102/M102)</f>
        <v/>
      </c>
      <c r="P102" s="20" t="n">
        <v>0.15338999</v>
      </c>
      <c r="Q102" s="20" t="n">
        <v>0.15338999</v>
      </c>
      <c r="R102" s="20" t="n"/>
      <c r="S102" s="21" t="n">
        <v>0</v>
      </c>
      <c r="T102" s="20" t="n"/>
      <c r="U102" s="20" t="n">
        <v>0.1195939253879168</v>
      </c>
      <c r="V102" s="20" t="n">
        <v>0.08516306844281121</v>
      </c>
      <c r="W102" s="20" t="n">
        <v>0.08262019604792283</v>
      </c>
      <c r="X102" s="20" t="n">
        <v>0.03971776487993627</v>
      </c>
      <c r="Y102" s="14" t="n"/>
      <c r="Z102" s="19">
        <f>IF(OR(Y102="",F102="",F102=0),"",Y102/F102)</f>
        <v/>
      </c>
      <c r="AA102" s="22" t="n">
        <v>50.151</v>
      </c>
      <c r="AB102" s="20" t="n">
        <v>0.075</v>
      </c>
      <c r="AC102" s="20" t="n">
        <v>0.183022809205938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2026-10-22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Abbott Laboratories</t>
        </is>
      </c>
      <c r="C103" s="12" t="inlineStr">
        <is>
          <t>ABT</t>
        </is>
      </c>
      <c r="D103" s="11" t="inlineStr">
        <is>
          <t>Dispositivi medicali</t>
        </is>
      </c>
      <c r="E103" s="13" t="inlineStr">
        <is>
          <t>Salute</t>
        </is>
      </c>
      <c r="F103" s="14" t="n">
        <v>102.085</v>
      </c>
      <c r="G103" s="15" t="inlineStr">
        <is>
          <t>USD</t>
        </is>
      </c>
      <c r="H103" s="14" t="n">
        <v>90.96794401396889</v>
      </c>
      <c r="I103" s="16" t="n">
        <v>158449.1651952378</v>
      </c>
      <c r="J103" s="16" t="n">
        <v>177813</v>
      </c>
      <c r="K103" s="14" t="n">
        <v>2.69</v>
      </c>
      <c r="L103" s="14" t="n">
        <v>5.98762</v>
      </c>
      <c r="M103" s="17">
        <f>IF(OR(F103="",K103="",K103&lt;=0),"",F103/K103)</f>
        <v/>
      </c>
      <c r="N103" s="18" t="n">
        <v>3.4007928</v>
      </c>
      <c r="O103" s="19">
        <f>IF(OR(N103="",M103="",M103&lt;=0),"",N103/M103)</f>
        <v/>
      </c>
      <c r="P103" s="20" t="n">
        <v>0.08945076693714536</v>
      </c>
      <c r="Q103" s="20" t="n">
        <v>0.1858900339052967</v>
      </c>
      <c r="R103" s="20" t="n">
        <v>0.05957173353356353</v>
      </c>
      <c r="S103" s="21" t="n">
        <v>4</v>
      </c>
      <c r="T103" s="20" t="n"/>
      <c r="U103" s="20" t="n">
        <v>0.1251486667945521</v>
      </c>
      <c r="V103" s="20" t="n">
        <v>0.2811765693185633</v>
      </c>
      <c r="W103" s="20" t="n">
        <v>0.1482527264720359</v>
      </c>
      <c r="X103" s="20" t="n">
        <v>0.1889821730360355</v>
      </c>
      <c r="Y103" s="14" t="n">
        <v>2.52</v>
      </c>
      <c r="Z103" s="19">
        <f>IF(OR(Y103="",F103="",F103=0),"",Y103/F103)</f>
        <v/>
      </c>
      <c r="AA103" s="22" t="n">
        <v>63.212</v>
      </c>
      <c r="AB103" s="20" t="n">
        <v>0.145</v>
      </c>
      <c r="AC103" s="20" t="n">
        <v>0.1055089377368706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2026-10-22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324.675</v>
      </c>
      <c r="G104" s="15" t="inlineStr">
        <is>
          <t>USD</t>
        </is>
      </c>
      <c r="H104" s="14" t="n">
        <v>289.3178941346461</v>
      </c>
      <c r="I104" s="16" t="n">
        <v>288649.4800208696</v>
      </c>
      <c r="J104" s="16" t="n">
        <v>323924.9</v>
      </c>
      <c r="K104" s="14" t="n">
        <v>14.29</v>
      </c>
      <c r="L104" s="14" t="n">
        <v>16.0248</v>
      </c>
      <c r="M104" s="17">
        <f>IF(OR(F104="",K104="",K104&lt;=0),"",F104/K104)</f>
        <v/>
      </c>
      <c r="N104" s="18" t="n">
        <v>19.5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2026-10-22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158.045</v>
      </c>
      <c r="G105" s="15" t="inlineStr">
        <is>
          <t>USD</t>
        </is>
      </c>
      <c r="H105" s="14" t="n">
        <v>140.8339002957115</v>
      </c>
      <c r="I105" s="16" t="n">
        <v>78863.59798557933</v>
      </c>
      <c r="J105" s="16" t="n">
        <v>88501.39999999999</v>
      </c>
      <c r="K105" s="14" t="n">
        <v>4.57</v>
      </c>
      <c r="L105" s="14" t="n">
        <v>7.2801</v>
      </c>
      <c r="M105" s="17">
        <f>IF(OR(F105="",K105="",K105&lt;=0),"",F105/K105)</f>
        <v/>
      </c>
      <c r="N105" s="18" t="n">
        <v>4.324894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2026-10-22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225.85</v>
      </c>
      <c r="G106" s="15" t="inlineStr">
        <is>
          <t>USD</t>
        </is>
      </c>
      <c r="H106" s="14" t="n">
        <v>201.2549361370904</v>
      </c>
      <c r="I106" s="16" t="n">
        <v>394791.0749205696</v>
      </c>
      <c r="J106" s="16" t="n">
        <v>443037.9</v>
      </c>
      <c r="K106" s="14" t="n">
        <v>10.39</v>
      </c>
      <c r="L106" s="14" t="n">
        <v>15.18647</v>
      </c>
      <c r="M106" s="17">
        <f>IF(OR(F106="",K106="",K106&lt;=0),"",F106/K106)</f>
        <v/>
      </c>
      <c r="N106" s="18" t="n">
        <v>2.3332126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>
        <v>7.12</v>
      </c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2026-10-22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148.64</v>
      </c>
      <c r="G107" s="15" t="inlineStr">
        <is>
          <t>USD</t>
        </is>
      </c>
      <c r="H107" s="14" t="n">
        <v>132.45310474836</v>
      </c>
      <c r="I107" s="16" t="n">
        <v>326784.5502863327</v>
      </c>
      <c r="J107" s="16" t="n">
        <v>366720.4</v>
      </c>
      <c r="K107" s="14" t="n">
        <v>1.26</v>
      </c>
      <c r="L107" s="14" t="n">
        <v>9.261670000000001</v>
      </c>
      <c r="M107" s="17">
        <f>IF(OR(F107="",K107="",K107&lt;=0),"",F107/K107)</f>
        <v/>
      </c>
      <c r="N107" s="18" t="n">
        <v>8.750736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2026-10-22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Berkshire Hathaway B</t>
        </is>
      </c>
      <c r="C108" s="12" t="inlineStr">
        <is>
          <t>BRK-B</t>
        </is>
      </c>
      <c r="D108" s="11" t="inlineStr">
        <is>
          <t>Conglomerata / Holding</t>
        </is>
      </c>
      <c r="E108" s="13" t="inlineStr">
        <is>
          <t>Finanziario</t>
        </is>
      </c>
      <c r="F108" s="14" t="n">
        <v>549.775</v>
      </c>
      <c r="G108" s="15" t="inlineStr">
        <is>
          <t>USD</t>
        </is>
      </c>
      <c r="H108" s="14" t="n">
        <v>489.9045052679605</v>
      </c>
      <c r="I108" s="16" t="n">
        <v>1048743.3484954</v>
      </c>
      <c r="J108" s="16" t="n">
        <v>1176908.7</v>
      </c>
      <c r="K108" s="14" t="n">
        <v>39.76</v>
      </c>
      <c r="L108" s="14" t="n">
        <v>22.43148</v>
      </c>
      <c r="M108" s="17">
        <f>IF(OR(F108="",K108="",K108&lt;=0),"",F108/K108)</f>
        <v/>
      </c>
      <c r="N108" s="18" t="n">
        <v>0.0010527533</v>
      </c>
      <c r="O108" s="19">
        <f>IF(OR(N108="",M108="",M108&lt;=0),"",N108/M108)</f>
        <v/>
      </c>
      <c r="P108" s="20" t="n">
        <v>0.121199995</v>
      </c>
      <c r="Q108" s="20" t="n">
        <v>0.08843956355337573</v>
      </c>
      <c r="R108" s="20" t="n">
        <v>0.08353327161790873</v>
      </c>
      <c r="S108" s="21" t="n">
        <v>4</v>
      </c>
      <c r="T108" s="20" t="n"/>
      <c r="U108" s="20" t="n">
        <v>0.09334572962243821</v>
      </c>
      <c r="V108" s="20" t="n">
        <v>0.137048638060391</v>
      </c>
      <c r="W108" s="20" t="n">
        <v>0.1714370725119505</v>
      </c>
      <c r="X108" s="20" t="n">
        <v>-0.04807318598127683</v>
      </c>
      <c r="Y108" s="14" t="n"/>
      <c r="Z108" s="19">
        <f>IF(OR(Y108="",F108="",F108=0),"",Y108/F108)</f>
        <v/>
      </c>
      <c r="AA108" s="22" t="n">
        <v>17.142</v>
      </c>
      <c r="AB108" s="20" t="n">
        <v>0.1</v>
      </c>
      <c r="AC108" s="20" t="n">
        <v>0.208924256395516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2026-10-22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62.36</v>
      </c>
      <c r="G109" s="15" t="inlineStr">
        <is>
          <t>USD</t>
        </is>
      </c>
      <c r="H109" s="14" t="n">
        <v>55.56899631396483</v>
      </c>
      <c r="I109" s="16" t="n">
        <v>55548.85745385105</v>
      </c>
      <c r="J109" s="16" t="n">
        <v>62337.4</v>
      </c>
      <c r="K109" s="14" t="n">
        <v>3.52</v>
      </c>
      <c r="L109" s="14" t="n">
        <v>5.01306</v>
      </c>
      <c r="M109" s="17">
        <f>IF(OR(F109="",K109="",K109&lt;=0),"",F109/K109)</f>
        <v/>
      </c>
      <c r="N109" s="18" t="n">
        <v>1.8632166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2026-10-22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Medtronic</t>
        </is>
      </c>
      <c r="C110" s="12" t="inlineStr">
        <is>
          <t>MDT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95.47</v>
      </c>
      <c r="G110" s="15" t="inlineStr">
        <is>
          <t>USD</t>
        </is>
      </c>
      <c r="H110" s="14" t="n">
        <v>85.07331748066424</v>
      </c>
      <c r="I110" s="16" t="n">
        <v>108820.5088448359</v>
      </c>
      <c r="J110" s="16" t="n">
        <v>122119.3</v>
      </c>
      <c r="K110" s="14" t="n">
        <v>4.07</v>
      </c>
      <c r="L110" s="14" t="n">
        <v>6.40607</v>
      </c>
      <c r="M110" s="17">
        <f>IF(OR(F110="",K110="",K110&lt;=0),"",F110/K110)</f>
        <v/>
      </c>
      <c r="N110" s="18" t="n">
        <v>2.4328525</v>
      </c>
      <c r="O110" s="19">
        <f>IF(OR(N110="",M110="",M110&lt;=0),"",N110/M110)</f>
        <v/>
      </c>
      <c r="P110" s="20" t="n">
        <v>0.106479995</v>
      </c>
      <c r="Q110" s="20" t="n">
        <v>0.08508513928303943</v>
      </c>
      <c r="R110" s="20" t="n">
        <v>0.01198455172386248</v>
      </c>
      <c r="S110" s="21" t="n">
        <v>4</v>
      </c>
      <c r="T110" s="20" t="n">
        <v>0.09706245072074075</v>
      </c>
      <c r="U110" s="20" t="n">
        <v>0.09707646176911544</v>
      </c>
      <c r="V110" s="20" t="n">
        <v>0.07320667542916318</v>
      </c>
      <c r="W110" s="20" t="n">
        <v>0.07299496921313832</v>
      </c>
      <c r="X110" s="20" t="n"/>
      <c r="Y110" s="14" t="n">
        <v>2.88</v>
      </c>
      <c r="Z110" s="19">
        <f>IF(OR(Y110="",F110="",F110=0),"",Y110/F110)</f>
        <v/>
      </c>
      <c r="AA110" s="22" t="n">
        <v>55.365</v>
      </c>
      <c r="AB110" s="20" t="n">
        <v>0.137</v>
      </c>
      <c r="AC110" s="20" t="n">
        <v>0.1438510632493675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2026-10-22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MetLife</t>
        </is>
      </c>
      <c r="C111" s="12" t="inlineStr">
        <is>
          <t>MET</t>
        </is>
      </c>
      <c r="D111" s="11" t="inlineStr">
        <is>
          <t>Assicurazione vita</t>
        </is>
      </c>
      <c r="E111" s="13" t="inlineStr">
        <is>
          <t>Finanziario</t>
        </is>
      </c>
      <c r="F111" s="14" t="n">
        <v>102.71</v>
      </c>
      <c r="G111" s="15" t="inlineStr">
        <is>
          <t>USD</t>
        </is>
      </c>
      <c r="H111" s="14" t="n">
        <v>91.52488151711559</v>
      </c>
      <c r="I111" s="16" t="n">
        <v>58161.91910861485</v>
      </c>
      <c r="J111" s="16" t="n">
        <v>65269.8</v>
      </c>
      <c r="K111" s="14" t="n">
        <v>5.22</v>
      </c>
      <c r="L111" s="14" t="n">
        <v>11.16356</v>
      </c>
      <c r="M111" s="17">
        <f>IF(OR(F111="",K111="",K111&lt;=0),"",F111/K111)</f>
        <v/>
      </c>
      <c r="N111" s="18" t="n">
        <v>2.3870504</v>
      </c>
      <c r="O111" s="19">
        <f>IF(OR(N111="",M111="",M111&lt;=0),"",N111/M111)</f>
        <v/>
      </c>
      <c r="P111" s="20" t="n">
        <v>0.13094</v>
      </c>
      <c r="Q111" s="20" t="n">
        <v>0.1274159335614763</v>
      </c>
      <c r="R111" s="20" t="n">
        <v>0.04811596554463902</v>
      </c>
      <c r="S111" s="21" t="n">
        <v>4</v>
      </c>
      <c r="T111" s="20" t="n"/>
      <c r="U111" s="20" t="n">
        <v>0.1189872526234242</v>
      </c>
      <c r="V111" s="20" t="n">
        <v>0.1612679905265076</v>
      </c>
      <c r="W111" s="20" t="n">
        <v>0.05257371314342828</v>
      </c>
      <c r="X111" s="20" t="n">
        <v>0.1768347779525451</v>
      </c>
      <c r="Y111" s="14" t="n">
        <v>2.37</v>
      </c>
      <c r="Z111" s="19">
        <f>IF(OR(Y111="",F111="",F111=0),"",Y111/F111)</f>
        <v/>
      </c>
      <c r="AA111" s="22" t="n">
        <v>179.933</v>
      </c>
      <c r="AB111" s="20" t="n">
        <v>0.105</v>
      </c>
      <c r="AC111" s="20" t="n">
        <v>0.04548338403785656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2026-10-22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Kinder Morgan</t>
        </is>
      </c>
      <c r="C112" s="12" t="inlineStr">
        <is>
          <t>KMI</t>
        </is>
      </c>
      <c r="D112" s="11" t="inlineStr">
        <is>
          <t>Gasdotti</t>
        </is>
      </c>
      <c r="E112" s="13" t="inlineStr">
        <is>
          <t>Energia</t>
        </is>
      </c>
      <c r="F112" s="14" t="n">
        <v>33.73</v>
      </c>
      <c r="G112" s="15" t="inlineStr">
        <is>
          <t>USD</t>
        </is>
      </c>
      <c r="H112" s="14" t="n">
        <v>30.05680316982094</v>
      </c>
      <c r="I112" s="16" t="n">
        <v>66871.17411782213</v>
      </c>
      <c r="J112" s="16" t="n">
        <v>75043.39999999999</v>
      </c>
      <c r="K112" s="14" t="n">
        <v>1.62</v>
      </c>
      <c r="L112" s="14" t="n">
        <v>1.54927</v>
      </c>
      <c r="M112" s="17">
        <f>IF(OR(F112="",K112="",K112&lt;=0),"",F112/K112)</f>
        <v/>
      </c>
      <c r="N112" s="18" t="n">
        <v>2.3725119</v>
      </c>
      <c r="O112" s="19">
        <f>IF(OR(N112="",M112="",M112&lt;=0),"",N112/M112)</f>
        <v/>
      </c>
      <c r="P112" s="20" t="n">
        <v>0.109910004</v>
      </c>
      <c r="Q112" s="20" t="n">
        <v>0.08635798073446269</v>
      </c>
      <c r="R112" s="20" t="n">
        <v>0.007167473388274325</v>
      </c>
      <c r="S112" s="21" t="n">
        <v>4</v>
      </c>
      <c r="T112" s="20" t="n"/>
      <c r="U112" s="20" t="n">
        <v>0.0980681599383865</v>
      </c>
      <c r="V112" s="20" t="n">
        <v>0.08558514296944089</v>
      </c>
      <c r="W112" s="20" t="n">
        <v>0.07889526826371016</v>
      </c>
      <c r="X112" s="20" t="n">
        <v>0.08288335176631319</v>
      </c>
      <c r="Y112" s="14" t="n">
        <v>1.18</v>
      </c>
      <c r="Z112" s="19">
        <f>IF(OR(Y112="",F112="",F112=0),"",Y112/F112)</f>
        <v/>
      </c>
      <c r="AA112" s="22" t="n">
        <v>98.619</v>
      </c>
      <c r="AB112" s="20" t="n">
        <v>0.108</v>
      </c>
      <c r="AC112" s="20" t="n">
        <v>0.2036370039558363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2026-10-22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Colgate-Palmolive</t>
        </is>
      </c>
      <c r="C113" s="12" t="inlineStr">
        <is>
          <t>CL</t>
        </is>
      </c>
      <c r="D113" s="11" t="inlineStr">
        <is>
          <t>Cura della persona</t>
        </is>
      </c>
      <c r="E113" s="13" t="inlineStr">
        <is>
          <t>Consumi</t>
        </is>
      </c>
      <c r="F113" s="14" t="n">
        <v>97.02500000000001</v>
      </c>
      <c r="G113" s="15" t="inlineStr">
        <is>
          <t>USD</t>
        </is>
      </c>
      <c r="H113" s="14" t="n">
        <v>86.45897798849323</v>
      </c>
      <c r="I113" s="16" t="n">
        <v>68922.75365941356</v>
      </c>
      <c r="J113" s="16" t="n">
        <v>77345.7</v>
      </c>
      <c r="K113" s="14" t="n">
        <v>2.54</v>
      </c>
      <c r="L113" s="14" t="n">
        <v>4.08718</v>
      </c>
      <c r="M113" s="17">
        <f>IF(OR(F113="",K113="",K113&lt;=0),"",F113/K113)</f>
        <v/>
      </c>
      <c r="N113" s="18" t="n">
        <v>327.78717</v>
      </c>
      <c r="O113" s="19">
        <f>IF(OR(N113="",M113="",M113&lt;=0),"",N113/M113)</f>
        <v/>
      </c>
      <c r="P113" s="20" t="n">
        <v>2.67367</v>
      </c>
      <c r="Q113" s="20" t="n">
        <v>15.33422365753694</v>
      </c>
      <c r="R113" s="20" t="n">
        <v>14.47425872617575</v>
      </c>
      <c r="S113" s="21" t="n">
        <v>4</v>
      </c>
      <c r="T113" s="20" t="n"/>
      <c r="U113" s="20" t="n">
        <v>39.48148148148148</v>
      </c>
      <c r="V113" s="20" t="n">
        <v>13.62735849056604</v>
      </c>
      <c r="W113" s="20" t="n">
        <v>3.776683087027914</v>
      </c>
      <c r="X113" s="20" t="n">
        <v>4.451371571072319</v>
      </c>
      <c r="Y113" s="14" t="n">
        <v>2.12</v>
      </c>
      <c r="Z113" s="19">
        <f>IF(OR(Y113="",F113="",F113=0),"",Y113/F113)</f>
        <v/>
      </c>
      <c r="AA113" s="22" t="n">
        <v>1388.163</v>
      </c>
      <c r="AB113" s="20" t="n">
        <v>0.049</v>
      </c>
      <c r="AC113" s="20" t="n">
        <v>0.09999018742027278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2026-10-22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Palo Alto Networks</t>
        </is>
      </c>
      <c r="C114" s="12" t="inlineStr">
        <is>
          <t>PANW</t>
        </is>
      </c>
      <c r="D114" s="11" t="inlineStr">
        <is>
          <t>Cybersicurezza</t>
        </is>
      </c>
      <c r="E114" s="13" t="inlineStr">
        <is>
          <t>Tecnologia</t>
        </is>
      </c>
      <c r="F114" s="14" t="n">
        <v>356.32</v>
      </c>
      <c r="G114" s="15" t="inlineStr">
        <is>
          <t>USD</t>
        </is>
      </c>
      <c r="H114" s="14" t="n">
        <v>317.5167537939697</v>
      </c>
      <c r="I114" s="16" t="n">
        <v>259728.7402474674</v>
      </c>
      <c r="J114" s="16" t="n">
        <v>291469.8</v>
      </c>
      <c r="K114" s="14" t="n">
        <v>0.4</v>
      </c>
      <c r="L114" s="14" t="n">
        <v>4.87907</v>
      </c>
      <c r="M114" s="17">
        <f>IF(OR(F114="",K114="",K114&lt;=0),"",F114/K114)</f>
        <v/>
      </c>
      <c r="N114" s="18" t="n">
        <v>10.56295</v>
      </c>
      <c r="O114" s="19">
        <f>IF(OR(N114="",M114="",M114&lt;=0),"",N114/M114)</f>
        <v/>
      </c>
      <c r="P114" s="20" t="n">
        <v>0.01739</v>
      </c>
      <c r="Q114" s="20" t="n">
        <v>0.2265668951458051</v>
      </c>
      <c r="R114" s="20" t="n">
        <v>0.1786925818781736</v>
      </c>
      <c r="S114" s="21" t="n">
        <v>4</v>
      </c>
      <c r="T114" s="20" t="n">
        <v>0.01116688491197439</v>
      </c>
      <c r="U114" s="20" t="n">
        <v>0.1449386503067485</v>
      </c>
      <c r="V114" s="20" t="n">
        <v>0.4986749714683638</v>
      </c>
      <c r="W114" s="20" t="n">
        <v>0.2514870738961336</v>
      </c>
      <c r="X114" s="20" t="n">
        <v>-1.271428571428571</v>
      </c>
      <c r="Y114" s="14" t="n"/>
      <c r="Z114" s="19">
        <f>IF(OR(Y114="",F114="",F114=0),"",Y114/F114)</f>
        <v/>
      </c>
      <c r="AA114" s="22" t="n">
        <v>9.337</v>
      </c>
      <c r="AB114" s="20" t="n">
        <v>0.345</v>
      </c>
      <c r="AC114" s="20" t="n">
        <v>0.02674216027874565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2026-10-22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S&amp;P Global</t>
        </is>
      </c>
      <c r="C115" s="12" t="inlineStr">
        <is>
          <t>SPGI</t>
        </is>
      </c>
      <c r="D115" s="11" t="inlineStr">
        <is>
          <t>Dati e rating</t>
        </is>
      </c>
      <c r="E115" s="13" t="inlineStr">
        <is>
          <t>Finanziario</t>
        </is>
      </c>
      <c r="F115" s="14" t="n">
        <v>453.79</v>
      </c>
      <c r="G115" s="15" t="inlineStr">
        <is>
          <t>USD</t>
        </is>
      </c>
      <c r="H115" s="14" t="n">
        <v>404.3722712847034</v>
      </c>
      <c r="I115" s="16" t="n">
        <v>119208.9527035306</v>
      </c>
      <c r="J115" s="16" t="n">
        <v>133777.3</v>
      </c>
      <c r="K115" s="14" t="n">
        <v>16.43</v>
      </c>
      <c r="L115" s="14" t="n">
        <v>20.16706</v>
      </c>
      <c r="M115" s="17">
        <f>IF(OR(F115="",K115="",K115&lt;=0),"",F115/K115)</f>
        <v/>
      </c>
      <c r="N115" s="18" t="n">
        <v>4.246783</v>
      </c>
      <c r="O115" s="19">
        <f>IF(OR(N115="",M115="",M115&lt;=0),"",N115/M115)</f>
        <v/>
      </c>
      <c r="P115" s="20" t="n">
        <v>0.14255</v>
      </c>
      <c r="Q115" s="20" t="n">
        <v>0.1064621835887914</v>
      </c>
      <c r="R115" s="20" t="n">
        <v>0.02575321793401057</v>
      </c>
      <c r="S115" s="21" t="n">
        <v>4</v>
      </c>
      <c r="T115" s="20" t="n"/>
      <c r="U115" s="20" t="n">
        <v>0.1436373566357182</v>
      </c>
      <c r="V115" s="20" t="n">
        <v>0.1161675563195513</v>
      </c>
      <c r="W115" s="20" t="n">
        <v>0.07678362573099415</v>
      </c>
      <c r="X115" s="20" t="n">
        <v>0.08926019566890184</v>
      </c>
      <c r="Y115" s="14" t="n">
        <v>3.88</v>
      </c>
      <c r="Z115" s="19">
        <f>IF(OR(Y115="",F115="",F115=0),"",Y115/F115)</f>
        <v/>
      </c>
      <c r="AA115" s="22" t="n">
        <v>42.98</v>
      </c>
      <c r="AB115" s="20" t="n">
        <v>0.104</v>
      </c>
      <c r="AC115" s="20" t="n">
        <v>0.3210093771517997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2026-10-22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American Electric Power</t>
        </is>
      </c>
      <c r="C116" s="12" t="inlineStr">
        <is>
          <t>AEP</t>
        </is>
      </c>
      <c r="D116" s="11" t="inlineStr">
        <is>
          <t>Utility</t>
        </is>
      </c>
      <c r="E116" s="13" t="inlineStr">
        <is>
          <t>Utility</t>
        </is>
      </c>
      <c r="F116" s="14" t="n">
        <v>130.26</v>
      </c>
      <c r="G116" s="15" t="inlineStr">
        <is>
          <t>USD</t>
        </is>
      </c>
      <c r="H116" s="14" t="n">
        <v>116.074686655822</v>
      </c>
      <c r="I116" s="16" t="n">
        <v>63190.75287702776</v>
      </c>
      <c r="J116" s="16" t="n">
        <v>70913.2</v>
      </c>
      <c r="K116" s="14" t="n">
        <v>5.77</v>
      </c>
      <c r="L116" s="14" t="n">
        <v>6.86621</v>
      </c>
      <c r="M116" s="17">
        <f>IF(OR(F116="",K116="",K116&lt;=0),"",F116/K116)</f>
        <v/>
      </c>
      <c r="N116" s="18" t="n">
        <v>2.2104566</v>
      </c>
      <c r="O116" s="19">
        <f>IF(OR(N116="",M116="",M116&lt;=0),"",N116/M116)</f>
        <v/>
      </c>
      <c r="P116" s="20" t="n">
        <v>0.10130999</v>
      </c>
      <c r="Q116" s="20" t="n">
        <v>0.1022771363241528</v>
      </c>
      <c r="R116" s="20" t="n">
        <v>0.01089640173381587</v>
      </c>
      <c r="S116" s="21" t="n">
        <v>4</v>
      </c>
      <c r="T116" s="20" t="n"/>
      <c r="U116" s="20" t="n">
        <v>0.1149720598625474</v>
      </c>
      <c r="V116" s="20" t="n">
        <v>0.1101172802850356</v>
      </c>
      <c r="W116" s="20" t="n">
        <v>0.08745697457489493</v>
      </c>
      <c r="X116" s="20" t="n">
        <v>0.09656223057413345</v>
      </c>
      <c r="Y116" s="14" t="n">
        <v>3.88</v>
      </c>
      <c r="Z116" s="19">
        <f>IF(OR(Y116="",F116="",F116=0),"",Y116/F116)</f>
        <v/>
      </c>
      <c r="AA116" s="22" t="n">
        <v>160.789</v>
      </c>
      <c r="AB116" s="20" t="n">
        <v>0.07000000000000001</v>
      </c>
      <c r="AC116" s="20" t="n">
        <v>0.1435820047540684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2026-10-22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PACCAR</t>
        </is>
      </c>
      <c r="C117" s="12" t="inlineStr">
        <is>
          <t>PCAR</t>
        </is>
      </c>
      <c r="D117" s="11" t="inlineStr">
        <is>
          <t>Veicoli industriali</t>
        </is>
      </c>
      <c r="E117" s="13" t="inlineStr">
        <is>
          <t>Industriale</t>
        </is>
      </c>
      <c r="F117" s="14" t="n">
        <v>109.365</v>
      </c>
      <c r="G117" s="15" t="inlineStr">
        <is>
          <t>USD</t>
        </is>
      </c>
      <c r="H117" s="14" t="n">
        <v>97.45515205062161</v>
      </c>
      <c r="I117" s="16" t="n">
        <v>51296.97377982791</v>
      </c>
      <c r="J117" s="16" t="n">
        <v>57565.9</v>
      </c>
      <c r="K117" s="14" t="n">
        <v>4.75</v>
      </c>
      <c r="L117" s="14" t="n">
        <v>7.15963</v>
      </c>
      <c r="M117" s="17">
        <f>IF(OR(F117="",K117="",K117&lt;=0),"",F117/K117)</f>
        <v/>
      </c>
      <c r="N117" s="18" t="n">
        <v>2.8327765</v>
      </c>
      <c r="O117" s="19">
        <f>IF(OR(N117="",M117="",M117&lt;=0),"",N117/M117)</f>
        <v/>
      </c>
      <c r="P117" s="20" t="n">
        <v>0.12755999</v>
      </c>
      <c r="Q117" s="20" t="n">
        <v>0.2198824319294773</v>
      </c>
      <c r="R117" s="20" t="n">
        <v>0.06041575921139673</v>
      </c>
      <c r="S117" s="21" t="n">
        <v>4</v>
      </c>
      <c r="T117" s="20" t="n"/>
      <c r="U117" s="20" t="n">
        <v>0.123328488372093</v>
      </c>
      <c r="V117" s="20" t="n">
        <v>0.2377348359789569</v>
      </c>
      <c r="W117" s="20" t="n">
        <v>0.2897448169886893</v>
      </c>
      <c r="X117" s="20" t="n">
        <v>0.2287215863781698</v>
      </c>
      <c r="Y117" s="14" t="n">
        <v>1.4</v>
      </c>
      <c r="Z117" s="19">
        <f>IF(OR(Y117="",F117="",F117=0),"",Y117/F117)</f>
        <v/>
      </c>
      <c r="AA117" s="22" t="n">
        <v>72.91</v>
      </c>
      <c r="AB117" s="20" t="n">
        <v>0.005</v>
      </c>
      <c r="AC117" s="20" t="n">
        <v>0.08803717853526831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2026-10-22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Equinix</t>
        </is>
      </c>
      <c r="C118" s="12" t="inlineStr">
        <is>
          <t>EQIX</t>
        </is>
      </c>
      <c r="D118" s="11" t="inlineStr">
        <is>
          <t>REIT / Data center</t>
        </is>
      </c>
      <c r="E118" s="13" t="inlineStr">
        <is>
          <t>Immobiliare</t>
        </is>
      </c>
      <c r="F118" s="14" t="n">
        <v>944.5783</v>
      </c>
      <c r="G118" s="15" t="inlineStr">
        <is>
          <t>USD</t>
        </is>
      </c>
      <c r="H118" s="14" t="n">
        <v>841.7137278856826</v>
      </c>
      <c r="I118" s="16" t="n">
        <v>83053.28287925106</v>
      </c>
      <c r="J118" s="16" t="n">
        <v>93203.10000000001</v>
      </c>
      <c r="K118" s="14" t="n">
        <v>15.54</v>
      </c>
      <c r="L118" s="14" t="n">
        <v>18.5275</v>
      </c>
      <c r="M118" s="17">
        <f>IF(OR(F118="",K118="",K118&lt;=0),"",F118/K118)</f>
        <v/>
      </c>
      <c r="N118" s="18" t="n">
        <v>6.4805</v>
      </c>
      <c r="O118" s="19">
        <f>IF(OR(N118="",M118="",M118&lt;=0),"",N118/M118)</f>
        <v/>
      </c>
      <c r="P118" s="20" t="n">
        <v>0.10735</v>
      </c>
      <c r="Q118" s="20" t="n">
        <v>0.07361804446541069</v>
      </c>
      <c r="R118" s="20" t="n">
        <v>0.0143175686792554</v>
      </c>
      <c r="S118" s="21" t="n">
        <v>4</v>
      </c>
      <c r="T118" s="20" t="n"/>
      <c r="U118" s="20" t="n">
        <v>0.09536592257699915</v>
      </c>
      <c r="V118" s="20" t="n">
        <v>0.06024541691306919</v>
      </c>
      <c r="W118" s="20" t="n">
        <v>0.07758827768436224</v>
      </c>
      <c r="X118" s="20" t="n">
        <v>0.06127256068721218</v>
      </c>
      <c r="Y118" s="14" t="n">
        <v>20.64</v>
      </c>
      <c r="Z118" s="19">
        <f>IF(OR(Y118="",F118="",F118=0),"",Y118/F118)</f>
        <v/>
      </c>
      <c r="AA118" s="22" t="n">
        <v>162.217</v>
      </c>
      <c r="AB118" s="20" t="n">
        <v>0.167</v>
      </c>
      <c r="AC118" s="20" t="n">
        <v>0.1663230916784203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2026-10-22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Synopsys</t>
        </is>
      </c>
      <c r="C119" s="12" t="inlineStr">
        <is>
          <t>SNPS</t>
        </is>
      </c>
      <c r="D119" s="11" t="inlineStr">
        <is>
          <t>Software EDA</t>
        </is>
      </c>
      <c r="E119" s="13" t="inlineStr">
        <is>
          <t>Tecnologia</t>
        </is>
      </c>
      <c r="F119" s="14" t="n">
        <v>433.575</v>
      </c>
      <c r="G119" s="15" t="inlineStr">
        <is>
          <t>USD</t>
        </is>
      </c>
      <c r="H119" s="14" t="n">
        <v>386.3586846829266</v>
      </c>
      <c r="I119" s="16" t="n">
        <v>74040.51920832893</v>
      </c>
      <c r="J119" s="16" t="n">
        <v>83088.89999999999</v>
      </c>
      <c r="K119" s="14" t="n">
        <v>5.66</v>
      </c>
      <c r="L119" s="14" t="n">
        <v>18.73285</v>
      </c>
      <c r="M119" s="17">
        <f>IF(OR(F119="",K119="",K119&lt;=0),"",F119/K119)</f>
        <v/>
      </c>
      <c r="N119" s="18" t="n">
        <v>2.666726</v>
      </c>
      <c r="O119" s="19">
        <f>IF(OR(N119="",M119="",M119&lt;=0),"",N119/M119)</f>
        <v/>
      </c>
      <c r="P119" s="20" t="n">
        <v>0.03661</v>
      </c>
      <c r="Q119" s="20" t="n">
        <v>0.1693379698100742</v>
      </c>
      <c r="R119" s="20" t="n">
        <v>0.07546384101190132</v>
      </c>
      <c r="S119" s="21" t="n">
        <v>4</v>
      </c>
      <c r="T119" s="20" t="n"/>
      <c r="U119" s="20" t="n">
        <v>0.04702904255714974</v>
      </c>
      <c r="V119" s="20" t="n">
        <v>0.2517467490302759</v>
      </c>
      <c r="W119" s="20" t="n">
        <v>0.2000693636954582</v>
      </c>
      <c r="X119" s="20" t="n">
        <v>0.1785067239574127</v>
      </c>
      <c r="Y119" s="14" t="n"/>
      <c r="Z119" s="19">
        <f>IF(OR(Y119="",F119="",F119=0),"",Y119/F119)</f>
        <v/>
      </c>
      <c r="AA119" s="22" t="n">
        <v>34.804</v>
      </c>
      <c r="AB119" s="20" t="n">
        <v>0.424</v>
      </c>
      <c r="AC119" s="20" t="n">
        <v>0.1526129587316906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2026-10-22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Southern Company</t>
        </is>
      </c>
      <c r="C120" s="12" t="inlineStr">
        <is>
          <t>SO</t>
        </is>
      </c>
      <c r="D120" s="11" t="inlineStr">
        <is>
          <t>Utility</t>
        </is>
      </c>
      <c r="E120" s="13" t="inlineStr">
        <is>
          <t>Utility</t>
        </is>
      </c>
      <c r="F120" s="14" t="n">
        <v>93.25</v>
      </c>
      <c r="G120" s="15" t="inlineStr">
        <is>
          <t>USD</t>
        </is>
      </c>
      <c r="H120" s="14" t="n">
        <v>83.09507546948718</v>
      </c>
      <c r="I120" s="16" t="n">
        <v>95589.45597008044</v>
      </c>
      <c r="J120" s="16" t="n">
        <v>107271.3</v>
      </c>
      <c r="K120" s="14" t="n">
        <v>4.15</v>
      </c>
      <c r="L120" s="14" t="n">
        <v>4.92213</v>
      </c>
      <c r="M120" s="17">
        <f>IF(OR(F120="",K120="",K120&lt;=0),"",F120/K120)</f>
        <v/>
      </c>
      <c r="N120" s="18" t="n">
        <v>2.7109134</v>
      </c>
      <c r="O120" s="19">
        <f>IF(OR(N120="",M120="",M120&lt;=0),"",N120/M120)</f>
        <v/>
      </c>
      <c r="P120" s="20" t="n">
        <v>0.114829995</v>
      </c>
      <c r="Q120" s="20" t="n">
        <v>0.123939347481506</v>
      </c>
      <c r="R120" s="20" t="n">
        <v>0.006139514343077336</v>
      </c>
      <c r="S120" s="21" t="n">
        <v>4</v>
      </c>
      <c r="T120" s="20" t="n"/>
      <c r="U120" s="20" t="n">
        <v>0.1205297645490893</v>
      </c>
      <c r="V120" s="20" t="n">
        <v>0.132528306432185</v>
      </c>
      <c r="W120" s="20" t="n">
        <v>0.1264470169189671</v>
      </c>
      <c r="X120" s="20" t="n">
        <v>0.1162523020257827</v>
      </c>
      <c r="Y120" s="14" t="n">
        <v>3.04</v>
      </c>
      <c r="Z120" s="19">
        <f>IF(OR(Y120="",F120="",F120=0),"",Y120/F120)</f>
        <v/>
      </c>
      <c r="AA120" s="22" t="n">
        <v>182.058</v>
      </c>
      <c r="AB120" s="20" t="n">
        <v>0.001</v>
      </c>
      <c r="AC120" s="20" t="n">
        <v>0.1576151278042838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2026-10-22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Mondelez International</t>
        </is>
      </c>
      <c r="C121" s="12" t="inlineStr">
        <is>
          <t>MDLZ</t>
        </is>
      </c>
      <c r="D121" s="11" t="inlineStr">
        <is>
          <t>Alimentare</t>
        </is>
      </c>
      <c r="E121" s="13" t="inlineStr">
        <is>
          <t>Consumi</t>
        </is>
      </c>
      <c r="F121" s="14" t="n">
        <v>64.77</v>
      </c>
      <c r="G121" s="15" t="inlineStr">
        <is>
          <t>USD</t>
        </is>
      </c>
      <c r="H121" s="14" t="n">
        <v>57.71654732609849</v>
      </c>
      <c r="I121" s="16" t="n">
        <v>74087.83661859628</v>
      </c>
      <c r="J121" s="16" t="n">
        <v>83142</v>
      </c>
      <c r="K121" s="14" t="n">
        <v>2.72</v>
      </c>
      <c r="L121" s="14" t="n">
        <v>3.35891</v>
      </c>
      <c r="M121" s="17">
        <f>IF(OR(F121="",K121="",K121&lt;=0),"",F121/K121)</f>
        <v/>
      </c>
      <c r="N121" s="18" t="n">
        <v>3.1134932</v>
      </c>
      <c r="O121" s="19">
        <f>IF(OR(N121="",M121="",M121&lt;=0),"",N121/M121)</f>
        <v/>
      </c>
      <c r="P121" s="20" t="n">
        <v>0.13340001</v>
      </c>
      <c r="Q121" s="20" t="n">
        <v>0.1355421523570761</v>
      </c>
      <c r="R121" s="20" t="n">
        <v>0.03766650206384878</v>
      </c>
      <c r="S121" s="21" t="n">
        <v>4</v>
      </c>
      <c r="T121" s="20" t="n"/>
      <c r="U121" s="20" t="n">
        <v>0.09486028330366128</v>
      </c>
      <c r="V121" s="20" t="n">
        <v>0.1712089707411258</v>
      </c>
      <c r="W121" s="20" t="n">
        <v>0.1750317662007624</v>
      </c>
      <c r="X121" s="20" t="n">
        <v>0.1010675891827549</v>
      </c>
      <c r="Y121" s="14" t="n">
        <v>2.08</v>
      </c>
      <c r="Z121" s="19">
        <f>IF(OR(Y121="",F121="",F121=0),"",Y121/F121)</f>
        <v/>
      </c>
      <c r="AA121" s="22" t="n">
        <v>82.643</v>
      </c>
      <c r="AB121" s="20" t="n">
        <v>0.041</v>
      </c>
      <c r="AC121" s="20" t="n">
        <v>0.09123699301969536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2026-10-22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Vertex Pharmaceuticals</t>
        </is>
      </c>
      <c r="C122" s="12" t="inlineStr">
        <is>
          <t>VRTX</t>
        </is>
      </c>
      <c r="D122" s="11" t="inlineStr">
        <is>
          <t>Biotecnologie</t>
        </is>
      </c>
      <c r="E122" s="13" t="inlineStr">
        <is>
          <t>Salute</t>
        </is>
      </c>
      <c r="F122" s="14" t="n">
        <v>536.61</v>
      </c>
      <c r="G122" s="15" t="inlineStr">
        <is>
          <t>USD</t>
        </is>
      </c>
      <c r="H122" s="14" t="n">
        <v>478.1731737016785</v>
      </c>
      <c r="I122" s="16" t="n">
        <v>121121.2533143351</v>
      </c>
      <c r="J122" s="16" t="n">
        <v>135923.3</v>
      </c>
      <c r="K122" s="14" t="n">
        <v>17.17</v>
      </c>
      <c r="L122" s="14" t="n">
        <v>20.10614</v>
      </c>
      <c r="M122" s="17">
        <f>IF(OR(F122="",K122="",K122&lt;=0),"",F122/K122)</f>
        <v/>
      </c>
      <c r="N122" s="18" t="n">
        <v>6.7142553</v>
      </c>
      <c r="O122" s="19">
        <f>IF(OR(N122="",M122="",M122&lt;=0),"",N122/M122)</f>
        <v/>
      </c>
      <c r="P122" s="20" t="n">
        <v>0.23542999</v>
      </c>
      <c r="Q122" s="20" t="n">
        <v>0.1559529985811414</v>
      </c>
      <c r="R122" s="20" t="n">
        <v>0.1095874808620584</v>
      </c>
      <c r="S122" s="21" t="n">
        <v>4</v>
      </c>
      <c r="T122" s="20" t="n"/>
      <c r="U122" s="20" t="n">
        <v>0.2117884044616357</v>
      </c>
      <c r="V122" s="20" t="n">
        <v>-0.03263943057722309</v>
      </c>
      <c r="W122" s="20" t="n">
        <v>0.2058883756911105</v>
      </c>
      <c r="X122" s="20" t="n">
        <v>0.2387746447490423</v>
      </c>
      <c r="Y122" s="14" t="n"/>
      <c r="Z122" s="19">
        <f>IF(OR(Y122="",F122="",F122=0),"",Y122/F122)</f>
        <v/>
      </c>
      <c r="AA122" s="22" t="n">
        <v>9.766999999999999</v>
      </c>
      <c r="AB122" s="20" t="n">
        <v>0.125</v>
      </c>
      <c r="AC122" s="20" t="n">
        <v>0.3670602244756818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2026-10-22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Analog Devices</t>
        </is>
      </c>
      <c r="C123" s="12" t="inlineStr">
        <is>
          <t>ADI</t>
        </is>
      </c>
      <c r="D123" s="11" t="inlineStr">
        <is>
          <t>Semiconduttori</t>
        </is>
      </c>
      <c r="E123" s="13" t="inlineStr">
        <is>
          <t>Tecnologia</t>
        </is>
      </c>
      <c r="F123" s="14" t="n">
        <v>389.765</v>
      </c>
      <c r="G123" s="15" t="inlineStr">
        <is>
          <t>USD</t>
        </is>
      </c>
      <c r="H123" s="14" t="n">
        <v>347.3195934623557</v>
      </c>
      <c r="I123" s="16" t="n">
        <v>168299.11732089</v>
      </c>
      <c r="J123" s="16" t="n">
        <v>188866.7</v>
      </c>
      <c r="K123" s="14" t="n">
        <v>8.42</v>
      </c>
      <c r="L123" s="14" t="n">
        <v>16.50078</v>
      </c>
      <c r="M123" s="17">
        <f>IF(OR(F123="",K123="",K123&lt;=0),"",F123/K123)</f>
        <v/>
      </c>
      <c r="N123" s="18" t="n">
        <v>5.62927</v>
      </c>
      <c r="O123" s="19">
        <f>IF(OR(N123="",M123="",M123&lt;=0),"",N123/M123)</f>
        <v/>
      </c>
      <c r="P123" s="20" t="n">
        <v>0.12227</v>
      </c>
      <c r="Q123" s="20" t="n">
        <v>0.0705274694515223</v>
      </c>
      <c r="R123" s="20" t="n">
        <v>0.01678852536801986</v>
      </c>
      <c r="S123" s="21" t="n">
        <v>4</v>
      </c>
      <c r="T123" s="20" t="n"/>
      <c r="U123" s="20" t="n">
        <v>0.06704987068897324</v>
      </c>
      <c r="V123" s="20" t="n">
        <v>0.04648789695635276</v>
      </c>
      <c r="W123" s="20" t="n">
        <v>0.09319745901616758</v>
      </c>
      <c r="X123" s="20" t="n">
        <v>0.07537465114459564</v>
      </c>
      <c r="Y123" s="14" t="n">
        <v>4.4</v>
      </c>
      <c r="Z123" s="19">
        <f>IF(OR(Y123="",F123="",F123=0),"",Y123/F123)</f>
        <v/>
      </c>
      <c r="AA123" s="22" t="n">
        <v>27.314</v>
      </c>
      <c r="AB123" s="20" t="n">
        <v>0.396</v>
      </c>
      <c r="AC123" s="20" t="n">
        <v>0.3752371913336716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2026-10-22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256.1</v>
      </c>
      <c r="G124" s="15" t="inlineStr">
        <is>
          <t>USD</t>
        </is>
      </c>
      <c r="H124" s="14" t="n">
        <v>228.2107112893906</v>
      </c>
      <c r="I124" s="16" t="n">
        <v>80856.72136684049</v>
      </c>
      <c r="J124" s="16" t="n">
        <v>90738.10000000001</v>
      </c>
      <c r="K124" s="14" t="n">
        <v>10.23</v>
      </c>
      <c r="L124" s="14" t="n">
        <v>13.29821</v>
      </c>
      <c r="M124" s="17">
        <f>IF(OR(F124="",K124="",K124&lt;=0),"",F124/K124)</f>
        <v/>
      </c>
      <c r="N124" s="18" t="n">
        <v>2.8455873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2026-10-22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251.83</v>
      </c>
      <c r="G125" s="15" t="inlineStr">
        <is>
          <t>USD</t>
        </is>
      </c>
      <c r="H125" s="14" t="n">
        <v>224.4057142678923</v>
      </c>
      <c r="I125" s="16" t="n">
        <v>2420510.359705884</v>
      </c>
      <c r="J125" s="16" t="n">
        <v>2716317.3</v>
      </c>
      <c r="K125" s="14" t="n">
        <v>12.43</v>
      </c>
      <c r="L125" s="14" t="n">
        <v>10.44808</v>
      </c>
      <c r="M125" s="17">
        <f>IF(OR(F125="",K125="",K125&lt;=0),"",F125/K125)</f>
        <v/>
      </c>
      <c r="N125" s="18" t="n">
        <v>4.9227853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2026-10-22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Dominion Energy</t>
        </is>
      </c>
      <c r="C126" s="12" t="inlineStr">
        <is>
          <t>D</t>
        </is>
      </c>
      <c r="D126" s="11" t="inlineStr">
        <is>
          <t>Utility</t>
        </is>
      </c>
      <c r="E126" s="13" t="inlineStr">
        <is>
          <t>Utility</t>
        </is>
      </c>
      <c r="F126" s="14" t="n">
        <v>64.37</v>
      </c>
      <c r="G126" s="15" t="inlineStr">
        <is>
          <t>USD</t>
        </is>
      </c>
      <c r="H126" s="14" t="n">
        <v>57.36010732408462</v>
      </c>
      <c r="I126" s="16" t="n">
        <v>50449.7158950409</v>
      </c>
      <c r="J126" s="16" t="n">
        <v>56615.1</v>
      </c>
      <c r="K126" s="14" t="n">
        <v>2.89</v>
      </c>
      <c r="L126" s="14" t="n">
        <v>3.81622</v>
      </c>
      <c r="M126" s="17">
        <f>IF(OR(F126="",K126="",K126&lt;=0),"",F126/K126)</f>
        <v/>
      </c>
      <c r="N126" s="18" t="n">
        <v>2.0280404</v>
      </c>
      <c r="O126" s="19">
        <f>IF(OR(N126="",M126="",M126&lt;=0),"",N126/M126)</f>
        <v/>
      </c>
      <c r="P126" s="20" t="n">
        <v>0.08280999999999999</v>
      </c>
      <c r="Q126" s="20" t="n">
        <v>0.07325849609060171</v>
      </c>
      <c r="R126" s="20" t="n">
        <v>0.02128332004749445</v>
      </c>
      <c r="S126" s="21" t="n">
        <v>4</v>
      </c>
      <c r="T126" s="20" t="n"/>
      <c r="U126" s="20" t="n">
        <v>0.1030842760375477</v>
      </c>
      <c r="V126" s="20" t="n">
        <v>0.07571752968767449</v>
      </c>
      <c r="W126" s="20" t="n">
        <v>0.07117205354227882</v>
      </c>
      <c r="X126" s="20" t="n">
        <v>0.04306012509490582</v>
      </c>
      <c r="Y126" s="14" t="n">
        <v>2.67</v>
      </c>
      <c r="Z126" s="19">
        <f>IF(OR(Y126="",F126="",F126=0),"",Y126/F126)</f>
        <v/>
      </c>
      <c r="AA126" s="22" t="n">
        <v>160.459</v>
      </c>
      <c r="AB126" s="20" t="n">
        <v>0.176</v>
      </c>
      <c r="AC126" s="20" t="n">
        <v>0.1518235715497395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2026-10-22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Prologis</t>
        </is>
      </c>
      <c r="C127" s="12" t="inlineStr">
        <is>
          <t>PLD</t>
        </is>
      </c>
      <c r="D127" s="11" t="inlineStr">
        <is>
          <t>REIT / Logistica</t>
        </is>
      </c>
      <c r="E127" s="13" t="inlineStr">
        <is>
          <t>Immobiliare</t>
        </is>
      </c>
      <c r="F127" s="14" t="n">
        <v>126.05</v>
      </c>
      <c r="G127" s="15" t="inlineStr">
        <is>
          <t>USD</t>
        </is>
      </c>
      <c r="H127" s="14" t="n">
        <v>112.3231556346258</v>
      </c>
      <c r="I127" s="16" t="n">
        <v>109188.3549269142</v>
      </c>
      <c r="J127" s="16" t="n">
        <v>122532.1</v>
      </c>
      <c r="K127" s="14" t="n">
        <v>4.5</v>
      </c>
      <c r="L127" s="14" t="n">
        <v>3.2125</v>
      </c>
      <c r="M127" s="17">
        <f>IF(OR(F127="",K127="",K127&lt;=0),"",F127/K127)</f>
        <v/>
      </c>
      <c r="N127" s="18" t="n">
        <v>2.1426873</v>
      </c>
      <c r="O127" s="19">
        <f>IF(OR(N127="",M127="",M127&lt;=0),"",N127/M127)</f>
        <v/>
      </c>
      <c r="P127" s="20" t="n">
        <v>0.07709000000000001</v>
      </c>
      <c r="Q127" s="20" t="n">
        <v>0.06311608942280056</v>
      </c>
      <c r="R127" s="20" t="n">
        <v>0.004128986030073493</v>
      </c>
      <c r="S127" s="21" t="n">
        <v>4</v>
      </c>
      <c r="T127" s="20" t="n"/>
      <c r="U127" s="20" t="n">
        <v>0.06256875646722969</v>
      </c>
      <c r="V127" s="20" t="n">
        <v>0.06916693768350168</v>
      </c>
      <c r="W127" s="20" t="n">
        <v>0.05752378392246178</v>
      </c>
      <c r="X127" s="20" t="n">
        <v>0.06320487961800905</v>
      </c>
      <c r="Y127" s="14" t="n">
        <v>4.28</v>
      </c>
      <c r="Z127" s="19">
        <f>IF(OR(Y127="",F127="",F127=0),"",Y127/F127)</f>
        <v/>
      </c>
      <c r="AA127" s="22" t="n">
        <v>61.04</v>
      </c>
      <c r="AB127" s="20" t="n">
        <v>0.102</v>
      </c>
      <c r="AC127" s="20" t="n">
        <v>0.4840977719662071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2026-10-22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Uber Technologies</t>
        </is>
      </c>
      <c r="C128" s="12" t="inlineStr">
        <is>
          <t>UBER</t>
        </is>
      </c>
      <c r="D128" s="11" t="inlineStr">
        <is>
          <t>Piattaforme</t>
        </is>
      </c>
      <c r="E128" s="13" t="inlineStr">
        <is>
          <t>Tecnologia</t>
        </is>
      </c>
      <c r="F128" s="14" t="n">
        <v>68.17149999999999</v>
      </c>
      <c r="G128" s="15" t="inlineStr">
        <is>
          <t>USD</t>
        </is>
      </c>
      <c r="H128" s="14" t="n">
        <v>60.74762399322407</v>
      </c>
      <c r="I128" s="16" t="n">
        <v>124080.6855410559</v>
      </c>
      <c r="J128" s="16" t="n">
        <v>139244.4</v>
      </c>
      <c r="K128" s="14" t="n">
        <v>4.56</v>
      </c>
      <c r="L128" s="14" t="n">
        <v>4.41256</v>
      </c>
      <c r="M128" s="17">
        <f>IF(OR(F128="",K128="",K128&lt;=0),"",F128/K128)</f>
        <v/>
      </c>
      <c r="N128" s="18" t="n">
        <v>5.0912247</v>
      </c>
      <c r="O128" s="19">
        <f>IF(OR(N128="",M128="",M128&lt;=0),"",N128/M128)</f>
        <v/>
      </c>
      <c r="P128" s="20" t="n">
        <v>0.3716</v>
      </c>
      <c r="Q128" s="20" t="n">
        <v>-0.06216638498507329</v>
      </c>
      <c r="R128" s="20" t="n">
        <v>0.6911679096695134</v>
      </c>
      <c r="S128" s="21" t="n">
        <v>4</v>
      </c>
      <c r="T128" s="20" t="n"/>
      <c r="U128" s="20" t="n">
        <v>0.3717687955327096</v>
      </c>
      <c r="V128" s="20" t="n">
        <v>0.4571852676500603</v>
      </c>
      <c r="W128" s="20" t="n">
        <v>0.1677482442883812</v>
      </c>
      <c r="X128" s="20" t="n">
        <v>-1.245367847411444</v>
      </c>
      <c r="Y128" s="14" t="n"/>
      <c r="Z128" s="19">
        <f>IF(OR(Y128="",F128="",F128=0),"",Y128/F128)</f>
        <v/>
      </c>
      <c r="AA128" s="22" t="n">
        <v>51.872</v>
      </c>
      <c r="AB128" s="20" t="n">
        <v>0.122</v>
      </c>
      <c r="AC128" s="20" t="n">
        <v>0.1841513314493339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2026-10-22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RTX Corporation</t>
        </is>
      </c>
      <c r="C129" s="12" t="inlineStr">
        <is>
          <t>RTX</t>
        </is>
      </c>
      <c r="D129" s="11" t="inlineStr">
        <is>
          <t>Difesa / Aerospazio</t>
        </is>
      </c>
      <c r="E129" s="13" t="inlineStr">
        <is>
          <t>Industriale</t>
        </is>
      </c>
      <c r="F129" s="14" t="n">
        <v>192.1</v>
      </c>
      <c r="G129" s="15" t="inlineStr">
        <is>
          <t>USD</t>
        </is>
      </c>
      <c r="H129" s="14" t="n">
        <v>171.1803109671688</v>
      </c>
      <c r="I129" s="16" t="n">
        <v>230709.6230335094</v>
      </c>
      <c r="J129" s="16" t="n">
        <v>258904.3</v>
      </c>
      <c r="K129" s="14" t="n">
        <v>6.15</v>
      </c>
      <c r="L129" s="14" t="n">
        <v>8.02746</v>
      </c>
      <c r="M129" s="17">
        <f>IF(OR(F129="",K129="",K129&lt;=0),"",F129/K129)</f>
        <v/>
      </c>
      <c r="N129" s="18" t="n">
        <v>3.7510006</v>
      </c>
      <c r="O129" s="19">
        <f>IF(OR(N129="",M129="",M129&lt;=0),"",N129/M129)</f>
        <v/>
      </c>
      <c r="P129" s="20" t="n">
        <v>0.1285</v>
      </c>
      <c r="Q129" s="20" t="n">
        <v>0.07688075362298834</v>
      </c>
      <c r="R129" s="20" t="n">
        <v>0.01786161675583029</v>
      </c>
      <c r="S129" s="21" t="n">
        <v>4</v>
      </c>
      <c r="T129" s="20" t="n"/>
      <c r="U129" s="20" t="n">
        <v>0.1031803203310599</v>
      </c>
      <c r="V129" s="20" t="n">
        <v>0.07936032980916284</v>
      </c>
      <c r="W129" s="20" t="n">
        <v>0.05342988059801331</v>
      </c>
      <c r="X129" s="20" t="n">
        <v>0.07155248375371737</v>
      </c>
      <c r="Y129" s="14" t="n">
        <v>2.92</v>
      </c>
      <c r="Z129" s="19">
        <f>IF(OR(Y129="",F129="",F129=0),"",Y129/F129)</f>
        <v/>
      </c>
      <c r="AA129" s="22" t="n">
        <v>54.758</v>
      </c>
      <c r="AB129" s="20" t="n">
        <v>0.111</v>
      </c>
      <c r="AC129" s="20" t="n">
        <v>0.09483877304380213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2026-10-22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Bristol-Myers Squibb</t>
        </is>
      </c>
      <c r="C130" s="12" t="inlineStr">
        <is>
          <t>BMY</t>
        </is>
      </c>
      <c r="D130" s="11" t="inlineStr">
        <is>
          <t>Farmaceutica</t>
        </is>
      </c>
      <c r="E130" s="13" t="inlineStr">
        <is>
          <t>Salute</t>
        </is>
      </c>
      <c r="F130" s="14" t="n">
        <v>62.73</v>
      </c>
      <c r="G130" s="15" t="inlineStr">
        <is>
          <t>USD</t>
        </is>
      </c>
      <c r="H130" s="14" t="n">
        <v>55.89870331582767</v>
      </c>
      <c r="I130" s="16" t="n">
        <v>114185.1090951459</v>
      </c>
      <c r="J130" s="16" t="n">
        <v>128139.5</v>
      </c>
      <c r="K130" s="14" t="n">
        <v>4.54</v>
      </c>
      <c r="L130" s="14" t="n">
        <v>6.60687</v>
      </c>
      <c r="M130" s="17">
        <f>IF(OR(F130="",K130="",K130&lt;=0),"",F130/K130)</f>
        <v/>
      </c>
      <c r="N130" s="18" t="n">
        <v>5.741876</v>
      </c>
      <c r="O130" s="19">
        <f>IF(OR(N130="",M130="",M130&lt;=0),"",N130/M130)</f>
        <v/>
      </c>
      <c r="P130" s="20" t="n">
        <v>0.46598998</v>
      </c>
      <c r="Q130" s="20" t="n">
        <v>0.07761266271412175</v>
      </c>
      <c r="R130" s="20" t="n">
        <v>0.3666158804610691</v>
      </c>
      <c r="S130" s="21" t="n">
        <v>4</v>
      </c>
      <c r="T130" s="20" t="n"/>
      <c r="U130" s="20" t="n">
        <v>0.3818545986033671</v>
      </c>
      <c r="V130" s="20" t="n">
        <v>-0.5477808386899296</v>
      </c>
      <c r="W130" s="20" t="n">
        <v>0.2726809378185525</v>
      </c>
      <c r="X130" s="20" t="n">
        <v>0.203695953124497</v>
      </c>
      <c r="Y130" s="14" t="n">
        <v>2.52</v>
      </c>
      <c r="Z130" s="19">
        <f>IF(OR(Y130="",F130="",F130=0),"",Y130/F130)</f>
        <v/>
      </c>
      <c r="AA130" s="22" t="n">
        <v>201.859</v>
      </c>
      <c r="AB130" s="20" t="n">
        <v>0.057</v>
      </c>
      <c r="AC130" s="20" t="n">
        <v>0.1925925899367154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2026-10-22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Tesla</t>
        </is>
      </c>
      <c r="C131" s="12" t="inlineStr">
        <is>
          <t>TSLA</t>
        </is>
      </c>
      <c r="D131" s="11" t="inlineStr">
        <is>
          <t>Auto elettriche</t>
        </is>
      </c>
      <c r="E131" s="13" t="inlineStr">
        <is>
          <t>Consumi</t>
        </is>
      </c>
      <c r="F131" s="14" t="n">
        <v>378.17</v>
      </c>
      <c r="G131" s="15" t="inlineStr">
        <is>
          <t>USD</t>
        </is>
      </c>
      <c r="H131" s="14" t="n">
        <v>336.9872889039782</v>
      </c>
      <c r="I131" s="16" t="n">
        <v>1330947.323959852</v>
      </c>
      <c r="J131" s="16" t="n">
        <v>1493600.4</v>
      </c>
      <c r="K131" s="14" t="n">
        <v>1.08</v>
      </c>
      <c r="L131" s="14" t="n">
        <v>2.12815</v>
      </c>
      <c r="M131" s="17">
        <f>IF(OR(F131="",K131="",K131&lt;=0),"",F131/K131)</f>
        <v/>
      </c>
      <c r="N131" s="18" t="n">
        <v>17.270403</v>
      </c>
      <c r="O131" s="19">
        <f>IF(OR(N131="",M131="",M131&lt;=0),"",N131/M131)</f>
        <v/>
      </c>
      <c r="P131" s="20" t="n">
        <v>0.046669997</v>
      </c>
      <c r="Q131" s="20" t="n">
        <v>0.1662307907254467</v>
      </c>
      <c r="R131" s="20" t="n">
        <v>0.09713259207574809</v>
      </c>
      <c r="S131" s="21" t="n">
        <v>4</v>
      </c>
      <c r="T131" s="20" t="n"/>
      <c r="U131" s="20" t="n">
        <v>0.04619111971462313</v>
      </c>
      <c r="V131" s="20" t="n">
        <v>0.09778777447094482</v>
      </c>
      <c r="W131" s="20" t="n">
        <v>0.2394705750870134</v>
      </c>
      <c r="X131" s="20" t="n">
        <v>0.2814736936292054</v>
      </c>
      <c r="Y131" s="14" t="n"/>
      <c r="Z131" s="19">
        <f>IF(OR(Y131="",F131="",F131=0),"",Y131/F131)</f>
        <v/>
      </c>
      <c r="AA131" s="22" t="n">
        <v>18.373</v>
      </c>
      <c r="AB131" s="20" t="n">
        <v>0.255</v>
      </c>
      <c r="AC131" s="20" t="n">
        <v>0.04013624946481487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2026-10-22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229.545</v>
      </c>
      <c r="G132" s="15" t="inlineStr">
        <is>
          <t>USD</t>
        </is>
      </c>
      <c r="H132" s="14" t="n">
        <v>204.5475506556937</v>
      </c>
      <c r="I132" s="16" t="n">
        <v>143794.0454024364</v>
      </c>
      <c r="J132" s="16" t="n">
        <v>161366.9</v>
      </c>
      <c r="K132" s="14" t="n">
        <v>6.04</v>
      </c>
      <c r="L132" s="14" t="n">
        <v>9.32375</v>
      </c>
      <c r="M132" s="17">
        <f>IF(OR(F132="",K132="",K132&lt;=0),"",F132/K132)</f>
        <v/>
      </c>
      <c r="N132" s="18" t="n">
        <v>3.0111763</v>
      </c>
      <c r="O132" s="19">
        <f>IF(OR(N132="",M132="",M132&lt;=0),"",N132/M132)</f>
        <v/>
      </c>
      <c r="P132" s="20" t="n">
        <v>0.081920005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49.376</v>
      </c>
      <c r="AB132" s="20" t="n">
        <v>0.083</v>
      </c>
      <c r="AC132" s="20" t="n">
        <v>0.1745766825138391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2026-10-22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Freeport-McMoRan</t>
        </is>
      </c>
      <c r="C133" s="12" t="inlineStr">
        <is>
          <t>FCX</t>
        </is>
      </c>
      <c r="D133" s="11" t="inlineStr">
        <is>
          <t>Rame</t>
        </is>
      </c>
      <c r="E133" s="13" t="inlineStr">
        <is>
          <t>Materiali</t>
        </is>
      </c>
      <c r="F133" s="14" t="n">
        <v>64.6921</v>
      </c>
      <c r="G133" s="15" t="inlineStr">
        <is>
          <t>USD</t>
        </is>
      </c>
      <c r="H133" s="14" t="n">
        <v>57.64713063570629</v>
      </c>
      <c r="I133" s="16" t="n">
        <v>82782.29936772</v>
      </c>
      <c r="J133" s="16" t="n">
        <v>92899</v>
      </c>
      <c r="K133" s="14" t="n">
        <v>2.03</v>
      </c>
      <c r="L133" s="14" t="n">
        <v>4.35504</v>
      </c>
      <c r="M133" s="17">
        <f>IF(OR(F133="",K133="",K133&lt;=0),"",F133/K133)</f>
        <v/>
      </c>
      <c r="N133" s="18" t="n">
        <v>4.6198745</v>
      </c>
      <c r="O133" s="19">
        <f>IF(OR(N133="",M133="",M133&lt;=0),"",N133/M133)</f>
        <v/>
      </c>
      <c r="P133" s="20" t="n">
        <v>0.14755</v>
      </c>
      <c r="Q133" s="20" t="n">
        <v>0.139430342603264</v>
      </c>
      <c r="R133" s="20" t="n">
        <v>0.04833258025963022</v>
      </c>
      <c r="S133" s="21" t="n">
        <v>4</v>
      </c>
      <c r="T133" s="20" t="n"/>
      <c r="U133" s="20" t="n">
        <v>0.1166199269802635</v>
      </c>
      <c r="V133" s="20" t="n">
        <v>0.1074455377964848</v>
      </c>
      <c r="W133" s="20" t="n">
        <v>0.1107050859641766</v>
      </c>
      <c r="X133" s="20" t="n">
        <v>0.2229508196721312</v>
      </c>
      <c r="Y133" s="14" t="n">
        <v>0.6</v>
      </c>
      <c r="Z133" s="19">
        <f>IF(OR(Y133="",F133="",F133=0),"",Y133/F133)</f>
        <v/>
      </c>
      <c r="AA133" s="22" t="n">
        <v>32.149</v>
      </c>
      <c r="AB133" s="20" t="n">
        <v>-0.073</v>
      </c>
      <c r="AC133" s="20" t="n">
        <v>0.1132934593864557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2026-10-22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79</v>
      </c>
      <c r="G134" s="15" t="inlineStr">
        <is>
          <t>USD</t>
        </is>
      </c>
      <c r="H134" s="14" t="n">
        <v>70.3969003977425</v>
      </c>
      <c r="I134" s="16" t="n">
        <v>43972.30995844355</v>
      </c>
      <c r="J134" s="16" t="n">
        <v>49346.1</v>
      </c>
      <c r="K134" s="14" t="n">
        <v>3.69</v>
      </c>
      <c r="L134" s="14" t="n">
        <v>4.54034</v>
      </c>
      <c r="M134" s="17">
        <f>IF(OR(F134="",K134="",K134&lt;=0),"",F134/K134)</f>
        <v/>
      </c>
      <c r="N134" s="18" t="n">
        <v>2.0504568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>
        <v>2.37</v>
      </c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2026-10-22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General Motors</t>
        </is>
      </c>
      <c r="C135" s="12" t="inlineStr">
        <is>
          <t>GM</t>
        </is>
      </c>
      <c r="D135" s="11" t="inlineStr">
        <is>
          <t>Auto</t>
        </is>
      </c>
      <c r="E135" s="13" t="inlineStr">
        <is>
          <t>Consumi</t>
        </is>
      </c>
      <c r="F135" s="14" t="n">
        <v>76.75</v>
      </c>
      <c r="G135" s="15" t="inlineStr">
        <is>
          <t>USD</t>
        </is>
      </c>
      <c r="H135" s="14" t="n">
        <v>68.39192538641439</v>
      </c>
      <c r="I135" s="16" t="n">
        <v>60010.59517905986</v>
      </c>
      <c r="J135" s="16" t="n">
        <v>67344.39999999999</v>
      </c>
      <c r="K135" s="14" t="n">
        <v>4.57</v>
      </c>
      <c r="L135" s="14" t="n">
        <v>14.80757</v>
      </c>
      <c r="M135" s="17">
        <f>IF(OR(F135="",K135="",K135&lt;=0),"",F135/K135)</f>
        <v/>
      </c>
      <c r="N135" s="18" t="n">
        <v>1.0656022</v>
      </c>
      <c r="O135" s="19">
        <f>IF(OR(N135="",M135="",M135&lt;=0),"",N135/M135)</f>
        <v/>
      </c>
      <c r="P135" s="20" t="n">
        <v>0.06282</v>
      </c>
      <c r="Q135" s="20" t="n">
        <v>0.1108625303622402</v>
      </c>
      <c r="R135" s="20" t="n">
        <v>0.04513231830896564</v>
      </c>
      <c r="S135" s="21" t="n">
        <v>4</v>
      </c>
      <c r="T135" s="20" t="n"/>
      <c r="U135" s="20" t="n">
        <v>0.04412703087419624</v>
      </c>
      <c r="V135" s="20" t="n">
        <v>0.09525621511922881</v>
      </c>
      <c r="W135" s="20" t="n">
        <v>0.1575304109759512</v>
      </c>
      <c r="X135" s="20" t="n">
        <v>0.1465364644795846</v>
      </c>
      <c r="Y135" s="14" t="n">
        <v>0.72</v>
      </c>
      <c r="Z135" s="19">
        <f>IF(OR(Y135="",F135="",F135=0),"",Y135/F135)</f>
        <v/>
      </c>
      <c r="AA135" s="22" t="n">
        <v>199.546</v>
      </c>
      <c r="AB135" s="20" t="n">
        <v>0.029</v>
      </c>
      <c r="AC135" s="20" t="n">
        <v>0.02638107403023473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2026-10-22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Duke Energy</t>
        </is>
      </c>
      <c r="C136" s="12" t="inlineStr">
        <is>
          <t>DUK</t>
        </is>
      </c>
      <c r="D136" s="11" t="inlineStr">
        <is>
          <t>Utility</t>
        </is>
      </c>
      <c r="E136" s="13" t="inlineStr">
        <is>
          <t>Utility</t>
        </is>
      </c>
      <c r="F136" s="14" t="n">
        <v>124.435</v>
      </c>
      <c r="G136" s="15" t="inlineStr">
        <is>
          <t>USD</t>
        </is>
      </c>
      <c r="H136" s="14" t="n">
        <v>110.8840291264948</v>
      </c>
      <c r="I136" s="16" t="n">
        <v>86456.48290847913</v>
      </c>
      <c r="J136" s="16" t="n">
        <v>97022.2</v>
      </c>
      <c r="K136" s="14" t="n">
        <v>6.64</v>
      </c>
      <c r="L136" s="14" t="n">
        <v>7.16947</v>
      </c>
      <c r="M136" s="17">
        <f>IF(OR(F136="",K136="",K136&lt;=0),"",F136/K136)</f>
        <v/>
      </c>
      <c r="N136" s="18" t="n">
        <v>1.8048183</v>
      </c>
      <c r="O136" s="19">
        <f>IF(OR(N136="",M136="",M136&lt;=0),"",N136/M136)</f>
        <v/>
      </c>
      <c r="P136" s="20" t="n">
        <v>0.098570004</v>
      </c>
      <c r="Q136" s="20" t="n">
        <v>0.0739075032235007</v>
      </c>
      <c r="R136" s="20" t="n">
        <v>0.01935651027259411</v>
      </c>
      <c r="S136" s="21" t="n">
        <v>4</v>
      </c>
      <c r="T136" s="20" t="n"/>
      <c r="U136" s="20" t="n">
        <v>0.09582963620230701</v>
      </c>
      <c r="V136" s="20" t="n">
        <v>0.09025076306182298</v>
      </c>
      <c r="W136" s="20" t="n">
        <v>0.05784854716865875</v>
      </c>
      <c r="X136" s="20" t="n">
        <v>0.05170106646121406</v>
      </c>
      <c r="Y136" s="14" t="n">
        <v>4.34</v>
      </c>
      <c r="Z136" s="19">
        <f>IF(OR(Y136="",F136="",F136=0),"",Y136/F136)</f>
        <v/>
      </c>
      <c r="AA136" s="22" t="n">
        <v>162.155</v>
      </c>
      <c r="AB136" s="20" t="n">
        <v>0.011</v>
      </c>
      <c r="AC136" s="20" t="n">
        <v>0.1603126841827713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2026-10-22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169.37</v>
      </c>
      <c r="G137" s="15" t="inlineStr">
        <is>
          <t>USD</t>
        </is>
      </c>
      <c r="H137" s="14" t="n">
        <v>150.9256078527297</v>
      </c>
      <c r="I137" s="16" t="n">
        <v>56999.12271204505</v>
      </c>
      <c r="J137" s="16" t="n">
        <v>63964.9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2.346885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2026-10-22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56.81</v>
      </c>
      <c r="G138" s="15" t="inlineStr">
        <is>
          <t>USD</t>
        </is>
      </c>
      <c r="H138" s="14" t="n">
        <v>50.62339128602217</v>
      </c>
      <c r="I138" s="16" t="n">
        <v>47900.8134406396</v>
      </c>
      <c r="J138" s="16" t="n">
        <v>53754.7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1.359156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2026-10-22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American International Group</t>
        </is>
      </c>
      <c r="C139" s="12" t="inlineStr">
        <is>
          <t>AIG</t>
        </is>
      </c>
      <c r="D139" s="11" t="inlineStr">
        <is>
          <t>Assicurazione</t>
        </is>
      </c>
      <c r="E139" s="13" t="inlineStr">
        <is>
          <t>Finanziario</t>
        </is>
      </c>
      <c r="F139" s="14" t="n">
        <v>82.7</v>
      </c>
      <c r="G139" s="15" t="inlineStr">
        <is>
          <t>USD</t>
        </is>
      </c>
      <c r="H139" s="14" t="n">
        <v>73.69397041637095</v>
      </c>
      <c r="I139" s="16" t="n">
        <v>38534.1048477177</v>
      </c>
      <c r="J139" s="16" t="n">
        <v>43243.3</v>
      </c>
      <c r="K139" s="14" t="n">
        <v>5.46</v>
      </c>
      <c r="L139" s="14" t="n">
        <v>8.81019</v>
      </c>
      <c r="M139" s="17">
        <f>IF(OR(F139="",K139="",K139&lt;=0),"",F139/K139)</f>
        <v/>
      </c>
      <c r="N139" s="18" t="n">
        <v>1.0686687</v>
      </c>
      <c r="O139" s="19">
        <f>IF(OR(N139="",M139="",M139&lt;=0),"",N139/M139)</f>
        <v/>
      </c>
      <c r="P139" s="20" t="n">
        <v>0.0722</v>
      </c>
      <c r="Q139" s="20" t="n">
        <v>0.09304718508131808</v>
      </c>
      <c r="R139" s="20" t="n">
        <v>0.1011020395574324</v>
      </c>
      <c r="S139" s="21" t="n">
        <v>4</v>
      </c>
      <c r="T139" s="20" t="n"/>
      <c r="U139" s="20" t="n">
        <v>0.07525705534893896</v>
      </c>
      <c r="V139" s="20" t="n">
        <v>-0.0330189788575057</v>
      </c>
      <c r="W139" s="20" t="n">
        <v>0.08032898943793963</v>
      </c>
      <c r="X139" s="20" t="n">
        <v>0.2496216743958994</v>
      </c>
      <c r="Y139" s="14" t="n">
        <v>2</v>
      </c>
      <c r="Z139" s="19">
        <f>IF(OR(Y139="",F139="",F139=0),"",Y139/F139)</f>
        <v/>
      </c>
      <c r="AA139" s="22" t="n">
        <v>22.466</v>
      </c>
      <c r="AB139" s="20" t="n">
        <v>0.005</v>
      </c>
      <c r="AC139" s="20" t="n">
        <v>0.1107417620079181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2026-10-22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Sempra</t>
        </is>
      </c>
      <c r="C140" s="12" t="inlineStr">
        <is>
          <t>SRE</t>
        </is>
      </c>
      <c r="D140" s="11" t="inlineStr">
        <is>
          <t>Utility</t>
        </is>
      </c>
      <c r="E140" s="13" t="inlineStr">
        <is>
          <t>Utility</t>
        </is>
      </c>
      <c r="F140" s="14" t="n">
        <v>84.31</v>
      </c>
      <c r="G140" s="15" t="inlineStr">
        <is>
          <t>USD</t>
        </is>
      </c>
      <c r="H140" s="14" t="n">
        <v>75.12864142447683</v>
      </c>
      <c r="I140" s="16" t="n">
        <v>49126.61060756536</v>
      </c>
      <c r="J140" s="16" t="n">
        <v>55130.3</v>
      </c>
      <c r="K140" s="14" t="n">
        <v>3.46</v>
      </c>
      <c r="L140" s="14" t="n">
        <v>5.53961</v>
      </c>
      <c r="M140" s="17">
        <f>IF(OR(F140="",K140="",K140&lt;=0),"",F140/K140)</f>
        <v/>
      </c>
      <c r="N140" s="18" t="n">
        <v>1.686335</v>
      </c>
      <c r="O140" s="19">
        <f>IF(OR(N140="",M140="",M140&lt;=0),"",N140/M140)</f>
        <v/>
      </c>
      <c r="P140" s="20" t="n">
        <v>0.06679</v>
      </c>
      <c r="Q140" s="20" t="n">
        <v>0.0839260568573944</v>
      </c>
      <c r="R140" s="20" t="n">
        <v>0.01796868981652871</v>
      </c>
      <c r="S140" s="21" t="n">
        <v>4</v>
      </c>
      <c r="T140" s="20" t="n"/>
      <c r="U140" s="20" t="n">
        <v>0.058107167710508</v>
      </c>
      <c r="V140" s="20" t="n">
        <v>0.09160745150758594</v>
      </c>
      <c r="W140" s="20" t="n">
        <v>0.1071615263983272</v>
      </c>
      <c r="X140" s="20" t="n">
        <v>0.07882808181315644</v>
      </c>
      <c r="Y140" s="14" t="n">
        <v>2.63</v>
      </c>
      <c r="Z140" s="19">
        <f>IF(OR(Y140="",F140="",F140=0),"",Y140/F140)</f>
        <v/>
      </c>
      <c r="AA140" s="22" t="n">
        <v>84.663</v>
      </c>
      <c r="AB140" s="20" t="n">
        <v>-0.001</v>
      </c>
      <c r="AC140" s="20" t="n">
        <v>0.1650853983360094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2026-10-22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248.445</v>
      </c>
      <c r="G141" s="15" t="inlineStr">
        <is>
          <t>USD</t>
        </is>
      </c>
      <c r="H141" s="14" t="n">
        <v>221.3893407508498</v>
      </c>
      <c r="I141" s="16" t="n">
        <v>182203.3962494492</v>
      </c>
      <c r="J141" s="16" t="n">
        <v>204470.2</v>
      </c>
      <c r="K141" s="14" t="n">
        <v>10.93</v>
      </c>
      <c r="L141" s="14" t="n">
        <v>16.02297</v>
      </c>
      <c r="M141" s="17">
        <f>IF(OR(F141="",K141="",K141&lt;=0),"",F141/K141)</f>
        <v/>
      </c>
      <c r="N141" s="18" t="n">
        <v>5.3277793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2026-10-22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3M</t>
        </is>
      </c>
      <c r="C142" s="12" t="inlineStr">
        <is>
          <t>MMM</t>
        </is>
      </c>
      <c r="D142" s="11" t="inlineStr">
        <is>
          <t>Conglomerata industriale</t>
        </is>
      </c>
      <c r="E142" s="13" t="inlineStr">
        <is>
          <t>Industriale</t>
        </is>
      </c>
      <c r="F142" s="14" t="n">
        <v>173.975</v>
      </c>
      <c r="G142" s="15" t="inlineStr">
        <is>
          <t>USD</t>
        </is>
      </c>
      <c r="H142" s="14" t="n">
        <v>155.0291233759146</v>
      </c>
      <c r="I142" s="16" t="n">
        <v>79951.98753172874</v>
      </c>
      <c r="J142" s="16" t="n">
        <v>89722.8</v>
      </c>
      <c r="K142" s="14" t="n">
        <v>6.7</v>
      </c>
      <c r="L142" s="14" t="n">
        <v>9.90527</v>
      </c>
      <c r="M142" s="17">
        <f>IF(OR(F142="",K142="",K142&lt;=0),"",F142/K142)</f>
        <v/>
      </c>
      <c r="N142" s="18" t="n">
        <v>21.782272</v>
      </c>
      <c r="O142" s="19">
        <f>IF(OR(N142="",M142="",M142&lt;=0),"",N142/M142)</f>
        <v/>
      </c>
      <c r="P142" s="20" t="n">
        <v>0.7297</v>
      </c>
      <c r="Q142" s="20" t="n">
        <v>0.1786461650131368</v>
      </c>
      <c r="R142" s="20" t="n">
        <v>0.9748490004280096</v>
      </c>
      <c r="S142" s="21" t="n">
        <v>4</v>
      </c>
      <c r="T142" s="20" t="n"/>
      <c r="U142" s="20" t="n">
        <v>0.6911952360697575</v>
      </c>
      <c r="V142" s="20" t="n">
        <v>1.086153045288912</v>
      </c>
      <c r="W142" s="20" t="n">
        <v>-1.455169544414396</v>
      </c>
      <c r="X142" s="20" t="n">
        <v>0.3924059231082733</v>
      </c>
      <c r="Y142" s="14" t="n">
        <v>3.12</v>
      </c>
      <c r="Z142" s="19">
        <f>IF(OR(Y142="",F142="",F142=0),"",Y142/F142)</f>
        <v/>
      </c>
      <c r="AA142" s="22" t="n">
        <v>303.502</v>
      </c>
      <c r="AB142" s="20" t="n">
        <v>0.01</v>
      </c>
      <c r="AC142" s="20" t="n">
        <v>0.1417348084014751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2026-10-22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CVS Health</t>
        </is>
      </c>
      <c r="C143" s="12" t="inlineStr">
        <is>
          <t>CVS</t>
        </is>
      </c>
      <c r="D143" s="11" t="inlineStr">
        <is>
          <t>Distribuzione farmaceutica</t>
        </is>
      </c>
      <c r="E143" s="13" t="inlineStr">
        <is>
          <t>Salute</t>
        </is>
      </c>
      <c r="F143" s="14" t="n">
        <v>93.84</v>
      </c>
      <c r="G143" s="15" t="inlineStr">
        <is>
          <t>USD</t>
        </is>
      </c>
      <c r="H143" s="14" t="n">
        <v>83.62082447245767</v>
      </c>
      <c r="I143" s="16" t="n">
        <v>106948.5750642595</v>
      </c>
      <c r="J143" s="16" t="n">
        <v>120018.6</v>
      </c>
      <c r="K143" s="14" t="n">
        <v>3.8</v>
      </c>
      <c r="L143" s="14" t="n">
        <v>8.53519</v>
      </c>
      <c r="M143" s="17">
        <f>IF(OR(F143="",K143="",K143&lt;=0),"",F143/K143)</f>
        <v/>
      </c>
      <c r="N143" s="18" t="n">
        <v>1.50469</v>
      </c>
      <c r="O143" s="19">
        <f>IF(OR(N143="",M143="",M143&lt;=0),"",N143/M143)</f>
        <v/>
      </c>
      <c r="P143" s="20" t="n">
        <v>0.06205</v>
      </c>
      <c r="Q143" s="20" t="n">
        <v>0.06350442630364242</v>
      </c>
      <c r="R143" s="20" t="n">
        <v>0.03040319688724718</v>
      </c>
      <c r="S143" s="21" t="n">
        <v>4</v>
      </c>
      <c r="T143" s="20" t="n"/>
      <c r="U143" s="20" t="n">
        <v>0.02350626213204988</v>
      </c>
      <c r="V143" s="20" t="n">
        <v>0.06106405505558497</v>
      </c>
      <c r="W143" s="20" t="n">
        <v>0.1091275290671061</v>
      </c>
      <c r="X143" s="20" t="n">
        <v>0.06031985895982873</v>
      </c>
      <c r="Y143" s="14" t="n">
        <v>2.66</v>
      </c>
      <c r="Z143" s="19">
        <f>IF(OR(Y143="",F143="",F143=0),"",Y143/F143)</f>
        <v/>
      </c>
      <c r="AA143" s="22" t="n">
        <v>95.503</v>
      </c>
      <c r="AB143" s="20" t="n">
        <v>0.07099999999999999</v>
      </c>
      <c r="AC143" s="20" t="n">
        <v>0.01216215176077619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2026-10-22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Vistra</t>
        </is>
      </c>
      <c r="C144" s="12" t="inlineStr">
        <is>
          <t>VST</t>
        </is>
      </c>
      <c r="D144" s="11" t="inlineStr">
        <is>
          <t>Utility / Generazione</t>
        </is>
      </c>
      <c r="E144" s="13" t="inlineStr">
        <is>
          <t>Utility</t>
        </is>
      </c>
      <c r="F144" s="14" t="n">
        <v>139.56</v>
      </c>
      <c r="G144" s="15" t="inlineStr">
        <is>
          <t>USD</t>
        </is>
      </c>
      <c r="H144" s="14" t="n">
        <v>124.3619167026448</v>
      </c>
      <c r="I144" s="16" t="n">
        <v>41740.19355583209</v>
      </c>
      <c r="J144" s="16" t="n">
        <v>46841.2</v>
      </c>
      <c r="K144" s="14" t="n">
        <v>5.93</v>
      </c>
      <c r="L144" s="14" t="n">
        <v>10.41503</v>
      </c>
      <c r="M144" s="17">
        <f>IF(OR(F144="",K144="",K144&lt;=0),"",F144/K144)</f>
        <v/>
      </c>
      <c r="N144" s="18" t="n">
        <v>15.598525</v>
      </c>
      <c r="O144" s="19">
        <f>IF(OR(N144="",M144="",M144&lt;=0),"",N144/M144)</f>
        <v/>
      </c>
      <c r="P144" s="20" t="n">
        <v>0.42962003</v>
      </c>
      <c r="Q144" s="20" t="n">
        <v>0.1734015879673228</v>
      </c>
      <c r="R144" s="20" t="n">
        <v>0.2663256640903746</v>
      </c>
      <c r="S144" s="21" t="n">
        <v>4</v>
      </c>
      <c r="T144" s="20" t="n"/>
      <c r="U144" s="20" t="n">
        <v>0.1852069845006867</v>
      </c>
      <c r="V144" s="20" t="n">
        <v>0.4773788150807899</v>
      </c>
      <c r="W144" s="20" t="n">
        <v>0.2813265498398342</v>
      </c>
      <c r="X144" s="20" t="n">
        <v>-0.2503059975520196</v>
      </c>
      <c r="Y144" s="14" t="n">
        <v>0.92</v>
      </c>
      <c r="Z144" s="19">
        <f>IF(OR(Y144="",F144="",F144=0),"",Y144/F144)</f>
        <v/>
      </c>
      <c r="AA144" s="22" t="n">
        <v>373.28</v>
      </c>
      <c r="AB144" s="20" t="n">
        <v>-0.055</v>
      </c>
      <c r="AC144" s="20" t="n">
        <v>0.114274442665464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2026-10-22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Advanced Micro Devices</t>
        </is>
      </c>
      <c r="C145" s="12" t="inlineStr">
        <is>
          <t>AMD</t>
        </is>
      </c>
      <c r="D145" s="11" t="inlineStr">
        <is>
          <t>Semiconduttori</t>
        </is>
      </c>
      <c r="E145" s="13" t="inlineStr">
        <is>
          <t>Tecnologia</t>
        </is>
      </c>
      <c r="F145" s="14" t="n">
        <v>511.11</v>
      </c>
      <c r="G145" s="15" t="inlineStr">
        <is>
          <t>USD</t>
        </is>
      </c>
      <c r="H145" s="14" t="n">
        <v>455.4501235732932</v>
      </c>
      <c r="I145" s="16" t="n">
        <v>743510.9429308369</v>
      </c>
      <c r="J145" s="16" t="n">
        <v>834374.3</v>
      </c>
      <c r="K145" s="14" t="n">
        <v>3.92</v>
      </c>
      <c r="L145" s="14" t="n">
        <v>15.76289</v>
      </c>
      <c r="M145" s="17">
        <f>IF(OR(F145="",K145="",K145&lt;=0),"",F145/K145)</f>
        <v/>
      </c>
      <c r="N145" s="18" t="n">
        <v>12.408292</v>
      </c>
      <c r="O145" s="19">
        <f>IF(OR(N145="",M145="",M145&lt;=0),"",N145/M145)</f>
        <v/>
      </c>
      <c r="P145" s="20" t="n">
        <v>0.10196</v>
      </c>
      <c r="Q145" s="20" t="n">
        <v>0.03417627307619231</v>
      </c>
      <c r="R145" s="20" t="n">
        <v>0.02055555689875465</v>
      </c>
      <c r="S145" s="21" t="n">
        <v>4</v>
      </c>
      <c r="T145" s="20" t="n"/>
      <c r="U145" s="20" t="n">
        <v>0.06881061604152447</v>
      </c>
      <c r="V145" s="20" t="n">
        <v>0.02850541967759867</v>
      </c>
      <c r="W145" s="20" t="n">
        <v>0.0152794675445502</v>
      </c>
      <c r="X145" s="20" t="n">
        <v>0.02410958904109589</v>
      </c>
      <c r="Y145" s="14" t="n"/>
      <c r="Z145" s="19">
        <f>IF(OR(Y145="",F145="",F145=0),"",Y145/F145)</f>
        <v/>
      </c>
      <c r="AA145" s="22" t="n">
        <v>6.361</v>
      </c>
      <c r="AB145" s="20" t="n">
        <v>0.501</v>
      </c>
      <c r="AC145" s="20" t="n">
        <v>0.1867548194809319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2026-10-22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CrowdStrike</t>
        </is>
      </c>
      <c r="C146" s="12" t="inlineStr">
        <is>
          <t>CRWD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238.77</v>
      </c>
      <c r="G146" s="15" t="inlineStr">
        <is>
          <t>USD</t>
        </is>
      </c>
      <c r="H146" s="14" t="n">
        <v>212.7679482021389</v>
      </c>
      <c r="I146" s="16" t="n">
        <v>217860.4956209118</v>
      </c>
      <c r="J146" s="16" t="n">
        <v>244484.9</v>
      </c>
      <c r="K146" s="14" t="n">
        <v>0.06</v>
      </c>
      <c r="L146" s="14" t="n">
        <v>1.61123</v>
      </c>
      <c r="M146" s="17">
        <f>IF(OR(F146="",K146="",K146&lt;=0),"",F146/K146)</f>
        <v/>
      </c>
      <c r="N146" s="18" t="n">
        <v>47.91692</v>
      </c>
      <c r="O146" s="19">
        <f>IF(OR(N146="",M146="",M146&lt;=0),"",N146/M146)</f>
        <v/>
      </c>
      <c r="P146" s="20" t="n">
        <v>0.01461</v>
      </c>
      <c r="Q146" s="20" t="n">
        <v>-0.03380291957831719</v>
      </c>
      <c r="R146" s="20" t="n">
        <v>0.05799500312740814</v>
      </c>
      <c r="S146" s="21" t="n">
        <v>4</v>
      </c>
      <c r="T146" s="20" t="n">
        <v>-0.0366955033319107</v>
      </c>
      <c r="U146" s="20" t="n">
        <v>-0.004647363282262447</v>
      </c>
      <c r="V146" s="20" t="n">
        <v>0.03132923891577508</v>
      </c>
      <c r="W146" s="20" t="n">
        <v>-0.1251980506148707</v>
      </c>
      <c r="X146" s="20" t="n"/>
      <c r="Y146" s="14" t="n"/>
      <c r="Z146" s="19">
        <f>IF(OR(Y146="",F146="",F146=0),"",Y146/F146)</f>
        <v/>
      </c>
      <c r="AA146" s="22" t="n">
        <v>15.958</v>
      </c>
      <c r="AB146" s="20" t="n">
        <v>0.258</v>
      </c>
      <c r="AC146" s="20" t="n">
        <v>0.00935057216274713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2026-10-22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92.095</v>
      </c>
      <c r="G147" s="15" t="inlineStr">
        <is>
          <t>USD</t>
        </is>
      </c>
      <c r="H147" s="14" t="n">
        <v>82.06585496367208</v>
      </c>
      <c r="I147" s="16" t="n">
        <v>75795.27333824331</v>
      </c>
      <c r="J147" s="16" t="n">
        <v>85058.10000000001</v>
      </c>
      <c r="K147" s="14" t="n">
        <v>3.13</v>
      </c>
      <c r="L147" s="14" t="n">
        <v>7.22481</v>
      </c>
      <c r="M147" s="17">
        <f>IF(OR(F147="",K147="",K147&lt;=0),"",F147/K147)</f>
        <v/>
      </c>
      <c r="N147" s="18" t="n">
        <v>2.90063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2026-10-22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818.3099999999999</v>
      </c>
      <c r="G148" s="15" t="inlineStr">
        <is>
          <t>USD</t>
        </is>
      </c>
      <c r="H148" s="14" t="n">
        <v>729.1960451199576</v>
      </c>
      <c r="I148" s="16" t="n">
        <v>194209.3648372829</v>
      </c>
      <c r="J148" s="16" t="n">
        <v>217943.4</v>
      </c>
      <c r="K148" s="14" t="n">
        <v>34.88</v>
      </c>
      <c r="L148" s="14" t="n">
        <v>25.2703</v>
      </c>
      <c r="M148" s="17">
        <f>IF(OR(F148="",K148="",K148&lt;=0),"",F148/K148)</f>
        <v/>
      </c>
      <c r="N148" s="18" t="n">
        <v>18.227196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2026-10-22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251.14</v>
      </c>
      <c r="G149" s="15" t="inlineStr">
        <is>
          <t>USD</t>
        </is>
      </c>
      <c r="H149" s="14" t="n">
        <v>223.7908552644183</v>
      </c>
      <c r="I149" s="16" t="n">
        <v>33065.95877682267</v>
      </c>
      <c r="J149" s="16" t="n">
        <v>37106.9</v>
      </c>
      <c r="K149" s="14" t="n">
        <v>5.63</v>
      </c>
      <c r="L149" s="14" t="n">
        <v>16.4506</v>
      </c>
      <c r="M149" s="17">
        <f>IF(OR(F149="",K149="",K149&lt;=0),"",F149/K149)</f>
        <v/>
      </c>
      <c r="N149" s="18" t="n">
        <v>1.9680276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2026-10-22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112.795</v>
      </c>
      <c r="G150" s="15" t="inlineStr">
        <is>
          <t>USD</t>
        </is>
      </c>
      <c r="H150" s="14" t="n">
        <v>100.5116250678907</v>
      </c>
      <c r="I150" s="16" t="n">
        <v>173552.0627405692</v>
      </c>
      <c r="J150" s="16" t="n">
        <v>194761.6</v>
      </c>
      <c r="K150" s="14" t="n">
        <v>4.85</v>
      </c>
      <c r="L150" s="14" t="n">
        <v>7.49624</v>
      </c>
      <c r="M150" s="17">
        <f>IF(OR(F150="",K150="",K150&lt;=0),"",F150/K150)</f>
        <v/>
      </c>
      <c r="N150" s="18" t="n">
        <v>1.7734505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2026-10-22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198.12</v>
      </c>
      <c r="G151" s="15" t="inlineStr">
        <is>
          <t>USD</t>
        </is>
      </c>
      <c r="H151" s="14" t="n">
        <v>176.5447329974778</v>
      </c>
      <c r="I151" s="16" t="n">
        <v>424247.2766869972</v>
      </c>
      <c r="J151" s="16" t="n">
        <v>476093.9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48.702065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2026-10-22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30.225</v>
      </c>
      <c r="G152" s="15" t="inlineStr">
        <is>
          <t>USD</t>
        </is>
      </c>
      <c r="H152" s="14" t="n">
        <v>26.93349765217426</v>
      </c>
      <c r="I152" s="16" t="n">
        <v>153512.1147273435</v>
      </c>
      <c r="J152" s="16" t="n">
        <v>172272.6</v>
      </c>
      <c r="K152" s="14" t="n">
        <v>0.76</v>
      </c>
      <c r="L152" s="14" t="n">
        <v>2.88272</v>
      </c>
      <c r="M152" s="17">
        <f>IF(OR(F152="",K152="",K152&lt;=0),"",F152/K152)</f>
        <v/>
      </c>
      <c r="N152" s="18" t="n">
        <v>2.0220096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2026-10-22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224.03</v>
      </c>
      <c r="G153" s="15" t="inlineStr">
        <is>
          <t>USD</t>
        </is>
      </c>
      <c r="H153" s="14" t="n">
        <v>199.6331341279272</v>
      </c>
      <c r="I153" s="16" t="n">
        <v>179493.8284641402</v>
      </c>
      <c r="J153" s="16" t="n">
        <v>201429.5</v>
      </c>
      <c r="K153" s="14" t="n">
        <v>3.04</v>
      </c>
      <c r="L153" s="14" t="n">
        <v>7.32904</v>
      </c>
      <c r="M153" s="17">
        <f>IF(OR(F153="",K153="",K153&lt;=0),"",F153/K153)</f>
        <v/>
      </c>
      <c r="N153" s="18" t="n">
        <v>10.6048355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2026-10-22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106.29</v>
      </c>
      <c r="G154" s="15" t="inlineStr">
        <is>
          <t>USD</t>
        </is>
      </c>
      <c r="H154" s="14" t="n">
        <v>94.71501953513987</v>
      </c>
      <c r="I154" s="16" t="n">
        <v>34317.41962389342</v>
      </c>
      <c r="J154" s="16" t="n">
        <v>38511.3</v>
      </c>
      <c r="K154" s="14" t="n">
        <v>0.5</v>
      </c>
      <c r="L154" s="14" t="n">
        <v>3.93156</v>
      </c>
      <c r="M154" s="17">
        <f>IF(OR(F154="",K154="",K154&lt;=0),"",F154/K154)</f>
        <v/>
      </c>
      <c r="N154" s="18" t="n">
        <v>10.103612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2026-10-22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307.13</v>
      </c>
      <c r="G155" s="15" t="inlineStr">
        <is>
          <t>USD</t>
        </is>
      </c>
      <c r="H155" s="14" t="n">
        <v>273.683544546312</v>
      </c>
      <c r="I155" s="16" t="n">
        <v>60945.35908434127</v>
      </c>
      <c r="J155" s="16" t="n">
        <v>68393.39999999999</v>
      </c>
      <c r="K155" s="14" t="n">
        <v>-0.21</v>
      </c>
      <c r="L155" s="14" t="n">
        <v>14.44851</v>
      </c>
      <c r="M155" s="17">
        <f>IF(OR(F155="",K155="",K155&lt;=0),"",F155/K155)</f>
        <v/>
      </c>
      <c r="N155" s="18" t="n">
        <v>4.9261394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2026-10-22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75.73</v>
      </c>
      <c r="G156" s="15" t="inlineStr">
        <is>
          <t>USD</t>
        </is>
      </c>
      <c r="H156" s="14" t="n">
        <v>67.48300338127898</v>
      </c>
      <c r="I156" s="16" t="n">
        <v>112679.3283066382</v>
      </c>
      <c r="J156" s="16" t="n">
        <v>126449.7</v>
      </c>
      <c r="K156" s="14" t="n">
        <v>4.75</v>
      </c>
      <c r="L156" s="14" t="n">
        <v>5.86413</v>
      </c>
      <c r="M156" s="17">
        <f>IF(OR(F156="",K156="",K156&lt;=0),"",F156/K156)</f>
        <v/>
      </c>
      <c r="N156" s="18" t="n">
        <v>-47.390488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2026-10-22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452.215</v>
      </c>
      <c r="G157" s="15" t="inlineStr">
        <is>
          <t>USD</t>
        </is>
      </c>
      <c r="H157" s="14" t="n">
        <v>402.9687887767736</v>
      </c>
      <c r="I157" s="16" t="n">
        <v>256212.7269576019</v>
      </c>
      <c r="J157" s="16" t="n">
        <v>287524.1</v>
      </c>
      <c r="K157" s="14" t="n">
        <v>17.2</v>
      </c>
      <c r="L157" s="14" t="n">
        <v>29.92544</v>
      </c>
      <c r="M157" s="17">
        <f>IF(OR(F157="",K157="",K157&lt;=0),"",F157/K157)</f>
        <v/>
      </c>
      <c r="N157" s="18" t="n">
        <v>-202.78699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2026-10-22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31.08</v>
      </c>
      <c r="G158" s="15" t="inlineStr">
        <is>
          <t>USD</t>
        </is>
      </c>
      <c r="H158" s="14" t="n">
        <v>27.69538815647894</v>
      </c>
      <c r="I158" s="16" t="n">
        <v>20005.55155303137</v>
      </c>
      <c r="J158" s="16" t="n">
        <v>22450.4</v>
      </c>
      <c r="K158" s="14" t="n">
        <v>-1.84</v>
      </c>
      <c r="L158" s="14" t="n">
        <v>1.727</v>
      </c>
      <c r="M158" s="17">
        <f>IF(OR(F158="",K158="",K158&lt;=0),"",F158/K158)</f>
        <v/>
      </c>
      <c r="N158" s="18" t="n">
        <v>1.4155585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2026-10-22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11.9045</v>
      </c>
      <c r="G159" s="15" t="inlineStr">
        <is>
          <t>USD</t>
        </is>
      </c>
      <c r="H159" s="14" t="n">
        <v>10.60810000993577</v>
      </c>
      <c r="I159" s="16" t="n">
        <v>42300.78456899944</v>
      </c>
      <c r="J159" s="16" t="n">
        <v>47470.3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1.3289238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2026-10-22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155.065</v>
      </c>
      <c r="G160" s="15" t="inlineStr">
        <is>
          <t>USD</t>
        </is>
      </c>
      <c r="H160" s="14" t="n">
        <v>138.1784222807081</v>
      </c>
      <c r="I160" s="16" t="n">
        <v>171335.0950380433</v>
      </c>
      <c r="J160" s="16" t="n">
        <v>192273.7</v>
      </c>
      <c r="K160" s="14" t="n">
        <v>-2.65</v>
      </c>
      <c r="L160" s="14" t="n">
        <v>9.97852</v>
      </c>
      <c r="M160" s="17">
        <f>IF(OR(F160="",K160="",K160&lt;=0),"",F160/K160)</f>
        <v/>
      </c>
      <c r="N160" s="18" t="n">
        <v>16.267836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2026-10-22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86.09269999999999</v>
      </c>
      <c r="G161" s="15" t="inlineStr">
        <is>
          <t>USD</t>
        </is>
      </c>
      <c r="H161" s="14" t="n">
        <v>76.71720540345221</v>
      </c>
      <c r="I161" s="16" t="n">
        <v>405535.2459012741</v>
      </c>
      <c r="J161" s="16" t="n">
        <v>455095.1</v>
      </c>
      <c r="K161" s="14" t="n">
        <v>-2.12</v>
      </c>
      <c r="L161" s="14" t="n">
        <v>2.11231</v>
      </c>
      <c r="M161" s="17">
        <f>IF(OR(F161="",K161="",K161&lt;=0),"",F161/K161)</f>
        <v/>
      </c>
      <c r="N161" s="18" t="n">
        <v>4.9595428</v>
      </c>
      <c r="O161" s="19">
        <f>IF(OR(N161="",M161="",M161&lt;=0),"",N161/M161)</f>
        <v/>
      </c>
      <c r="P161" s="20" t="n">
        <v>-0.10715</v>
      </c>
      <c r="Q161" s="20" t="n">
        <v>-0.10715</v>
      </c>
      <c r="R161" s="20" t="n"/>
      <c r="S161" s="21" t="n">
        <v>0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2026-10-22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203.0437</v>
      </c>
      <c r="G162" s="15" t="inlineStr">
        <is>
          <t>USD</t>
        </is>
      </c>
      <c r="H162" s="14" t="n">
        <v>180.9322420922672</v>
      </c>
      <c r="I162" s="16" t="n">
        <v>101548.4199237486</v>
      </c>
      <c r="J162" s="16" t="n">
        <v>113958.5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-15.321341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2026-10-22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251.483</v>
      </c>
      <c r="G163" s="15" t="inlineStr">
        <is>
          <t>USD</t>
        </is>
      </c>
      <c r="H163" s="14" t="n">
        <v>224.0965025661453</v>
      </c>
      <c r="I163" s="16" t="n">
        <v>158579.9786759769</v>
      </c>
      <c r="J163" s="16" t="n">
        <v>177959.8</v>
      </c>
      <c r="K163" s="14" t="n">
        <v>12.31</v>
      </c>
      <c r="L163" s="14" t="n">
        <v>13.74772</v>
      </c>
      <c r="M163" s="17">
        <f>IF(OR(F163="",K163="",K163&lt;=0),"",F163/K163)</f>
        <v/>
      </c>
      <c r="N163" s="18" t="n">
        <v>-173.91632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2026-10-22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1007.53</v>
      </c>
      <c r="G164" s="15" t="inlineStr">
        <is>
          <t>USD</t>
        </is>
      </c>
      <c r="H164" s="14" t="n">
        <v>897.8099880726264</v>
      </c>
      <c r="I164" s="16" t="n">
        <v>104676.0027214194</v>
      </c>
      <c r="J164" s="16" t="n">
        <v>117468.3</v>
      </c>
      <c r="K164" s="14" t="n">
        <v>36.78</v>
      </c>
      <c r="L164" s="14" t="n">
        <v>50.63093</v>
      </c>
      <c r="M164" s="17">
        <f>IF(OR(F164="",K164="",K164&lt;=0),"",F164/K164)</f>
        <v/>
      </c>
      <c r="N164" s="18" t="n">
        <v>-27.564295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2026-10-22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190.15</v>
      </c>
      <c r="G165" s="15" t="inlineStr">
        <is>
          <t>USD</t>
        </is>
      </c>
      <c r="H165" s="14" t="n">
        <v>169.4426659573511</v>
      </c>
      <c r="I165" s="16" t="n">
        <v>67647.58955220888</v>
      </c>
      <c r="J165" s="16" t="n">
        <v>75914.7</v>
      </c>
      <c r="K165" s="14" t="n">
        <v>-7.98</v>
      </c>
      <c r="L165" s="14" t="n">
        <v>-4.53091</v>
      </c>
      <c r="M165" s="17">
        <f>IF(OR(F165="",K165="",K165&lt;=0),"",F165/K165)</f>
        <v/>
      </c>
      <c r="N165" s="18" t="n">
        <v>11.2216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2026-10-22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201.22</v>
      </c>
      <c r="G166" s="15" t="inlineStr">
        <is>
          <t>USD</t>
        </is>
      </c>
      <c r="H166" s="14" t="n">
        <v>179.3071430130854</v>
      </c>
      <c r="I166" s="16" t="n">
        <v>279470.5261990085</v>
      </c>
      <c r="J166" s="16" t="n">
        <v>313624.2</v>
      </c>
      <c r="K166" s="14" t="n">
        <v>6.85</v>
      </c>
      <c r="L166" s="14" t="n">
        <v>9.11201</v>
      </c>
      <c r="M166" s="17">
        <f>IF(OR(F166="",K166="",K166&lt;=0),"",F166/K166)</f>
        <v/>
      </c>
      <c r="N166" s="18" t="n">
        <v>-39.618034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0.2626697547726826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2026-10-22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101.775</v>
      </c>
      <c r="G167" s="15" t="inlineStr">
        <is>
          <t>USD</t>
        </is>
      </c>
      <c r="H167" s="14" t="n">
        <v>90.69170301240814</v>
      </c>
      <c r="I167" s="16" t="n">
        <v>103388.5414341453</v>
      </c>
      <c r="J167" s="16" t="n">
        <v>116023.5</v>
      </c>
      <c r="K167" s="14" t="n">
        <v>1.73</v>
      </c>
      <c r="L167" s="14" t="n">
        <v>3.12959</v>
      </c>
      <c r="M167" s="17">
        <f>IF(OR(F167="",K167="",K167&lt;=0),"",F167/K167)</f>
        <v/>
      </c>
      <c r="N167" s="18" t="n">
        <v>-15.115848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2026-10-22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2026-10-22T17:40:38Z</dcterms:created>
  <dcterms:modified xsi:type="dcterms:W3CDTF">2026-10-22T17:40:38Z</dcterms:modified>
</cp:coreProperties>
</file>
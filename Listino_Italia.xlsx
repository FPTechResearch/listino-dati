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I" sheetId="1" state="visible" r:id="rId1"/>
    <sheet name="LISTINO" sheetId="2" state="visible" r:id="rId2"/>
    <sheet name="SINTESI" sheetId="3" state="visible" r:id="rId3"/>
  </sheets>
  <definedNames>
    <definedName name="_xlnm._FilterDatabase" localSheetId="1" hidden="1">'LISTINO'!$A$1:$AG$67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#,##0.0000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color rgb="00FFFF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3" fillId="2" borderId="0" pivotButton="0" quotePrefix="0" xfId="0"/>
    <xf numFmtId="0" fontId="4" fillId="0" borderId="0" pivotButton="0" quotePrefix="0" xfId="0"/>
    <xf numFmtId="165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6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2" t="inlineStr">
        <is>
          <t>Parametro</t>
        </is>
      </c>
      <c r="B3" s="2" t="inlineStr">
        <is>
          <t>Valore</t>
        </is>
      </c>
      <c r="C3" s="2" t="inlineStr">
        <is>
          <t>A cosa serve</t>
        </is>
      </c>
    </row>
    <row r="4">
      <c r="A4" s="3" t="inlineStr">
        <is>
          <t>ROE minimo (1 anno e 5 anni)</t>
        </is>
      </c>
      <c r="B4" s="4" t="n">
        <v>0.15</v>
      </c>
      <c r="C4" s="5" t="inlineStr">
        <is>
          <t>Il titolo deve superarla su entrambi gli orizzonti</t>
        </is>
      </c>
    </row>
    <row r="5">
      <c r="A5" s="3" t="inlineStr">
        <is>
          <t>P/E massimo</t>
        </is>
      </c>
      <c r="B5" s="6" t="n">
        <v>20</v>
      </c>
      <c r="C5" s="5" t="inlineStr">
        <is>
          <t>Sopra questa soglia il titolo viene scartato</t>
        </is>
      </c>
    </row>
    <row r="6">
      <c r="A6" s="3" t="inlineStr">
        <is>
          <t>P/E soglia ottimo</t>
        </is>
      </c>
      <c r="B6" s="6" t="n">
        <v>15</v>
      </c>
      <c r="C6" s="5" t="inlineStr">
        <is>
          <t>Sotto questa soglia il giudizio si rafforza</t>
        </is>
      </c>
    </row>
    <row r="9">
      <c r="A9" s="5" t="inlineStr">
        <is>
          <t>Cambia le celle gialle: la colonna GIUDIZIO del listino si ricalcola da sola.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0" customWidth="1" min="4" max="4"/>
    <col width="12" customWidth="1" min="5" max="5"/>
    <col width="10" customWidth="1" min="6" max="6"/>
    <col width="6" customWidth="1" min="7" max="7"/>
    <col width="11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9" customWidth="1" min="14" max="14"/>
    <col width="9" customWidth="1" min="15" max="15"/>
    <col width="9" customWidth="1" min="16" max="16"/>
    <col width="6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10" customWidth="1" min="25" max="25"/>
    <col width="9" customWidth="1" min="26" max="26"/>
    <col width="9" customWidth="1" min="27" max="27"/>
    <col width="10" customWidth="1" min="28" max="28"/>
    <col width="10" customWidth="1" min="29" max="29"/>
    <col width="14" customWidth="1" min="30" max="30"/>
    <col width="12" customWidth="1" min="31" max="31"/>
    <col width="8" customWidth="1" min="32" max="32"/>
    <col width="44" customWidth="1" min="33" max="33"/>
  </cols>
  <sheetData>
    <row r="1" ht="30" customHeight="1">
      <c r="A1" s="7" t="inlineStr">
        <is>
          <t>N.</t>
        </is>
      </c>
      <c r="B1" s="7" t="inlineStr">
        <is>
          <t>TITOLO</t>
        </is>
      </c>
      <c r="C1" s="7" t="inlineStr">
        <is>
          <t>TICKER</t>
        </is>
      </c>
      <c r="D1" s="7" t="inlineStr">
        <is>
          <t>SETTORE</t>
        </is>
      </c>
      <c r="E1" s="7" t="inlineStr">
        <is>
          <t>CLASSE</t>
        </is>
      </c>
      <c r="F1" s="7" t="inlineStr">
        <is>
          <t>PREZZO</t>
        </is>
      </c>
      <c r="G1" s="7" t="inlineStr">
        <is>
          <t>VAL.</t>
        </is>
      </c>
      <c r="H1" s="7" t="inlineStr">
        <is>
          <t>CAP. MLN</t>
        </is>
      </c>
      <c r="I1" s="7" t="inlineStr">
        <is>
          <t>EPS TTM</t>
        </is>
      </c>
      <c r="J1" s="7" t="inlineStr">
        <is>
          <t>EPS 2026E</t>
        </is>
      </c>
      <c r="K1" s="7" t="inlineStr">
        <is>
          <t>P/E</t>
        </is>
      </c>
      <c r="L1" s="7" t="inlineStr">
        <is>
          <t>P/B</t>
        </is>
      </c>
      <c r="M1" s="7" t="inlineStr">
        <is>
          <t>ROE IMPL.</t>
        </is>
      </c>
      <c r="N1" s="7" t="inlineStr">
        <is>
          <t>ROE 1a</t>
        </is>
      </c>
      <c r="O1" s="7" t="inlineStr">
        <is>
          <t>ROE 5a</t>
        </is>
      </c>
      <c r="P1" s="7" t="inlineStr">
        <is>
          <t>VARIAB.
ROE</t>
        </is>
      </c>
      <c r="Q1" s="7" t="inlineStr">
        <is>
          <t>ANNI</t>
        </is>
      </c>
      <c r="R1" s="7" t="inlineStr">
        <is>
          <t>2025</t>
        </is>
      </c>
      <c r="S1" s="7" t="inlineStr">
        <is>
          <t>2024</t>
        </is>
      </c>
      <c r="T1" s="7" t="inlineStr">
        <is>
          <t>2023</t>
        </is>
      </c>
      <c r="U1" s="7" t="inlineStr">
        <is>
          <t>2022</t>
        </is>
      </c>
      <c r="V1" s="7" t="inlineStr">
        <is>
          <t>2021</t>
        </is>
      </c>
      <c r="W1" s="7" t="inlineStr">
        <is>
          <t>DIVID.</t>
        </is>
      </c>
      <c r="X1" s="7" t="inlineStr">
        <is>
          <t>RENDIM.</t>
        </is>
      </c>
      <c r="Y1" s="7" t="inlineStr">
        <is>
          <t>DEBITO/MP</t>
        </is>
      </c>
      <c r="Z1" s="7" t="inlineStr">
        <is>
          <t>CRESC.
RICAVI</t>
        </is>
      </c>
      <c r="AA1" s="7" t="inlineStr">
        <is>
          <t>MARGINE</t>
        </is>
      </c>
      <c r="AB1" s="7" t="inlineStr">
        <is>
          <t>ESITO ROE</t>
        </is>
      </c>
      <c r="AC1" s="7" t="inlineStr">
        <is>
          <t>ESITO P/E</t>
        </is>
      </c>
      <c r="AD1" s="7" t="inlineStr">
        <is>
          <t>GIUDIZIO</t>
        </is>
      </c>
      <c r="AE1" s="7" t="inlineStr">
        <is>
          <t>RILEVATO</t>
        </is>
      </c>
      <c r="AF1" s="7" t="inlineStr">
        <is>
          <t>FONTE</t>
        </is>
      </c>
      <c r="AG1" s="7" t="inlineStr">
        <is>
          <t>NOTE</t>
        </is>
      </c>
    </row>
    <row r="2">
      <c r="A2" s="8" t="n">
        <v>1</v>
      </c>
      <c r="B2" s="8" t="inlineStr">
        <is>
          <t>A2A</t>
        </is>
      </c>
      <c r="C2" s="8" t="inlineStr">
        <is>
          <t>A2A.MI</t>
        </is>
      </c>
      <c r="D2" s="8" t="inlineStr">
        <is>
          <t>Utility</t>
        </is>
      </c>
      <c r="E2" s="9" t="inlineStr">
        <is>
          <t>Utility</t>
        </is>
      </c>
      <c r="F2" s="10" t="n">
        <v>2.332</v>
      </c>
      <c r="G2" s="11" t="inlineStr">
        <is>
          <t>EUR</t>
        </is>
      </c>
      <c r="H2" s="12" t="n">
        <v>7295.5</v>
      </c>
      <c r="I2" s="10" t="n">
        <v>0.22</v>
      </c>
      <c r="J2" s="10" t="n">
        <v>0.21079</v>
      </c>
      <c r="K2" s="13">
        <f>IF(OR(F2="",I2="",I2&lt;=0),"",F2/I2)</f>
        <v/>
      </c>
      <c r="L2" s="14" t="n">
        <v>1.4099153</v>
      </c>
      <c r="M2" s="15">
        <f>IF(OR(L2="",K2="",K2&lt;=0),"",L2/K2)</f>
        <v/>
      </c>
      <c r="N2" s="16" t="n">
        <v>0.11337</v>
      </c>
      <c r="O2" s="16" t="n">
        <v>0.1352876506101037</v>
      </c>
      <c r="P2" s="16" t="n">
        <v>0.02216391989798138</v>
      </c>
      <c r="Q2" s="17" t="n">
        <v>4</v>
      </c>
      <c r="R2" s="16" t="n">
        <v>0.1267534223424032</v>
      </c>
      <c r="S2" s="16" t="n">
        <v>0.1561257679797615</v>
      </c>
      <c r="T2" s="16" t="n">
        <v>0.1554245283018868</v>
      </c>
      <c r="U2" s="16" t="n">
        <v>0.1028468838163632</v>
      </c>
      <c r="V2" s="16" t="n"/>
      <c r="W2" s="10" t="n">
        <v>0.1</v>
      </c>
      <c r="X2" s="15">
        <f>IF(OR(W2="",F2="",F2=0),"",W2/F2)</f>
        <v/>
      </c>
      <c r="Y2" s="18" t="n">
        <v>113.764</v>
      </c>
      <c r="Z2" s="16" t="n">
        <v>0.373</v>
      </c>
      <c r="AA2" s="16" t="n">
        <v>0.05000363927505641</v>
      </c>
      <c r="AB2" s="9">
        <f>IF(AND(N2="",O2=""),"DATI MANCANTI",IF(AND(N(N2)&gt;=PARAMETRI!$B$4,N(O2)&gt;=PARAMETRI!$B$4),"OK","NO"))</f>
        <v/>
      </c>
      <c r="AC2" s="9">
        <f>IF(K2="","N/D",IF(K2&lt;PARAMETRI!$B$6,"OTTIMO",IF(K2&lt;PARAMETRI!$B$5,"OK","NO")))</f>
        <v/>
      </c>
      <c r="AD2" s="9">
        <f>IF(OR(AB2="DATI MANCANTI",AC2="N/D"),"DA COMPLETARE",IF(AND(AB2="OK",AC2="OTTIMO"),"PASSA FORTE",IF(AND(AB2="OK",AC2="OK"),"PASSA","SCARTA")))</f>
        <v/>
      </c>
      <c r="AE2" s="8" t="inlineStr">
        <is>
          <t>2026-08-04</t>
        </is>
      </c>
      <c r="AF2" s="8" t="inlineStr">
        <is>
          <t>yahoo</t>
        </is>
      </c>
      <c r="AG2" s="19" t="inlineStr"/>
    </row>
    <row r="3">
      <c r="A3" s="8" t="n">
        <v>2</v>
      </c>
      <c r="B3" s="8" t="inlineStr">
        <is>
          <t>Acea</t>
        </is>
      </c>
      <c r="C3" s="8" t="inlineStr">
        <is>
          <t>ACE.MI</t>
        </is>
      </c>
      <c r="D3" s="8" t="inlineStr">
        <is>
          <t>Utility</t>
        </is>
      </c>
      <c r="E3" s="9" t="inlineStr">
        <is>
          <t>Utility</t>
        </is>
      </c>
      <c r="F3" s="10" t="n">
        <v>21.36</v>
      </c>
      <c r="G3" s="11" t="inlineStr">
        <is>
          <t>EUR</t>
        </is>
      </c>
      <c r="H3" s="12" t="n">
        <v>4540</v>
      </c>
      <c r="I3" s="10" t="n">
        <v>2.93</v>
      </c>
      <c r="J3" s="10" t="n">
        <v>1.58913</v>
      </c>
      <c r="K3" s="13">
        <f>IF(OR(F3="",I3="",I3&lt;=0),"",F3/I3)</f>
        <v/>
      </c>
      <c r="L3" s="14" t="n">
        <v>1.6326531</v>
      </c>
      <c r="M3" s="15">
        <f>IF(OR(L3="",K3="",K3&lt;=0),"",L3/K3)</f>
        <v/>
      </c>
      <c r="N3" s="16" t="n">
        <v>0.20725</v>
      </c>
      <c r="O3" s="16" t="n">
        <v>0.1377274020186562</v>
      </c>
      <c r="P3" s="16" t="n">
        <v>0.02063562538189108</v>
      </c>
      <c r="Q3" s="17" t="n">
        <v>4</v>
      </c>
      <c r="R3" s="16" t="n">
        <v>0.172816869044327</v>
      </c>
      <c r="S3" s="16" t="n">
        <v>0.1323776847677043</v>
      </c>
      <c r="T3" s="16" t="n">
        <v>0.1236319980683815</v>
      </c>
      <c r="U3" s="16" t="n">
        <v>0.1220830561942121</v>
      </c>
      <c r="V3" s="16" t="n"/>
      <c r="W3" s="10" t="n">
        <v>0.95</v>
      </c>
      <c r="X3" s="15">
        <f>IF(OR(W3="",F3="",F3=0),"",W3/F3)</f>
        <v/>
      </c>
      <c r="Y3" s="18" t="n">
        <v>169.549</v>
      </c>
      <c r="Z3" s="16" t="n"/>
      <c r="AA3" s="16" t="n">
        <v>0.2261544738465162</v>
      </c>
      <c r="AB3" s="9">
        <f>IF(AND(N3="",O3=""),"DATI MANCANTI",IF(AND(N(N3)&gt;=PARAMETRI!$B$4,N(O3)&gt;=PARAMETRI!$B$4),"OK","NO"))</f>
        <v/>
      </c>
      <c r="AC3" s="9">
        <f>IF(K3="","N/D",IF(K3&lt;PARAMETRI!$B$6,"OTTIMO",IF(K3&lt;PARAMETRI!$B$5,"OK","NO")))</f>
        <v/>
      </c>
      <c r="AD3" s="9">
        <f>IF(OR(AB3="DATI MANCANTI",AC3="N/D"),"DA COMPLETARE",IF(AND(AB3="OK",AC3="OTTIMO"),"PASSA FORTE",IF(AND(AB3="OK",AC3="OK"),"PASSA","SCARTA")))</f>
        <v/>
      </c>
      <c r="AE3" s="8" t="inlineStr">
        <is>
          <t>2026-08-04</t>
        </is>
      </c>
      <c r="AF3" s="8" t="inlineStr">
        <is>
          <t>yahoo</t>
        </is>
      </c>
      <c r="AG3" s="19" t="inlineStr"/>
    </row>
    <row r="4">
      <c r="A4" s="8" t="n">
        <v>3</v>
      </c>
      <c r="B4" s="8" t="inlineStr">
        <is>
          <t>Amplifon</t>
        </is>
      </c>
      <c r="C4" s="8" t="inlineStr">
        <is>
          <t>AMP.MI</t>
        </is>
      </c>
      <c r="D4" s="8" t="inlineStr">
        <is>
          <t>Dispositivi medicali</t>
        </is>
      </c>
      <c r="E4" s="9" t="inlineStr">
        <is>
          <t>Salute</t>
        </is>
      </c>
      <c r="F4" s="10" t="n">
        <v>11.86</v>
      </c>
      <c r="G4" s="11" t="inlineStr">
        <is>
          <t>EUR</t>
        </is>
      </c>
      <c r="H4" s="12" t="n">
        <v>3145.8</v>
      </c>
      <c r="I4" s="10" t="n">
        <v>0.31</v>
      </c>
      <c r="J4" s="10" t="n">
        <v>0.87396</v>
      </c>
      <c r="K4" s="13">
        <f>IF(OR(F4="",I4="",I4&lt;=0),"",F4/I4)</f>
        <v/>
      </c>
      <c r="L4" s="14" t="n">
        <v>2.4233754</v>
      </c>
      <c r="M4" s="15">
        <f>IF(OR(L4="",K4="",K4&lt;=0),"",L4/K4)</f>
        <v/>
      </c>
      <c r="N4" s="16" t="n">
        <v>0.0914974143820864</v>
      </c>
      <c r="O4" s="16" t="n">
        <v>0.1326830497258543</v>
      </c>
      <c r="P4" s="16" t="n">
        <v>0.02890399099608494</v>
      </c>
      <c r="Q4" s="17" t="n">
        <v>4</v>
      </c>
      <c r="R4" s="16" t="n">
        <v>0.0914974143820864</v>
      </c>
      <c r="S4" s="16" t="n">
        <v>0.1264119540661668</v>
      </c>
      <c r="T4" s="16" t="n">
        <v>0.140917724192243</v>
      </c>
      <c r="U4" s="16" t="n">
        <v>0.1719051062629212</v>
      </c>
      <c r="V4" s="16" t="n"/>
      <c r="W4" s="10" t="n">
        <v>0.29</v>
      </c>
      <c r="X4" s="15">
        <f>IF(OR(W4="",F4="",F4=0),"",W4/F4)</f>
        <v/>
      </c>
      <c r="Y4" s="18" t="n">
        <v>166.757</v>
      </c>
      <c r="Z4" s="16" t="n">
        <v>0.022</v>
      </c>
      <c r="AA4" s="16" t="n">
        <v>0.03019319991401279</v>
      </c>
      <c r="AB4" s="9">
        <f>IF(AND(N4="",O4=""),"DATI MANCANTI",IF(AND(N(N4)&gt;=PARAMETRI!$B$4,N(O4)&gt;=PARAMETRI!$B$4),"OK","NO"))</f>
        <v/>
      </c>
      <c r="AC4" s="9">
        <f>IF(K4="","N/D",IF(K4&lt;PARAMETRI!$B$6,"OTTIMO",IF(K4&lt;PARAMETRI!$B$5,"OK","NO")))</f>
        <v/>
      </c>
      <c r="AD4" s="9">
        <f>IF(OR(AB4="DATI MANCANTI",AC4="N/D"),"DA COMPLETARE",IF(AND(AB4="OK",AC4="OTTIMO"),"PASSA FORTE",IF(AND(AB4="OK",AC4="OK"),"PASSA","SCARTA")))</f>
        <v/>
      </c>
      <c r="AE4" s="8" t="inlineStr">
        <is>
          <t>2026-08-04</t>
        </is>
      </c>
      <c r="AF4" s="8" t="inlineStr">
        <is>
          <t>yahoo</t>
        </is>
      </c>
      <c r="AG4" s="19" t="inlineStr"/>
    </row>
    <row r="5">
      <c r="A5" s="8" t="n">
        <v>4</v>
      </c>
      <c r="B5" s="8" t="inlineStr">
        <is>
          <t>Assicurazioni Generali</t>
        </is>
      </c>
      <c r="C5" s="8" t="inlineStr">
        <is>
          <t>G.MI</t>
        </is>
      </c>
      <c r="D5" s="8" t="inlineStr">
        <is>
          <t>Assicurazione</t>
        </is>
      </c>
      <c r="E5" s="9" t="inlineStr">
        <is>
          <t>Finanziario</t>
        </is>
      </c>
      <c r="F5" s="10" t="n">
        <v>44.47</v>
      </c>
      <c r="G5" s="11" t="inlineStr">
        <is>
          <t>EUR</t>
        </is>
      </c>
      <c r="H5" s="12" t="n">
        <v>66526.10000000001</v>
      </c>
      <c r="I5" s="10" t="n">
        <v>2.69</v>
      </c>
      <c r="J5" s="10" t="n">
        <v>3.44254</v>
      </c>
      <c r="K5" s="13">
        <f>IF(OR(F5="",I5="",I5&lt;=0),"",F5/I5)</f>
        <v/>
      </c>
      <c r="L5" s="14" t="n">
        <v>2.0854437</v>
      </c>
      <c r="M5" s="15">
        <f>IF(OR(L5="",K5="",K5&lt;=0),"",L5/K5)</f>
        <v/>
      </c>
      <c r="N5" s="16" t="n">
        <v>0.13688</v>
      </c>
      <c r="O5" s="16" t="n">
        <v>0.1164672974509258</v>
      </c>
      <c r="P5" s="16" t="n">
        <v>0.01905215662104418</v>
      </c>
      <c r="Q5" s="17" t="n">
        <v>4</v>
      </c>
      <c r="R5" s="16" t="n">
        <v>0.1301147704590818</v>
      </c>
      <c r="S5" s="16" t="n">
        <v>0.1225443417025898</v>
      </c>
      <c r="T5" s="16" t="n">
        <v>0.1293451620697988</v>
      </c>
      <c r="U5" s="16" t="n">
        <v>0.08386491557223265</v>
      </c>
      <c r="V5" s="16" t="n"/>
      <c r="W5" s="10" t="n">
        <v>1.64</v>
      </c>
      <c r="X5" s="15">
        <f>IF(OR(W5="",F5="",F5=0),"",W5/F5)</f>
        <v/>
      </c>
      <c r="Y5" s="18" t="n">
        <v>113.746</v>
      </c>
      <c r="Z5" s="16" t="n"/>
      <c r="AA5" s="16" t="n">
        <v>0.05598046926469993</v>
      </c>
      <c r="AB5" s="9">
        <f>IF(AND(N5="",O5=""),"DATI MANCANTI",IF(AND(N(N5)&gt;=PARAMETRI!$B$4,N(O5)&gt;=PARAMETRI!$B$4),"OK","NO"))</f>
        <v/>
      </c>
      <c r="AC5" s="9">
        <f>IF(K5="","N/D",IF(K5&lt;PARAMETRI!$B$6,"OTTIMO",IF(K5&lt;PARAMETRI!$B$5,"OK","NO")))</f>
        <v/>
      </c>
      <c r="AD5" s="9">
        <f>IF(OR(AB5="DATI MANCANTI",AC5="N/D"),"DA COMPLETARE",IF(AND(AB5="OK",AC5="OTTIMO"),"PASSA FORTE",IF(AND(AB5="OK",AC5="OK"),"PASSA","SCARTA")))</f>
        <v/>
      </c>
      <c r="AE5" s="8" t="inlineStr">
        <is>
          <t>2026-08-04</t>
        </is>
      </c>
      <c r="AF5" s="8" t="inlineStr">
        <is>
          <t>yahoo</t>
        </is>
      </c>
      <c r="AG5" s="19" t="inlineStr"/>
    </row>
    <row r="6">
      <c r="A6" s="8" t="n">
        <v>5</v>
      </c>
      <c r="B6" s="8" t="inlineStr">
        <is>
          <t>Azimut Holding</t>
        </is>
      </c>
      <c r="C6" s="8" t="inlineStr">
        <is>
          <t>AZM.MI</t>
        </is>
      </c>
      <c r="D6" s="8" t="inlineStr">
        <is>
          <t>Risparmio gestito</t>
        </is>
      </c>
      <c r="E6" s="9" t="inlineStr">
        <is>
          <t>Finanziario</t>
        </is>
      </c>
      <c r="F6" s="10" t="n">
        <v>37.57</v>
      </c>
      <c r="G6" s="11" t="inlineStr">
        <is>
          <t>EUR</t>
        </is>
      </c>
      <c r="H6" s="12" t="n">
        <v>5328.1</v>
      </c>
      <c r="I6" s="10" t="n">
        <v>3.72</v>
      </c>
      <c r="J6" s="10" t="n">
        <v>3.64518</v>
      </c>
      <c r="K6" s="13">
        <f>IF(OR(F6="",I6="",I6&lt;=0),"",F6/I6)</f>
        <v/>
      </c>
      <c r="L6" s="14" t="n">
        <v>2.6818473</v>
      </c>
      <c r="M6" s="15">
        <f>IF(OR(L6="",K6="",K6&lt;=0),"",L6/K6)</f>
        <v/>
      </c>
      <c r="N6" s="16" t="n">
        <v>0.29348</v>
      </c>
      <c r="O6" s="16" t="n">
        <v>0.2809648123616741</v>
      </c>
      <c r="P6" s="16" t="n">
        <v>0.01535346990982674</v>
      </c>
      <c r="Q6" s="17" t="n">
        <v>4</v>
      </c>
      <c r="R6" s="16" t="n">
        <v>0.2572535562453722</v>
      </c>
      <c r="S6" s="16" t="n">
        <v>0.299582732129626</v>
      </c>
      <c r="T6" s="16" t="n">
        <v>0.2802638265818115</v>
      </c>
      <c r="U6" s="16" t="n">
        <v>0.2867591344898866</v>
      </c>
      <c r="V6" s="16" t="n"/>
      <c r="W6" s="10" t="n">
        <v>2</v>
      </c>
      <c r="X6" s="15">
        <f>IF(OR(W6="",F6="",F6=0),"",W6/F6)</f>
        <v/>
      </c>
      <c r="Y6" s="18" t="n">
        <v>4.261</v>
      </c>
      <c r="Z6" s="16" t="n">
        <v>0.17</v>
      </c>
      <c r="AA6" s="16" t="n">
        <v>0.3749142073513007</v>
      </c>
      <c r="AB6" s="9">
        <f>IF(AND(N6="",O6=""),"DATI MANCANTI",IF(AND(N(N6)&gt;=PARAMETRI!$B$4,N(O6)&gt;=PARAMETRI!$B$4),"OK","NO"))</f>
        <v/>
      </c>
      <c r="AC6" s="9">
        <f>IF(K6="","N/D",IF(K6&lt;PARAMETRI!$B$6,"OTTIMO",IF(K6&lt;PARAMETRI!$B$5,"OK","NO")))</f>
        <v/>
      </c>
      <c r="AD6" s="9">
        <f>IF(OR(AB6="DATI MANCANTI",AC6="N/D"),"DA COMPLETARE",IF(AND(AB6="OK",AC6="OTTIMO"),"PASSA FORTE",IF(AND(AB6="OK",AC6="OK"),"PASSA","SCARTA")))</f>
        <v/>
      </c>
      <c r="AE6" s="8" t="inlineStr">
        <is>
          <t>2026-08-04</t>
        </is>
      </c>
      <c r="AF6" s="8" t="inlineStr">
        <is>
          <t>yahoo</t>
        </is>
      </c>
      <c r="AG6" s="19" t="inlineStr"/>
    </row>
    <row r="7">
      <c r="A7" s="8" t="n">
        <v>6</v>
      </c>
      <c r="B7" s="8" t="inlineStr">
        <is>
          <t>BB Biotech</t>
        </is>
      </c>
      <c r="C7" s="8" t="inlineStr">
        <is>
          <t>BION.SW</t>
        </is>
      </c>
      <c r="D7" s="8" t="inlineStr">
        <is>
          <t>Veicolo biotech</t>
        </is>
      </c>
      <c r="E7" s="9" t="inlineStr">
        <is>
          <t>Veicolo</t>
        </is>
      </c>
      <c r="F7" s="10" t="n">
        <v>50.7</v>
      </c>
      <c r="G7" s="11" t="inlineStr">
        <is>
          <t>CHF</t>
        </is>
      </c>
      <c r="H7" s="12" t="n">
        <v>2796.1</v>
      </c>
      <c r="I7" s="10" t="n">
        <v>24.57</v>
      </c>
      <c r="J7" s="10" t="n">
        <v>-0.65777</v>
      </c>
      <c r="K7" s="13">
        <f>IF(OR(F7="",I7="",I7&lt;=0),"",F7/I7)</f>
        <v/>
      </c>
      <c r="L7" s="14" t="n">
        <v>0.90658754</v>
      </c>
      <c r="M7" s="15">
        <f>IF(OR(L7="",K7="",K7&lt;=0),"",L7/K7)</f>
        <v/>
      </c>
      <c r="N7" s="16" t="n">
        <v>0.54764</v>
      </c>
      <c r="O7" s="16" t="n">
        <v>0.004777857685230683</v>
      </c>
      <c r="P7" s="16" t="n">
        <v>0.1322398198407014</v>
      </c>
      <c r="Q7" s="17" t="n">
        <v>4</v>
      </c>
      <c r="R7" s="16" t="n">
        <v>0.2080524401851888</v>
      </c>
      <c r="S7" s="16" t="n">
        <v>0.033197421851627</v>
      </c>
      <c r="T7" s="16" t="n">
        <v>-0.08893142569118598</v>
      </c>
      <c r="U7" s="16" t="n">
        <v>-0.1332070056047071</v>
      </c>
      <c r="V7" s="16" t="n"/>
      <c r="W7" s="10" t="n">
        <v>2.25</v>
      </c>
      <c r="X7" s="15">
        <f>IF(OR(W7="",F7="",F7=0),"",W7/F7)</f>
        <v/>
      </c>
      <c r="Y7" s="18" t="n"/>
      <c r="Z7" s="16" t="n"/>
      <c r="AA7" s="16" t="n">
        <v>2.29826056588763</v>
      </c>
      <c r="AB7" s="9">
        <f>IF(AND(N7="",O7=""),"DATI MANCANTI",IF(AND(N(N7)&gt;=PARAMETRI!$B$4,N(O7)&gt;=PARAMETRI!$B$4),"OK","NO"))</f>
        <v/>
      </c>
      <c r="AC7" s="9">
        <f>IF(K7="","N/D",IF(K7&lt;PARAMETRI!$B$6,"OTTIMO",IF(K7&lt;PARAMETRI!$B$5,"OK","NO")))</f>
        <v/>
      </c>
      <c r="AD7" s="9">
        <f>IF(OR(AB7="DATI MANCANTI",AC7="N/D"),"DA COMPLETARE",IF(AND(AB7="OK",AC7="OTTIMO"),"PASSA FORTE",IF(AND(AB7="OK",AC7="OK"),"PASSA","SCARTA")))</f>
        <v/>
      </c>
      <c r="AE7" s="8" t="inlineStr">
        <is>
          <t>2026-08-04</t>
        </is>
      </c>
      <c r="AF7" s="8" t="inlineStr">
        <is>
          <t>yahoo</t>
        </is>
      </c>
      <c r="AG7" s="19" t="inlineStr">
        <is>
          <t>Quotata Zurigo/Xetra, NAV-driven: ROE poco significativo</t>
        </is>
      </c>
    </row>
    <row r="8">
      <c r="A8" s="8" t="n">
        <v>7</v>
      </c>
      <c r="B8" s="8" t="inlineStr">
        <is>
          <t>BPER Banca</t>
        </is>
      </c>
      <c r="C8" s="8" t="inlineStr">
        <is>
          <t>BPE.MI</t>
        </is>
      </c>
      <c r="D8" s="8" t="inlineStr">
        <is>
          <t>Banca</t>
        </is>
      </c>
      <c r="E8" s="9" t="inlineStr">
        <is>
          <t>Finanziario</t>
        </is>
      </c>
      <c r="F8" s="10" t="n">
        <v>14.872</v>
      </c>
      <c r="G8" s="11" t="inlineStr">
        <is>
          <t>EUR</t>
        </is>
      </c>
      <c r="H8" s="12" t="n">
        <v>30990.7</v>
      </c>
      <c r="I8" s="10" t="n">
        <v>1.05</v>
      </c>
      <c r="J8" s="10" t="n">
        <v>1.27856</v>
      </c>
      <c r="K8" s="13">
        <f>IF(OR(F8="",I8="",I8&lt;=0),"",F8/I8)</f>
        <v/>
      </c>
      <c r="L8" s="14" t="n">
        <v>1.7153403</v>
      </c>
      <c r="M8" s="15">
        <f>IF(OR(L8="",K8="",K8&lt;=0),"",L8/K8)</f>
        <v/>
      </c>
      <c r="N8" s="16" t="n">
        <v>0.13133</v>
      </c>
      <c r="O8" s="16" t="n">
        <v>0.1445086984556243</v>
      </c>
      <c r="P8" s="16" t="n">
        <v>0.02916558394996791</v>
      </c>
      <c r="Q8" s="17" t="n">
        <v>4</v>
      </c>
      <c r="R8" s="16" t="n">
        <v>0.1097761581692051</v>
      </c>
      <c r="S8" s="16" t="n">
        <v>0.1235393192469138</v>
      </c>
      <c r="T8" s="16" t="n">
        <v>0.1622327383431547</v>
      </c>
      <c r="U8" s="16" t="n">
        <v>0.1824865780632235</v>
      </c>
      <c r="V8" s="16" t="n"/>
      <c r="W8" s="10" t="n">
        <v>1.26</v>
      </c>
      <c r="X8" s="15">
        <f>IF(OR(W8="",F8="",F8=0),"",W8/F8)</f>
        <v/>
      </c>
      <c r="Y8" s="18" t="n"/>
      <c r="Z8" s="16" t="n">
        <v>0.241</v>
      </c>
      <c r="AA8" s="16" t="n">
        <v>0.2715994784439413</v>
      </c>
      <c r="AB8" s="9">
        <f>IF(AND(N8="",O8=""),"DATI MANCANTI",IF(AND(N(N8)&gt;=PARAMETRI!$B$4,N(O8)&gt;=PARAMETRI!$B$4),"OK","NO"))</f>
        <v/>
      </c>
      <c r="AC8" s="9">
        <f>IF(K8="","N/D",IF(K8&lt;PARAMETRI!$B$6,"OTTIMO",IF(K8&lt;PARAMETRI!$B$5,"OK","NO")))</f>
        <v/>
      </c>
      <c r="AD8" s="9">
        <f>IF(OR(AB8="DATI MANCANTI",AC8="N/D"),"DA COMPLETARE",IF(AND(AB8="OK",AC8="OTTIMO"),"PASSA FORTE",IF(AND(AB8="OK",AC8="OK"),"PASSA","SCARTA")))</f>
        <v/>
      </c>
      <c r="AE8" s="8" t="inlineStr">
        <is>
          <t>2026-08-04</t>
        </is>
      </c>
      <c r="AF8" s="8" t="inlineStr">
        <is>
          <t>yahoo</t>
        </is>
      </c>
      <c r="AG8" s="19" t="inlineStr"/>
    </row>
    <row r="9">
      <c r="A9" s="8" t="n">
        <v>8</v>
      </c>
      <c r="B9" s="8" t="inlineStr">
        <is>
          <t>Banca Generali</t>
        </is>
      </c>
      <c r="C9" s="8" t="inlineStr">
        <is>
          <t>BGN.MI</t>
        </is>
      </c>
      <c r="D9" s="8" t="inlineStr">
        <is>
          <t>Risparmio gestito</t>
        </is>
      </c>
      <c r="E9" s="9" t="inlineStr">
        <is>
          <t>Finanziario</t>
        </is>
      </c>
      <c r="F9" s="10" t="n">
        <v>66.45</v>
      </c>
      <c r="G9" s="11" t="inlineStr">
        <is>
          <t>EUR</t>
        </is>
      </c>
      <c r="H9" s="12" t="n">
        <v>7569.3</v>
      </c>
      <c r="I9" s="10" t="n">
        <v>4.61</v>
      </c>
      <c r="J9" s="10" t="n">
        <v>3.87342</v>
      </c>
      <c r="K9" s="13">
        <f>IF(OR(F9="",I9="",I9&lt;=0),"",F9/I9)</f>
        <v/>
      </c>
      <c r="L9" s="14" t="n">
        <v>4.786774</v>
      </c>
      <c r="M9" s="15">
        <f>IF(OR(L9="",K9="",K9&lt;=0),"",L9/K9)</f>
        <v/>
      </c>
      <c r="N9" s="16" t="n">
        <v>0.36486998</v>
      </c>
      <c r="O9" s="16" t="n">
        <v>0.2618840820075273</v>
      </c>
      <c r="P9" s="16" t="n">
        <v>0.03724667157956014</v>
      </c>
      <c r="Q9" s="17" t="n">
        <v>4</v>
      </c>
      <c r="R9" s="16" t="n">
        <v>0.2838222375004775</v>
      </c>
      <c r="S9" s="16" t="n">
        <v>0.2953751670464812</v>
      </c>
      <c r="T9" s="16" t="n">
        <v>0.2688834530025302</v>
      </c>
      <c r="U9" s="16" t="n">
        <v>0.1994554704806203</v>
      </c>
      <c r="V9" s="16" t="n"/>
      <c r="W9" s="10" t="n">
        <v>2.9</v>
      </c>
      <c r="X9" s="15">
        <f>IF(OR(W9="",F9="",F9=0),"",W9/F9)</f>
        <v/>
      </c>
      <c r="Y9" s="18" t="n"/>
      <c r="Z9" s="16" t="n">
        <v>0.434</v>
      </c>
      <c r="AA9" s="16" t="n">
        <v>0.4479705012430691</v>
      </c>
      <c r="AB9" s="9">
        <f>IF(AND(N9="",O9=""),"DATI MANCANTI",IF(AND(N(N9)&gt;=PARAMETRI!$B$4,N(O9)&gt;=PARAMETRI!$B$4),"OK","NO"))</f>
        <v/>
      </c>
      <c r="AC9" s="9">
        <f>IF(K9="","N/D",IF(K9&lt;PARAMETRI!$B$6,"OTTIMO",IF(K9&lt;PARAMETRI!$B$5,"OK","NO")))</f>
        <v/>
      </c>
      <c r="AD9" s="9">
        <f>IF(OR(AB9="DATI MANCANTI",AC9="N/D"),"DA COMPLETARE",IF(AND(AB9="OK",AC9="OTTIMO"),"PASSA FORTE",IF(AND(AB9="OK",AC9="OK"),"PASSA","SCARTA")))</f>
        <v/>
      </c>
      <c r="AE9" s="8" t="inlineStr">
        <is>
          <t>2026-08-04</t>
        </is>
      </c>
      <c r="AF9" s="8" t="inlineStr">
        <is>
          <t>yahoo</t>
        </is>
      </c>
      <c r="AG9" s="19" t="inlineStr"/>
    </row>
    <row r="10">
      <c r="A10" s="8" t="n">
        <v>9</v>
      </c>
      <c r="B10" s="8" t="inlineStr">
        <is>
          <t>Banca Ifis</t>
        </is>
      </c>
      <c r="C10" s="8" t="inlineStr">
        <is>
          <t>IF.MI</t>
        </is>
      </c>
      <c r="D10" s="8" t="inlineStr">
        <is>
          <t>Banca</t>
        </is>
      </c>
      <c r="E10" s="9" t="inlineStr">
        <is>
          <t>Finanziario</t>
        </is>
      </c>
      <c r="F10" s="10" t="n">
        <v>14.97</v>
      </c>
      <c r="G10" s="11" t="inlineStr">
        <is>
          <t>EUR</t>
        </is>
      </c>
      <c r="H10" s="12" t="n">
        <v>914.4</v>
      </c>
      <c r="I10" s="10" t="n">
        <v>5.33</v>
      </c>
      <c r="J10" s="10" t="n">
        <v>2.06056</v>
      </c>
      <c r="K10" s="13">
        <f>IF(OR(F10="",I10="",I10&lt;=0),"",F10/I10)</f>
        <v/>
      </c>
      <c r="L10" s="14" t="n">
        <v>0.43134993</v>
      </c>
      <c r="M10" s="15">
        <f>IF(OR(L10="",K10="",K10&lt;=0),"",L10/K10)</f>
        <v/>
      </c>
      <c r="N10" s="16" t="n">
        <v>0.15787</v>
      </c>
      <c r="O10" s="16" t="n">
        <v>0.1080837120556844</v>
      </c>
      <c r="P10" s="16" t="n">
        <v>0.02703035448321747</v>
      </c>
      <c r="Q10" s="17" t="n">
        <v>4</v>
      </c>
      <c r="R10" s="16" t="n">
        <v>0.1547337791733341</v>
      </c>
      <c r="S10" s="16" t="n">
        <v>0.09327314395229491</v>
      </c>
      <c r="T10" s="16" t="n">
        <v>0.09533427133380451</v>
      </c>
      <c r="U10" s="16" t="n">
        <v>0.08899365376330386</v>
      </c>
      <c r="V10" s="16" t="n"/>
      <c r="W10" s="10" t="n">
        <v>2.12</v>
      </c>
      <c r="X10" s="15">
        <f>IF(OR(W10="",F10="",F10=0),"",W10/F10)</f>
        <v/>
      </c>
      <c r="Y10" s="18" t="n"/>
      <c r="Z10" s="16" t="n">
        <v>0.204</v>
      </c>
      <c r="AA10" s="16" t="n">
        <v>0.4350236780862317</v>
      </c>
      <c r="AB10" s="9">
        <f>IF(AND(N10="",O10=""),"DATI MANCANTI",IF(AND(N(N10)&gt;=PARAMETRI!$B$4,N(O10)&gt;=PARAMETRI!$B$4),"OK","NO"))</f>
        <v/>
      </c>
      <c r="AC10" s="9">
        <f>IF(K10="","N/D",IF(K10&lt;PARAMETRI!$B$6,"OTTIMO",IF(K10&lt;PARAMETRI!$B$5,"OK","NO")))</f>
        <v/>
      </c>
      <c r="AD10" s="9">
        <f>IF(OR(AB10="DATI MANCANTI",AC10="N/D"),"DA COMPLETARE",IF(AND(AB10="OK",AC10="OTTIMO"),"PASSA FORTE",IF(AND(AB10="OK",AC10="OK"),"PASSA","SCARTA")))</f>
        <v/>
      </c>
      <c r="AE10" s="8" t="inlineStr">
        <is>
          <t>2026-08-04</t>
        </is>
      </c>
      <c r="AF10" s="8" t="inlineStr">
        <is>
          <t>yahoo</t>
        </is>
      </c>
      <c r="AG10" s="19" t="inlineStr"/>
    </row>
    <row r="11">
      <c r="A11" s="8" t="n">
        <v>10</v>
      </c>
      <c r="B11" s="8" t="inlineStr">
        <is>
          <t>Banca Mediolanum</t>
        </is>
      </c>
      <c r="C11" s="8" t="inlineStr">
        <is>
          <t>BMED.MI</t>
        </is>
      </c>
      <c r="D11" s="8" t="inlineStr">
        <is>
          <t>Banca</t>
        </is>
      </c>
      <c r="E11" s="9" t="inlineStr">
        <is>
          <t>Finanziario</t>
        </is>
      </c>
      <c r="F11" s="10" t="n">
        <v>23.74</v>
      </c>
      <c r="G11" s="11" t="inlineStr">
        <is>
          <t>EUR</t>
        </is>
      </c>
      <c r="H11" s="12" t="n">
        <v>17551.3</v>
      </c>
      <c r="I11" s="10" t="n">
        <v>1.56</v>
      </c>
      <c r="J11" s="10" t="n">
        <v>1.55913</v>
      </c>
      <c r="K11" s="13">
        <f>IF(OR(F11="",I11="",I11&lt;=0),"",F11/I11)</f>
        <v/>
      </c>
      <c r="L11" s="14" t="n">
        <v>3.9046054</v>
      </c>
      <c r="M11" s="15">
        <f>IF(OR(L11="",K11="",K11&lt;=0),"",L11/K11)</f>
        <v/>
      </c>
      <c r="N11" s="16" t="n">
        <v>0.2754358183510404</v>
      </c>
      <c r="O11" s="16" t="n">
        <v>0.2408436712214453</v>
      </c>
      <c r="P11" s="16" t="n">
        <v>0.04285069479521749</v>
      </c>
      <c r="Q11" s="17" t="n">
        <v>4</v>
      </c>
      <c r="R11" s="16" t="n">
        <v>0.2754358183510404</v>
      </c>
      <c r="S11" s="16" t="n">
        <v>0.2781189451824767</v>
      </c>
      <c r="T11" s="16" t="n">
        <v>0.2378963395219322</v>
      </c>
      <c r="U11" s="16" t="n">
        <v>0.1719235818303319</v>
      </c>
      <c r="V11" s="16" t="n"/>
      <c r="W11" s="10" t="n">
        <v>1.3</v>
      </c>
      <c r="X11" s="15">
        <f>IF(OR(W11="",F11="",F11=0),"",W11/F11)</f>
        <v/>
      </c>
      <c r="Y11" s="18" t="n"/>
      <c r="Z11" s="16" t="n">
        <v>0.111</v>
      </c>
      <c r="AA11" s="16" t="n">
        <v>0.5392820074067336</v>
      </c>
      <c r="AB11" s="9">
        <f>IF(AND(N11="",O11=""),"DATI MANCANTI",IF(AND(N(N11)&gt;=PARAMETRI!$B$4,N(O11)&gt;=PARAMETRI!$B$4),"OK","NO"))</f>
        <v/>
      </c>
      <c r="AC11" s="9">
        <f>IF(K11="","N/D",IF(K11&lt;PARAMETRI!$B$6,"OTTIMO",IF(K11&lt;PARAMETRI!$B$5,"OK","NO")))</f>
        <v/>
      </c>
      <c r="AD11" s="9">
        <f>IF(OR(AB11="DATI MANCANTI",AC11="N/D"),"DA COMPLETARE",IF(AND(AB11="OK",AC11="OTTIMO"),"PASSA FORTE",IF(AND(AB11="OK",AC11="OK"),"PASSA","SCARTA")))</f>
        <v/>
      </c>
      <c r="AE11" s="8" t="inlineStr">
        <is>
          <t>2026-08-04</t>
        </is>
      </c>
      <c r="AF11" s="8" t="inlineStr">
        <is>
          <t>yahoo</t>
        </is>
      </c>
      <c r="AG11" s="19" t="inlineStr"/>
    </row>
    <row r="12">
      <c r="A12" s="8" t="n">
        <v>11</v>
      </c>
      <c r="B12" s="8" t="inlineStr">
        <is>
          <t>Banca Monte dei Paschi</t>
        </is>
      </c>
      <c r="C12" s="8" t="inlineStr">
        <is>
          <t>BMPS.MI</t>
        </is>
      </c>
      <c r="D12" s="8" t="inlineStr">
        <is>
          <t>Banca</t>
        </is>
      </c>
      <c r="E12" s="9" t="inlineStr">
        <is>
          <t>Finanziario</t>
        </is>
      </c>
      <c r="F12" s="10" t="n">
        <v>11.724</v>
      </c>
      <c r="G12" s="11" t="inlineStr">
        <is>
          <t>EUR</t>
        </is>
      </c>
      <c r="H12" s="12" t="n">
        <v>35622.4</v>
      </c>
      <c r="I12" s="10" t="n">
        <v>1.38</v>
      </c>
      <c r="J12" s="10" t="n">
        <v>0.89069</v>
      </c>
      <c r="K12" s="13">
        <f>IF(OR(F12="",I12="",I12&lt;=0),"",F12/I12)</f>
        <v/>
      </c>
      <c r="L12" s="14" t="n">
        <v>1.2530996</v>
      </c>
      <c r="M12" s="15">
        <f>IF(OR(L12="",K12="",K12&lt;=0),"",L12/K12)</f>
        <v/>
      </c>
      <c r="N12" s="16" t="n">
        <v>0.13343</v>
      </c>
      <c r="O12" s="16" t="n">
        <v>0.1118793043818977</v>
      </c>
      <c r="P12" s="16" t="n">
        <v>0.08689710531060152</v>
      </c>
      <c r="Q12" s="17" t="n">
        <v>4</v>
      </c>
      <c r="R12" s="16" t="n">
        <v>0.09712411852409344</v>
      </c>
      <c r="S12" s="16" t="n">
        <v>0.1674643066481196</v>
      </c>
      <c r="T12" s="16" t="n">
        <v>0.2056210488634617</v>
      </c>
      <c r="U12" s="16" t="n">
        <v>-0.02269225650808385</v>
      </c>
      <c r="V12" s="16" t="n"/>
      <c r="W12" s="10" t="n">
        <v>0.86</v>
      </c>
      <c r="X12" s="15">
        <f>IF(OR(W12="",F12="",F12=0),"",W12/F12)</f>
        <v/>
      </c>
      <c r="Y12" s="18" t="n"/>
      <c r="Z12" s="16" t="n">
        <v>0.959</v>
      </c>
      <c r="AA12" s="16" t="n">
        <v>0.5645294258421514</v>
      </c>
      <c r="AB12" s="9">
        <f>IF(AND(N12="",O12=""),"DATI MANCANTI",IF(AND(N(N12)&gt;=PARAMETRI!$B$4,N(O12)&gt;=PARAMETRI!$B$4),"OK","NO"))</f>
        <v/>
      </c>
      <c r="AC12" s="9">
        <f>IF(K12="","N/D",IF(K12&lt;PARAMETRI!$B$6,"OTTIMO",IF(K12&lt;PARAMETRI!$B$5,"OK","NO")))</f>
        <v/>
      </c>
      <c r="AD12" s="9">
        <f>IF(OR(AB12="DATI MANCANTI",AC12="N/D"),"DA COMPLETARE",IF(AND(AB12="OK",AC12="OTTIMO"),"PASSA FORTE",IF(AND(AB12="OK",AC12="OK"),"PASSA","SCARTA")))</f>
        <v/>
      </c>
      <c r="AE12" s="8" t="inlineStr">
        <is>
          <t>2026-08-04</t>
        </is>
      </c>
      <c r="AF12" s="8" t="inlineStr">
        <is>
          <t>yahoo</t>
        </is>
      </c>
      <c r="AG12" s="19" t="inlineStr"/>
    </row>
    <row r="13">
      <c r="A13" s="8" t="n">
        <v>12</v>
      </c>
      <c r="B13" s="8" t="inlineStr">
        <is>
          <t>Banca Profilo</t>
        </is>
      </c>
      <c r="C13" s="8" t="inlineStr">
        <is>
          <t>PRO.MI</t>
        </is>
      </c>
      <c r="D13" s="8" t="inlineStr">
        <is>
          <t>Banca</t>
        </is>
      </c>
      <c r="E13" s="9" t="inlineStr">
        <is>
          <t>Finanziario</t>
        </is>
      </c>
      <c r="F13" s="10" t="n">
        <v>1.6538</v>
      </c>
      <c r="G13" s="11" t="inlineStr">
        <is>
          <t>EUR</t>
        </is>
      </c>
      <c r="H13" s="12" t="n">
        <v>109.3</v>
      </c>
      <c r="I13" s="10" t="n">
        <v>0.12</v>
      </c>
      <c r="J13" s="10" t="n">
        <v>0.16</v>
      </c>
      <c r="K13" s="13">
        <f>IF(OR(F13="",I13="",I13&lt;=0),"",F13/I13)</f>
        <v/>
      </c>
      <c r="L13" s="14" t="n">
        <v>0.65940994</v>
      </c>
      <c r="M13" s="15">
        <f>IF(OR(L13="",K13="",K13&lt;=0),"",L13/K13)</f>
        <v/>
      </c>
      <c r="N13" s="16" t="n">
        <v>0.049450003</v>
      </c>
      <c r="O13" s="16" t="n">
        <v>0.06503077574268615</v>
      </c>
      <c r="P13" s="16" t="n">
        <v>0.006357036968247848</v>
      </c>
      <c r="Q13" s="17" t="n">
        <v>4</v>
      </c>
      <c r="R13" s="16" t="n">
        <v>0.060088543950598</v>
      </c>
      <c r="S13" s="16" t="n">
        <v>0.05765696403735347</v>
      </c>
      <c r="T13" s="16" t="n">
        <v>0.07306048899843912</v>
      </c>
      <c r="U13" s="16" t="n">
        <v>0.06931710598435398</v>
      </c>
      <c r="V13" s="16" t="n"/>
      <c r="W13" s="10" t="n">
        <v>0.07000000000000001</v>
      </c>
      <c r="X13" s="15">
        <f>IF(OR(W13="",F13="",F13=0),"",W13/F13)</f>
        <v/>
      </c>
      <c r="Y13" s="18" t="n"/>
      <c r="Z13" s="16" t="n">
        <v>-0.366</v>
      </c>
      <c r="AA13" s="16" t="n">
        <v>0.1203926489039781</v>
      </c>
      <c r="AB13" s="9">
        <f>IF(AND(N13="",O13=""),"DATI MANCANTI",IF(AND(N(N13)&gt;=PARAMETRI!$B$4,N(O13)&gt;=PARAMETRI!$B$4),"OK","NO"))</f>
        <v/>
      </c>
      <c r="AC13" s="9">
        <f>IF(K13="","N/D",IF(K13&lt;PARAMETRI!$B$6,"OTTIMO",IF(K13&lt;PARAMETRI!$B$5,"OK","NO")))</f>
        <v/>
      </c>
      <c r="AD13" s="9">
        <f>IF(OR(AB13="DATI MANCANTI",AC13="N/D"),"DA COMPLETARE",IF(AND(AB13="OK",AC13="OTTIMO"),"PASSA FORTE",IF(AND(AB13="OK",AC13="OK"),"PASSA","SCARTA")))</f>
        <v/>
      </c>
      <c r="AE13" s="8" t="inlineStr">
        <is>
          <t>2026-08-04</t>
        </is>
      </c>
      <c r="AF13" s="8" t="inlineStr">
        <is>
          <t>yahoo</t>
        </is>
      </c>
      <c r="AG13" s="19" t="inlineStr"/>
    </row>
    <row r="14">
      <c r="A14" s="8" t="n">
        <v>13</v>
      </c>
      <c r="B14" s="8" t="inlineStr">
        <is>
          <t>Banco BPM</t>
        </is>
      </c>
      <c r="C14" s="8" t="inlineStr">
        <is>
          <t>BAMI.MI</t>
        </is>
      </c>
      <c r="D14" s="8" t="inlineStr">
        <is>
          <t>Banca</t>
        </is>
      </c>
      <c r="E14" s="9" t="inlineStr">
        <is>
          <t>Finanziario</t>
        </is>
      </c>
      <c r="F14" s="10" t="n">
        <v>16.28</v>
      </c>
      <c r="G14" s="11" t="inlineStr">
        <is>
          <t>EUR</t>
        </is>
      </c>
      <c r="H14" s="12" t="n">
        <v>24502.5</v>
      </c>
      <c r="I14" s="10" t="n">
        <v>1.38</v>
      </c>
      <c r="J14" s="10" t="n">
        <v>1.36754</v>
      </c>
      <c r="K14" s="13">
        <f>IF(OR(F14="",I14="",I14&lt;=0),"",F14/I14)</f>
        <v/>
      </c>
      <c r="L14" s="14" t="n">
        <v>1.5952965</v>
      </c>
      <c r="M14" s="15">
        <f>IF(OR(L14="",K14="",K14&lt;=0),"",L14/K14)</f>
        <v/>
      </c>
      <c r="N14" s="16" t="n">
        <v>0.13722</v>
      </c>
      <c r="O14" s="16" t="n">
        <v>0.1021211334100729</v>
      </c>
      <c r="P14" s="16" t="n">
        <v>0.03350975211730548</v>
      </c>
      <c r="Q14" s="17" t="n">
        <v>4</v>
      </c>
      <c r="R14" s="16" t="n">
        <v>0.1342812323198498</v>
      </c>
      <c r="S14" s="16" t="n">
        <v>0.1314982535880892</v>
      </c>
      <c r="T14" s="16" t="n">
        <v>0.09007299567491081</v>
      </c>
      <c r="U14" s="16" t="n">
        <v>0.05263205205744168</v>
      </c>
      <c r="V14" s="16" t="n"/>
      <c r="W14" s="10" t="n">
        <v>1</v>
      </c>
      <c r="X14" s="15">
        <f>IF(OR(W14="",F14="",F14=0),"",W14/F14)</f>
        <v/>
      </c>
      <c r="Y14" s="18" t="n"/>
      <c r="Z14" s="16" t="n">
        <v>0.029</v>
      </c>
      <c r="AA14" s="16" t="n">
        <v>0.3089127903158856</v>
      </c>
      <c r="AB14" s="9">
        <f>IF(AND(N14="",O14=""),"DATI MANCANTI",IF(AND(N(N14)&gt;=PARAMETRI!$B$4,N(O14)&gt;=PARAMETRI!$B$4),"OK","NO"))</f>
        <v/>
      </c>
      <c r="AC14" s="9">
        <f>IF(K14="","N/D",IF(K14&lt;PARAMETRI!$B$6,"OTTIMO",IF(K14&lt;PARAMETRI!$B$5,"OK","NO")))</f>
        <v/>
      </c>
      <c r="AD14" s="9">
        <f>IF(OR(AB14="DATI MANCANTI",AC14="N/D"),"DA COMPLETARE",IF(AND(AB14="OK",AC14="OTTIMO"),"PASSA FORTE",IF(AND(AB14="OK",AC14="OK"),"PASSA","SCARTA")))</f>
        <v/>
      </c>
      <c r="AE14" s="8" t="inlineStr">
        <is>
          <t>2026-08-04</t>
        </is>
      </c>
      <c r="AF14" s="8" t="inlineStr">
        <is>
          <t>yahoo</t>
        </is>
      </c>
      <c r="AG14" s="19" t="inlineStr"/>
    </row>
    <row r="15">
      <c r="A15" s="8" t="n">
        <v>14</v>
      </c>
      <c r="B15" s="8" t="inlineStr">
        <is>
          <t>Banco Desio e Brianza</t>
        </is>
      </c>
      <c r="C15" s="8" t="inlineStr">
        <is>
          <t>BDB.MI</t>
        </is>
      </c>
      <c r="D15" s="8" t="inlineStr">
        <is>
          <t>Banca</t>
        </is>
      </c>
      <c r="E15" s="9" t="inlineStr">
        <is>
          <t>Finanziario</t>
        </is>
      </c>
      <c r="F15" s="10" t="n">
        <v>18.6</v>
      </c>
      <c r="G15" s="11" t="inlineStr">
        <is>
          <t>EUR</t>
        </is>
      </c>
      <c r="H15" s="12" t="n">
        <v>2445.4</v>
      </c>
      <c r="I15" s="10" t="n">
        <v>1.02</v>
      </c>
      <c r="J15" s="10" t="n"/>
      <c r="K15" s="13">
        <f>IF(OR(F15="",I15="",I15&lt;=0),"",F15/I15)</f>
        <v/>
      </c>
      <c r="L15" s="14" t="n">
        <v>1.6406457</v>
      </c>
      <c r="M15" s="15">
        <f>IF(OR(L15="",K15="",K15&lt;=0),"",L15/K15)</f>
        <v/>
      </c>
      <c r="N15" s="16" t="n">
        <v>0.09042</v>
      </c>
      <c r="O15" s="16" t="n">
        <v>0.1057732555853402</v>
      </c>
      <c r="P15" s="16" t="n">
        <v>0.04181671720819548</v>
      </c>
      <c r="Q15" s="17" t="n">
        <v>4</v>
      </c>
      <c r="R15" s="16" t="n">
        <v>0.08541270271503291</v>
      </c>
      <c r="S15" s="16" t="n">
        <v>0.08758728118881172</v>
      </c>
      <c r="T15" s="16" t="n">
        <v>0.1775172357765608</v>
      </c>
      <c r="U15" s="16" t="n">
        <v>0.07257580266095537</v>
      </c>
      <c r="V15" s="16" t="n"/>
      <c r="W15" s="10" t="n">
        <v>0.51</v>
      </c>
      <c r="X15" s="15">
        <f>IF(OR(W15="",F15="",F15=0),"",W15/F15)</f>
        <v/>
      </c>
      <c r="Y15" s="18" t="n"/>
      <c r="Z15" s="16" t="n">
        <v>0.099</v>
      </c>
      <c r="AA15" s="16" t="n">
        <v>0.2061490474278459</v>
      </c>
      <c r="AB15" s="9">
        <f>IF(AND(N15="",O15=""),"DATI MANCANTI",IF(AND(N(N15)&gt;=PARAMETRI!$B$4,N(O15)&gt;=PARAMETRI!$B$4),"OK","NO"))</f>
        <v/>
      </c>
      <c r="AC15" s="9">
        <f>IF(K15="","N/D",IF(K15&lt;PARAMETRI!$B$6,"OTTIMO",IF(K15&lt;PARAMETRI!$B$5,"OK","NO")))</f>
        <v/>
      </c>
      <c r="AD15" s="9">
        <f>IF(OR(AB15="DATI MANCANTI",AC15="N/D"),"DA COMPLETARE",IF(AND(AB15="OK",AC15="OTTIMO"),"PASSA FORTE",IF(AND(AB15="OK",AC15="OK"),"PASSA","SCARTA")))</f>
        <v/>
      </c>
      <c r="AE15" s="8" t="inlineStr">
        <is>
          <t>2026-08-04</t>
        </is>
      </c>
      <c r="AF15" s="8" t="inlineStr">
        <is>
          <t>yahoo</t>
        </is>
      </c>
      <c r="AG15" s="19" t="inlineStr"/>
    </row>
    <row r="16">
      <c r="A16" s="8" t="n">
        <v>15</v>
      </c>
      <c r="B16" s="8" t="inlineStr">
        <is>
          <t>Brembo</t>
        </is>
      </c>
      <c r="C16" s="8" t="inlineStr">
        <is>
          <t>BRE.MI</t>
        </is>
      </c>
      <c r="D16" s="8" t="inlineStr">
        <is>
          <t>Componentistica auto</t>
        </is>
      </c>
      <c r="E16" s="9" t="inlineStr">
        <is>
          <t>Industriale</t>
        </is>
      </c>
      <c r="F16" s="10" t="n">
        <v>10.58</v>
      </c>
      <c r="G16" s="11" t="inlineStr">
        <is>
          <t>EUR</t>
        </is>
      </c>
      <c r="H16" s="12" t="n">
        <v>3365.6</v>
      </c>
      <c r="I16" s="10" t="n">
        <v>0.68</v>
      </c>
      <c r="J16" s="10" t="n">
        <v>0.84656</v>
      </c>
      <c r="K16" s="13">
        <f>IF(OR(F16="",I16="",I16&lt;=0),"",F16/I16)</f>
        <v/>
      </c>
      <c r="L16" s="14" t="n">
        <v>1.4431865</v>
      </c>
      <c r="M16" s="15">
        <f>IF(OR(L16="",K16="",K16&lt;=0),"",L16/K16)</f>
        <v/>
      </c>
      <c r="N16" s="16" t="n">
        <v>0.101330005</v>
      </c>
      <c r="O16" s="16" t="n">
        <v>0.1265656568780933</v>
      </c>
      <c r="P16" s="16" t="n">
        <v>0.02514618444892005</v>
      </c>
      <c r="Q16" s="17" t="n">
        <v>4</v>
      </c>
      <c r="R16" s="16" t="n">
        <v>0.09128864491291784</v>
      </c>
      <c r="S16" s="16" t="n">
        <v>0.1144501964284625</v>
      </c>
      <c r="T16" s="16" t="n">
        <v>0.1475189755270711</v>
      </c>
      <c r="U16" s="16" t="n">
        <v>0.153004810643922</v>
      </c>
      <c r="V16" s="16" t="n"/>
      <c r="W16" s="10" t="n">
        <v>0.3</v>
      </c>
      <c r="X16" s="15">
        <f>IF(OR(W16="",F16="",F16=0),"",W16/F16)</f>
        <v/>
      </c>
      <c r="Y16" s="18" t="n">
        <v>58.738</v>
      </c>
      <c r="Z16" s="16" t="n">
        <v>0.075</v>
      </c>
      <c r="AA16" s="16" t="n">
        <v>0.06153502074835945</v>
      </c>
      <c r="AB16" s="9">
        <f>IF(AND(N16="",O16=""),"DATI MANCANTI",IF(AND(N(N16)&gt;=PARAMETRI!$B$4,N(O16)&gt;=PARAMETRI!$B$4),"OK","NO"))</f>
        <v/>
      </c>
      <c r="AC16" s="9">
        <f>IF(K16="","N/D",IF(K16&lt;PARAMETRI!$B$6,"OTTIMO",IF(K16&lt;PARAMETRI!$B$5,"OK","NO")))</f>
        <v/>
      </c>
      <c r="AD16" s="9">
        <f>IF(OR(AB16="DATI MANCANTI",AC16="N/D"),"DA COMPLETARE",IF(AND(AB16="OK",AC16="OTTIMO"),"PASSA FORTE",IF(AND(AB16="OK",AC16="OK"),"PASSA","SCARTA")))</f>
        <v/>
      </c>
      <c r="AE16" s="8" t="inlineStr">
        <is>
          <t>2026-08-04</t>
        </is>
      </c>
      <c r="AF16" s="8" t="inlineStr">
        <is>
          <t>yahoo</t>
        </is>
      </c>
      <c r="AG16" s="19" t="inlineStr"/>
    </row>
    <row r="17">
      <c r="A17" s="8" t="n">
        <v>16</v>
      </c>
      <c r="B17" s="8" t="inlineStr">
        <is>
          <t>Brunello Cucinelli</t>
        </is>
      </c>
      <c r="C17" s="8" t="inlineStr">
        <is>
          <t>BC.MI</t>
        </is>
      </c>
      <c r="D17" s="8" t="inlineStr">
        <is>
          <t>Lusso</t>
        </is>
      </c>
      <c r="E17" s="9" t="inlineStr">
        <is>
          <t>Consumi</t>
        </is>
      </c>
      <c r="F17" s="10" t="n">
        <v>91.34</v>
      </c>
      <c r="G17" s="11" t="inlineStr">
        <is>
          <t>EUR</t>
        </is>
      </c>
      <c r="H17" s="12" t="n">
        <v>6211.1</v>
      </c>
      <c r="I17" s="10" t="n">
        <v>1.99</v>
      </c>
      <c r="J17" s="10" t="n">
        <v>2.61984</v>
      </c>
      <c r="K17" s="13">
        <f>IF(OR(F17="",I17="",I17&lt;=0),"",F17/I17)</f>
        <v/>
      </c>
      <c r="L17" s="14" t="n">
        <v>11.335319</v>
      </c>
      <c r="M17" s="15">
        <f>IF(OR(L17="",K17="",K17&lt;=0),"",L17/K17)</f>
        <v/>
      </c>
      <c r="N17" s="16" t="n">
        <v>0.26791</v>
      </c>
      <c r="O17" s="16" t="n">
        <v>0.2403248193952109</v>
      </c>
      <c r="P17" s="16" t="n">
        <v>0.01805965959882995</v>
      </c>
      <c r="Q17" s="17" t="n">
        <v>4</v>
      </c>
      <c r="R17" s="16" t="n">
        <v>0.2473059594886634</v>
      </c>
      <c r="S17" s="16" t="n">
        <v>0.2438635092603554</v>
      </c>
      <c r="T17" s="16" t="n">
        <v>0.2594371546726846</v>
      </c>
      <c r="U17" s="16" t="n">
        <v>0.2106926541591403</v>
      </c>
      <c r="V17" s="16" t="n"/>
      <c r="W17" s="10" t="n">
        <v>1.04</v>
      </c>
      <c r="X17" s="15">
        <f>IF(OR(W17="",F17="",F17=0),"",W17/F17)</f>
        <v/>
      </c>
      <c r="Y17" s="18" t="n">
        <v>217.133</v>
      </c>
      <c r="Z17" s="16" t="n">
        <v>0.095</v>
      </c>
      <c r="AA17" s="16" t="n">
        <v>0.09793877201692389</v>
      </c>
      <c r="AB17" s="9">
        <f>IF(AND(N17="",O17=""),"DATI MANCANTI",IF(AND(N(N17)&gt;=PARAMETRI!$B$4,N(O17)&gt;=PARAMETRI!$B$4),"OK","NO"))</f>
        <v/>
      </c>
      <c r="AC17" s="9">
        <f>IF(K17="","N/D",IF(K17&lt;PARAMETRI!$B$6,"OTTIMO",IF(K17&lt;PARAMETRI!$B$5,"OK","NO")))</f>
        <v/>
      </c>
      <c r="AD17" s="9">
        <f>IF(OR(AB17="DATI MANCANTI",AC17="N/D"),"DA COMPLETARE",IF(AND(AB17="OK",AC17="OTTIMO"),"PASSA FORTE",IF(AND(AB17="OK",AC17="OK"),"PASSA","SCARTA")))</f>
        <v/>
      </c>
      <c r="AE17" s="8" t="inlineStr">
        <is>
          <t>2026-08-04</t>
        </is>
      </c>
      <c r="AF17" s="8" t="inlineStr">
        <is>
          <t>yahoo</t>
        </is>
      </c>
      <c r="AG17" s="19" t="inlineStr"/>
    </row>
    <row r="18">
      <c r="A18" s="8" t="n">
        <v>17</v>
      </c>
      <c r="B18" s="8" t="inlineStr">
        <is>
          <t>Buzzi</t>
        </is>
      </c>
      <c r="C18" s="8" t="inlineStr">
        <is>
          <t>BZU.MI</t>
        </is>
      </c>
      <c r="D18" s="8" t="inlineStr">
        <is>
          <t>Materiali / Cemento</t>
        </is>
      </c>
      <c r="E18" s="9" t="inlineStr">
        <is>
          <t>Industriale</t>
        </is>
      </c>
      <c r="F18" s="10" t="n">
        <v>42.18</v>
      </c>
      <c r="G18" s="11" t="inlineStr">
        <is>
          <t>EUR</t>
        </is>
      </c>
      <c r="H18" s="12" t="n">
        <v>7445.3</v>
      </c>
      <c r="I18" s="10" t="n">
        <v>5.09</v>
      </c>
      <c r="J18" s="10" t="n">
        <v>5.0767</v>
      </c>
      <c r="K18" s="13">
        <f>IF(OR(F18="",I18="",I18&lt;=0),"",F18/I18)</f>
        <v/>
      </c>
      <c r="L18" s="14" t="n">
        <v>1.0774223</v>
      </c>
      <c r="M18" s="15">
        <f>IF(OR(L18="",K18="",K18&lt;=0),"",L18/K18)</f>
        <v/>
      </c>
      <c r="N18" s="16" t="n">
        <v>0.13445</v>
      </c>
      <c r="O18" s="16" t="n">
        <v>0.1345063151175203</v>
      </c>
      <c r="P18" s="16" t="n">
        <v>0.02809718446027663</v>
      </c>
      <c r="Q18" s="17" t="n">
        <v>4</v>
      </c>
      <c r="R18" s="16" t="n">
        <v>0.1300000564412122</v>
      </c>
      <c r="S18" s="16" t="n">
        <v>0.1427187127514725</v>
      </c>
      <c r="T18" s="16" t="n">
        <v>0.1717888401993831</v>
      </c>
      <c r="U18" s="16" t="n">
        <v>0.09351765107801338</v>
      </c>
      <c r="V18" s="16" t="n"/>
      <c r="W18" s="10" t="n">
        <v>0.7</v>
      </c>
      <c r="X18" s="15">
        <f>IF(OR(W18="",F18="",F18=0),"",W18/F18)</f>
        <v/>
      </c>
      <c r="Y18" s="18" t="n">
        <v>6.178</v>
      </c>
      <c r="Z18" s="16" t="n">
        <v>0.029</v>
      </c>
      <c r="AA18" s="16" t="n">
        <v>0.2038853911642946</v>
      </c>
      <c r="AB18" s="9">
        <f>IF(AND(N18="",O18=""),"DATI MANCANTI",IF(AND(N(N18)&gt;=PARAMETRI!$B$4,N(O18)&gt;=PARAMETRI!$B$4),"OK","NO"))</f>
        <v/>
      </c>
      <c r="AC18" s="9">
        <f>IF(K18="","N/D",IF(K18&lt;PARAMETRI!$B$6,"OTTIMO",IF(K18&lt;PARAMETRI!$B$5,"OK","NO")))</f>
        <v/>
      </c>
      <c r="AD18" s="9">
        <f>IF(OR(AB18="DATI MANCANTI",AC18="N/D"),"DA COMPLETARE",IF(AND(AB18="OK",AC18="OTTIMO"),"PASSA FORTE",IF(AND(AB18="OK",AC18="OK"),"PASSA","SCARTA")))</f>
        <v/>
      </c>
      <c r="AE18" s="8" t="inlineStr">
        <is>
          <t>2026-08-04</t>
        </is>
      </c>
      <c r="AF18" s="8" t="inlineStr">
        <is>
          <t>yahoo</t>
        </is>
      </c>
      <c r="AG18" s="19" t="inlineStr"/>
    </row>
    <row r="19">
      <c r="A19" s="8" t="n">
        <v>18</v>
      </c>
      <c r="B19" s="8" t="inlineStr">
        <is>
          <t>CNH Industrial</t>
        </is>
      </c>
      <c r="C19" s="8" t="inlineStr">
        <is>
          <t>CNH</t>
        </is>
      </c>
      <c r="D19" s="8" t="inlineStr">
        <is>
          <t>Industria pesante</t>
        </is>
      </c>
      <c r="E19" s="9" t="inlineStr">
        <is>
          <t>Industriale</t>
        </is>
      </c>
      <c r="F19" s="10" t="n">
        <v>10.8</v>
      </c>
      <c r="G19" s="11" t="inlineStr">
        <is>
          <t>USD</t>
        </is>
      </c>
      <c r="H19" s="12" t="n">
        <v>13391.5</v>
      </c>
      <c r="I19" s="10" t="n">
        <v>0.32</v>
      </c>
      <c r="J19" s="10" t="n">
        <v>0.73193</v>
      </c>
      <c r="K19" s="13">
        <f>IF(OR(F19="",I19="",I19&lt;=0),"",F19/I19)</f>
        <v/>
      </c>
      <c r="L19" s="14" t="n">
        <v>1.7230376</v>
      </c>
      <c r="M19" s="15">
        <f>IF(OR(L19="",K19="",K19&lt;=0),"",L19/K19)</f>
        <v/>
      </c>
      <c r="N19" s="16" t="n">
        <v>0.0484</v>
      </c>
      <c r="O19" s="16" t="n">
        <v>0.2012639037953489</v>
      </c>
      <c r="P19" s="16" t="n">
        <v>0.09342005211694962</v>
      </c>
      <c r="Q19" s="17" t="n">
        <v>4</v>
      </c>
      <c r="R19" s="16" t="n">
        <v>0.06597671410090557</v>
      </c>
      <c r="S19" s="16" t="n">
        <v>0.1628545288197621</v>
      </c>
      <c r="T19" s="16" t="n">
        <v>0.2833125778331258</v>
      </c>
      <c r="U19" s="16" t="n">
        <v>0.2929117944276021</v>
      </c>
      <c r="V19" s="16" t="n"/>
      <c r="W19" s="10" t="n">
        <v>0.1</v>
      </c>
      <c r="X19" s="15">
        <f>IF(OR(W19="",F19="",F19=0),"",W19/F19)</f>
        <v/>
      </c>
      <c r="Y19" s="18" t="n">
        <v>333.719</v>
      </c>
      <c r="Z19" s="16" t="n">
        <v>-0.001</v>
      </c>
      <c r="AA19" s="16" t="n">
        <v>0.02133185962973197</v>
      </c>
      <c r="AB19" s="9">
        <f>IF(AND(N19="",O19=""),"DATI MANCANTI",IF(AND(N(N19)&gt;=PARAMETRI!$B$4,N(O19)&gt;=PARAMETRI!$B$4),"OK","NO"))</f>
        <v/>
      </c>
      <c r="AC19" s="9">
        <f>IF(K19="","N/D",IF(K19&lt;PARAMETRI!$B$6,"OTTIMO",IF(K19&lt;PARAMETRI!$B$5,"OK","NO")))</f>
        <v/>
      </c>
      <c r="AD19" s="9">
        <f>IF(OR(AB19="DATI MANCANTI",AC19="N/D"),"DA COMPLETARE",IF(AND(AB19="OK",AC19="OTTIMO"),"PASSA FORTE",IF(AND(AB19="OK",AC19="OK"),"PASSA","SCARTA")))</f>
        <v/>
      </c>
      <c r="AE19" s="8" t="inlineStr">
        <is>
          <t>2026-08-04</t>
        </is>
      </c>
      <c r="AF19" s="8" t="inlineStr">
        <is>
          <t>yahoo</t>
        </is>
      </c>
      <c r="AG19" s="19" t="inlineStr">
        <is>
          <t>Delistata da Milano (gen-2024), quota solo NYSE in USD</t>
        </is>
      </c>
    </row>
    <row r="20">
      <c r="A20" s="8" t="n">
        <v>19</v>
      </c>
      <c r="B20" s="8" t="inlineStr">
        <is>
          <t>Credito Emiliano</t>
        </is>
      </c>
      <c r="C20" s="8" t="inlineStr">
        <is>
          <t>CE.MI</t>
        </is>
      </c>
      <c r="D20" s="8" t="inlineStr">
        <is>
          <t>Banca</t>
        </is>
      </c>
      <c r="E20" s="9" t="inlineStr">
        <is>
          <t>Finanziario</t>
        </is>
      </c>
      <c r="F20" s="10" t="n">
        <v>19.89</v>
      </c>
      <c r="G20" s="11" t="inlineStr">
        <is>
          <t>EUR</t>
        </is>
      </c>
      <c r="H20" s="12" t="n">
        <v>6755.5</v>
      </c>
      <c r="I20" s="10" t="n">
        <v>1.57</v>
      </c>
      <c r="J20" s="10" t="n">
        <v>1.63504</v>
      </c>
      <c r="K20" s="13">
        <f>IF(OR(F20="",I20="",I20&lt;=0),"",F20/I20)</f>
        <v/>
      </c>
      <c r="L20" s="14" t="n">
        <v>1.448758</v>
      </c>
      <c r="M20" s="15">
        <f>IF(OR(L20="",K20="",K20&lt;=0),"",L20/K20)</f>
        <v/>
      </c>
      <c r="N20" s="16" t="n">
        <v>0.12091</v>
      </c>
      <c r="O20" s="16" t="n">
        <v>0.1300062824285416</v>
      </c>
      <c r="P20" s="16" t="n">
        <v>0.01959756211205863</v>
      </c>
      <c r="Q20" s="17" t="n">
        <v>4</v>
      </c>
      <c r="R20" s="16" t="n">
        <v>0.1332810045412384</v>
      </c>
      <c r="S20" s="16" t="n">
        <v>0.1444498517998922</v>
      </c>
      <c r="T20" s="16" t="n">
        <v>0.1452297895230177</v>
      </c>
      <c r="U20" s="16" t="n">
        <v>0.09706448385001806</v>
      </c>
      <c r="V20" s="16" t="n"/>
      <c r="W20" s="10" t="n">
        <v>0.75</v>
      </c>
      <c r="X20" s="15">
        <f>IF(OR(W20="",F20="",F20=0),"",W20/F20)</f>
        <v/>
      </c>
      <c r="Y20" s="18" t="n"/>
      <c r="Z20" s="16" t="n">
        <v>0.065</v>
      </c>
      <c r="AA20" s="16" t="n">
        <v>0.256171787535883</v>
      </c>
      <c r="AB20" s="9">
        <f>IF(AND(N20="",O20=""),"DATI MANCANTI",IF(AND(N(N20)&gt;=PARAMETRI!$B$4,N(O20)&gt;=PARAMETRI!$B$4),"OK","NO"))</f>
        <v/>
      </c>
      <c r="AC20" s="9">
        <f>IF(K20="","N/D",IF(K20&lt;PARAMETRI!$B$6,"OTTIMO",IF(K20&lt;PARAMETRI!$B$5,"OK","NO")))</f>
        <v/>
      </c>
      <c r="AD20" s="9">
        <f>IF(OR(AB20="DATI MANCANTI",AC20="N/D"),"DA COMPLETARE",IF(AND(AB20="OK",AC20="OTTIMO"),"PASSA FORTE",IF(AND(AB20="OK",AC20="OK"),"PASSA","SCARTA")))</f>
        <v/>
      </c>
      <c r="AE20" s="8" t="inlineStr">
        <is>
          <t>2026-08-04</t>
        </is>
      </c>
      <c r="AF20" s="8" t="inlineStr">
        <is>
          <t>yahoo</t>
        </is>
      </c>
      <c r="AG20" s="19" t="inlineStr"/>
    </row>
    <row r="21">
      <c r="A21" s="8" t="n">
        <v>20</v>
      </c>
      <c r="B21" s="8" t="inlineStr">
        <is>
          <t>Danieli &amp; C. ord.</t>
        </is>
      </c>
      <c r="C21" s="8" t="inlineStr">
        <is>
          <t>DAN.MI</t>
        </is>
      </c>
      <c r="D21" s="8" t="inlineStr">
        <is>
          <t>Impiantistica</t>
        </is>
      </c>
      <c r="E21" s="9" t="inlineStr">
        <is>
          <t>Industriale</t>
        </is>
      </c>
      <c r="F21" s="10" t="n">
        <v>67.40000000000001</v>
      </c>
      <c r="G21" s="11" t="inlineStr">
        <is>
          <t>EUR</t>
        </is>
      </c>
      <c r="H21" s="12" t="n">
        <v>4824</v>
      </c>
      <c r="I21" s="10" t="n">
        <v>3.19</v>
      </c>
      <c r="J21" s="10" t="n">
        <v>4.61273</v>
      </c>
      <c r="K21" s="13">
        <f>IF(OR(F21="",I21="",I21&lt;=0),"",F21/I21)</f>
        <v/>
      </c>
      <c r="L21" s="14" t="n">
        <v>1.6900702</v>
      </c>
      <c r="M21" s="15">
        <f>IF(OR(L21="",K21="",K21&lt;=0),"",L21/K21)</f>
        <v/>
      </c>
      <c r="N21" s="16" t="n">
        <v>0.08031000000000001</v>
      </c>
      <c r="O21" s="16" t="n">
        <v>0.0968440934016148</v>
      </c>
      <c r="P21" s="16" t="n">
        <v>0.00397470844110338</v>
      </c>
      <c r="Q21" s="17" t="n">
        <v>3</v>
      </c>
      <c r="R21" s="16" t="n"/>
      <c r="S21" s="16" t="n">
        <v>0.09166035137508417</v>
      </c>
      <c r="T21" s="16" t="n">
        <v>0.1013185357254691</v>
      </c>
      <c r="U21" s="16" t="n">
        <v>0.09755339310429112</v>
      </c>
      <c r="V21" s="16" t="n"/>
      <c r="W21" s="10" t="n">
        <v>0.31</v>
      </c>
      <c r="X21" s="15">
        <f>IF(OR(W21="",F21="",F21=0),"",W21/F21)</f>
        <v/>
      </c>
      <c r="Y21" s="18" t="n">
        <v>20.972</v>
      </c>
      <c r="Z21" s="16" t="n">
        <v>-0.162</v>
      </c>
      <c r="AA21" s="16" t="n">
        <v>0.0522529807088036</v>
      </c>
      <c r="AB21" s="9">
        <f>IF(AND(N21="",O21=""),"DATI MANCANTI",IF(AND(N(N21)&gt;=PARAMETRI!$B$4,N(O21)&gt;=PARAMETRI!$B$4),"OK","NO"))</f>
        <v/>
      </c>
      <c r="AC21" s="9">
        <f>IF(K21="","N/D",IF(K21&lt;PARAMETRI!$B$6,"OTTIMO",IF(K21&lt;PARAMETRI!$B$5,"OK","NO")))</f>
        <v/>
      </c>
      <c r="AD21" s="9">
        <f>IF(OR(AB21="DATI MANCANTI",AC21="N/D"),"DA COMPLETARE",IF(AND(AB21="OK",AC21="OTTIMO"),"PASSA FORTE",IF(AND(AB21="OK",AC21="OK"),"PASSA","SCARTA")))</f>
        <v/>
      </c>
      <c r="AE21" s="8" t="inlineStr">
        <is>
          <t>2026-08-04</t>
        </is>
      </c>
      <c r="AF21" s="8" t="inlineStr">
        <is>
          <t>yahoo</t>
        </is>
      </c>
      <c r="AG21" s="19" t="inlineStr">
        <is>
          <t>Verificare se posizione e' su risparmio (DANR.MI)</t>
        </is>
      </c>
    </row>
    <row r="22">
      <c r="A22" s="8" t="n">
        <v>21</v>
      </c>
      <c r="B22" s="8" t="inlineStr">
        <is>
          <t>Davide Campari-Milano</t>
        </is>
      </c>
      <c r="C22" s="8" t="inlineStr">
        <is>
          <t>CPR.MI</t>
        </is>
      </c>
      <c r="D22" s="8" t="inlineStr">
        <is>
          <t>Bevande</t>
        </is>
      </c>
      <c r="E22" s="9" t="inlineStr">
        <is>
          <t>Consumi</t>
        </is>
      </c>
      <c r="F22" s="10" t="n">
        <v>5.804</v>
      </c>
      <c r="G22" s="11" t="inlineStr">
        <is>
          <t>EUR</t>
        </is>
      </c>
      <c r="H22" s="12" t="n">
        <v>6961.1</v>
      </c>
      <c r="I22" s="10" t="n">
        <v>0.23</v>
      </c>
      <c r="J22" s="10" t="n">
        <v>0.35124</v>
      </c>
      <c r="K22" s="13">
        <f>IF(OR(F22="",I22="",I22&lt;=0),"",F22/I22)</f>
        <v/>
      </c>
      <c r="L22" s="14" t="n">
        <v>1.7439903</v>
      </c>
      <c r="M22" s="15">
        <f>IF(OR(L22="",K22="",K22&lt;=0),"",L22/K22)</f>
        <v/>
      </c>
      <c r="N22" s="16" t="n">
        <v>0.06676</v>
      </c>
      <c r="O22" s="16" t="n">
        <v>0.09484329341283899</v>
      </c>
      <c r="P22" s="16" t="n">
        <v>0.02757068204192986</v>
      </c>
      <c r="Q22" s="17" t="n">
        <v>4</v>
      </c>
      <c r="R22" s="16" t="n">
        <v>0.08964999482240861</v>
      </c>
      <c r="S22" s="16" t="n">
        <v>0.05230928905033731</v>
      </c>
      <c r="T22" s="16" t="n">
        <v>0.1129837276083687</v>
      </c>
      <c r="U22" s="16" t="n">
        <v>0.1244301621702414</v>
      </c>
      <c r="V22" s="16" t="n"/>
      <c r="W22" s="10" t="n">
        <v>0.1</v>
      </c>
      <c r="X22" s="15">
        <f>IF(OR(W22="",F22="",F22=0),"",W22/F22)</f>
        <v/>
      </c>
      <c r="Y22" s="18" t="n">
        <v>70.273</v>
      </c>
      <c r="Z22" s="16" t="n">
        <v>-0.01</v>
      </c>
      <c r="AA22" s="16" t="n">
        <v>0.0882632493199174</v>
      </c>
      <c r="AB22" s="9">
        <f>IF(AND(N22="",O22=""),"DATI MANCANTI",IF(AND(N(N22)&gt;=PARAMETRI!$B$4,N(O22)&gt;=PARAMETRI!$B$4),"OK","NO"))</f>
        <v/>
      </c>
      <c r="AC22" s="9">
        <f>IF(K22="","N/D",IF(K22&lt;PARAMETRI!$B$6,"OTTIMO",IF(K22&lt;PARAMETRI!$B$5,"OK","NO")))</f>
        <v/>
      </c>
      <c r="AD22" s="9">
        <f>IF(OR(AB22="DATI MANCANTI",AC22="N/D"),"DA COMPLETARE",IF(AND(AB22="OK",AC22="OTTIMO"),"PASSA FORTE",IF(AND(AB22="OK",AC22="OK"),"PASSA","SCARTA")))</f>
        <v/>
      </c>
      <c r="AE22" s="8" t="inlineStr">
        <is>
          <t>2026-08-04</t>
        </is>
      </c>
      <c r="AF22" s="8" t="inlineStr">
        <is>
          <t>yahoo</t>
        </is>
      </c>
      <c r="AG22" s="19" t="inlineStr"/>
    </row>
    <row r="23">
      <c r="A23" s="8" t="n">
        <v>22</v>
      </c>
      <c r="B23" s="8" t="inlineStr">
        <is>
          <t>DiaSorin</t>
        </is>
      </c>
      <c r="C23" s="8" t="inlineStr">
        <is>
          <t>DIA.MI</t>
        </is>
      </c>
      <c r="D23" s="8" t="inlineStr">
        <is>
          <t>Diagnostica</t>
        </is>
      </c>
      <c r="E23" s="9" t="inlineStr">
        <is>
          <t>Salute</t>
        </is>
      </c>
      <c r="F23" s="10" t="n">
        <v>74.48</v>
      </c>
      <c r="G23" s="11" t="inlineStr">
        <is>
          <t>EUR</t>
        </is>
      </c>
      <c r="H23" s="12" t="n">
        <v>3683.3</v>
      </c>
      <c r="I23" s="10" t="n">
        <v>2.64</v>
      </c>
      <c r="J23" s="10" t="n">
        <v>4.29718</v>
      </c>
      <c r="K23" s="13">
        <f>IF(OR(F23="",I23="",I23&lt;=0),"",F23/I23)</f>
        <v/>
      </c>
      <c r="L23" s="14" t="n">
        <v>2.4913032</v>
      </c>
      <c r="M23" s="15">
        <f>IF(OR(L23="",K23="",K23&lt;=0),"",L23/K23)</f>
        <v/>
      </c>
      <c r="N23" s="16" t="n">
        <v>0.0916</v>
      </c>
      <c r="O23" s="16" t="n">
        <v>0.116288776654548</v>
      </c>
      <c r="P23" s="16" t="n">
        <v>0.02454805062203687</v>
      </c>
      <c r="Q23" s="17" t="n">
        <v>4</v>
      </c>
      <c r="R23" s="16" t="n">
        <v>0.09821690597560229</v>
      </c>
      <c r="S23" s="16" t="n">
        <v>0.1044495085284283</v>
      </c>
      <c r="T23" s="16" t="n">
        <v>0.1038917569158156</v>
      </c>
      <c r="U23" s="16" t="n">
        <v>0.1585969351983458</v>
      </c>
      <c r="V23" s="16" t="n"/>
      <c r="W23" s="10" t="n">
        <v>1.3</v>
      </c>
      <c r="X23" s="15">
        <f>IF(OR(W23="",F23="",F23=0),"",W23/F23)</f>
        <v/>
      </c>
      <c r="Y23" s="18" t="n">
        <v>59.605</v>
      </c>
      <c r="Z23" s="16" t="n">
        <v>0.029</v>
      </c>
      <c r="AA23" s="16" t="n">
        <v>0.117671571601307</v>
      </c>
      <c r="AB23" s="9">
        <f>IF(AND(N23="",O23=""),"DATI MANCANTI",IF(AND(N(N23)&gt;=PARAMETRI!$B$4,N(O23)&gt;=PARAMETRI!$B$4),"OK","NO"))</f>
        <v/>
      </c>
      <c r="AC23" s="9">
        <f>IF(K23="","N/D",IF(K23&lt;PARAMETRI!$B$6,"OTTIMO",IF(K23&lt;PARAMETRI!$B$5,"OK","NO")))</f>
        <v/>
      </c>
      <c r="AD23" s="9">
        <f>IF(OR(AB23="DATI MANCANTI",AC23="N/D"),"DA COMPLETARE",IF(AND(AB23="OK",AC23="OTTIMO"),"PASSA FORTE",IF(AND(AB23="OK",AC23="OK"),"PASSA","SCARTA")))</f>
        <v/>
      </c>
      <c r="AE23" s="8" t="inlineStr">
        <is>
          <t>2026-08-04</t>
        </is>
      </c>
      <c r="AF23" s="8" t="inlineStr">
        <is>
          <t>yahoo</t>
        </is>
      </c>
      <c r="AG23" s="19" t="inlineStr"/>
    </row>
    <row r="24">
      <c r="A24" s="8" t="n">
        <v>23</v>
      </c>
      <c r="B24" s="8" t="inlineStr">
        <is>
          <t>ERG</t>
        </is>
      </c>
      <c r="C24" s="8" t="inlineStr">
        <is>
          <t>ERG.MI</t>
        </is>
      </c>
      <c r="D24" s="8" t="inlineStr">
        <is>
          <t>Utility / Rinnovabili</t>
        </is>
      </c>
      <c r="E24" s="9" t="inlineStr">
        <is>
          <t>Utility</t>
        </is>
      </c>
      <c r="F24" s="10" t="n">
        <v>21.9</v>
      </c>
      <c r="G24" s="11" t="inlineStr">
        <is>
          <t>EUR</t>
        </is>
      </c>
      <c r="H24" s="12" t="n">
        <v>3183.3</v>
      </c>
      <c r="I24" s="10" t="n">
        <v>0.57</v>
      </c>
      <c r="J24" s="10" t="n">
        <v>1.16657</v>
      </c>
      <c r="K24" s="13">
        <f>IF(OR(F24="",I24="",I24&lt;=0),"",F24/I24)</f>
        <v/>
      </c>
      <c r="L24" s="14" t="n">
        <v>1.5581642</v>
      </c>
      <c r="M24" s="15">
        <f>IF(OR(L24="",K24="",K24&lt;=0),"",L24/K24)</f>
        <v/>
      </c>
      <c r="N24" s="16" t="n">
        <v>0.04065</v>
      </c>
      <c r="O24" s="16" t="n">
        <v>0.09724741336023976</v>
      </c>
      <c r="P24" s="16" t="n">
        <v>0.05519134116901761</v>
      </c>
      <c r="Q24" s="17" t="n">
        <v>4</v>
      </c>
      <c r="R24" s="16" t="n">
        <v>0.03280439526475774</v>
      </c>
      <c r="S24" s="16" t="n">
        <v>0.08715430505101514</v>
      </c>
      <c r="T24" s="16" t="n">
        <v>0.08376241717779331</v>
      </c>
      <c r="U24" s="16" t="n">
        <v>0.1852685359473929</v>
      </c>
      <c r="V24" s="16" t="n"/>
      <c r="W24" s="10" t="n">
        <v>1</v>
      </c>
      <c r="X24" s="15">
        <f>IF(OR(W24="",F24="",F24=0),"",W24/F24)</f>
        <v/>
      </c>
      <c r="Y24" s="18" t="n">
        <v>137.035</v>
      </c>
      <c r="Z24" s="16" t="n"/>
      <c r="AA24" s="16" t="n">
        <v>0.1046401699804334</v>
      </c>
      <c r="AB24" s="9">
        <f>IF(AND(N24="",O24=""),"DATI MANCANTI",IF(AND(N(N24)&gt;=PARAMETRI!$B$4,N(O24)&gt;=PARAMETRI!$B$4),"OK","NO"))</f>
        <v/>
      </c>
      <c r="AC24" s="9">
        <f>IF(K24="","N/D",IF(K24&lt;PARAMETRI!$B$6,"OTTIMO",IF(K24&lt;PARAMETRI!$B$5,"OK","NO")))</f>
        <v/>
      </c>
      <c r="AD24" s="9">
        <f>IF(OR(AB24="DATI MANCANTI",AC24="N/D"),"DA COMPLETARE",IF(AND(AB24="OK",AC24="OTTIMO"),"PASSA FORTE",IF(AND(AB24="OK",AC24="OK"),"PASSA","SCARTA")))</f>
        <v/>
      </c>
      <c r="AE24" s="8" t="inlineStr">
        <is>
          <t>2026-08-04</t>
        </is>
      </c>
      <c r="AF24" s="8" t="inlineStr">
        <is>
          <t>yahoo</t>
        </is>
      </c>
      <c r="AG24" s="19" t="inlineStr"/>
    </row>
    <row r="25">
      <c r="A25" s="8" t="n">
        <v>24</v>
      </c>
      <c r="B25" s="8" t="inlineStr">
        <is>
          <t>Enel</t>
        </is>
      </c>
      <c r="C25" s="8" t="inlineStr">
        <is>
          <t>ENEL.MI</t>
        </is>
      </c>
      <c r="D25" s="8" t="inlineStr">
        <is>
          <t>Utility</t>
        </is>
      </c>
      <c r="E25" s="9" t="inlineStr">
        <is>
          <t>Utility</t>
        </is>
      </c>
      <c r="F25" s="10" t="n">
        <v>10.02</v>
      </c>
      <c r="G25" s="11" t="inlineStr">
        <is>
          <t>EUR</t>
        </is>
      </c>
      <c r="H25" s="12" t="n">
        <v>99431.10000000001</v>
      </c>
      <c r="I25" s="10" t="n">
        <v>0.38</v>
      </c>
      <c r="J25" s="10" t="n">
        <v>0.75103</v>
      </c>
      <c r="K25" s="13">
        <f>IF(OR(F25="",I25="",I25&lt;=0),"",F25/I25)</f>
        <v/>
      </c>
      <c r="L25" s="14" t="n">
        <v>3.0035973</v>
      </c>
      <c r="M25" s="15">
        <f>IF(OR(L25="",K25="",K25&lt;=0),"",L25/K25)</f>
        <v/>
      </c>
      <c r="N25" s="16" t="n">
        <v>0.122559994</v>
      </c>
      <c r="O25" s="16" t="n">
        <v>0.1266786444245822</v>
      </c>
      <c r="P25" s="16" t="n">
        <v>0.05384932558582804</v>
      </c>
      <c r="Q25" s="17" t="n">
        <v>4</v>
      </c>
      <c r="R25" s="16" t="n">
        <v>0.1317512785331171</v>
      </c>
      <c r="S25" s="16" t="n">
        <v>0.2079985769766683</v>
      </c>
      <c r="T25" s="16" t="n">
        <v>0.1082664147378366</v>
      </c>
      <c r="U25" s="16" t="n">
        <v>0.05869830745070669</v>
      </c>
      <c r="V25" s="16" t="n"/>
      <c r="W25" s="10" t="n">
        <v>0.52</v>
      </c>
      <c r="X25" s="15">
        <f>IF(OR(W25="",F25="",F25=0),"",W25/F25)</f>
        <v/>
      </c>
      <c r="Y25" s="18" t="n">
        <v>147.246</v>
      </c>
      <c r="Z25" s="16" t="n">
        <v>0.08500000000000001</v>
      </c>
      <c r="AA25" s="16" t="n">
        <v>0.06389729182233292</v>
      </c>
      <c r="AB25" s="9">
        <f>IF(AND(N25="",O25=""),"DATI MANCANTI",IF(AND(N(N25)&gt;=PARAMETRI!$B$4,N(O25)&gt;=PARAMETRI!$B$4),"OK","NO"))</f>
        <v/>
      </c>
      <c r="AC25" s="9">
        <f>IF(K25="","N/D",IF(K25&lt;PARAMETRI!$B$6,"OTTIMO",IF(K25&lt;PARAMETRI!$B$5,"OK","NO")))</f>
        <v/>
      </c>
      <c r="AD25" s="9">
        <f>IF(OR(AB25="DATI MANCANTI",AC25="N/D"),"DA COMPLETARE",IF(AND(AB25="OK",AC25="OTTIMO"),"PASSA FORTE",IF(AND(AB25="OK",AC25="OK"),"PASSA","SCARTA")))</f>
        <v/>
      </c>
      <c r="AE25" s="8" t="inlineStr">
        <is>
          <t>2026-08-04</t>
        </is>
      </c>
      <c r="AF25" s="8" t="inlineStr">
        <is>
          <t>yahoo</t>
        </is>
      </c>
      <c r="AG25" s="19" t="inlineStr"/>
    </row>
    <row r="26">
      <c r="A26" s="8" t="n">
        <v>25</v>
      </c>
      <c r="B26" s="8" t="inlineStr">
        <is>
          <t>Eni</t>
        </is>
      </c>
      <c r="C26" s="8" t="inlineStr">
        <is>
          <t>ENI.MI</t>
        </is>
      </c>
      <c r="D26" s="8" t="inlineStr">
        <is>
          <t>Energia</t>
        </is>
      </c>
      <c r="E26" s="9" t="inlineStr">
        <is>
          <t>Industriale</t>
        </is>
      </c>
      <c r="F26" s="10" t="n">
        <v>24.08</v>
      </c>
      <c r="G26" s="11" t="inlineStr">
        <is>
          <t>EUR</t>
        </is>
      </c>
      <c r="H26" s="12" t="n">
        <v>69880.2</v>
      </c>
      <c r="I26" s="10" t="n">
        <v>1.23</v>
      </c>
      <c r="J26" s="10" t="n">
        <v>2.30063</v>
      </c>
      <c r="K26" s="13">
        <f>IF(OR(F26="",I26="",I26&lt;=0),"",F26/I26)</f>
        <v/>
      </c>
      <c r="L26" s="14" t="n">
        <v>1.6586307</v>
      </c>
      <c r="M26" s="15">
        <f>IF(OR(L26="",K26="",K26&lt;=0),"",L26/K26)</f>
        <v/>
      </c>
      <c r="N26" s="16" t="n">
        <v>0.10901</v>
      </c>
      <c r="O26" s="16" t="n">
        <v>0.1118555013917138</v>
      </c>
      <c r="P26" s="16" t="n">
        <v>0.08328498900347517</v>
      </c>
      <c r="Q26" s="17" t="n">
        <v>4</v>
      </c>
      <c r="R26" s="16" t="n">
        <v>0.05440133500208594</v>
      </c>
      <c r="S26" s="16" t="n">
        <v>0.04971109216633513</v>
      </c>
      <c r="T26" s="16" t="n">
        <v>0.08970743080625752</v>
      </c>
      <c r="U26" s="16" t="n">
        <v>0.2536021475921766</v>
      </c>
      <c r="V26" s="16" t="n"/>
      <c r="W26" s="10" t="n">
        <v>1.07</v>
      </c>
      <c r="X26" s="15">
        <f>IF(OR(W26="",F26="",F26=0),"",W26/F26)</f>
        <v/>
      </c>
      <c r="Y26" s="18" t="n">
        <v>64.97499999999999</v>
      </c>
      <c r="Z26" s="16" t="n">
        <v>0.185</v>
      </c>
      <c r="AA26" s="16" t="n">
        <v>0.070419105500846</v>
      </c>
      <c r="AB26" s="9">
        <f>IF(AND(N26="",O26=""),"DATI MANCANTI",IF(AND(N(N26)&gt;=PARAMETRI!$B$4,N(O26)&gt;=PARAMETRI!$B$4),"OK","NO"))</f>
        <v/>
      </c>
      <c r="AC26" s="9">
        <f>IF(K26="","N/D",IF(K26&lt;PARAMETRI!$B$6,"OTTIMO",IF(K26&lt;PARAMETRI!$B$5,"OK","NO")))</f>
        <v/>
      </c>
      <c r="AD26" s="9">
        <f>IF(OR(AB26="DATI MANCANTI",AC26="N/D"),"DA COMPLETARE",IF(AND(AB26="OK",AC26="OTTIMO"),"PASSA FORTE",IF(AND(AB26="OK",AC26="OK"),"PASSA","SCARTA")))</f>
        <v/>
      </c>
      <c r="AE26" s="8" t="inlineStr">
        <is>
          <t>2026-08-04</t>
        </is>
      </c>
      <c r="AF26" s="8" t="inlineStr">
        <is>
          <t>yahoo</t>
        </is>
      </c>
      <c r="AG26" s="19" t="inlineStr"/>
    </row>
    <row r="27">
      <c r="A27" s="8" t="n">
        <v>26</v>
      </c>
      <c r="B27" s="8" t="inlineStr">
        <is>
          <t>Esprinet</t>
        </is>
      </c>
      <c r="C27" s="8" t="inlineStr">
        <is>
          <t>PRT.MI</t>
        </is>
      </c>
      <c r="D27" s="8" t="inlineStr">
        <is>
          <t>Distribuzione IT</t>
        </is>
      </c>
      <c r="E27" s="9" t="inlineStr">
        <is>
          <t>Industriale</t>
        </is>
      </c>
      <c r="F27" s="10" t="n">
        <v>7.19</v>
      </c>
      <c r="G27" s="11" t="inlineStr">
        <is>
          <t>EUR</t>
        </is>
      </c>
      <c r="H27" s="12" t="n">
        <v>355.5</v>
      </c>
      <c r="I27" s="10" t="n">
        <v>0.46</v>
      </c>
      <c r="J27" s="10" t="n">
        <v>0.61153</v>
      </c>
      <c r="K27" s="13">
        <f>IF(OR(F27="",I27="",I27&lt;=0),"",F27/I27)</f>
        <v/>
      </c>
      <c r="L27" s="14" t="n">
        <v>0.86543095</v>
      </c>
      <c r="M27" s="15">
        <f>IF(OR(L27="",K27="",K27&lt;=0),"",L27/K27)</f>
        <v/>
      </c>
      <c r="N27" s="16" t="n">
        <v>0.057550002</v>
      </c>
      <c r="O27" s="16" t="n">
        <v>0.04761574922132365</v>
      </c>
      <c r="P27" s="16" t="n">
        <v>0.05268191971291874</v>
      </c>
      <c r="Q27" s="17" t="n">
        <v>4</v>
      </c>
      <c r="R27" s="16" t="n">
        <v>0.05179603050299125</v>
      </c>
      <c r="S27" s="16" t="n">
        <v>0.0552888011982109</v>
      </c>
      <c r="T27" s="16" t="n">
        <v>-0.03232084047794018</v>
      </c>
      <c r="U27" s="16" t="n">
        <v>0.1156990056620326</v>
      </c>
      <c r="V27" s="16" t="n"/>
      <c r="W27" s="10" t="n">
        <v>0.35</v>
      </c>
      <c r="X27" s="15">
        <f>IF(OR(W27="",F27="",F27=0),"",W27/F27)</f>
        <v/>
      </c>
      <c r="Y27" s="18" t="n">
        <v>130.73</v>
      </c>
      <c r="Z27" s="16" t="n">
        <v>0.106</v>
      </c>
      <c r="AA27" s="16" t="n">
        <v>0.005245279062452674</v>
      </c>
      <c r="AB27" s="9">
        <f>IF(AND(N27="",O27=""),"DATI MANCANTI",IF(AND(N(N27)&gt;=PARAMETRI!$B$4,N(O27)&gt;=PARAMETRI!$B$4),"OK","NO"))</f>
        <v/>
      </c>
      <c r="AC27" s="9">
        <f>IF(K27="","N/D",IF(K27&lt;PARAMETRI!$B$6,"OTTIMO",IF(K27&lt;PARAMETRI!$B$5,"OK","NO")))</f>
        <v/>
      </c>
      <c r="AD27" s="9">
        <f>IF(OR(AB27="DATI MANCANTI",AC27="N/D"),"DA COMPLETARE",IF(AND(AB27="OK",AC27="OTTIMO"),"PASSA FORTE",IF(AND(AB27="OK",AC27="OK"),"PASSA","SCARTA")))</f>
        <v/>
      </c>
      <c r="AE27" s="8" t="inlineStr">
        <is>
          <t>2026-08-04</t>
        </is>
      </c>
      <c r="AF27" s="8" t="inlineStr">
        <is>
          <t>yahoo</t>
        </is>
      </c>
      <c r="AG27" s="19" t="inlineStr"/>
    </row>
    <row r="28">
      <c r="A28" s="8" t="n">
        <v>27</v>
      </c>
      <c r="B28" s="8" t="inlineStr">
        <is>
          <t>Exor</t>
        </is>
      </c>
      <c r="C28" s="8" t="inlineStr">
        <is>
          <t>EXO.AS</t>
        </is>
      </c>
      <c r="D28" s="8" t="inlineStr">
        <is>
          <t>Holding</t>
        </is>
      </c>
      <c r="E28" s="9" t="inlineStr">
        <is>
          <t>Finanziario</t>
        </is>
      </c>
      <c r="F28" s="10" t="n">
        <v>70</v>
      </c>
      <c r="G28" s="11" t="inlineStr">
        <is>
          <t>EUR</t>
        </is>
      </c>
      <c r="H28" s="12" t="n">
        <v>23007.4</v>
      </c>
      <c r="I28" s="10" t="n">
        <v>-18.48</v>
      </c>
      <c r="J28" s="10" t="n">
        <v>1.26279</v>
      </c>
      <c r="K28" s="13">
        <f>IF(OR(F28="",I28="",I28&lt;=0),"",F28/I28)</f>
        <v/>
      </c>
      <c r="L28" s="14" t="n">
        <v>0.42586586</v>
      </c>
      <c r="M28" s="15">
        <f>IF(OR(L28="",K28="",K28&lt;=0),"",L28/K28)</f>
        <v/>
      </c>
      <c r="N28" s="16" t="n">
        <v>-0.10617</v>
      </c>
      <c r="O28" s="16" t="n">
        <v>0.1637510106448963</v>
      </c>
      <c r="P28" s="16" t="n">
        <v>0.1786434319411815</v>
      </c>
      <c r="Q28" s="17" t="n">
        <v>4</v>
      </c>
      <c r="R28" s="16" t="n">
        <v>-0.1141060738244939</v>
      </c>
      <c r="S28" s="16" t="n">
        <v>0.3839369831466555</v>
      </c>
      <c r="T28" s="16" t="n">
        <v>0.1802475502836514</v>
      </c>
      <c r="U28" s="16" t="n">
        <v>0.2049255829737723</v>
      </c>
      <c r="V28" s="16" t="n"/>
      <c r="W28" s="10" t="n">
        <v>0.49</v>
      </c>
      <c r="X28" s="15">
        <f>IF(OR(W28="",F28="",F28=0),"",W28/F28)</f>
        <v/>
      </c>
      <c r="Y28" s="18" t="n">
        <v>11.155</v>
      </c>
      <c r="Z28" s="16" t="n"/>
      <c r="AA28" s="16" t="n">
        <v>1.056251722639933</v>
      </c>
      <c r="AB28" s="9">
        <f>IF(AND(N28="",O28=""),"DATI MANCANTI",IF(AND(N(N28)&gt;=PARAMETRI!$B$4,N(O28)&gt;=PARAMETRI!$B$4),"OK","NO"))</f>
        <v/>
      </c>
      <c r="AC28" s="9">
        <f>IF(K28="","N/D",IF(K28&lt;PARAMETRI!$B$6,"OTTIMO",IF(K28&lt;PARAMETRI!$B$5,"OK","NO")))</f>
        <v/>
      </c>
      <c r="AD28" s="9">
        <f>IF(OR(AB28="DATI MANCANTI",AC28="N/D"),"DA COMPLETARE",IF(AND(AB28="OK",AC28="OTTIMO"),"PASSA FORTE",IF(AND(AB28="OK",AC28="OK"),"PASSA","SCARTA")))</f>
        <v/>
      </c>
      <c r="AE28" s="8" t="inlineStr">
        <is>
          <t>2026-08-04</t>
        </is>
      </c>
      <c r="AF28" s="8" t="inlineStr">
        <is>
          <t>yahoo</t>
        </is>
      </c>
      <c r="AG28" s="19" t="inlineStr">
        <is>
          <t>Quotata ad Amsterdam</t>
        </is>
      </c>
    </row>
    <row r="29">
      <c r="A29" s="8" t="n">
        <v>28</v>
      </c>
      <c r="B29" s="8" t="inlineStr">
        <is>
          <t>Ferrari</t>
        </is>
      </c>
      <c r="C29" s="8" t="inlineStr">
        <is>
          <t>RACE.MI</t>
        </is>
      </c>
      <c r="D29" s="8" t="inlineStr">
        <is>
          <t>Lusso / Auto</t>
        </is>
      </c>
      <c r="E29" s="9" t="inlineStr">
        <is>
          <t>Consumi</t>
        </is>
      </c>
      <c r="F29" s="10" t="n">
        <v>345.65</v>
      </c>
      <c r="G29" s="11" t="inlineStr">
        <is>
          <t>EUR</t>
        </is>
      </c>
      <c r="H29" s="12" t="n">
        <v>60757.3</v>
      </c>
      <c r="I29" s="10" t="n">
        <v>9.279999999999999</v>
      </c>
      <c r="J29" s="10" t="n">
        <v>10.9597</v>
      </c>
      <c r="K29" s="13">
        <f>IF(OR(F29="",I29="",I29&lt;=0),"",F29/I29)</f>
        <v/>
      </c>
      <c r="L29" s="14" t="n">
        <v>16.620985</v>
      </c>
      <c r="M29" s="15">
        <f>IF(OR(L29="",K29="",K29&lt;=0),"",L29/K29)</f>
        <v/>
      </c>
      <c r="N29" s="16" t="n">
        <v>0.45439997</v>
      </c>
      <c r="O29" s="16" t="n">
        <v>0.4020305960143391</v>
      </c>
      <c r="P29" s="16" t="n">
        <v>0.02601046878287762</v>
      </c>
      <c r="Q29" s="17" t="n">
        <v>4</v>
      </c>
      <c r="R29" s="16" t="n">
        <v>0.4087439814706981</v>
      </c>
      <c r="S29" s="16" t="n">
        <v>0.4306452334019818</v>
      </c>
      <c r="T29" s="16" t="n">
        <v>0.4090473091468881</v>
      </c>
      <c r="U29" s="16" t="n">
        <v>0.3596858600377884</v>
      </c>
      <c r="V29" s="16" t="n"/>
      <c r="W29" s="10" t="n">
        <v>3.62</v>
      </c>
      <c r="X29" s="15">
        <f>IF(OR(W29="",F29="",F29=0),"",W29/F29)</f>
        <v/>
      </c>
      <c r="Y29" s="18" t="n">
        <v>86.386</v>
      </c>
      <c r="Z29" s="16" t="n">
        <v>0.08400000000000001</v>
      </c>
      <c r="AA29" s="16" t="n">
        <v>0.2289629285473584</v>
      </c>
      <c r="AB29" s="9">
        <f>IF(AND(N29="",O29=""),"DATI MANCANTI",IF(AND(N(N29)&gt;=PARAMETRI!$B$4,N(O29)&gt;=PARAMETRI!$B$4),"OK","NO"))</f>
        <v/>
      </c>
      <c r="AC29" s="9">
        <f>IF(K29="","N/D",IF(K29&lt;PARAMETRI!$B$6,"OTTIMO",IF(K29&lt;PARAMETRI!$B$5,"OK","NO")))</f>
        <v/>
      </c>
      <c r="AD29" s="9">
        <f>IF(OR(AB29="DATI MANCANTI",AC29="N/D"),"DA COMPLETARE",IF(AND(AB29="OK",AC29="OTTIMO"),"PASSA FORTE",IF(AND(AB29="OK",AC29="OK"),"PASSA","SCARTA")))</f>
        <v/>
      </c>
      <c r="AE29" s="8" t="inlineStr">
        <is>
          <t>2026-08-04</t>
        </is>
      </c>
      <c r="AF29" s="8" t="inlineStr">
        <is>
          <t>yahoo</t>
        </is>
      </c>
      <c r="AG29" s="19" t="inlineStr"/>
    </row>
    <row r="30">
      <c r="A30" s="8" t="n">
        <v>29</v>
      </c>
      <c r="B30" s="8" t="inlineStr">
        <is>
          <t>Fincantieri</t>
        </is>
      </c>
      <c r="C30" s="8" t="inlineStr">
        <is>
          <t>FCT.MI</t>
        </is>
      </c>
      <c r="D30" s="8" t="inlineStr">
        <is>
          <t>Cantieristica</t>
        </is>
      </c>
      <c r="E30" s="9" t="inlineStr">
        <is>
          <t>Industriale</t>
        </is>
      </c>
      <c r="F30" s="10" t="n">
        <v>13.825</v>
      </c>
      <c r="G30" s="11" t="inlineStr">
        <is>
          <t>EUR</t>
        </is>
      </c>
      <c r="H30" s="12" t="n">
        <v>4939.5</v>
      </c>
      <c r="I30" s="10" t="n">
        <v>0.57</v>
      </c>
      <c r="J30" s="10" t="n">
        <v>0.8156099999999999</v>
      </c>
      <c r="K30" s="13">
        <f>IF(OR(F30="",I30="",I30&lt;=0),"",F30/I30)</f>
        <v/>
      </c>
      <c r="L30" s="14" t="n">
        <v>4.495935</v>
      </c>
      <c r="M30" s="15">
        <f>IF(OR(L30="",K30="",K30&lt;=0),"",L30/K30)</f>
        <v/>
      </c>
      <c r="N30" s="16" t="n">
        <v>0.14947</v>
      </c>
      <c r="O30" s="16" t="n">
        <v>-0.1218811329227864</v>
      </c>
      <c r="P30" s="16" t="n">
        <v>0.2502291189215625</v>
      </c>
      <c r="Q30" s="17" t="n">
        <v>4</v>
      </c>
      <c r="R30" s="16" t="n">
        <v>0.1233359538258522</v>
      </c>
      <c r="S30" s="16" t="n">
        <v>0.03865147746282063</v>
      </c>
      <c r="T30" s="16" t="n">
        <v>-0.1219754340598448</v>
      </c>
      <c r="U30" s="16" t="n">
        <v>-0.5275365289199737</v>
      </c>
      <c r="V30" s="16" t="n"/>
      <c r="W30" s="10" t="n"/>
      <c r="X30" s="15">
        <f>IF(OR(W30="",F30="",F30=0),"",W30/F30)</f>
        <v/>
      </c>
      <c r="Y30" s="18" t="n">
        <v>123.496</v>
      </c>
      <c r="Z30" s="16" t="n">
        <v>0.006</v>
      </c>
      <c r="AA30" s="16" t="n">
        <v>0.02141278331866008</v>
      </c>
      <c r="AB30" s="9">
        <f>IF(AND(N30="",O30=""),"DATI MANCANTI",IF(AND(N(N30)&gt;=PARAMETRI!$B$4,N(O30)&gt;=PARAMETRI!$B$4),"OK","NO"))</f>
        <v/>
      </c>
      <c r="AC30" s="9">
        <f>IF(K30="","N/D",IF(K30&lt;PARAMETRI!$B$6,"OTTIMO",IF(K30&lt;PARAMETRI!$B$5,"OK","NO")))</f>
        <v/>
      </c>
      <c r="AD30" s="9">
        <f>IF(OR(AB30="DATI MANCANTI",AC30="N/D"),"DA COMPLETARE",IF(AND(AB30="OK",AC30="OTTIMO"),"PASSA FORTE",IF(AND(AB30="OK",AC30="OK"),"PASSA","SCARTA")))</f>
        <v/>
      </c>
      <c r="AE30" s="8" t="inlineStr">
        <is>
          <t>2026-08-04</t>
        </is>
      </c>
      <c r="AF30" s="8" t="inlineStr">
        <is>
          <t>yahoo</t>
        </is>
      </c>
      <c r="AG30" s="19" t="inlineStr">
        <is>
          <t>Prezzo storico pre-raggruppamento 2025</t>
        </is>
      </c>
    </row>
    <row r="31">
      <c r="A31" s="8" t="n">
        <v>30</v>
      </c>
      <c r="B31" s="8" t="inlineStr">
        <is>
          <t>FinecoBank</t>
        </is>
      </c>
      <c r="C31" s="8" t="inlineStr">
        <is>
          <t>FBK.MI</t>
        </is>
      </c>
      <c r="D31" s="8" t="inlineStr">
        <is>
          <t>Banca</t>
        </is>
      </c>
      <c r="E31" s="9" t="inlineStr">
        <is>
          <t>Finanziario</t>
        </is>
      </c>
      <c r="F31" s="10" t="n">
        <v>24.47</v>
      </c>
      <c r="G31" s="11" t="inlineStr">
        <is>
          <t>EUR</t>
        </is>
      </c>
      <c r="H31" s="12" t="n">
        <v>14971.2</v>
      </c>
      <c r="I31" s="10" t="n">
        <v>1.1</v>
      </c>
      <c r="J31" s="10" t="n">
        <v>1.25527</v>
      </c>
      <c r="K31" s="13">
        <f>IF(OR(F31="",I31="",I31&lt;=0),"",F31/I31)</f>
        <v/>
      </c>
      <c r="L31" s="14" t="n">
        <v>5.5374517</v>
      </c>
      <c r="M31" s="15">
        <f>IF(OR(L31="",K31="",K31&lt;=0),"",L31/K31)</f>
        <v/>
      </c>
      <c r="N31" s="16" t="n">
        <v>0.28855</v>
      </c>
      <c r="O31" s="16" t="n">
        <v>0.2570624236556285</v>
      </c>
      <c r="P31" s="16" t="n">
        <v>0.02097502353736271</v>
      </c>
      <c r="Q31" s="17" t="n">
        <v>4</v>
      </c>
      <c r="R31" s="16" t="n">
        <v>0.2534112396233302</v>
      </c>
      <c r="S31" s="16" t="n">
        <v>0.2730011819301958</v>
      </c>
      <c r="T31" s="16" t="n">
        <v>0.2775357273693247</v>
      </c>
      <c r="U31" s="16" t="n">
        <v>0.2243015456996635</v>
      </c>
      <c r="V31" s="16" t="n"/>
      <c r="W31" s="10" t="n">
        <v>0.79</v>
      </c>
      <c r="X31" s="15">
        <f>IF(OR(W31="",F31="",F31=0),"",W31/F31)</f>
        <v/>
      </c>
      <c r="Y31" s="18" t="n"/>
      <c r="Z31" s="16" t="n">
        <v>0.177</v>
      </c>
      <c r="AA31" s="16" t="n">
        <v>0.4311898534625156</v>
      </c>
      <c r="AB31" s="9">
        <f>IF(AND(N31="",O31=""),"DATI MANCANTI",IF(AND(N(N31)&gt;=PARAMETRI!$B$4,N(O31)&gt;=PARAMETRI!$B$4),"OK","NO"))</f>
        <v/>
      </c>
      <c r="AC31" s="9">
        <f>IF(K31="","N/D",IF(K31&lt;PARAMETRI!$B$6,"OTTIMO",IF(K31&lt;PARAMETRI!$B$5,"OK","NO")))</f>
        <v/>
      </c>
      <c r="AD31" s="9">
        <f>IF(OR(AB31="DATI MANCANTI",AC31="N/D"),"DA COMPLETARE",IF(AND(AB31="OK",AC31="OTTIMO"),"PASSA FORTE",IF(AND(AB31="OK",AC31="OK"),"PASSA","SCARTA")))</f>
        <v/>
      </c>
      <c r="AE31" s="8" t="inlineStr">
        <is>
          <t>2026-08-04</t>
        </is>
      </c>
      <c r="AF31" s="8" t="inlineStr">
        <is>
          <t>yahoo</t>
        </is>
      </c>
      <c r="AG31" s="19" t="inlineStr"/>
    </row>
    <row r="32">
      <c r="A32" s="8" t="n">
        <v>31</v>
      </c>
      <c r="B32" s="8" t="inlineStr">
        <is>
          <t>Forvia (ex Faurecia)</t>
        </is>
      </c>
      <c r="C32" s="8" t="inlineStr">
        <is>
          <t>FRVIA.PA</t>
        </is>
      </c>
      <c r="D32" s="8" t="inlineStr">
        <is>
          <t>Componentistica auto</t>
        </is>
      </c>
      <c r="E32" s="9" t="inlineStr">
        <is>
          <t>Industriale</t>
        </is>
      </c>
      <c r="F32" s="10" t="n">
        <v>9.130000000000001</v>
      </c>
      <c r="G32" s="11" t="inlineStr">
        <is>
          <t>EUR</t>
        </is>
      </c>
      <c r="H32" s="12" t="n">
        <v>1681.9</v>
      </c>
      <c r="I32" s="10" t="n">
        <v>-6</v>
      </c>
      <c r="J32" s="10" t="n">
        <v>2.37403</v>
      </c>
      <c r="K32" s="13">
        <f>IF(OR(F32="",I32="",I32&lt;=0),"",F32/I32)</f>
        <v/>
      </c>
      <c r="L32" s="14" t="n">
        <v>0.880764</v>
      </c>
      <c r="M32" s="15">
        <f>IF(OR(L32="",K32="",K32&lt;=0),"",L32/K32)</f>
        <v/>
      </c>
      <c r="N32" s="16" t="n">
        <v>-0.2566</v>
      </c>
      <c r="O32" s="16" t="n">
        <v>-0.297041108489524</v>
      </c>
      <c r="P32" s="16" t="n">
        <v>0.4720314770633242</v>
      </c>
      <c r="Q32" s="17" t="n">
        <v>4</v>
      </c>
      <c r="R32" s="16" t="n">
        <v>-1.110338236074975</v>
      </c>
      <c r="S32" s="16" t="n">
        <v>-0.04315205741180857</v>
      </c>
      <c r="T32" s="16" t="n">
        <v>0.04927484809509026</v>
      </c>
      <c r="U32" s="16" t="n">
        <v>-0.08394898856640282</v>
      </c>
      <c r="V32" s="16" t="n"/>
      <c r="W32" s="10" t="n"/>
      <c r="X32" s="15">
        <f>IF(OR(W32="",F32="",F32=0),"",W32/F32)</f>
        <v/>
      </c>
      <c r="Y32" s="18" t="n">
        <v>254.917</v>
      </c>
      <c r="Z32" s="16" t="n">
        <v>-0.043</v>
      </c>
      <c r="AA32" s="16" t="n">
        <v>-0.0595217988644668</v>
      </c>
      <c r="AB32" s="9">
        <f>IF(AND(N32="",O32=""),"DATI MANCANTI",IF(AND(N(N32)&gt;=PARAMETRI!$B$4,N(O32)&gt;=PARAMETRI!$B$4),"OK","NO"))</f>
        <v/>
      </c>
      <c r="AC32" s="9">
        <f>IF(K32="","N/D",IF(K32&lt;PARAMETRI!$B$6,"OTTIMO",IF(K32&lt;PARAMETRI!$B$5,"OK","NO")))</f>
        <v/>
      </c>
      <c r="AD32" s="9">
        <f>IF(OR(AB32="DATI MANCANTI",AC32="N/D"),"DA COMPLETARE",IF(AND(AB32="OK",AC32="OTTIMO"),"PASSA FORTE",IF(AND(AB32="OK",AC32="OK"),"PASSA","SCARTA")))</f>
        <v/>
      </c>
      <c r="AE32" s="8" t="inlineStr">
        <is>
          <t>2026-08-04</t>
        </is>
      </c>
      <c r="AF32" s="8" t="inlineStr">
        <is>
          <t>yahoo</t>
        </is>
      </c>
      <c r="AG32" s="19" t="inlineStr">
        <is>
          <t>Quotata a Parigi</t>
        </is>
      </c>
    </row>
    <row r="33">
      <c r="A33" s="8" t="n">
        <v>32</v>
      </c>
      <c r="B33" s="8" t="inlineStr">
        <is>
          <t>Geox</t>
        </is>
      </c>
      <c r="C33" s="8" t="inlineStr">
        <is>
          <t>GEO.MI</t>
        </is>
      </c>
      <c r="D33" s="8" t="inlineStr">
        <is>
          <t>Abbigliamento</t>
        </is>
      </c>
      <c r="E33" s="9" t="inlineStr">
        <is>
          <t>Consumi</t>
        </is>
      </c>
      <c r="F33" s="10" t="n">
        <v>0.288</v>
      </c>
      <c r="G33" s="11" t="inlineStr">
        <is>
          <t>EUR</t>
        </is>
      </c>
      <c r="H33" s="12" t="n">
        <v>105.5</v>
      </c>
      <c r="I33" s="10" t="n">
        <v>-0.04</v>
      </c>
      <c r="J33" s="10" t="n">
        <v>0.01</v>
      </c>
      <c r="K33" s="13">
        <f>IF(OR(F33="",I33="",I33&lt;=0),"",F33/I33)</f>
        <v/>
      </c>
      <c r="L33" s="14" t="n">
        <v>1.404878</v>
      </c>
      <c r="M33" s="15">
        <f>IF(OR(L33="",K33="",K33&lt;=0),"",L33/K33)</f>
        <v/>
      </c>
      <c r="N33" s="16" t="n">
        <v>-0.19634001</v>
      </c>
      <c r="O33" s="16" t="n">
        <v>-0.2135655708912357</v>
      </c>
      <c r="P33" s="16" t="n">
        <v>0.1443956009267138</v>
      </c>
      <c r="Q33" s="17" t="n">
        <v>4</v>
      </c>
      <c r="R33" s="16" t="n">
        <v>-0.2158361520227981</v>
      </c>
      <c r="S33" s="16" t="n">
        <v>-0.4468843429211034</v>
      </c>
      <c r="T33" s="16" t="n">
        <v>-0.07121095043603047</v>
      </c>
      <c r="U33" s="16" t="n">
        <v>-0.1203308381850106</v>
      </c>
      <c r="V33" s="16" t="n"/>
      <c r="W33" s="10" t="n"/>
      <c r="X33" s="15">
        <f>IF(OR(W33="",F33="",F33=0),"",W33/F33)</f>
        <v/>
      </c>
      <c r="Y33" s="18" t="n">
        <v>396.463</v>
      </c>
      <c r="Z33" s="16" t="n">
        <v>-0.114</v>
      </c>
      <c r="AA33" s="16" t="n">
        <v>-0.02501589575669552</v>
      </c>
      <c r="AB33" s="9">
        <f>IF(AND(N33="",O33=""),"DATI MANCANTI",IF(AND(N(N33)&gt;=PARAMETRI!$B$4,N(O33)&gt;=PARAMETRI!$B$4),"OK","NO"))</f>
        <v/>
      </c>
      <c r="AC33" s="9">
        <f>IF(K33="","N/D",IF(K33&lt;PARAMETRI!$B$6,"OTTIMO",IF(K33&lt;PARAMETRI!$B$5,"OK","NO")))</f>
        <v/>
      </c>
      <c r="AD33" s="9">
        <f>IF(OR(AB33="DATI MANCANTI",AC33="N/D"),"DA COMPLETARE",IF(AND(AB33="OK",AC33="OTTIMO"),"PASSA FORTE",IF(AND(AB33="OK",AC33="OK"),"PASSA","SCARTA")))</f>
        <v/>
      </c>
      <c r="AE33" s="8" t="inlineStr">
        <is>
          <t>2026-08-04</t>
        </is>
      </c>
      <c r="AF33" s="8" t="inlineStr">
        <is>
          <t>yahoo</t>
        </is>
      </c>
      <c r="AG33" s="19" t="inlineStr"/>
    </row>
    <row r="34">
      <c r="A34" s="8" t="n">
        <v>33</v>
      </c>
      <c r="B34" s="8" t="inlineStr">
        <is>
          <t>Hera</t>
        </is>
      </c>
      <c r="C34" s="8" t="inlineStr">
        <is>
          <t>HER.MI</t>
        </is>
      </c>
      <c r="D34" s="8" t="inlineStr">
        <is>
          <t>Utility</t>
        </is>
      </c>
      <c r="E34" s="9" t="inlineStr">
        <is>
          <t>Utility</t>
        </is>
      </c>
      <c r="F34" s="10" t="n">
        <v>3.908</v>
      </c>
      <c r="G34" s="11" t="inlineStr">
        <is>
          <t>EUR</t>
        </is>
      </c>
      <c r="H34" s="12" t="n">
        <v>5777.5</v>
      </c>
      <c r="I34" s="10" t="n">
        <v>0.32</v>
      </c>
      <c r="J34" s="10" t="n">
        <v>0.33184</v>
      </c>
      <c r="K34" s="13">
        <f>IF(OR(F34="",I34="",I34&lt;=0),"",F34/I34)</f>
        <v/>
      </c>
      <c r="L34" s="14" t="n">
        <v>1.4062612</v>
      </c>
      <c r="M34" s="15">
        <f>IF(OR(L34="",K34="",K34&lt;=0),"",L34/K34)</f>
        <v/>
      </c>
      <c r="N34" s="16" t="n">
        <v>0.121079996</v>
      </c>
      <c r="O34" s="16" t="n">
        <v>0.1129016561358004</v>
      </c>
      <c r="P34" s="16" t="n">
        <v>0.02307978086200269</v>
      </c>
      <c r="Q34" s="17" t="n">
        <v>4</v>
      </c>
      <c r="R34" s="16" t="n">
        <v>0.1137599843191062</v>
      </c>
      <c r="S34" s="16" t="n">
        <v>0.1343713486046575</v>
      </c>
      <c r="T34" s="16" t="n">
        <v>0.1283811296608691</v>
      </c>
      <c r="U34" s="16" t="n">
        <v>0.07509416195856874</v>
      </c>
      <c r="V34" s="16" t="n"/>
      <c r="W34" s="10" t="n">
        <v>0.16</v>
      </c>
      <c r="X34" s="15">
        <f>IF(OR(W34="",F34="",F34=0),"",W34/F34)</f>
        <v/>
      </c>
      <c r="Y34" s="18" t="n">
        <v>133.318</v>
      </c>
      <c r="Z34" s="16" t="n">
        <v>0.221</v>
      </c>
      <c r="AA34" s="16" t="n">
        <v>0.03629365073242979</v>
      </c>
      <c r="AB34" s="9">
        <f>IF(AND(N34="",O34=""),"DATI MANCANTI",IF(AND(N(N34)&gt;=PARAMETRI!$B$4,N(O34)&gt;=PARAMETRI!$B$4),"OK","NO"))</f>
        <v/>
      </c>
      <c r="AC34" s="9">
        <f>IF(K34="","N/D",IF(K34&lt;PARAMETRI!$B$6,"OTTIMO",IF(K34&lt;PARAMETRI!$B$5,"OK","NO")))</f>
        <v/>
      </c>
      <c r="AD34" s="9">
        <f>IF(OR(AB34="DATI MANCANTI",AC34="N/D"),"DA COMPLETARE",IF(AND(AB34="OK",AC34="OTTIMO"),"PASSA FORTE",IF(AND(AB34="OK",AC34="OK"),"PASSA","SCARTA")))</f>
        <v/>
      </c>
      <c r="AE34" s="8" t="inlineStr">
        <is>
          <t>2026-08-04</t>
        </is>
      </c>
      <c r="AF34" s="8" t="inlineStr">
        <is>
          <t>yahoo</t>
        </is>
      </c>
      <c r="AG34" s="19" t="inlineStr"/>
    </row>
    <row r="35">
      <c r="A35" s="8" t="n">
        <v>34</v>
      </c>
      <c r="B35" s="8" t="inlineStr">
        <is>
          <t>INWIT</t>
        </is>
      </c>
      <c r="C35" s="8" t="inlineStr">
        <is>
          <t>INW.MI</t>
        </is>
      </c>
      <c r="D35" s="8" t="inlineStr">
        <is>
          <t>Torri / Infrastrutture</t>
        </is>
      </c>
      <c r="E35" s="9" t="inlineStr">
        <is>
          <t>Industriale</t>
        </is>
      </c>
      <c r="F35" s="10" t="n">
        <v>6.47</v>
      </c>
      <c r="G35" s="11" t="inlineStr">
        <is>
          <t>EUR</t>
        </is>
      </c>
      <c r="H35" s="12" t="n">
        <v>5841.5</v>
      </c>
      <c r="I35" s="10" t="n">
        <v>0.37</v>
      </c>
      <c r="J35" s="10" t="n">
        <v>0.3566</v>
      </c>
      <c r="K35" s="13">
        <f>IF(OR(F35="",I35="",I35&lt;=0),"",F35/I35)</f>
        <v/>
      </c>
      <c r="L35" s="14" t="n">
        <v>1.8694018</v>
      </c>
      <c r="M35" s="15">
        <f>IF(OR(L35="",K35="",K35&lt;=0),"",L35/K35)</f>
        <v/>
      </c>
      <c r="N35" s="16" t="n">
        <v>0.09859</v>
      </c>
      <c r="O35" s="16" t="n">
        <v>0.08375718905919846</v>
      </c>
      <c r="P35" s="16" t="n">
        <v>0.01401549999798546</v>
      </c>
      <c r="Q35" s="17" t="n">
        <v>4</v>
      </c>
      <c r="R35" s="16" t="n">
        <v>0.1042395007229944</v>
      </c>
      <c r="S35" s="16" t="n">
        <v>0.0868230114415488</v>
      </c>
      <c r="T35" s="16" t="n">
        <v>0.0782900743220354</v>
      </c>
      <c r="U35" s="16" t="n">
        <v>0.06567616975021522</v>
      </c>
      <c r="V35" s="16" t="n"/>
      <c r="W35" s="10" t="n">
        <v>0.55</v>
      </c>
      <c r="X35" s="15">
        <f>IF(OR(W35="",F35="",F35=0),"",W35/F35)</f>
        <v/>
      </c>
      <c r="Y35" s="18" t="n">
        <v>176.703</v>
      </c>
      <c r="Z35" s="16" t="n">
        <v>-0.008</v>
      </c>
      <c r="AA35" s="16" t="n">
        <v>0.3132534184705564</v>
      </c>
      <c r="AB35" s="9">
        <f>IF(AND(N35="",O35=""),"DATI MANCANTI",IF(AND(N(N35)&gt;=PARAMETRI!$B$4,N(O35)&gt;=PARAMETRI!$B$4),"OK","NO"))</f>
        <v/>
      </c>
      <c r="AC35" s="9">
        <f>IF(K35="","N/D",IF(K35&lt;PARAMETRI!$B$6,"OTTIMO",IF(K35&lt;PARAMETRI!$B$5,"OK","NO")))</f>
        <v/>
      </c>
      <c r="AD35" s="9">
        <f>IF(OR(AB35="DATI MANCANTI",AC35="N/D"),"DA COMPLETARE",IF(AND(AB35="OK",AC35="OTTIMO"),"PASSA FORTE",IF(AND(AB35="OK",AC35="OK"),"PASSA","SCARTA")))</f>
        <v/>
      </c>
      <c r="AE35" s="8" t="inlineStr">
        <is>
          <t>2026-08-04</t>
        </is>
      </c>
      <c r="AF35" s="8" t="inlineStr">
        <is>
          <t>yahoo</t>
        </is>
      </c>
      <c r="AG35" s="19" t="inlineStr"/>
    </row>
    <row r="36">
      <c r="A36" s="8" t="n">
        <v>35</v>
      </c>
      <c r="B36" s="8" t="inlineStr">
        <is>
          <t>Interpump Group</t>
        </is>
      </c>
      <c r="C36" s="8" t="inlineStr">
        <is>
          <t>IP.MI</t>
        </is>
      </c>
      <c r="D36" s="8" t="inlineStr">
        <is>
          <t>Meccanica</t>
        </is>
      </c>
      <c r="E36" s="9" t="inlineStr">
        <is>
          <t>Industriale</t>
        </is>
      </c>
      <c r="F36" s="10" t="n">
        <v>35.58</v>
      </c>
      <c r="G36" s="11" t="inlineStr">
        <is>
          <t>EUR</t>
        </is>
      </c>
      <c r="H36" s="12" t="n">
        <v>3739.3</v>
      </c>
      <c r="I36" s="10" t="n">
        <v>1.96</v>
      </c>
      <c r="J36" s="10" t="n">
        <v>2.34109</v>
      </c>
      <c r="K36" s="13">
        <f>IF(OR(F36="",I36="",I36&lt;=0),"",F36/I36)</f>
        <v/>
      </c>
      <c r="L36" s="14" t="n">
        <v>1.7566035</v>
      </c>
      <c r="M36" s="15">
        <f>IF(OR(L36="",K36="",K36&lt;=0),"",L36/K36)</f>
        <v/>
      </c>
      <c r="N36" s="16" t="n">
        <v>0.09994</v>
      </c>
      <c r="O36" s="16" t="n">
        <v>0.1341707417514897</v>
      </c>
      <c r="P36" s="16" t="n">
        <v>0.02923547445248708</v>
      </c>
      <c r="Q36" s="17" t="n">
        <v>4</v>
      </c>
      <c r="R36" s="16" t="n">
        <v>0.09917145079023811</v>
      </c>
      <c r="S36" s="16" t="n">
        <v>0.1130533890473383</v>
      </c>
      <c r="T36" s="16" t="n">
        <v>0.1529172414023812</v>
      </c>
      <c r="U36" s="16" t="n">
        <v>0.1715408857660014</v>
      </c>
      <c r="V36" s="16" t="n"/>
      <c r="W36" s="10" t="n">
        <v>0.35</v>
      </c>
      <c r="X36" s="15">
        <f>IF(OR(W36="",F36="",F36=0),"",W36/F36)</f>
        <v/>
      </c>
      <c r="Y36" s="18" t="n">
        <v>31.498</v>
      </c>
      <c r="Z36" s="16" t="n">
        <v>0.006</v>
      </c>
      <c r="AA36" s="16" t="n">
        <v>0.1006841179050014</v>
      </c>
      <c r="AB36" s="9">
        <f>IF(AND(N36="",O36=""),"DATI MANCANTI",IF(AND(N(N36)&gt;=PARAMETRI!$B$4,N(O36)&gt;=PARAMETRI!$B$4),"OK","NO"))</f>
        <v/>
      </c>
      <c r="AC36" s="9">
        <f>IF(K36="","N/D",IF(K36&lt;PARAMETRI!$B$6,"OTTIMO",IF(K36&lt;PARAMETRI!$B$5,"OK","NO")))</f>
        <v/>
      </c>
      <c r="AD36" s="9">
        <f>IF(OR(AB36="DATI MANCANTI",AC36="N/D"),"DA COMPLETARE",IF(AND(AB36="OK",AC36="OTTIMO"),"PASSA FORTE",IF(AND(AB36="OK",AC36="OK"),"PASSA","SCARTA")))</f>
        <v/>
      </c>
      <c r="AE36" s="8" t="inlineStr">
        <is>
          <t>2026-08-04</t>
        </is>
      </c>
      <c r="AF36" s="8" t="inlineStr">
        <is>
          <t>yahoo</t>
        </is>
      </c>
      <c r="AG36" s="19" t="inlineStr"/>
    </row>
    <row r="37">
      <c r="A37" s="8" t="n">
        <v>36</v>
      </c>
      <c r="B37" s="8" t="inlineStr">
        <is>
          <t>Intesa Sanpaolo</t>
        </is>
      </c>
      <c r="C37" s="8" t="inlineStr">
        <is>
          <t>ISP.MI</t>
        </is>
      </c>
      <c r="D37" s="8" t="inlineStr">
        <is>
          <t>Banca</t>
        </is>
      </c>
      <c r="E37" s="9" t="inlineStr">
        <is>
          <t>Finanziario</t>
        </is>
      </c>
      <c r="F37" s="10" t="n">
        <v>6.751</v>
      </c>
      <c r="G37" s="11" t="inlineStr">
        <is>
          <t>EUR</t>
        </is>
      </c>
      <c r="H37" s="12" t="n">
        <v>118347.7</v>
      </c>
      <c r="I37" s="10" t="n">
        <v>0.5600000000000001</v>
      </c>
      <c r="J37" s="10" t="n">
        <v>0.6415</v>
      </c>
      <c r="K37" s="13">
        <f>IF(OR(F37="",I37="",I37&lt;=0),"",F37/I37)</f>
        <v/>
      </c>
      <c r="L37" s="14" t="n">
        <v>1.7005037</v>
      </c>
      <c r="M37" s="15">
        <f>IF(OR(L37="",K37="",K37&lt;=0),"",L37/K37)</f>
        <v/>
      </c>
      <c r="N37" s="16" t="n">
        <v>0.14273</v>
      </c>
      <c r="O37" s="16" t="n">
        <v>0.1170723447862178</v>
      </c>
      <c r="P37" s="16" t="n">
        <v>0.0273636203726556</v>
      </c>
      <c r="Q37" s="17" t="n">
        <v>4</v>
      </c>
      <c r="R37" s="16" t="n">
        <v>0.1429031367859443</v>
      </c>
      <c r="S37" s="16" t="n">
        <v>0.1329630538848656</v>
      </c>
      <c r="T37" s="16" t="n">
        <v>0.1207573128214749</v>
      </c>
      <c r="U37" s="16" t="n">
        <v>0.07166587565258661</v>
      </c>
      <c r="V37" s="16" t="n"/>
      <c r="W37" s="10" t="n">
        <v>0.38</v>
      </c>
      <c r="X37" s="15">
        <f>IF(OR(W37="",F37="",F37=0),"",W37/F37)</f>
        <v/>
      </c>
      <c r="Y37" s="18" t="n"/>
      <c r="Z37" s="16" t="n">
        <v>0.037</v>
      </c>
      <c r="AA37" s="16" t="n">
        <v>0.3385677664131235</v>
      </c>
      <c r="AB37" s="9">
        <f>IF(AND(N37="",O37=""),"DATI MANCANTI",IF(AND(N(N37)&gt;=PARAMETRI!$B$4,N(O37)&gt;=PARAMETRI!$B$4),"OK","NO"))</f>
        <v/>
      </c>
      <c r="AC37" s="9">
        <f>IF(K37="","N/D",IF(K37&lt;PARAMETRI!$B$6,"OTTIMO",IF(K37&lt;PARAMETRI!$B$5,"OK","NO")))</f>
        <v/>
      </c>
      <c r="AD37" s="9">
        <f>IF(OR(AB37="DATI MANCANTI",AC37="N/D"),"DA COMPLETARE",IF(AND(AB37="OK",AC37="OTTIMO"),"PASSA FORTE",IF(AND(AB37="OK",AC37="OK"),"PASSA","SCARTA")))</f>
        <v/>
      </c>
      <c r="AE37" s="8" t="inlineStr">
        <is>
          <t>2026-08-04</t>
        </is>
      </c>
      <c r="AF37" s="8" t="inlineStr">
        <is>
          <t>yahoo</t>
        </is>
      </c>
      <c r="AG37" s="19" t="inlineStr"/>
    </row>
    <row r="38">
      <c r="A38" s="8" t="n">
        <v>37</v>
      </c>
      <c r="B38" s="8" t="inlineStr">
        <is>
          <t>Iren</t>
        </is>
      </c>
      <c r="C38" s="8" t="inlineStr">
        <is>
          <t>IRE.MI</t>
        </is>
      </c>
      <c r="D38" s="8" t="inlineStr">
        <is>
          <t>Utility</t>
        </is>
      </c>
      <c r="E38" s="9" t="inlineStr">
        <is>
          <t>Utility</t>
        </is>
      </c>
      <c r="F38" s="10" t="n">
        <v>2.57</v>
      </c>
      <c r="G38" s="11" t="inlineStr">
        <is>
          <t>EUR</t>
        </is>
      </c>
      <c r="H38" s="12" t="n">
        <v>3297.5</v>
      </c>
      <c r="I38" s="10" t="n">
        <v>0.23</v>
      </c>
      <c r="J38" s="10" t="n">
        <v>0.24707</v>
      </c>
      <c r="K38" s="13">
        <f>IF(OR(F38="",I38="",I38&lt;=0),"",F38/I38)</f>
        <v/>
      </c>
      <c r="L38" s="14" t="n">
        <v>1.0686071</v>
      </c>
      <c r="M38" s="15">
        <f>IF(OR(L38="",K38="",K38&lt;=0),"",L38/K38)</f>
        <v/>
      </c>
      <c r="N38" s="16" t="n">
        <v>0.08586001</v>
      </c>
      <c r="O38" s="16" t="n">
        <v>0.08833789201631842</v>
      </c>
      <c r="P38" s="16" t="n">
        <v>0.004159652247824652</v>
      </c>
      <c r="Q38" s="17" t="n">
        <v>4</v>
      </c>
      <c r="R38" s="16" t="n">
        <v>0.086886861999682</v>
      </c>
      <c r="S38" s="16" t="n">
        <v>0.09334796927981129</v>
      </c>
      <c r="T38" s="16" t="n">
        <v>0.09078158140807809</v>
      </c>
      <c r="U38" s="16" t="n">
        <v>0.08233515537770233</v>
      </c>
      <c r="V38" s="16" t="n"/>
      <c r="W38" s="10" t="n">
        <v>0.14</v>
      </c>
      <c r="X38" s="15">
        <f>IF(OR(W38="",F38="",F38=0),"",W38/F38)</f>
        <v/>
      </c>
      <c r="Y38" s="18" t="n">
        <v>128.903</v>
      </c>
      <c r="Z38" s="16" t="n">
        <v>0.049</v>
      </c>
      <c r="AA38" s="16" t="n">
        <v>0.04642093273543158</v>
      </c>
      <c r="AB38" s="9">
        <f>IF(AND(N38="",O38=""),"DATI MANCANTI",IF(AND(N(N38)&gt;=PARAMETRI!$B$4,N(O38)&gt;=PARAMETRI!$B$4),"OK","NO"))</f>
        <v/>
      </c>
      <c r="AC38" s="9">
        <f>IF(K38="","N/D",IF(K38&lt;PARAMETRI!$B$6,"OTTIMO",IF(K38&lt;PARAMETRI!$B$5,"OK","NO")))</f>
        <v/>
      </c>
      <c r="AD38" s="9">
        <f>IF(OR(AB38="DATI MANCANTI",AC38="N/D"),"DA COMPLETARE",IF(AND(AB38="OK",AC38="OTTIMO"),"PASSA FORTE",IF(AND(AB38="OK",AC38="OK"),"PASSA","SCARTA")))</f>
        <v/>
      </c>
      <c r="AE38" s="8" t="inlineStr">
        <is>
          <t>2026-08-04</t>
        </is>
      </c>
      <c r="AF38" s="8" t="inlineStr">
        <is>
          <t>yahoo</t>
        </is>
      </c>
      <c r="AG38" s="19" t="inlineStr"/>
    </row>
    <row r="39">
      <c r="A39" s="8" t="n">
        <v>38</v>
      </c>
      <c r="B39" s="8" t="inlineStr">
        <is>
          <t>Italgas</t>
        </is>
      </c>
      <c r="C39" s="8" t="inlineStr">
        <is>
          <t>IG.MI</t>
        </is>
      </c>
      <c r="D39" s="8" t="inlineStr">
        <is>
          <t>Utility / Reti</t>
        </is>
      </c>
      <c r="E39" s="9" t="inlineStr">
        <is>
          <t>Utility</t>
        </is>
      </c>
      <c r="F39" s="10" t="n">
        <v>9.086</v>
      </c>
      <c r="G39" s="11" t="inlineStr">
        <is>
          <t>EUR</t>
        </is>
      </c>
      <c r="H39" s="12" t="n">
        <v>9236.1</v>
      </c>
      <c r="I39" s="10" t="n">
        <v>0.7</v>
      </c>
      <c r="J39" s="10" t="n">
        <v>0.79984</v>
      </c>
      <c r="K39" s="13">
        <f>IF(OR(F39="",I39="",I39&lt;=0),"",F39/I39)</f>
        <v/>
      </c>
      <c r="L39" s="14" t="n">
        <v>2.4164896</v>
      </c>
      <c r="M39" s="15">
        <f>IF(OR(L39="",K39="",K39&lt;=0),"",L39/K39)</f>
        <v/>
      </c>
      <c r="N39" s="16" t="n">
        <v>0.19063</v>
      </c>
      <c r="O39" s="16" t="n">
        <v>0.1892111669010866</v>
      </c>
      <c r="P39" s="16" t="n">
        <v>0.007636666953879905</v>
      </c>
      <c r="Q39" s="17" t="n">
        <v>4</v>
      </c>
      <c r="R39" s="16" t="n">
        <v>0.1760500959304389</v>
      </c>
      <c r="S39" s="16" t="n">
        <v>0.194821061899161</v>
      </c>
      <c r="T39" s="16" t="n">
        <v>0.1927868944489472</v>
      </c>
      <c r="U39" s="16" t="n">
        <v>0.1931866153257992</v>
      </c>
      <c r="V39" s="16" t="n"/>
      <c r="W39" s="10" t="n">
        <v>0.43</v>
      </c>
      <c r="X39" s="15">
        <f>IF(OR(W39="",F39="",F39=0),"",W39/F39)</f>
        <v/>
      </c>
      <c r="Y39" s="18" t="n">
        <v>294.061</v>
      </c>
      <c r="Z39" s="16" t="n">
        <v>0.306</v>
      </c>
      <c r="AA39" s="16" t="n">
        <v>0.2063045888567778</v>
      </c>
      <c r="AB39" s="9">
        <f>IF(AND(N39="",O39=""),"DATI MANCANTI",IF(AND(N(N39)&gt;=PARAMETRI!$B$4,N(O39)&gt;=PARAMETRI!$B$4),"OK","NO"))</f>
        <v/>
      </c>
      <c r="AC39" s="9">
        <f>IF(K39="","N/D",IF(K39&lt;PARAMETRI!$B$6,"OTTIMO",IF(K39&lt;PARAMETRI!$B$5,"OK","NO")))</f>
        <v/>
      </c>
      <c r="AD39" s="9">
        <f>IF(OR(AB39="DATI MANCANTI",AC39="N/D"),"DA COMPLETARE",IF(AND(AB39="OK",AC39="OTTIMO"),"PASSA FORTE",IF(AND(AB39="OK",AC39="OK"),"PASSA","SCARTA")))</f>
        <v/>
      </c>
      <c r="AE39" s="8" t="inlineStr">
        <is>
          <t>2026-08-04</t>
        </is>
      </c>
      <c r="AF39" s="8" t="inlineStr">
        <is>
          <t>yahoo</t>
        </is>
      </c>
      <c r="AG39" s="19" t="inlineStr"/>
    </row>
    <row r="40">
      <c r="A40" s="8" t="n">
        <v>39</v>
      </c>
      <c r="B40" s="8" t="inlineStr">
        <is>
          <t>Iveco Group</t>
        </is>
      </c>
      <c r="C40" s="8" t="inlineStr">
        <is>
          <t>IVG.MI</t>
        </is>
      </c>
      <c r="D40" s="8" t="inlineStr">
        <is>
          <t>Veicoli industriali</t>
        </is>
      </c>
      <c r="E40" s="9" t="inlineStr">
        <is>
          <t>Industriale</t>
        </is>
      </c>
      <c r="F40" s="10" t="n">
        <v>13.9</v>
      </c>
      <c r="G40" s="11" t="inlineStr">
        <is>
          <t>EUR</t>
        </is>
      </c>
      <c r="H40" s="12" t="n">
        <v>3702.2</v>
      </c>
      <c r="I40" s="10" t="n">
        <v>0.04</v>
      </c>
      <c r="J40" s="10" t="n">
        <v>2.04293</v>
      </c>
      <c r="K40" s="13">
        <f>IF(OR(F40="",I40="",I40&lt;=0),"",F40/I40)</f>
        <v/>
      </c>
      <c r="L40" s="14" t="n">
        <v>1.4885414</v>
      </c>
      <c r="M40" s="15">
        <f>IF(OR(L40="",K40="",K40&lt;=0),"",L40/K40)</f>
        <v/>
      </c>
      <c r="N40" s="16" t="n">
        <v>0.02429</v>
      </c>
      <c r="O40" s="16" t="n">
        <v>0.09726813021820266</v>
      </c>
      <c r="P40" s="16" t="n">
        <v>0.02406301283286296</v>
      </c>
      <c r="Q40" s="17" t="n">
        <v>4</v>
      </c>
      <c r="R40" s="16" t="n">
        <v>0.1047101449275362</v>
      </c>
      <c r="S40" s="16" t="n">
        <v>0.1293071507965913</v>
      </c>
      <c r="T40" s="16" t="n">
        <v>0.09260832625318606</v>
      </c>
      <c r="U40" s="16" t="n">
        <v>0.06244689889549702</v>
      </c>
      <c r="V40" s="16" t="n"/>
      <c r="W40" s="10" t="n">
        <v>0.33</v>
      </c>
      <c r="X40" s="15">
        <f>IF(OR(W40="",F40="",F40=0),"",W40/F40)</f>
        <v/>
      </c>
      <c r="Y40" s="18" t="n">
        <v>242.829</v>
      </c>
      <c r="Z40" s="16" t="n"/>
      <c r="AA40" s="16" t="n">
        <v>0.004691689008042895</v>
      </c>
      <c r="AB40" s="9">
        <f>IF(AND(N40="",O40=""),"DATI MANCANTI",IF(AND(N(N40)&gt;=PARAMETRI!$B$4,N(O40)&gt;=PARAMETRI!$B$4),"OK","NO"))</f>
        <v/>
      </c>
      <c r="AC40" s="9">
        <f>IF(K40="","N/D",IF(K40&lt;PARAMETRI!$B$6,"OTTIMO",IF(K40&lt;PARAMETRI!$B$5,"OK","NO")))</f>
        <v/>
      </c>
      <c r="AD40" s="9">
        <f>IF(OR(AB40="DATI MANCANTI",AC40="N/D"),"DA COMPLETARE",IF(AND(AB40="OK",AC40="OTTIMO"),"PASSA FORTE",IF(AND(AB40="OK",AC40="OK"),"PASSA","SCARTA")))</f>
        <v/>
      </c>
      <c r="AE40" s="8" t="inlineStr">
        <is>
          <t>2026-08-04</t>
        </is>
      </c>
      <c r="AF40" s="8" t="inlineStr">
        <is>
          <t>yahoo</t>
        </is>
      </c>
      <c r="AG40" s="19" t="inlineStr"/>
    </row>
    <row r="41">
      <c r="A41" s="8" t="n">
        <v>40</v>
      </c>
      <c r="B41" s="8" t="inlineStr">
        <is>
          <t>Juventus FC</t>
        </is>
      </c>
      <c r="C41" s="8" t="inlineStr">
        <is>
          <t>JUVE.MI</t>
        </is>
      </c>
      <c r="D41" s="8" t="inlineStr">
        <is>
          <t>Sport / Intrattenimento</t>
        </is>
      </c>
      <c r="E41" s="9" t="inlineStr">
        <is>
          <t>Consumi</t>
        </is>
      </c>
      <c r="F41" s="10" t="n">
        <v>2.052</v>
      </c>
      <c r="G41" s="11" t="inlineStr">
        <is>
          <t>EUR</t>
        </is>
      </c>
      <c r="H41" s="12" t="n">
        <v>855.8</v>
      </c>
      <c r="I41" s="10" t="n">
        <v>-0.26</v>
      </c>
      <c r="J41" s="10" t="n">
        <v>-0.10025</v>
      </c>
      <c r="K41" s="13">
        <f>IF(OR(F41="",I41="",I41&lt;=0),"",F41/I41)</f>
        <v/>
      </c>
      <c r="L41" s="14" t="n">
        <v>10.973262</v>
      </c>
      <c r="M41" s="15">
        <f>IF(OR(L41="",K41="",K41&lt;=0),"",L41/K41)</f>
        <v/>
      </c>
      <c r="N41" s="16" t="n">
        <v>-1.1478701</v>
      </c>
      <c r="O41" s="16" t="n">
        <v>-3.115727151459425</v>
      </c>
      <c r="P41" s="16" t="n">
        <v>1.435930396899337</v>
      </c>
      <c r="Q41" s="17" t="n">
        <v>3</v>
      </c>
      <c r="R41" s="16" t="n"/>
      <c r="S41" s="16" t="n">
        <v>-4.956438451587222</v>
      </c>
      <c r="T41" s="16" t="n">
        <v>-2.938123538952883</v>
      </c>
      <c r="U41" s="16" t="n">
        <v>-1.45261946383817</v>
      </c>
      <c r="V41" s="16" t="n"/>
      <c r="W41" s="10" t="n"/>
      <c r="X41" s="15">
        <f>IF(OR(W41="",F41="",F41=0),"",W41/F41)</f>
        <v/>
      </c>
      <c r="Y41" s="18" t="n">
        <v>436.114</v>
      </c>
      <c r="Z41" s="16" t="n">
        <v>-0.091</v>
      </c>
      <c r="AA41" s="16" t="n">
        <v>-0.1970811575327133</v>
      </c>
      <c r="AB41" s="9">
        <f>IF(AND(N41="",O41=""),"DATI MANCANTI",IF(AND(N(N41)&gt;=PARAMETRI!$B$4,N(O41)&gt;=PARAMETRI!$B$4),"OK","NO"))</f>
        <v/>
      </c>
      <c r="AC41" s="9">
        <f>IF(K41="","N/D",IF(K41&lt;PARAMETRI!$B$6,"OTTIMO",IF(K41&lt;PARAMETRI!$B$5,"OK","NO")))</f>
        <v/>
      </c>
      <c r="AD41" s="9">
        <f>IF(OR(AB41="DATI MANCANTI",AC41="N/D"),"DA COMPLETARE",IF(AND(AB41="OK",AC41="OTTIMO"),"PASSA FORTE",IF(AND(AB41="OK",AC41="OK"),"PASSA","SCARTA")))</f>
        <v/>
      </c>
      <c r="AE41" s="8" t="inlineStr">
        <is>
          <t>2026-08-04</t>
        </is>
      </c>
      <c r="AF41" s="8" t="inlineStr">
        <is>
          <t>yahoo</t>
        </is>
      </c>
      <c r="AG41" s="19" t="inlineStr"/>
    </row>
    <row r="42">
      <c r="A42" s="8" t="n">
        <v>41</v>
      </c>
      <c r="B42" s="8" t="inlineStr">
        <is>
          <t>Leonardo</t>
        </is>
      </c>
      <c r="C42" s="8" t="inlineStr">
        <is>
          <t>LDO.MI</t>
        </is>
      </c>
      <c r="D42" s="8" t="inlineStr">
        <is>
          <t>Difesa / Aerospazio</t>
        </is>
      </c>
      <c r="E42" s="9" t="inlineStr">
        <is>
          <t>Industriale</t>
        </is>
      </c>
      <c r="F42" s="10" t="n">
        <v>56.57</v>
      </c>
      <c r="G42" s="11" t="inlineStr">
        <is>
          <t>EUR</t>
        </is>
      </c>
      <c r="H42" s="12" t="n">
        <v>32634.4</v>
      </c>
      <c r="I42" s="10" t="n">
        <v>1.95</v>
      </c>
      <c r="J42" s="10" t="n">
        <v>2.82756</v>
      </c>
      <c r="K42" s="13">
        <f>IF(OR(F42="",I42="",I42&lt;=0),"",F42/I42)</f>
        <v/>
      </c>
      <c r="L42" s="14" t="n">
        <v>3.3404193</v>
      </c>
      <c r="M42" s="15">
        <f>IF(OR(L42="",K42="",K42&lt;=0),"",L42/K42)</f>
        <v/>
      </c>
      <c r="N42" s="16" t="n">
        <v>0.11893</v>
      </c>
      <c r="O42" s="16" t="n">
        <v>0.1152283082732223</v>
      </c>
      <c r="P42" s="16" t="n">
        <v>0.01820725214457366</v>
      </c>
      <c r="Q42" s="17" t="n">
        <v>4</v>
      </c>
      <c r="R42" s="16" t="n">
        <v>0.1280334728033473</v>
      </c>
      <c r="S42" s="16" t="n">
        <v>0.1194660734149054</v>
      </c>
      <c r="T42" s="16" t="n">
        <v>0.08435897435897435</v>
      </c>
      <c r="U42" s="16" t="n">
        <v>0.129054712515662</v>
      </c>
      <c r="V42" s="16" t="n"/>
      <c r="W42" s="10" t="n">
        <v>0.63</v>
      </c>
      <c r="X42" s="15">
        <f>IF(OR(W42="",F42="",F42=0),"",W42/F42)</f>
        <v/>
      </c>
      <c r="Y42" s="18" t="n">
        <v>41.533</v>
      </c>
      <c r="Z42" s="16" t="n">
        <v>0.167</v>
      </c>
      <c r="AA42" s="16" t="n">
        <v>0.05773470748090037</v>
      </c>
      <c r="AB42" s="9">
        <f>IF(AND(N42="",O42=""),"DATI MANCANTI",IF(AND(N(N42)&gt;=PARAMETRI!$B$4,N(O42)&gt;=PARAMETRI!$B$4),"OK","NO"))</f>
        <v/>
      </c>
      <c r="AC42" s="9">
        <f>IF(K42="","N/D",IF(K42&lt;PARAMETRI!$B$6,"OTTIMO",IF(K42&lt;PARAMETRI!$B$5,"OK","NO")))</f>
        <v/>
      </c>
      <c r="AD42" s="9">
        <f>IF(OR(AB42="DATI MANCANTI",AC42="N/D"),"DA COMPLETARE",IF(AND(AB42="OK",AC42="OTTIMO"),"PASSA FORTE",IF(AND(AB42="OK",AC42="OK"),"PASSA","SCARTA")))</f>
        <v/>
      </c>
      <c r="AE42" s="8" t="inlineStr">
        <is>
          <t>2026-08-04</t>
        </is>
      </c>
      <c r="AF42" s="8" t="inlineStr">
        <is>
          <t>yahoo</t>
        </is>
      </c>
      <c r="AG42" s="19" t="inlineStr"/>
    </row>
    <row r="43">
      <c r="A43" s="8" t="n">
        <v>42</v>
      </c>
      <c r="B43" s="8" t="inlineStr">
        <is>
          <t>Lottomatica Group</t>
        </is>
      </c>
      <c r="C43" s="8" t="inlineStr">
        <is>
          <t>LTMC.MI</t>
        </is>
      </c>
      <c r="D43" s="8" t="inlineStr">
        <is>
          <t>Gaming / Concessioni</t>
        </is>
      </c>
      <c r="E43" s="9" t="inlineStr">
        <is>
          <t>Consumi</t>
        </is>
      </c>
      <c r="F43" s="10" t="n">
        <v>24.19</v>
      </c>
      <c r="G43" s="11" t="inlineStr">
        <is>
          <t>EUR</t>
        </is>
      </c>
      <c r="H43" s="12" t="n">
        <v>5646.4</v>
      </c>
      <c r="I43" s="10" t="n">
        <v>0.91</v>
      </c>
      <c r="J43" s="10" t="n">
        <v>2.25351</v>
      </c>
      <c r="K43" s="13">
        <f>IF(OR(F43="",I43="",I43&lt;=0),"",F43/I43)</f>
        <v/>
      </c>
      <c r="L43" s="14" t="n">
        <v>25.224194</v>
      </c>
      <c r="M43" s="15">
        <f>IF(OR(L43="",K43="",K43&lt;=0),"",L43/K43)</f>
        <v/>
      </c>
      <c r="N43" s="16" t="n">
        <v>0.54611</v>
      </c>
      <c r="O43" s="16" t="n">
        <v>0.5665811918142258</v>
      </c>
      <c r="P43" s="16" t="n">
        <v>0.5068808803966198</v>
      </c>
      <c r="Q43" s="17" t="n">
        <v>4</v>
      </c>
      <c r="R43" s="16" t="n">
        <v>0.53617682345341</v>
      </c>
      <c r="S43" s="16" t="n">
        <v>0.1903530906289759</v>
      </c>
      <c r="T43" s="16" t="n">
        <v>0.136428439475354</v>
      </c>
      <c r="U43" s="16" t="n">
        <v>1.403366413699163</v>
      </c>
      <c r="V43" s="16" t="n"/>
      <c r="W43" s="10" t="n">
        <v>0.44</v>
      </c>
      <c r="X43" s="15">
        <f>IF(OR(W43="",F43="",F43=0),"",W43/F43)</f>
        <v/>
      </c>
      <c r="Y43" s="18" t="n">
        <v>905.193</v>
      </c>
      <c r="Z43" s="16" t="n">
        <v>0.043</v>
      </c>
      <c r="AA43" s="16" t="n">
        <v>0.09803410237833739</v>
      </c>
      <c r="AB43" s="9">
        <f>IF(AND(N43="",O43=""),"DATI MANCANTI",IF(AND(N(N43)&gt;=PARAMETRI!$B$4,N(O43)&gt;=PARAMETRI!$B$4),"OK","NO"))</f>
        <v/>
      </c>
      <c r="AC43" s="9">
        <f>IF(K43="","N/D",IF(K43&lt;PARAMETRI!$B$6,"OTTIMO",IF(K43&lt;PARAMETRI!$B$5,"OK","NO")))</f>
        <v/>
      </c>
      <c r="AD43" s="9">
        <f>IF(OR(AB43="DATI MANCANTI",AC43="N/D"),"DA COMPLETARE",IF(AND(AB43="OK",AC43="OTTIMO"),"PASSA FORTE",IF(AND(AB43="OK",AC43="OK"),"PASSA","SCARTA")))</f>
        <v/>
      </c>
      <c r="AE43" s="8" t="inlineStr">
        <is>
          <t>2026-08-04</t>
        </is>
      </c>
      <c r="AF43" s="8" t="inlineStr">
        <is>
          <t>yahoo</t>
        </is>
      </c>
      <c r="AG43" s="19" t="inlineStr"/>
    </row>
    <row r="44">
      <c r="A44" s="8" t="n">
        <v>43</v>
      </c>
      <c r="B44" s="8" t="inlineStr">
        <is>
          <t>MFE-MediaForEurope A</t>
        </is>
      </c>
      <c r="C44" s="8" t="inlineStr">
        <is>
          <t>MFEA.MI</t>
        </is>
      </c>
      <c r="D44" s="8" t="inlineStr">
        <is>
          <t>Media / TV</t>
        </is>
      </c>
      <c r="E44" s="9" t="inlineStr">
        <is>
          <t>Industriale</t>
        </is>
      </c>
      <c r="F44" s="10" t="n">
        <v>2.652</v>
      </c>
      <c r="G44" s="11" t="inlineStr">
        <is>
          <t>EUR</t>
        </is>
      </c>
      <c r="H44" s="12" t="n">
        <v>1855.4</v>
      </c>
      <c r="I44" s="10" t="n">
        <v>0.3</v>
      </c>
      <c r="J44" s="10" t="n">
        <v>0.50581</v>
      </c>
      <c r="K44" s="13">
        <f>IF(OR(F44="",I44="",I44&lt;=0),"",F44/I44)</f>
        <v/>
      </c>
      <c r="L44" s="14" t="n">
        <v>0.53263706</v>
      </c>
      <c r="M44" s="15">
        <f>IF(OR(L44="",K44="",K44&lt;=0),"",L44/K44)</f>
        <v/>
      </c>
      <c r="N44" s="16" t="n">
        <v>0.07248</v>
      </c>
      <c r="O44" s="16" t="n">
        <v>0.07215163334997049</v>
      </c>
      <c r="P44" s="16" t="n">
        <v>0.01470500804818441</v>
      </c>
      <c r="Q44" s="17" t="n">
        <v>4</v>
      </c>
      <c r="R44" s="16" t="n">
        <v>0.08632122864934692</v>
      </c>
      <c r="S44" s="16" t="n">
        <v>0.04807055460661624</v>
      </c>
      <c r="T44" s="16" t="n">
        <v>0.07291485134711234</v>
      </c>
      <c r="U44" s="16" t="n">
        <v>0.08129989879680648</v>
      </c>
      <c r="V44" s="16" t="n"/>
      <c r="W44" s="10" t="n">
        <v>0.22</v>
      </c>
      <c r="X44" s="15">
        <f>IF(OR(W44="",F44="",F44=0),"",W44/F44)</f>
        <v/>
      </c>
      <c r="Y44" s="18" t="n">
        <v>77.363</v>
      </c>
      <c r="Z44" s="16" t="n">
        <v>1.178</v>
      </c>
      <c r="AA44" s="16" t="n">
        <v>0.05589782118707739</v>
      </c>
      <c r="AB44" s="9">
        <f>IF(AND(N44="",O44=""),"DATI MANCANTI",IF(AND(N(N44)&gt;=PARAMETRI!$B$4,N(O44)&gt;=PARAMETRI!$B$4),"OK","NO"))</f>
        <v/>
      </c>
      <c r="AC44" s="9">
        <f>IF(K44="","N/D",IF(K44&lt;PARAMETRI!$B$6,"OTTIMO",IF(K44&lt;PARAMETRI!$B$5,"OK","NO")))</f>
        <v/>
      </c>
      <c r="AD44" s="9">
        <f>IF(OR(AB44="DATI MANCANTI",AC44="N/D"),"DA COMPLETARE",IF(AND(AB44="OK",AC44="OTTIMO"),"PASSA FORTE",IF(AND(AB44="OK",AC44="OK"),"PASSA","SCARTA")))</f>
        <v/>
      </c>
      <c r="AE44" s="8" t="inlineStr">
        <is>
          <t>2026-08-04</t>
        </is>
      </c>
      <c r="AF44" s="8" t="inlineStr">
        <is>
          <t>yahoo</t>
        </is>
      </c>
      <c r="AG44" s="19" t="inlineStr"/>
    </row>
    <row r="45">
      <c r="A45" s="8" t="n">
        <v>44</v>
      </c>
      <c r="B45" s="8" t="inlineStr">
        <is>
          <t>MFE-MediaForEurope B</t>
        </is>
      </c>
      <c r="C45" s="8" t="inlineStr">
        <is>
          <t>MFEB.MI</t>
        </is>
      </c>
      <c r="D45" s="8" t="inlineStr">
        <is>
          <t>Media / TV</t>
        </is>
      </c>
      <c r="E45" s="9" t="inlineStr">
        <is>
          <t>Industriale</t>
        </is>
      </c>
      <c r="F45" s="10" t="n">
        <v>3.636</v>
      </c>
      <c r="G45" s="11" t="inlineStr">
        <is>
          <t>EUR</t>
        </is>
      </c>
      <c r="H45" s="12" t="n">
        <v>2543.9</v>
      </c>
      <c r="I45" s="10" t="n">
        <v>0.3</v>
      </c>
      <c r="J45" s="10" t="n">
        <v>0.55927</v>
      </c>
      <c r="K45" s="13">
        <f>IF(OR(F45="",I45="",I45&lt;=0),"",F45/I45)</f>
        <v/>
      </c>
      <c r="L45" s="14" t="n">
        <v>0.7302670999999999</v>
      </c>
      <c r="M45" s="15">
        <f>IF(OR(L45="",K45="",K45&lt;=0),"",L45/K45)</f>
        <v/>
      </c>
      <c r="N45" s="16" t="n">
        <v>0.07248</v>
      </c>
      <c r="O45" s="16" t="n">
        <v>0.07215163334997049</v>
      </c>
      <c r="P45" s="16" t="n">
        <v>0.01470500804818441</v>
      </c>
      <c r="Q45" s="17" t="n">
        <v>4</v>
      </c>
      <c r="R45" s="16" t="n">
        <v>0.08632122864934692</v>
      </c>
      <c r="S45" s="16" t="n">
        <v>0.04807055460661624</v>
      </c>
      <c r="T45" s="16" t="n">
        <v>0.07291485134711234</v>
      </c>
      <c r="U45" s="16" t="n">
        <v>0.08129989879680648</v>
      </c>
      <c r="V45" s="16" t="n"/>
      <c r="W45" s="10" t="n">
        <v>0.22</v>
      </c>
      <c r="X45" s="15">
        <f>IF(OR(W45="",F45="",F45=0),"",W45/F45)</f>
        <v/>
      </c>
      <c r="Y45" s="18" t="n">
        <v>77.363</v>
      </c>
      <c r="Z45" s="16" t="n">
        <v>1.178</v>
      </c>
      <c r="AA45" s="16" t="n">
        <v>0.05589782118707739</v>
      </c>
      <c r="AB45" s="9">
        <f>IF(AND(N45="",O45=""),"DATI MANCANTI",IF(AND(N(N45)&gt;=PARAMETRI!$B$4,N(O45)&gt;=PARAMETRI!$B$4),"OK","NO"))</f>
        <v/>
      </c>
      <c r="AC45" s="9">
        <f>IF(K45="","N/D",IF(K45&lt;PARAMETRI!$B$6,"OTTIMO",IF(K45&lt;PARAMETRI!$B$5,"OK","NO")))</f>
        <v/>
      </c>
      <c r="AD45" s="9">
        <f>IF(OR(AB45="DATI MANCANTI",AC45="N/D"),"DA COMPLETARE",IF(AND(AB45="OK",AC45="OTTIMO"),"PASSA FORTE",IF(AND(AB45="OK",AC45="OK"),"PASSA","SCARTA")))</f>
        <v/>
      </c>
      <c r="AE45" s="8" t="inlineStr">
        <is>
          <t>2026-08-04</t>
        </is>
      </c>
      <c r="AF45" s="8" t="inlineStr">
        <is>
          <t>yahoo</t>
        </is>
      </c>
      <c r="AG45" s="19" t="inlineStr">
        <is>
          <t>Stessa societa' di MFEA, voto multiplo</t>
        </is>
      </c>
    </row>
    <row r="46">
      <c r="A46" s="8" t="n">
        <v>45</v>
      </c>
      <c r="B46" s="8" t="inlineStr">
        <is>
          <t>Maire</t>
        </is>
      </c>
      <c r="C46" s="8" t="inlineStr">
        <is>
          <t>MAIRE.MI</t>
        </is>
      </c>
      <c r="D46" s="8" t="inlineStr">
        <is>
          <t>Impiantistica</t>
        </is>
      </c>
      <c r="E46" s="9" t="inlineStr">
        <is>
          <t>Industriale</t>
        </is>
      </c>
      <c r="F46" s="10" t="n">
        <v>12.96</v>
      </c>
      <c r="G46" s="11" t="inlineStr">
        <is>
          <t>EUR</t>
        </is>
      </c>
      <c r="H46" s="12" t="n">
        <v>4220.7</v>
      </c>
      <c r="I46" s="10" t="n">
        <v>0.83</v>
      </c>
      <c r="J46" s="10" t="n">
        <v>1.02029</v>
      </c>
      <c r="K46" s="13">
        <f>IF(OR(F46="",I46="",I46&lt;=0),"",F46/I46)</f>
        <v/>
      </c>
      <c r="L46" s="14" t="n">
        <v>5.939505</v>
      </c>
      <c r="M46" s="15">
        <f>IF(OR(L46="",K46="",K46&lt;=0),"",L46/K46)</f>
        <v/>
      </c>
      <c r="N46" s="16" t="n">
        <v>0.48770002</v>
      </c>
      <c r="O46" s="16" t="n">
        <v>0.2798475537626282</v>
      </c>
      <c r="P46" s="16" t="n">
        <v>0.07298807403400039</v>
      </c>
      <c r="Q46" s="17" t="n">
        <v>4</v>
      </c>
      <c r="R46" s="16" t="n">
        <v>0.3651153492743763</v>
      </c>
      <c r="S46" s="16" t="n">
        <v>0.3334743216615139</v>
      </c>
      <c r="T46" s="16" t="n">
        <v>0.2379389607111064</v>
      </c>
      <c r="U46" s="16" t="n">
        <v>0.182861583403516</v>
      </c>
      <c r="V46" s="16" t="n"/>
      <c r="W46" s="10" t="n">
        <v>0.59</v>
      </c>
      <c r="X46" s="15">
        <f>IF(OR(W46="",F46="",F46=0),"",W46/F46)</f>
        <v/>
      </c>
      <c r="Y46" s="18" t="n">
        <v>235.473</v>
      </c>
      <c r="Z46" s="16" t="n">
        <v>0.066</v>
      </c>
      <c r="AA46" s="16" t="n">
        <v>0.03901697042341981</v>
      </c>
      <c r="AB46" s="9">
        <f>IF(AND(N46="",O46=""),"DATI MANCANTI",IF(AND(N(N46)&gt;=PARAMETRI!$B$4,N(O46)&gt;=PARAMETRI!$B$4),"OK","NO"))</f>
        <v/>
      </c>
      <c r="AC46" s="9">
        <f>IF(K46="","N/D",IF(K46&lt;PARAMETRI!$B$6,"OTTIMO",IF(K46&lt;PARAMETRI!$B$5,"OK","NO")))</f>
        <v/>
      </c>
      <c r="AD46" s="9">
        <f>IF(OR(AB46="DATI MANCANTI",AC46="N/D"),"DA COMPLETARE",IF(AND(AB46="OK",AC46="OTTIMO"),"PASSA FORTE",IF(AND(AB46="OK",AC46="OK"),"PASSA","SCARTA")))</f>
        <v/>
      </c>
      <c r="AE46" s="8" t="inlineStr">
        <is>
          <t>2026-08-04</t>
        </is>
      </c>
      <c r="AF46" s="8" t="inlineStr">
        <is>
          <t>yahoo</t>
        </is>
      </c>
      <c r="AG46" s="19" t="inlineStr"/>
    </row>
    <row r="47">
      <c r="A47" s="8" t="n">
        <v>46</v>
      </c>
      <c r="B47" s="8" t="inlineStr">
        <is>
          <t>Mediobanca</t>
        </is>
      </c>
      <c r="C47" s="8" t="inlineStr">
        <is>
          <t>MB.MI</t>
        </is>
      </c>
      <c r="D47" s="8" t="inlineStr">
        <is>
          <t>Banca</t>
        </is>
      </c>
      <c r="E47" s="9" t="inlineStr">
        <is>
          <t>Finanziario</t>
        </is>
      </c>
      <c r="F47" s="10" t="n">
        <v>28.15</v>
      </c>
      <c r="G47" s="11" t="inlineStr">
        <is>
          <t>EUR</t>
        </is>
      </c>
      <c r="H47" s="12" t="n">
        <v>22703.9</v>
      </c>
      <c r="I47" s="10" t="n">
        <v>1.47</v>
      </c>
      <c r="J47" s="10" t="n">
        <v>1.80068</v>
      </c>
      <c r="K47" s="13">
        <f>IF(OR(F47="",I47="",I47&lt;=0),"",F47/I47)</f>
        <v/>
      </c>
      <c r="L47" s="14" t="n">
        <v>1.9857506</v>
      </c>
      <c r="M47" s="15">
        <f>IF(OR(L47="",K47="",K47&lt;=0),"",L47/K47)</f>
        <v/>
      </c>
      <c r="N47" s="16" t="n">
        <v>0.1171754223438182</v>
      </c>
      <c r="O47" s="16" t="n">
        <v>0.1017707532112722</v>
      </c>
      <c r="P47" s="16" t="n">
        <v>0.01405535340424778</v>
      </c>
      <c r="Q47" s="17" t="n">
        <v>4</v>
      </c>
      <c r="R47" s="16" t="n">
        <v>0.1171754223438182</v>
      </c>
      <c r="S47" s="16" t="n">
        <v>0.1141322843602949</v>
      </c>
      <c r="T47" s="16" t="n">
        <v>0.09059131861966614</v>
      </c>
      <c r="U47" s="16" t="n">
        <v>0.08518398752130946</v>
      </c>
      <c r="V47" s="16" t="n"/>
      <c r="W47" s="10" t="n">
        <v>1.26</v>
      </c>
      <c r="X47" s="15">
        <f>IF(OR(W47="",F47="",F47=0),"",W47/F47)</f>
        <v/>
      </c>
      <c r="Y47" s="18" t="n"/>
      <c r="Z47" s="16" t="n">
        <v>0.005</v>
      </c>
      <c r="AA47" s="16" t="n">
        <v>0.3120885315982499</v>
      </c>
      <c r="AB47" s="9">
        <f>IF(AND(N47="",O47=""),"DATI MANCANTI",IF(AND(N(N47)&gt;=PARAMETRI!$B$4,N(O47)&gt;=PARAMETRI!$B$4),"OK","NO"))</f>
        <v/>
      </c>
      <c r="AC47" s="9">
        <f>IF(K47="","N/D",IF(K47&lt;PARAMETRI!$B$6,"OTTIMO",IF(K47&lt;PARAMETRI!$B$5,"OK","NO")))</f>
        <v/>
      </c>
      <c r="AD47" s="9">
        <f>IF(OR(AB47="DATI MANCANTI",AC47="N/D"),"DA COMPLETARE",IF(AND(AB47="OK",AC47="OTTIMO"),"PASSA FORTE",IF(AND(AB47="OK",AC47="OK"),"PASSA","SCARTA")))</f>
        <v/>
      </c>
      <c r="AE47" s="8" t="inlineStr">
        <is>
          <t>2026-08-04</t>
        </is>
      </c>
      <c r="AF47" s="8" t="inlineStr">
        <is>
          <t>yahoo</t>
        </is>
      </c>
      <c r="AG47" s="19" t="inlineStr">
        <is>
          <t>Coinvolta nel risiko bancario: verificare se ancora quotata</t>
        </is>
      </c>
    </row>
    <row r="48">
      <c r="A48" s="8" t="n">
        <v>47</v>
      </c>
      <c r="B48" s="8" t="inlineStr">
        <is>
          <t>Moncler</t>
        </is>
      </c>
      <c r="C48" s="8" t="inlineStr">
        <is>
          <t>MONC.MI</t>
        </is>
      </c>
      <c r="D48" s="8" t="inlineStr">
        <is>
          <t>Lusso</t>
        </is>
      </c>
      <c r="E48" s="9" t="inlineStr">
        <is>
          <t>Consumi</t>
        </is>
      </c>
      <c r="F48" s="10" t="n">
        <v>49.97</v>
      </c>
      <c r="G48" s="11" t="inlineStr">
        <is>
          <t>EUR</t>
        </is>
      </c>
      <c r="H48" s="12" t="n">
        <v>13591.3</v>
      </c>
      <c r="I48" s="10" t="n">
        <v>2.35</v>
      </c>
      <c r="J48" s="10" t="n">
        <v>2.60085</v>
      </c>
      <c r="K48" s="13">
        <f>IF(OR(F48="",I48="",I48&lt;=0),"",F48/I48)</f>
        <v/>
      </c>
      <c r="L48" s="14" t="n">
        <v>3.7249348</v>
      </c>
      <c r="M48" s="15">
        <f>IF(OR(L48="",K48="",K48&lt;=0),"",L48/K48)</f>
        <v/>
      </c>
      <c r="N48" s="16" t="n">
        <v>0.18122</v>
      </c>
      <c r="O48" s="16" t="n">
        <v>0.1851349369556408</v>
      </c>
      <c r="P48" s="16" t="n">
        <v>0.01692053914808814</v>
      </c>
      <c r="Q48" s="17" t="n">
        <v>4</v>
      </c>
      <c r="R48" s="16" t="n">
        <v>0.1627843667574618</v>
      </c>
      <c r="S48" s="16" t="n">
        <v>0.1783303314020599</v>
      </c>
      <c r="T48" s="16" t="n">
        <v>0.1903756142405816</v>
      </c>
      <c r="U48" s="16" t="n">
        <v>0.2090494354224597</v>
      </c>
      <c r="V48" s="16" t="n"/>
      <c r="W48" s="10" t="n">
        <v>1.4</v>
      </c>
      <c r="X48" s="15">
        <f>IF(OR(W48="",F48="",F48=0),"",W48/F48)</f>
        <v/>
      </c>
      <c r="Y48" s="18" t="n">
        <v>33.88</v>
      </c>
      <c r="Z48" s="16" t="n">
        <v>0.052</v>
      </c>
      <c r="AA48" s="16" t="n">
        <v>0.2036704706831905</v>
      </c>
      <c r="AB48" s="9">
        <f>IF(AND(N48="",O48=""),"DATI MANCANTI",IF(AND(N(N48)&gt;=PARAMETRI!$B$4,N(O48)&gt;=PARAMETRI!$B$4),"OK","NO"))</f>
        <v/>
      </c>
      <c r="AC48" s="9">
        <f>IF(K48="","N/D",IF(K48&lt;PARAMETRI!$B$6,"OTTIMO",IF(K48&lt;PARAMETRI!$B$5,"OK","NO")))</f>
        <v/>
      </c>
      <c r="AD48" s="9">
        <f>IF(OR(AB48="DATI MANCANTI",AC48="N/D"),"DA COMPLETARE",IF(AND(AB48="OK",AC48="OTTIMO"),"PASSA FORTE",IF(AND(AB48="OK",AC48="OK"),"PASSA","SCARTA")))</f>
        <v/>
      </c>
      <c r="AE48" s="8" t="inlineStr">
        <is>
          <t>2026-08-04</t>
        </is>
      </c>
      <c r="AF48" s="8" t="inlineStr">
        <is>
          <t>yahoo</t>
        </is>
      </c>
      <c r="AG48" s="19" t="inlineStr"/>
    </row>
    <row r="49">
      <c r="A49" s="8" t="n">
        <v>48</v>
      </c>
      <c r="B49" s="8" t="inlineStr">
        <is>
          <t>Mondadori Editore</t>
        </is>
      </c>
      <c r="C49" s="8" t="inlineStr">
        <is>
          <t>MN.MI</t>
        </is>
      </c>
      <c r="D49" s="8" t="inlineStr">
        <is>
          <t>Editoria / Media</t>
        </is>
      </c>
      <c r="E49" s="9" t="inlineStr">
        <is>
          <t>Industriale</t>
        </is>
      </c>
      <c r="F49" s="10" t="n">
        <v>2.135</v>
      </c>
      <c r="G49" s="11" t="inlineStr">
        <is>
          <t>EUR</t>
        </is>
      </c>
      <c r="H49" s="12" t="n">
        <v>553.3</v>
      </c>
      <c r="I49" s="10" t="n">
        <v>0.2</v>
      </c>
      <c r="J49" s="10" t="n">
        <v>0.23696</v>
      </c>
      <c r="K49" s="13">
        <f>IF(OR(F49="",I49="",I49&lt;=0),"",F49/I49)</f>
        <v/>
      </c>
      <c r="L49" s="14" t="n">
        <v>1.7557566</v>
      </c>
      <c r="M49" s="15">
        <f>IF(OR(L49="",K49="",K49&lt;=0),"",L49/K49)</f>
        <v/>
      </c>
      <c r="N49" s="16" t="n">
        <v>0.16627</v>
      </c>
      <c r="O49" s="16" t="n">
        <v>0.1927118381206158</v>
      </c>
      <c r="P49" s="16" t="n">
        <v>0.0194685841625853</v>
      </c>
      <c r="Q49" s="17" t="n">
        <v>4</v>
      </c>
      <c r="R49" s="16" t="n">
        <v>0.1631079567581275</v>
      </c>
      <c r="S49" s="16" t="n">
        <v>0.1905013509836553</v>
      </c>
      <c r="T49" s="16" t="n">
        <v>0.2166424259675163</v>
      </c>
      <c r="U49" s="16" t="n">
        <v>0.200595618773164</v>
      </c>
      <c r="V49" s="16" t="n"/>
      <c r="W49" s="10" t="n">
        <v>0.15</v>
      </c>
      <c r="X49" s="15">
        <f>IF(OR(W49="",F49="",F49=0),"",W49/F49)</f>
        <v/>
      </c>
      <c r="Y49" s="18" t="n">
        <v>91.563</v>
      </c>
      <c r="Z49" s="16" t="n">
        <v>0.039</v>
      </c>
      <c r="AA49" s="16" t="n">
        <v>0.05445895290071321</v>
      </c>
      <c r="AB49" s="9">
        <f>IF(AND(N49="",O49=""),"DATI MANCANTI",IF(AND(N(N49)&gt;=PARAMETRI!$B$4,N(O49)&gt;=PARAMETRI!$B$4),"OK","NO"))</f>
        <v/>
      </c>
      <c r="AC49" s="9">
        <f>IF(K49="","N/D",IF(K49&lt;PARAMETRI!$B$6,"OTTIMO",IF(K49&lt;PARAMETRI!$B$5,"OK","NO")))</f>
        <v/>
      </c>
      <c r="AD49" s="9">
        <f>IF(OR(AB49="DATI MANCANTI",AC49="N/D"),"DA COMPLETARE",IF(AND(AB49="OK",AC49="OTTIMO"),"PASSA FORTE",IF(AND(AB49="OK",AC49="OK"),"PASSA","SCARTA")))</f>
        <v/>
      </c>
      <c r="AE49" s="8" t="inlineStr">
        <is>
          <t>2026-08-04</t>
        </is>
      </c>
      <c r="AF49" s="8" t="inlineStr">
        <is>
          <t>yahoo</t>
        </is>
      </c>
      <c r="AG49" s="19" t="inlineStr"/>
    </row>
    <row r="50">
      <c r="A50" s="8" t="n">
        <v>49</v>
      </c>
      <c r="B50" s="8" t="inlineStr">
        <is>
          <t>Nexi</t>
        </is>
      </c>
      <c r="C50" s="8" t="inlineStr">
        <is>
          <t>NEXI.MI</t>
        </is>
      </c>
      <c r="D50" s="8" t="inlineStr">
        <is>
          <t>Pagamenti / Tech</t>
        </is>
      </c>
      <c r="E50" s="9" t="inlineStr">
        <is>
          <t>Industriale</t>
        </is>
      </c>
      <c r="F50" s="10" t="n">
        <v>4.365</v>
      </c>
      <c r="G50" s="11" t="inlineStr">
        <is>
          <t>EUR</t>
        </is>
      </c>
      <c r="H50" s="12" t="n">
        <v>5118</v>
      </c>
      <c r="I50" s="10" t="n">
        <v>-2.79</v>
      </c>
      <c r="J50" s="10" t="n">
        <v>0.66259</v>
      </c>
      <c r="K50" s="13">
        <f>IF(OR(F50="",I50="",I50&lt;=0),"",F50/I50)</f>
        <v/>
      </c>
      <c r="L50" s="14" t="n">
        <v>0.72484225</v>
      </c>
      <c r="M50" s="15">
        <f>IF(OR(L50="",K50="",K50&lt;=0),"",L50/K50)</f>
        <v/>
      </c>
      <c r="N50" s="16" t="n">
        <v>-0.3861</v>
      </c>
      <c r="O50" s="16" t="n">
        <v>-0.1352643854154521</v>
      </c>
      <c r="P50" s="16" t="n">
        <v>0.202525332351745</v>
      </c>
      <c r="Q50" s="17" t="n">
        <v>4</v>
      </c>
      <c r="R50" s="16" t="n">
        <v>-0.4784641541513177</v>
      </c>
      <c r="S50" s="16" t="n">
        <v>0.01527345893543077</v>
      </c>
      <c r="T50" s="16" t="n">
        <v>-0.08922760072252085</v>
      </c>
      <c r="U50" s="16" t="n">
        <v>0.0113607542765992</v>
      </c>
      <c r="V50" s="16" t="n"/>
      <c r="W50" s="10" t="n">
        <v>0.3</v>
      </c>
      <c r="X50" s="15">
        <f>IF(OR(W50="",F50="",F50=0),"",W50/F50)</f>
        <v/>
      </c>
      <c r="Y50" s="18" t="n">
        <v>86.669</v>
      </c>
      <c r="Z50" s="16" t="n">
        <v>0.016</v>
      </c>
      <c r="AA50" s="16" t="n">
        <v>-0.5361810647115078</v>
      </c>
      <c r="AB50" s="9">
        <f>IF(AND(N50="",O50=""),"DATI MANCANTI",IF(AND(N(N50)&gt;=PARAMETRI!$B$4,N(O50)&gt;=PARAMETRI!$B$4),"OK","NO"))</f>
        <v/>
      </c>
      <c r="AC50" s="9">
        <f>IF(K50="","N/D",IF(K50&lt;PARAMETRI!$B$6,"OTTIMO",IF(K50&lt;PARAMETRI!$B$5,"OK","NO")))</f>
        <v/>
      </c>
      <c r="AD50" s="9">
        <f>IF(OR(AB50="DATI MANCANTI",AC50="N/D"),"DA COMPLETARE",IF(AND(AB50="OK",AC50="OTTIMO"),"PASSA FORTE",IF(AND(AB50="OK",AC50="OK"),"PASSA","SCARTA")))</f>
        <v/>
      </c>
      <c r="AE50" s="8" t="inlineStr">
        <is>
          <t>2026-08-04</t>
        </is>
      </c>
      <c r="AF50" s="8" t="inlineStr">
        <is>
          <t>yahoo</t>
        </is>
      </c>
      <c r="AG50" s="19" t="inlineStr"/>
    </row>
    <row r="51">
      <c r="A51" s="8" t="n">
        <v>50</v>
      </c>
      <c r="B51" s="8" t="inlineStr">
        <is>
          <t>Pirelli &amp; C.</t>
        </is>
      </c>
      <c r="C51" s="8" t="inlineStr">
        <is>
          <t>PIRC.MI</t>
        </is>
      </c>
      <c r="D51" s="8" t="inlineStr">
        <is>
          <t>Componentistica auto</t>
        </is>
      </c>
      <c r="E51" s="9" t="inlineStr">
        <is>
          <t>Industriale</t>
        </is>
      </c>
      <c r="F51" s="10" t="n">
        <v>6.535</v>
      </c>
      <c r="G51" s="11" t="inlineStr">
        <is>
          <t>EUR</t>
        </is>
      </c>
      <c r="H51" s="12" t="n">
        <v>7089.7</v>
      </c>
      <c r="I51" s="10" t="n">
        <v>0.51</v>
      </c>
      <c r="J51" s="10" t="n">
        <v>0.58297</v>
      </c>
      <c r="K51" s="13">
        <f>IF(OR(F51="",I51="",I51&lt;=0),"",F51/I51)</f>
        <v/>
      </c>
      <c r="L51" s="14" t="n">
        <v>1.0774938</v>
      </c>
      <c r="M51" s="15">
        <f>IF(OR(L51="",K51="",K51&lt;=0),"",L51/K51)</f>
        <v/>
      </c>
      <c r="N51" s="16" t="n">
        <v>0.09134</v>
      </c>
      <c r="O51" s="16" t="n">
        <v>0.08155451507945152</v>
      </c>
      <c r="P51" s="16" t="n">
        <v>0.003416455326785165</v>
      </c>
      <c r="Q51" s="17" t="n">
        <v>4</v>
      </c>
      <c r="R51" s="16" t="n">
        <v>0.07925120200425369</v>
      </c>
      <c r="S51" s="16" t="n">
        <v>0.08130215905953905</v>
      </c>
      <c r="T51" s="16" t="n">
        <v>0.08719434521702397</v>
      </c>
      <c r="U51" s="16" t="n">
        <v>0.0784703540369894</v>
      </c>
      <c r="V51" s="16" t="n"/>
      <c r="W51" s="10" t="n">
        <v>0.24</v>
      </c>
      <c r="X51" s="15">
        <f>IF(OR(W51="",F51="",F51=0),"",W51/F51)</f>
        <v/>
      </c>
      <c r="Y51" s="18" t="n">
        <v>46.887</v>
      </c>
      <c r="Z51" s="16" t="n">
        <v>0.005</v>
      </c>
      <c r="AA51" s="16" t="n">
        <v>0.07636557921605651</v>
      </c>
      <c r="AB51" s="9">
        <f>IF(AND(N51="",O51=""),"DATI MANCANTI",IF(AND(N(N51)&gt;=PARAMETRI!$B$4,N(O51)&gt;=PARAMETRI!$B$4),"OK","NO"))</f>
        <v/>
      </c>
      <c r="AC51" s="9">
        <f>IF(K51="","N/D",IF(K51&lt;PARAMETRI!$B$6,"OTTIMO",IF(K51&lt;PARAMETRI!$B$5,"OK","NO")))</f>
        <v/>
      </c>
      <c r="AD51" s="9">
        <f>IF(OR(AB51="DATI MANCANTI",AC51="N/D"),"DA COMPLETARE",IF(AND(AB51="OK",AC51="OTTIMO"),"PASSA FORTE",IF(AND(AB51="OK",AC51="OK"),"PASSA","SCARTA")))</f>
        <v/>
      </c>
      <c r="AE51" s="8" t="inlineStr">
        <is>
          <t>2026-08-04</t>
        </is>
      </c>
      <c r="AF51" s="8" t="inlineStr">
        <is>
          <t>yahoo</t>
        </is>
      </c>
      <c r="AG51" s="19" t="inlineStr"/>
    </row>
    <row r="52">
      <c r="A52" s="8" t="n">
        <v>51</v>
      </c>
      <c r="B52" s="8" t="inlineStr">
        <is>
          <t>Poste Italiane</t>
        </is>
      </c>
      <c r="C52" s="8" t="inlineStr">
        <is>
          <t>PST.MI</t>
        </is>
      </c>
      <c r="D52" s="8" t="inlineStr">
        <is>
          <t>Servizi finanziari</t>
        </is>
      </c>
      <c r="E52" s="9" t="inlineStr">
        <is>
          <t>Finanziario</t>
        </is>
      </c>
      <c r="F52" s="10" t="n">
        <v>27.03</v>
      </c>
      <c r="G52" s="11" t="inlineStr">
        <is>
          <t>EUR</t>
        </is>
      </c>
      <c r="H52" s="12" t="n">
        <v>34960.3</v>
      </c>
      <c r="I52" s="10" t="n">
        <v>1.85</v>
      </c>
      <c r="J52" s="10" t="n">
        <v>1.97021</v>
      </c>
      <c r="K52" s="13">
        <f>IF(OR(F52="",I52="",I52&lt;=0),"",F52/I52)</f>
        <v/>
      </c>
      <c r="L52" s="14" t="n">
        <v>2.5630572</v>
      </c>
      <c r="M52" s="15">
        <f>IF(OR(L52="",K52="",K52&lt;=0),"",L52/K52)</f>
        <v/>
      </c>
      <c r="N52" s="16" t="n">
        <v>0.18174</v>
      </c>
      <c r="O52" s="16" t="n">
        <v>0.1799413465174911</v>
      </c>
      <c r="P52" s="16" t="n">
        <v>0.01549228779776163</v>
      </c>
      <c r="Q52" s="17" t="n">
        <v>4</v>
      </c>
      <c r="R52" s="16" t="n">
        <v>0.1599826577064817</v>
      </c>
      <c r="S52" s="16" t="n">
        <v>0.1721488388155055</v>
      </c>
      <c r="T52" s="16" t="n">
        <v>0.1862042239875993</v>
      </c>
      <c r="U52" s="16" t="n">
        <v>0.2014296655603778</v>
      </c>
      <c r="V52" s="16" t="n"/>
      <c r="W52" s="10" t="n">
        <v>1.25</v>
      </c>
      <c r="X52" s="15">
        <f>IF(OR(W52="",F52="",F52=0),"",W52/F52)</f>
        <v/>
      </c>
      <c r="Y52" s="18" t="n">
        <v>726.309</v>
      </c>
      <c r="Z52" s="16" t="n">
        <v>0.034</v>
      </c>
      <c r="AA52" s="16" t="n">
        <v>0.1031947370684095</v>
      </c>
      <c r="AB52" s="9">
        <f>IF(AND(N52="",O52=""),"DATI MANCANTI",IF(AND(N(N52)&gt;=PARAMETRI!$B$4,N(O52)&gt;=PARAMETRI!$B$4),"OK","NO"))</f>
        <v/>
      </c>
      <c r="AC52" s="9">
        <f>IF(K52="","N/D",IF(K52&lt;PARAMETRI!$B$6,"OTTIMO",IF(K52&lt;PARAMETRI!$B$5,"OK","NO")))</f>
        <v/>
      </c>
      <c r="AD52" s="9">
        <f>IF(OR(AB52="DATI MANCANTI",AC52="N/D"),"DA COMPLETARE",IF(AND(AB52="OK",AC52="OTTIMO"),"PASSA FORTE",IF(AND(AB52="OK",AC52="OK"),"PASSA","SCARTA")))</f>
        <v/>
      </c>
      <c r="AE52" s="8" t="inlineStr">
        <is>
          <t>2026-08-04</t>
        </is>
      </c>
      <c r="AF52" s="8" t="inlineStr">
        <is>
          <t>yahoo</t>
        </is>
      </c>
      <c r="AG52" s="19" t="inlineStr"/>
    </row>
    <row r="53">
      <c r="A53" s="8" t="n">
        <v>52</v>
      </c>
      <c r="B53" s="8" t="inlineStr">
        <is>
          <t>Prysmian</t>
        </is>
      </c>
      <c r="C53" s="8" t="inlineStr">
        <is>
          <t>PRY.MI</t>
        </is>
      </c>
      <c r="D53" s="8" t="inlineStr">
        <is>
          <t>Cavi / Elettrificazione</t>
        </is>
      </c>
      <c r="E53" s="9" t="inlineStr">
        <is>
          <t>Industriale</t>
        </is>
      </c>
      <c r="F53" s="10" t="n">
        <v>121.85</v>
      </c>
      <c r="G53" s="11" t="inlineStr">
        <is>
          <t>EUR</t>
        </is>
      </c>
      <c r="H53" s="12" t="n">
        <v>35610</v>
      </c>
      <c r="I53" s="10" t="n">
        <v>4.81</v>
      </c>
      <c r="J53" s="10" t="n">
        <v>6.0931</v>
      </c>
      <c r="K53" s="13">
        <f>IF(OR(F53="",I53="",I53&lt;=0),"",F53/I53)</f>
        <v/>
      </c>
      <c r="L53" s="14" t="n">
        <v>5.0604258</v>
      </c>
      <c r="M53" s="15">
        <f>IF(OR(L53="",K53="",K53&lt;=0),"",L53/K53)</f>
        <v/>
      </c>
      <c r="N53" s="16" t="n">
        <v>0.22361</v>
      </c>
      <c r="O53" s="16" t="n">
        <v>0.154992902694697</v>
      </c>
      <c r="P53" s="16" t="n">
        <v>0.02380716722865209</v>
      </c>
      <c r="Q53" s="17" t="n">
        <v>4</v>
      </c>
      <c r="R53" s="16" t="n">
        <v>0.1961692925548347</v>
      </c>
      <c r="S53" s="16" t="n">
        <v>0.14330646746609</v>
      </c>
      <c r="T53" s="16" t="n">
        <v>0.1399100766992859</v>
      </c>
      <c r="U53" s="16" t="n">
        <v>0.1405857740585774</v>
      </c>
      <c r="V53" s="16" t="n"/>
      <c r="W53" s="10" t="n">
        <v>0.9</v>
      </c>
      <c r="X53" s="15">
        <f>IF(OR(W53="",F53="",F53=0),"",W53/F53)</f>
        <v/>
      </c>
      <c r="Y53" s="18" t="n">
        <v>74.976</v>
      </c>
      <c r="Z53" s="16" t="n">
        <v>0.226</v>
      </c>
      <c r="AA53" s="16" t="n">
        <v>0.06936387094147582</v>
      </c>
      <c r="AB53" s="9">
        <f>IF(AND(N53="",O53=""),"DATI MANCANTI",IF(AND(N(N53)&gt;=PARAMETRI!$B$4,N(O53)&gt;=PARAMETRI!$B$4),"OK","NO"))</f>
        <v/>
      </c>
      <c r="AC53" s="9">
        <f>IF(K53="","N/D",IF(K53&lt;PARAMETRI!$B$6,"OTTIMO",IF(K53&lt;PARAMETRI!$B$5,"OK","NO")))</f>
        <v/>
      </c>
      <c r="AD53" s="9">
        <f>IF(OR(AB53="DATI MANCANTI",AC53="N/D"),"DA COMPLETARE",IF(AND(AB53="OK",AC53="OTTIMO"),"PASSA FORTE",IF(AND(AB53="OK",AC53="OK"),"PASSA","SCARTA")))</f>
        <v/>
      </c>
      <c r="AE53" s="8" t="inlineStr">
        <is>
          <t>2026-08-04</t>
        </is>
      </c>
      <c r="AF53" s="8" t="inlineStr">
        <is>
          <t>yahoo</t>
        </is>
      </c>
      <c r="AG53" s="19" t="inlineStr"/>
    </row>
    <row r="54">
      <c r="A54" s="8" t="n">
        <v>53</v>
      </c>
      <c r="B54" s="8" t="inlineStr">
        <is>
          <t>RCS MediaGroup</t>
        </is>
      </c>
      <c r="C54" s="8" t="inlineStr">
        <is>
          <t>RCS.MI</t>
        </is>
      </c>
      <c r="D54" s="8" t="inlineStr">
        <is>
          <t>Editoria / Media</t>
        </is>
      </c>
      <c r="E54" s="9" t="inlineStr">
        <is>
          <t>Industriale</t>
        </is>
      </c>
      <c r="F54" s="10" t="n">
        <v>0.9320000000000001</v>
      </c>
      <c r="G54" s="11" t="inlineStr">
        <is>
          <t>EUR</t>
        </is>
      </c>
      <c r="H54" s="12" t="n">
        <v>482.2</v>
      </c>
      <c r="I54" s="10" t="n">
        <v>0.11</v>
      </c>
      <c r="J54" s="10" t="n">
        <v>0.11</v>
      </c>
      <c r="K54" s="13">
        <f>IF(OR(F54="",I54="",I54&lt;=0),"",F54/I54)</f>
        <v/>
      </c>
      <c r="L54" s="14" t="n">
        <v>1.0483689</v>
      </c>
      <c r="M54" s="15">
        <f>IF(OR(L54="",K54="",K54&lt;=0),"",L54/K54)</f>
        <v/>
      </c>
      <c r="N54" s="16" t="n">
        <v>0.12212</v>
      </c>
      <c r="O54" s="16" t="n">
        <v>0.1313459415807887</v>
      </c>
      <c r="P54" s="16" t="n">
        <v>0.008353501327388812</v>
      </c>
      <c r="Q54" s="17" t="n">
        <v>4</v>
      </c>
      <c r="R54" s="16" t="n">
        <v>0.1190786614515428</v>
      </c>
      <c r="S54" s="16" t="n">
        <v>0.1404939950147292</v>
      </c>
      <c r="T54" s="16" t="n">
        <v>0.1373825018076645</v>
      </c>
      <c r="U54" s="16" t="n">
        <v>0.1284286080492182</v>
      </c>
      <c r="V54" s="16" t="n"/>
      <c r="W54" s="10" t="n">
        <v>0.07000000000000001</v>
      </c>
      <c r="X54" s="15">
        <f>IF(OR(W54="",F54="",F54=0),"",W54/F54)</f>
        <v/>
      </c>
      <c r="Y54" s="18" t="n">
        <v>30.876</v>
      </c>
      <c r="Z54" s="16" t="n">
        <v>0.004</v>
      </c>
      <c r="AA54" s="16" t="n">
        <v>0.06982353687952265</v>
      </c>
      <c r="AB54" s="9">
        <f>IF(AND(N54="",O54=""),"DATI MANCANTI",IF(AND(N(N54)&gt;=PARAMETRI!$B$4,N(O54)&gt;=PARAMETRI!$B$4),"OK","NO"))</f>
        <v/>
      </c>
      <c r="AC54" s="9">
        <f>IF(K54="","N/D",IF(K54&lt;PARAMETRI!$B$6,"OTTIMO",IF(K54&lt;PARAMETRI!$B$5,"OK","NO")))</f>
        <v/>
      </c>
      <c r="AD54" s="9">
        <f>IF(OR(AB54="DATI MANCANTI",AC54="N/D"),"DA COMPLETARE",IF(AND(AB54="OK",AC54="OTTIMO"),"PASSA FORTE",IF(AND(AB54="OK",AC54="OK"),"PASSA","SCARTA")))</f>
        <v/>
      </c>
      <c r="AE54" s="8" t="inlineStr">
        <is>
          <t>2026-08-04</t>
        </is>
      </c>
      <c r="AF54" s="8" t="inlineStr">
        <is>
          <t>yahoo</t>
        </is>
      </c>
      <c r="AG54" s="19" t="inlineStr"/>
    </row>
    <row r="55">
      <c r="A55" s="8" t="n">
        <v>54</v>
      </c>
      <c r="B55" s="8" t="inlineStr">
        <is>
          <t>Recordati</t>
        </is>
      </c>
      <c r="C55" s="8" t="inlineStr">
        <is>
          <t>REC.MI</t>
        </is>
      </c>
      <c r="D55" s="8" t="inlineStr">
        <is>
          <t>Farmaceutica</t>
        </is>
      </c>
      <c r="E55" s="9" t="inlineStr">
        <is>
          <t>Salute</t>
        </is>
      </c>
      <c r="F55" s="10" t="n">
        <v>51.65</v>
      </c>
      <c r="G55" s="11" t="inlineStr">
        <is>
          <t>EUR</t>
        </is>
      </c>
      <c r="H55" s="12" t="n">
        <v>10508.9</v>
      </c>
      <c r="I55" s="10" t="n">
        <v>2.38</v>
      </c>
      <c r="J55" s="10" t="n">
        <v>3.78</v>
      </c>
      <c r="K55" s="13">
        <f>IF(OR(F55="",I55="",I55&lt;=0),"",F55/I55)</f>
        <v/>
      </c>
      <c r="L55" s="14" t="n">
        <v>4.933142</v>
      </c>
      <c r="M55" s="15">
        <f>IF(OR(L55="",K55="",K55&lt;=0),"",L55/K55)</f>
        <v/>
      </c>
      <c r="N55" s="16" t="n">
        <v>0.24851999</v>
      </c>
      <c r="O55" s="16" t="n">
        <v>0.2214495065575219</v>
      </c>
      <c r="P55" s="16" t="n">
        <v>0.01181960198165553</v>
      </c>
      <c r="Q55" s="17" t="n">
        <v>4</v>
      </c>
      <c r="R55" s="16" t="n">
        <v>0.2310816076075701</v>
      </c>
      <c r="S55" s="16" t="n">
        <v>0.2219234882185667</v>
      </c>
      <c r="T55" s="16" t="n">
        <v>0.2307968728504405</v>
      </c>
      <c r="U55" s="16" t="n">
        <v>0.2019960575535102</v>
      </c>
      <c r="V55" s="16" t="n"/>
      <c r="W55" s="10" t="n">
        <v>1.42</v>
      </c>
      <c r="X55" s="15">
        <f>IF(OR(W55="",F55="",F55=0),"",W55/F55)</f>
        <v/>
      </c>
      <c r="Y55" s="18" t="n">
        <v>108.586</v>
      </c>
      <c r="Z55" s="16" t="n">
        <v>0.083</v>
      </c>
      <c r="AA55" s="16" t="n">
        <v>0.1898793996141894</v>
      </c>
      <c r="AB55" s="9">
        <f>IF(AND(N55="",O55=""),"DATI MANCANTI",IF(AND(N(N55)&gt;=PARAMETRI!$B$4,N(O55)&gt;=PARAMETRI!$B$4),"OK","NO"))</f>
        <v/>
      </c>
      <c r="AC55" s="9">
        <f>IF(K55="","N/D",IF(K55&lt;PARAMETRI!$B$6,"OTTIMO",IF(K55&lt;PARAMETRI!$B$5,"OK","NO")))</f>
        <v/>
      </c>
      <c r="AD55" s="9">
        <f>IF(OR(AB55="DATI MANCANTI",AC55="N/D"),"DA COMPLETARE",IF(AND(AB55="OK",AC55="OTTIMO"),"PASSA FORTE",IF(AND(AB55="OK",AC55="OK"),"PASSA","SCARTA")))</f>
        <v/>
      </c>
      <c r="AE55" s="8" t="inlineStr">
        <is>
          <t>2026-08-04</t>
        </is>
      </c>
      <c r="AF55" s="8" t="inlineStr">
        <is>
          <t>yahoo</t>
        </is>
      </c>
      <c r="AG55" s="19" t="inlineStr"/>
    </row>
    <row r="56">
      <c r="A56" s="8" t="n">
        <v>55</v>
      </c>
      <c r="B56" s="8" t="inlineStr">
        <is>
          <t>Risanamento</t>
        </is>
      </c>
      <c r="C56" s="8" t="inlineStr">
        <is>
          <t>RN.MI</t>
        </is>
      </c>
      <c r="D56" s="8" t="inlineStr">
        <is>
          <t>Immobiliare</t>
        </is>
      </c>
      <c r="E56" s="9" t="inlineStr">
        <is>
          <t>Immobiliare</t>
        </is>
      </c>
      <c r="F56" s="10" t="n">
        <v>0.0175</v>
      </c>
      <c r="G56" s="11" t="inlineStr">
        <is>
          <t>EUR</t>
        </is>
      </c>
      <c r="H56" s="12" t="n">
        <v>31.5</v>
      </c>
      <c r="I56" s="10" t="n">
        <v>-0.01</v>
      </c>
      <c r="J56" s="10" t="n"/>
      <c r="K56" s="13">
        <f>IF(OR(F56="",I56="",I56&lt;=0),"",F56/I56)</f>
        <v/>
      </c>
      <c r="L56" s="14" t="n"/>
      <c r="M56" s="15">
        <f>IF(OR(L56="",K56="",K56&lt;=0),"",L56/K56)</f>
        <v/>
      </c>
      <c r="N56" s="16" t="n">
        <v>-2.12318</v>
      </c>
      <c r="O56" s="16" t="n">
        <v>-2.631412626629395</v>
      </c>
      <c r="P56" s="16" t="n">
        <v>3.822301984946608</v>
      </c>
      <c r="Q56" s="17" t="n">
        <v>4</v>
      </c>
      <c r="R56" s="16" t="n"/>
      <c r="S56" s="16" t="n">
        <v>-9.186217576461479</v>
      </c>
      <c r="T56" s="16" t="n">
        <v>0.2023488274866026</v>
      </c>
      <c r="U56" s="16" t="n">
        <v>-1.281388478581979</v>
      </c>
      <c r="V56" s="16" t="n">
        <v>-0.2603932789607243</v>
      </c>
      <c r="W56" s="10" t="n"/>
      <c r="X56" s="15">
        <f>IF(OR(W56="",F56="",F56=0),"",W56/F56)</f>
        <v/>
      </c>
      <c r="Y56" s="18" t="n"/>
      <c r="Z56" s="16" t="n">
        <v>369.333</v>
      </c>
      <c r="AA56" s="16" t="n">
        <v>-193.2014925373134</v>
      </c>
      <c r="AB56" s="9">
        <f>IF(AND(N56="",O56=""),"DATI MANCANTI",IF(AND(N(N56)&gt;=PARAMETRI!$B$4,N(O56)&gt;=PARAMETRI!$B$4),"OK","NO"))</f>
        <v/>
      </c>
      <c r="AC56" s="9">
        <f>IF(K56="","N/D",IF(K56&lt;PARAMETRI!$B$6,"OTTIMO",IF(K56&lt;PARAMETRI!$B$5,"OK","NO")))</f>
        <v/>
      </c>
      <c r="AD56" s="9">
        <f>IF(OR(AB56="DATI MANCANTI",AC56="N/D"),"DA COMPLETARE",IF(AND(AB56="OK",AC56="OTTIMO"),"PASSA FORTE",IF(AND(AB56="OK",AC56="OK"),"PASSA","SCARTA")))</f>
        <v/>
      </c>
      <c r="AE56" s="8" t="inlineStr">
        <is>
          <t>2026-08-04</t>
        </is>
      </c>
      <c r="AF56" s="8" t="inlineStr">
        <is>
          <t>yahoo</t>
        </is>
      </c>
      <c r="AG56" s="19" t="inlineStr"/>
    </row>
    <row r="57">
      <c r="A57" s="8" t="n">
        <v>56</v>
      </c>
      <c r="B57" s="8" t="inlineStr">
        <is>
          <t>STMicroelectronics</t>
        </is>
      </c>
      <c r="C57" s="8" t="inlineStr">
        <is>
          <t>STMMI.MI</t>
        </is>
      </c>
      <c r="D57" s="8" t="inlineStr">
        <is>
          <t>Semiconduttori</t>
        </is>
      </c>
      <c r="E57" s="9" t="inlineStr">
        <is>
          <t>Industriale</t>
        </is>
      </c>
      <c r="F57" s="10" t="n">
        <v>46.3</v>
      </c>
      <c r="G57" s="11" t="inlineStr">
        <is>
          <t>EUR</t>
        </is>
      </c>
      <c r="H57" s="12" t="n">
        <v>41293.9</v>
      </c>
      <c r="I57" s="10" t="n">
        <v>0.44</v>
      </c>
      <c r="J57" s="10" t="n">
        <v>1.42</v>
      </c>
      <c r="K57" s="13">
        <f>IF(OR(F57="",I57="",I57&lt;=0),"",F57/I57)</f>
        <v/>
      </c>
      <c r="L57" s="14" t="n">
        <v>2.6988816</v>
      </c>
      <c r="M57" s="15">
        <f>IF(OR(L57="",K57="",K57&lt;=0),"",L57/K57)</f>
        <v/>
      </c>
      <c r="N57" s="16" t="n">
        <v>0.02686</v>
      </c>
      <c r="O57" s="16" t="n">
        <v>0.1655610564349585</v>
      </c>
      <c r="P57" s="16" t="n">
        <v>0.1215552570620177</v>
      </c>
      <c r="Q57" s="17" t="n">
        <v>4</v>
      </c>
      <c r="R57" s="16" t="n">
        <v>0.009311195871662552</v>
      </c>
      <c r="S57" s="16" t="n">
        <v>0.08923147458307067</v>
      </c>
      <c r="T57" s="16" t="n">
        <v>0.2517185725387052</v>
      </c>
      <c r="U57" s="16" t="n">
        <v>0.3119829827463956</v>
      </c>
      <c r="V57" s="16" t="n"/>
      <c r="W57" s="10" t="n">
        <v>0.31</v>
      </c>
      <c r="X57" s="15">
        <f>IF(OR(W57="",F57="",F57=0),"",W57/F57)</f>
        <v/>
      </c>
      <c r="Y57" s="18" t="n">
        <v>23.446</v>
      </c>
      <c r="Z57" s="16" t="n">
        <v>0.261</v>
      </c>
      <c r="AA57" s="16" t="n">
        <v>0.03949152542372882</v>
      </c>
      <c r="AB57" s="9">
        <f>IF(AND(N57="",O57=""),"DATI MANCANTI",IF(AND(N(N57)&gt;=PARAMETRI!$B$4,N(O57)&gt;=PARAMETRI!$B$4),"OK","NO"))</f>
        <v/>
      </c>
      <c r="AC57" s="9">
        <f>IF(K57="","N/D",IF(K57&lt;PARAMETRI!$B$6,"OTTIMO",IF(K57&lt;PARAMETRI!$B$5,"OK","NO")))</f>
        <v/>
      </c>
      <c r="AD57" s="9">
        <f>IF(OR(AB57="DATI MANCANTI",AC57="N/D"),"DA COMPLETARE",IF(AND(AB57="OK",AC57="OTTIMO"),"PASSA FORTE",IF(AND(AB57="OK",AC57="OK"),"PASSA","SCARTA")))</f>
        <v/>
      </c>
      <c r="AE57" s="8" t="inlineStr">
        <is>
          <t>2026-08-04</t>
        </is>
      </c>
      <c r="AF57" s="8" t="inlineStr">
        <is>
          <t>yahoo</t>
        </is>
      </c>
      <c r="AG57" s="19" t="inlineStr">
        <is>
          <t>Bilancio in USD</t>
        </is>
      </c>
    </row>
    <row r="58">
      <c r="A58" s="8" t="n">
        <v>57</v>
      </c>
      <c r="B58" s="8" t="inlineStr">
        <is>
          <t>Saipem</t>
        </is>
      </c>
      <c r="C58" s="8" t="inlineStr">
        <is>
          <t>SPM.MI</t>
        </is>
      </c>
      <c r="D58" s="8" t="inlineStr">
        <is>
          <t>Oil service</t>
        </is>
      </c>
      <c r="E58" s="9" t="inlineStr">
        <is>
          <t>Industriale</t>
        </is>
      </c>
      <c r="F58" s="10" t="n">
        <v>4.349</v>
      </c>
      <c r="G58" s="11" t="inlineStr">
        <is>
          <t>EUR</t>
        </is>
      </c>
      <c r="H58" s="12" t="n">
        <v>8438.299999999999</v>
      </c>
      <c r="I58" s="10" t="n">
        <v>0.13</v>
      </c>
      <c r="J58" s="10" t="n">
        <v>0.29854</v>
      </c>
      <c r="K58" s="13">
        <f>IF(OR(F58="",I58="",I58&lt;=0),"",F58/I58)</f>
        <v/>
      </c>
      <c r="L58" s="14" t="n">
        <v>3.2001472</v>
      </c>
      <c r="M58" s="15">
        <f>IF(OR(L58="",K58="",K58&lt;=0),"",L58/K58)</f>
        <v/>
      </c>
      <c r="N58" s="16" t="n">
        <v>0.108509995</v>
      </c>
      <c r="O58" s="16" t="n">
        <v>0.05312509829599771</v>
      </c>
      <c r="P58" s="16" t="n">
        <v>0.0908755035974316</v>
      </c>
      <c r="Q58" s="17" t="n">
        <v>4</v>
      </c>
      <c r="R58" s="16" t="n">
        <v>0.1175578308684111</v>
      </c>
      <c r="S58" s="16" t="n">
        <v>0.1212361331220285</v>
      </c>
      <c r="T58" s="16" t="n">
        <v>0.07477025898078529</v>
      </c>
      <c r="U58" s="16" t="n">
        <v>-0.101063829787234</v>
      </c>
      <c r="V58" s="16" t="n"/>
      <c r="W58" s="10" t="n">
        <v>0.17</v>
      </c>
      <c r="X58" s="15">
        <f>IF(OR(W58="",F58="",F58=0),"",W58/F58)</f>
        <v/>
      </c>
      <c r="Y58" s="18" t="n">
        <v>51.319</v>
      </c>
      <c r="Z58" s="16" t="n">
        <v>0.032</v>
      </c>
      <c r="AA58" s="16" t="n">
        <v>0.01722136222910217</v>
      </c>
      <c r="AB58" s="9">
        <f>IF(AND(N58="",O58=""),"DATI MANCANTI",IF(AND(N(N58)&gt;=PARAMETRI!$B$4,N(O58)&gt;=PARAMETRI!$B$4),"OK","NO"))</f>
        <v/>
      </c>
      <c r="AC58" s="9">
        <f>IF(K58="","N/D",IF(K58&lt;PARAMETRI!$B$6,"OTTIMO",IF(K58&lt;PARAMETRI!$B$5,"OK","NO")))</f>
        <v/>
      </c>
      <c r="AD58" s="9">
        <f>IF(OR(AB58="DATI MANCANTI",AC58="N/D"),"DA COMPLETARE",IF(AND(AB58="OK",AC58="OTTIMO"),"PASSA FORTE",IF(AND(AB58="OK",AC58="OK"),"PASSA","SCARTA")))</f>
        <v/>
      </c>
      <c r="AE58" s="8" t="inlineStr">
        <is>
          <t>2026-08-04</t>
        </is>
      </c>
      <c r="AF58" s="8" t="inlineStr">
        <is>
          <t>yahoo</t>
        </is>
      </c>
      <c r="AG58" s="19" t="inlineStr"/>
    </row>
    <row r="59">
      <c r="A59" s="8" t="n">
        <v>58</v>
      </c>
      <c r="B59" s="8" t="inlineStr">
        <is>
          <t>Salvatore Ferragamo</t>
        </is>
      </c>
      <c r="C59" s="8" t="inlineStr">
        <is>
          <t>SFER.MI</t>
        </is>
      </c>
      <c r="D59" s="8" t="inlineStr">
        <is>
          <t>Lusso</t>
        </is>
      </c>
      <c r="E59" s="9" t="inlineStr">
        <is>
          <t>Consumi</t>
        </is>
      </c>
      <c r="F59" s="10" t="n">
        <v>9.525</v>
      </c>
      <c r="G59" s="11" t="inlineStr">
        <is>
          <t>EUR</t>
        </is>
      </c>
      <c r="H59" s="12" t="n">
        <v>1578.1</v>
      </c>
      <c r="I59" s="10" t="n">
        <v>-0.3</v>
      </c>
      <c r="J59" s="10" t="n">
        <v>0.17245</v>
      </c>
      <c r="K59" s="13">
        <f>IF(OR(F59="",I59="",I59&lt;=0),"",F59/I59)</f>
        <v/>
      </c>
      <c r="L59" s="14" t="n">
        <v>2.6688147</v>
      </c>
      <c r="M59" s="15">
        <f>IF(OR(L59="",K59="",K59&lt;=0),"",L59/K59)</f>
        <v/>
      </c>
      <c r="N59" s="16" t="n">
        <v>-0.08108</v>
      </c>
      <c r="O59" s="16" t="n">
        <v>-0.01621397710321158</v>
      </c>
      <c r="P59" s="16" t="n">
        <v>0.08353359250645503</v>
      </c>
      <c r="Q59" s="17" t="n">
        <v>4</v>
      </c>
      <c r="R59" s="16" t="n">
        <v>-0.08360140037546299</v>
      </c>
      <c r="S59" s="16" t="n">
        <v>-0.109978985318798</v>
      </c>
      <c r="T59" s="16" t="n">
        <v>0.03613592432255542</v>
      </c>
      <c r="U59" s="16" t="n">
        <v>0.09258855295885929</v>
      </c>
      <c r="V59" s="16" t="n"/>
      <c r="W59" s="10" t="n"/>
      <c r="X59" s="15">
        <f>IF(OR(W59="",F59="",F59=0),"",W59/F59)</f>
        <v/>
      </c>
      <c r="Y59" s="18" t="n">
        <v>116.299</v>
      </c>
      <c r="Z59" s="16" t="n">
        <v>-0.018</v>
      </c>
      <c r="AA59" s="16" t="n">
        <v>-0.05061897676571456</v>
      </c>
      <c r="AB59" s="9">
        <f>IF(AND(N59="",O59=""),"DATI MANCANTI",IF(AND(N(N59)&gt;=PARAMETRI!$B$4,N(O59)&gt;=PARAMETRI!$B$4),"OK","NO"))</f>
        <v/>
      </c>
      <c r="AC59" s="9">
        <f>IF(K59="","N/D",IF(K59&lt;PARAMETRI!$B$6,"OTTIMO",IF(K59&lt;PARAMETRI!$B$5,"OK","NO")))</f>
        <v/>
      </c>
      <c r="AD59" s="9">
        <f>IF(OR(AB59="DATI MANCANTI",AC59="N/D"),"DA COMPLETARE",IF(AND(AB59="OK",AC59="OTTIMO"),"PASSA FORTE",IF(AND(AB59="OK",AC59="OK"),"PASSA","SCARTA")))</f>
        <v/>
      </c>
      <c r="AE59" s="8" t="inlineStr">
        <is>
          <t>2026-08-04</t>
        </is>
      </c>
      <c r="AF59" s="8" t="inlineStr">
        <is>
          <t>yahoo</t>
        </is>
      </c>
      <c r="AG59" s="19" t="inlineStr"/>
    </row>
    <row r="60">
      <c r="A60" s="8" t="n">
        <v>59</v>
      </c>
      <c r="B60" s="8" t="inlineStr">
        <is>
          <t>Snam</t>
        </is>
      </c>
      <c r="C60" s="8" t="inlineStr">
        <is>
          <t>SRG.MI</t>
        </is>
      </c>
      <c r="D60" s="8" t="inlineStr">
        <is>
          <t>Utility / Reti</t>
        </is>
      </c>
      <c r="E60" s="9" t="inlineStr">
        <is>
          <t>Utility</t>
        </is>
      </c>
      <c r="F60" s="10" t="n">
        <v>5.92</v>
      </c>
      <c r="G60" s="11" t="inlineStr">
        <is>
          <t>EUR</t>
        </is>
      </c>
      <c r="H60" s="12" t="n">
        <v>19866.3</v>
      </c>
      <c r="I60" s="10" t="n">
        <v>0.36</v>
      </c>
      <c r="J60" s="10" t="n">
        <v>0.43761</v>
      </c>
      <c r="K60" s="13">
        <f>IF(OR(F60="",I60="",I60&lt;=0),"",F60/I60)</f>
        <v/>
      </c>
      <c r="L60" s="14" t="n">
        <v>2.4114053</v>
      </c>
      <c r="M60" s="15">
        <f>IF(OR(L60="",K60="",K60&lt;=0),"",L60/K60)</f>
        <v/>
      </c>
      <c r="N60" s="16" t="n">
        <v>0.1238</v>
      </c>
      <c r="O60" s="16" t="n">
        <v>0.1292498210780141</v>
      </c>
      <c r="P60" s="16" t="n">
        <v>0.02310306594021611</v>
      </c>
      <c r="Q60" s="17" t="n">
        <v>4</v>
      </c>
      <c r="R60" s="16" t="n">
        <v>0.1374905272274548</v>
      </c>
      <c r="S60" s="16" t="n">
        <v>0.1410012319408668</v>
      </c>
      <c r="T60" s="16" t="n">
        <v>0.1486574983628029</v>
      </c>
      <c r="U60" s="16" t="n">
        <v>0.08985002678093197</v>
      </c>
      <c r="V60" s="16" t="n"/>
      <c r="W60" s="10" t="n">
        <v>0.3</v>
      </c>
      <c r="X60" s="15">
        <f>IF(OR(W60="",F60="",F60=0),"",W60/F60)</f>
        <v/>
      </c>
      <c r="Y60" s="18" t="n">
        <v>234.16</v>
      </c>
      <c r="Z60" s="16" t="n">
        <v>0.097</v>
      </c>
      <c r="AA60" s="16" t="n">
        <v>0.2889407933541018</v>
      </c>
      <c r="AB60" s="9">
        <f>IF(AND(N60="",O60=""),"DATI MANCANTI",IF(AND(N(N60)&gt;=PARAMETRI!$B$4,N(O60)&gt;=PARAMETRI!$B$4),"OK","NO"))</f>
        <v/>
      </c>
      <c r="AC60" s="9">
        <f>IF(K60="","N/D",IF(K60&lt;PARAMETRI!$B$6,"OTTIMO",IF(K60&lt;PARAMETRI!$B$5,"OK","NO")))</f>
        <v/>
      </c>
      <c r="AD60" s="9">
        <f>IF(OR(AB60="DATI MANCANTI",AC60="N/D"),"DA COMPLETARE",IF(AND(AB60="OK",AC60="OTTIMO"),"PASSA FORTE",IF(AND(AB60="OK",AC60="OK"),"PASSA","SCARTA")))</f>
        <v/>
      </c>
      <c r="AE60" s="8" t="inlineStr">
        <is>
          <t>2026-08-04</t>
        </is>
      </c>
      <c r="AF60" s="8" t="inlineStr">
        <is>
          <t>yahoo</t>
        </is>
      </c>
      <c r="AG60" s="19" t="inlineStr"/>
    </row>
    <row r="61">
      <c r="A61" s="8" t="n">
        <v>60</v>
      </c>
      <c r="B61" s="8" t="inlineStr">
        <is>
          <t>Stellantis</t>
        </is>
      </c>
      <c r="C61" s="8" t="inlineStr">
        <is>
          <t>STLAM.MI</t>
        </is>
      </c>
      <c r="D61" s="8" t="inlineStr">
        <is>
          <t>Auto</t>
        </is>
      </c>
      <c r="E61" s="9" t="inlineStr">
        <is>
          <t>Industriale</t>
        </is>
      </c>
      <c r="F61" s="10" t="n">
        <v>4.889</v>
      </c>
      <c r="G61" s="11" t="inlineStr">
        <is>
          <t>EUR</t>
        </is>
      </c>
      <c r="H61" s="12" t="n">
        <v>18418.4</v>
      </c>
      <c r="I61" s="10" t="n">
        <v>-6.77</v>
      </c>
      <c r="J61" s="10" t="n">
        <v>1.28826</v>
      </c>
      <c r="K61" s="13">
        <f>IF(OR(F61="",I61="",I61&lt;=0),"",F61/I61)</f>
        <v/>
      </c>
      <c r="L61" s="14" t="n">
        <v>0.25518033</v>
      </c>
      <c r="M61" s="15">
        <f>IF(OR(L61="",K61="",K61&lt;=0),"",L61/K61)</f>
        <v/>
      </c>
      <c r="N61" s="16" t="n">
        <v>-0.28694</v>
      </c>
      <c r="O61" s="16" t="n">
        <v>0.02756391766316059</v>
      </c>
      <c r="P61" s="16" t="n">
        <v>0.2656006420888029</v>
      </c>
      <c r="Q61" s="17" t="n">
        <v>4</v>
      </c>
      <c r="R61" s="16" t="n">
        <v>-0.4176952811338724</v>
      </c>
      <c r="S61" s="16" t="n">
        <v>0.066995544239338</v>
      </c>
      <c r="T61" s="16" t="n">
        <v>0.2276327225098846</v>
      </c>
      <c r="U61" s="16" t="n">
        <v>0.2333226850372922</v>
      </c>
      <c r="V61" s="16" t="n"/>
      <c r="W61" s="10" t="n">
        <v>0.68</v>
      </c>
      <c r="X61" s="15">
        <f>IF(OR(W61="",F61="",F61=0),"",W61/F61)</f>
        <v/>
      </c>
      <c r="Y61" s="18" t="n">
        <v>84.387</v>
      </c>
      <c r="Z61" s="16" t="n">
        <v>0.131</v>
      </c>
      <c r="AA61" s="16" t="n">
        <v>-0.1268468026161503</v>
      </c>
      <c r="AB61" s="9">
        <f>IF(AND(N61="",O61=""),"DATI MANCANTI",IF(AND(N(N61)&gt;=PARAMETRI!$B$4,N(O61)&gt;=PARAMETRI!$B$4),"OK","NO"))</f>
        <v/>
      </c>
      <c r="AC61" s="9">
        <f>IF(K61="","N/D",IF(K61&lt;PARAMETRI!$B$6,"OTTIMO",IF(K61&lt;PARAMETRI!$B$5,"OK","NO")))</f>
        <v/>
      </c>
      <c r="AD61" s="9">
        <f>IF(OR(AB61="DATI MANCANTI",AC61="N/D"),"DA COMPLETARE",IF(AND(AB61="OK",AC61="OTTIMO"),"PASSA FORTE",IF(AND(AB61="OK",AC61="OK"),"PASSA","SCARTA")))</f>
        <v/>
      </c>
      <c r="AE61" s="8" t="inlineStr">
        <is>
          <t>2026-08-04</t>
        </is>
      </c>
      <c r="AF61" s="8" t="inlineStr">
        <is>
          <t>yahoo</t>
        </is>
      </c>
      <c r="AG61" s="19" t="inlineStr"/>
    </row>
    <row r="62">
      <c r="A62" s="8" t="n">
        <v>61</v>
      </c>
      <c r="B62" s="8" t="inlineStr">
        <is>
          <t>Telecom Italia ord.</t>
        </is>
      </c>
      <c r="C62" s="8" t="inlineStr">
        <is>
          <t>TIT.MI</t>
        </is>
      </c>
      <c r="D62" s="8" t="inlineStr">
        <is>
          <t>Telecomunicazioni</t>
        </is>
      </c>
      <c r="E62" s="9" t="inlineStr">
        <is>
          <t>Industriale</t>
        </is>
      </c>
      <c r="F62" s="10" t="n">
        <v>7.543</v>
      </c>
      <c r="G62" s="11" t="inlineStr">
        <is>
          <t>EUR</t>
        </is>
      </c>
      <c r="H62" s="12" t="n">
        <v>16091.2</v>
      </c>
      <c r="I62" s="10" t="n">
        <v>0.18</v>
      </c>
      <c r="J62" s="10" t="n">
        <v>0.28147</v>
      </c>
      <c r="K62" s="13">
        <f>IF(OR(F62="",I62="",I62&lt;=0),"",F62/I62)</f>
        <v/>
      </c>
      <c r="L62" s="14" t="n">
        <v>1.3129679</v>
      </c>
      <c r="M62" s="15">
        <f>IF(OR(L62="",K62="",K62&lt;=0),"",L62/K62)</f>
        <v/>
      </c>
      <c r="N62" s="16" t="n">
        <v>0.03897</v>
      </c>
      <c r="O62" s="16" t="n">
        <v>-0.08162966379239703</v>
      </c>
      <c r="P62" s="16" t="n">
        <v>0.07970027299822047</v>
      </c>
      <c r="Q62" s="17" t="n">
        <v>4</v>
      </c>
      <c r="R62" s="16" t="n">
        <v>0.02430640805303216</v>
      </c>
      <c r="S62" s="16" t="n">
        <v>-0.05101614117253492</v>
      </c>
      <c r="T62" s="16" t="n">
        <v>-0.1055987102447604</v>
      </c>
      <c r="U62" s="16" t="n">
        <v>-0.194210211805325</v>
      </c>
      <c r="V62" s="16" t="n"/>
      <c r="W62" s="10" t="n"/>
      <c r="X62" s="15">
        <f>IF(OR(W62="",F62="",F62=0),"",W62/F62)</f>
        <v/>
      </c>
      <c r="Y62" s="18" t="n">
        <v>104.611</v>
      </c>
      <c r="Z62" s="16" t="n">
        <v>0.043</v>
      </c>
      <c r="AA62" s="16" t="n">
        <v>0.02067860783457114</v>
      </c>
      <c r="AB62" s="9">
        <f>IF(AND(N62="",O62=""),"DATI MANCANTI",IF(AND(N(N62)&gt;=PARAMETRI!$B$4,N(O62)&gt;=PARAMETRI!$B$4),"OK","NO"))</f>
        <v/>
      </c>
      <c r="AC62" s="9">
        <f>IF(K62="","N/D",IF(K62&lt;PARAMETRI!$B$6,"OTTIMO",IF(K62&lt;PARAMETRI!$B$5,"OK","NO")))</f>
        <v/>
      </c>
      <c r="AD62" s="9">
        <f>IF(OR(AB62="DATI MANCANTI",AC62="N/D"),"DA COMPLETARE",IF(AND(AB62="OK",AC62="OTTIMO"),"PASSA FORTE",IF(AND(AB62="OK",AC62="OK"),"PASSA","SCARTA")))</f>
        <v/>
      </c>
      <c r="AE62" s="8" t="inlineStr">
        <is>
          <t>2026-08-04</t>
        </is>
      </c>
      <c r="AF62" s="8" t="inlineStr">
        <is>
          <t>yahoo</t>
        </is>
      </c>
      <c r="AG62" s="19" t="inlineStr"/>
    </row>
    <row r="63">
      <c r="A63" s="8" t="n">
        <v>62</v>
      </c>
      <c r="B63" s="8" t="inlineStr">
        <is>
          <t>Tenaris</t>
        </is>
      </c>
      <c r="C63" s="8" t="inlineStr">
        <is>
          <t>TEN.MI</t>
        </is>
      </c>
      <c r="D63" s="8" t="inlineStr">
        <is>
          <t>Oil service</t>
        </is>
      </c>
      <c r="E63" s="9" t="inlineStr">
        <is>
          <t>Industriale</t>
        </is>
      </c>
      <c r="F63" s="10" t="n">
        <v>25.16</v>
      </c>
      <c r="G63" s="11" t="inlineStr">
        <is>
          <t>EUR</t>
        </is>
      </c>
      <c r="H63" s="12" t="n">
        <v>25402.5</v>
      </c>
      <c r="I63" s="10" t="n">
        <v>1.65</v>
      </c>
      <c r="J63" s="10" t="n">
        <v>1.814443</v>
      </c>
      <c r="K63" s="13">
        <f>IF(OR(F63="",I63="",I63&lt;=0),"",F63/I63)</f>
        <v/>
      </c>
      <c r="L63" s="14" t="n">
        <v>1.7141374</v>
      </c>
      <c r="M63" s="15">
        <f>IF(OR(L63="",K63="",K63&lt;=0),"",L63/K63)</f>
        <v/>
      </c>
      <c r="N63" s="16" t="n">
        <v>0.11625</v>
      </c>
      <c r="O63" s="16" t="n">
        <v>0.163851096927405</v>
      </c>
      <c r="P63" s="16" t="n">
        <v>0.04758970868898593</v>
      </c>
      <c r="Q63" s="17" t="n">
        <v>4</v>
      </c>
      <c r="R63" s="16" t="n">
        <v>0.1164401927780697</v>
      </c>
      <c r="S63" s="16" t="n">
        <v>0.1227272620438531</v>
      </c>
      <c r="T63" s="16" t="n">
        <v>0.2326231380067603</v>
      </c>
      <c r="U63" s="16" t="n">
        <v>0.183613794880937</v>
      </c>
      <c r="V63" s="16" t="n"/>
      <c r="W63" s="10" t="n">
        <v>0.77</v>
      </c>
      <c r="X63" s="15">
        <f>IF(OR(W63="",F63="",F63=0),"",W63/F63)</f>
        <v/>
      </c>
      <c r="Y63" s="18" t="n">
        <v>2.73</v>
      </c>
      <c r="Z63" s="16" t="n">
        <v>0.061</v>
      </c>
      <c r="AA63" s="16" t="n">
        <v>0.1641396603015886</v>
      </c>
      <c r="AB63" s="9">
        <f>IF(AND(N63="",O63=""),"DATI MANCANTI",IF(AND(N(N63)&gt;=PARAMETRI!$B$4,N(O63)&gt;=PARAMETRI!$B$4),"OK","NO"))</f>
        <v/>
      </c>
      <c r="AC63" s="9">
        <f>IF(K63="","N/D",IF(K63&lt;PARAMETRI!$B$6,"OTTIMO",IF(K63&lt;PARAMETRI!$B$5,"OK","NO")))</f>
        <v/>
      </c>
      <c r="AD63" s="9">
        <f>IF(OR(AB63="DATI MANCANTI",AC63="N/D"),"DA COMPLETARE",IF(AND(AB63="OK",AC63="OTTIMO"),"PASSA FORTE",IF(AND(AB63="OK",AC63="OK"),"PASSA","SCARTA")))</f>
        <v/>
      </c>
      <c r="AE63" s="8" t="inlineStr">
        <is>
          <t>2026-08-04</t>
        </is>
      </c>
      <c r="AF63" s="8" t="inlineStr">
        <is>
          <t>yahoo</t>
        </is>
      </c>
      <c r="AG63" s="19" t="inlineStr">
        <is>
          <t>Bilancio in USD</t>
        </is>
      </c>
    </row>
    <row r="64">
      <c r="A64" s="8" t="n">
        <v>63</v>
      </c>
      <c r="B64" s="8" t="inlineStr">
        <is>
          <t>Terna</t>
        </is>
      </c>
      <c r="C64" s="8" t="inlineStr">
        <is>
          <t>TRN.MI</t>
        </is>
      </c>
      <c r="D64" s="8" t="inlineStr">
        <is>
          <t>Utility / Reti</t>
        </is>
      </c>
      <c r="E64" s="9" t="inlineStr">
        <is>
          <t>Utility</t>
        </is>
      </c>
      <c r="F64" s="10" t="n">
        <v>10.115</v>
      </c>
      <c r="G64" s="11" t="inlineStr">
        <is>
          <t>EUR</t>
        </is>
      </c>
      <c r="H64" s="12" t="n">
        <v>20298.4</v>
      </c>
      <c r="I64" s="10" t="n">
        <v>0.5600000000000001</v>
      </c>
      <c r="J64" s="10" t="n">
        <v>0.56179</v>
      </c>
      <c r="K64" s="13">
        <f>IF(OR(F64="",I64="",I64&lt;=0),"",F64/I64)</f>
        <v/>
      </c>
      <c r="L64" s="14" t="n">
        <v>2.2791796</v>
      </c>
      <c r="M64" s="15">
        <f>IF(OR(L64="",K64="",K64&lt;=0),"",L64/K64)</f>
        <v/>
      </c>
      <c r="N64" s="16" t="n">
        <v>0.13828</v>
      </c>
      <c r="O64" s="16" t="n">
        <v>0.1473166531875201</v>
      </c>
      <c r="P64" s="16" t="n">
        <v>0.01230561727656675</v>
      </c>
      <c r="Q64" s="17" t="n">
        <v>4</v>
      </c>
      <c r="R64" s="16" t="n"/>
      <c r="S64" s="16" t="n">
        <v>0.1411312830599931</v>
      </c>
      <c r="T64" s="16" t="n">
        <v>0.1399974701157422</v>
      </c>
      <c r="U64" s="16" t="n">
        <v>0.1395310973624227</v>
      </c>
      <c r="V64" s="16" t="n">
        <v>0.1686067622119225</v>
      </c>
      <c r="W64" s="10" t="n">
        <v>0.4</v>
      </c>
      <c r="X64" s="15">
        <f>IF(OR(W64="",F64="",F64=0),"",W64/F64)</f>
        <v/>
      </c>
      <c r="Y64" s="18" t="n">
        <v>172.37</v>
      </c>
      <c r="Z64" s="16" t="n">
        <v>0.123</v>
      </c>
      <c r="AA64" s="16" t="n">
        <v>0.291854893908282</v>
      </c>
      <c r="AB64" s="9">
        <f>IF(AND(N64="",O64=""),"DATI MANCANTI",IF(AND(N(N64)&gt;=PARAMETRI!$B$4,N(O64)&gt;=PARAMETRI!$B$4),"OK","NO"))</f>
        <v/>
      </c>
      <c r="AC64" s="9">
        <f>IF(K64="","N/D",IF(K64&lt;PARAMETRI!$B$6,"OTTIMO",IF(K64&lt;PARAMETRI!$B$5,"OK","NO")))</f>
        <v/>
      </c>
      <c r="AD64" s="9">
        <f>IF(OR(AB64="DATI MANCANTI",AC64="N/D"),"DA COMPLETARE",IF(AND(AB64="OK",AC64="OTTIMO"),"PASSA FORTE",IF(AND(AB64="OK",AC64="OK"),"PASSA","SCARTA")))</f>
        <v/>
      </c>
      <c r="AE64" s="8" t="inlineStr">
        <is>
          <t>2026-08-04</t>
        </is>
      </c>
      <c r="AF64" s="8" t="inlineStr">
        <is>
          <t>yahoo</t>
        </is>
      </c>
      <c r="AG64" s="19" t="inlineStr"/>
    </row>
    <row r="65">
      <c r="A65" s="8" t="n">
        <v>64</v>
      </c>
      <c r="B65" s="8" t="inlineStr">
        <is>
          <t>UniCredit</t>
        </is>
      </c>
      <c r="C65" s="8" t="inlineStr">
        <is>
          <t>UCG.MI</t>
        </is>
      </c>
      <c r="D65" s="8" t="inlineStr">
        <is>
          <t>Banca</t>
        </is>
      </c>
      <c r="E65" s="9" t="inlineStr">
        <is>
          <t>Finanziario</t>
        </is>
      </c>
      <c r="F65" s="10" t="n">
        <v>84.84999999999999</v>
      </c>
      <c r="G65" s="11" t="inlineStr">
        <is>
          <t>EUR</t>
        </is>
      </c>
      <c r="H65" s="12" t="n">
        <v>127128.8</v>
      </c>
      <c r="I65" s="10" t="n">
        <v>7.05</v>
      </c>
      <c r="J65" s="10" t="n">
        <v>8.32521</v>
      </c>
      <c r="K65" s="13">
        <f>IF(OR(F65="",I65="",I65&lt;=0),"",F65/I65)</f>
        <v/>
      </c>
      <c r="L65" s="14" t="n">
        <v>1.8835464</v>
      </c>
      <c r="M65" s="15">
        <f>IF(OR(L65="",K65="",K65&lt;=0),"",L65/K65)</f>
        <v/>
      </c>
      <c r="N65" s="16" t="n">
        <v>0.15779</v>
      </c>
      <c r="O65" s="16" t="n">
        <v>0.1417934441062063</v>
      </c>
      <c r="P65" s="16" t="n">
        <v>0.02344442801155508</v>
      </c>
      <c r="Q65" s="17" t="n">
        <v>4</v>
      </c>
      <c r="R65" s="16" t="n">
        <v>0.1611998050538317</v>
      </c>
      <c r="S65" s="16" t="n">
        <v>0.1556509344821511</v>
      </c>
      <c r="T65" s="16" t="n">
        <v>0.1483637385102764</v>
      </c>
      <c r="U65" s="16" t="n">
        <v>0.1019592983785661</v>
      </c>
      <c r="V65" s="16" t="n"/>
      <c r="W65" s="10" t="n">
        <v>3.15</v>
      </c>
      <c r="X65" s="15">
        <f>IF(OR(W65="",F65="",F65=0),"",W65/F65)</f>
        <v/>
      </c>
      <c r="Y65" s="18" t="n"/>
      <c r="Z65" s="16" t="n">
        <v>-0.092</v>
      </c>
      <c r="AA65" s="16" t="n">
        <v>0.4284915506210312</v>
      </c>
      <c r="AB65" s="9">
        <f>IF(AND(N65="",O65=""),"DATI MANCANTI",IF(AND(N(N65)&gt;=PARAMETRI!$B$4,N(O65)&gt;=PARAMETRI!$B$4),"OK","NO"))</f>
        <v/>
      </c>
      <c r="AC65" s="9">
        <f>IF(K65="","N/D",IF(K65&lt;PARAMETRI!$B$6,"OTTIMO",IF(K65&lt;PARAMETRI!$B$5,"OK","NO")))</f>
        <v/>
      </c>
      <c r="AD65" s="9">
        <f>IF(OR(AB65="DATI MANCANTI",AC65="N/D"),"DA COMPLETARE",IF(AND(AB65="OK",AC65="OTTIMO"),"PASSA FORTE",IF(AND(AB65="OK",AC65="OK"),"PASSA","SCARTA")))</f>
        <v/>
      </c>
      <c r="AE65" s="8" t="inlineStr">
        <is>
          <t>2026-08-04</t>
        </is>
      </c>
      <c r="AF65" s="8" t="inlineStr">
        <is>
          <t>yahoo</t>
        </is>
      </c>
      <c r="AG65" s="19" t="inlineStr"/>
    </row>
    <row r="66">
      <c r="A66" s="8" t="n">
        <v>65</v>
      </c>
      <c r="B66" s="8" t="inlineStr">
        <is>
          <t>Unipol</t>
        </is>
      </c>
      <c r="C66" s="8" t="inlineStr">
        <is>
          <t>UNI.MI</t>
        </is>
      </c>
      <c r="D66" s="8" t="inlineStr">
        <is>
          <t>Assicurazione</t>
        </is>
      </c>
      <c r="E66" s="9" t="inlineStr">
        <is>
          <t>Finanziario</t>
        </is>
      </c>
      <c r="F66" s="10" t="n">
        <v>28.41</v>
      </c>
      <c r="G66" s="11" t="inlineStr">
        <is>
          <t>EUR</t>
        </is>
      </c>
      <c r="H66" s="12" t="n">
        <v>20375.8</v>
      </c>
      <c r="I66" s="10" t="n">
        <v>2.03</v>
      </c>
      <c r="J66" s="10" t="n">
        <v>2.22391</v>
      </c>
      <c r="K66" s="13">
        <f>IF(OR(F66="",I66="",I66&lt;=0),"",F66/I66)</f>
        <v/>
      </c>
      <c r="L66" s="14" t="n">
        <v>2.043444</v>
      </c>
      <c r="M66" s="15">
        <f>IF(OR(L66="",K66="",K66&lt;=0),"",L66/K66)</f>
        <v/>
      </c>
      <c r="N66" s="16" t="n">
        <v>0.1426234241170244</v>
      </c>
      <c r="O66" s="16" t="n">
        <v>0.1181376184447107</v>
      </c>
      <c r="P66" s="16" t="n">
        <v>0.02618848036787977</v>
      </c>
      <c r="Q66" s="17" t="n">
        <v>4</v>
      </c>
      <c r="R66" s="16" t="n">
        <v>0.1426234241170244</v>
      </c>
      <c r="S66" s="16" t="n">
        <v>0.1152236884454458</v>
      </c>
      <c r="T66" s="16" t="n">
        <v>0.1381950546002259</v>
      </c>
      <c r="U66" s="16" t="n">
        <v>0.0765083066161469</v>
      </c>
      <c r="V66" s="16" t="n"/>
      <c r="W66" s="10" t="n">
        <v>1.12</v>
      </c>
      <c r="X66" s="15">
        <f>IF(OR(W66="",F66="",F66=0),"",W66/F66)</f>
        <v/>
      </c>
      <c r="Y66" s="18" t="n">
        <v>46.738</v>
      </c>
      <c r="Z66" s="16" t="n">
        <v>-0.021</v>
      </c>
      <c r="AA66" s="16" t="n">
        <v>0.108874785677824</v>
      </c>
      <c r="AB66" s="9">
        <f>IF(AND(N66="",O66=""),"DATI MANCANTI",IF(AND(N(N66)&gt;=PARAMETRI!$B$4,N(O66)&gt;=PARAMETRI!$B$4),"OK","NO"))</f>
        <v/>
      </c>
      <c r="AC66" s="9">
        <f>IF(K66="","N/D",IF(K66&lt;PARAMETRI!$B$6,"OTTIMO",IF(K66&lt;PARAMETRI!$B$5,"OK","NO")))</f>
        <v/>
      </c>
      <c r="AD66" s="9">
        <f>IF(OR(AB66="DATI MANCANTI",AC66="N/D"),"DA COMPLETARE",IF(AND(AB66="OK",AC66="OTTIMO"),"PASSA FORTE",IF(AND(AB66="OK",AC66="OK"),"PASSA","SCARTA")))</f>
        <v/>
      </c>
      <c r="AE66" s="8" t="inlineStr">
        <is>
          <t>2026-08-04</t>
        </is>
      </c>
      <c r="AF66" s="8" t="inlineStr">
        <is>
          <t>yahoo</t>
        </is>
      </c>
      <c r="AG66" s="19" t="inlineStr"/>
    </row>
    <row r="67">
      <c r="A67" s="8" t="n">
        <v>66</v>
      </c>
      <c r="B67" s="8" t="inlineStr">
        <is>
          <t>Webuild</t>
        </is>
      </c>
      <c r="C67" s="8" t="inlineStr">
        <is>
          <t>WBD.MI</t>
        </is>
      </c>
      <c r="D67" s="8" t="inlineStr">
        <is>
          <t>Costruzioni</t>
        </is>
      </c>
      <c r="E67" s="9" t="inlineStr">
        <is>
          <t>Industriale</t>
        </is>
      </c>
      <c r="F67" s="10" t="n">
        <v>2.286</v>
      </c>
      <c r="G67" s="11" t="inlineStr">
        <is>
          <t>EUR</t>
        </is>
      </c>
      <c r="H67" s="12" t="n">
        <v>2260.4</v>
      </c>
      <c r="I67" s="10" t="n">
        <v>0.25</v>
      </c>
      <c r="J67" s="10" t="n">
        <v>0.35059</v>
      </c>
      <c r="K67" s="13">
        <f>IF(OR(F67="",I67="",I67&lt;=0),"",F67/I67)</f>
        <v/>
      </c>
      <c r="L67" s="14" t="n">
        <v>1.3526627</v>
      </c>
      <c r="M67" s="15">
        <f>IF(OR(L67="",K67="",K67&lt;=0),"",L67/K67)</f>
        <v/>
      </c>
      <c r="N67" s="16" t="n">
        <v>0.11915</v>
      </c>
      <c r="O67" s="16" t="n">
        <v>0.08623905340303167</v>
      </c>
      <c r="P67" s="16" t="n">
        <v>0.05099301347626185</v>
      </c>
      <c r="Q67" s="17" t="n">
        <v>4</v>
      </c>
      <c r="R67" s="16" t="n">
        <v>0.1431968553016038</v>
      </c>
      <c r="S67" s="16" t="n">
        <v>0.1135025665119075</v>
      </c>
      <c r="T67" s="16" t="n">
        <v>0.08199027909741466</v>
      </c>
      <c r="U67" s="16" t="n">
        <v>0.006266512701200791</v>
      </c>
      <c r="V67" s="16" t="n"/>
      <c r="W67" s="10" t="n">
        <v>0.08</v>
      </c>
      <c r="X67" s="15">
        <f>IF(OR(W67="",F67="",F67=0),"",W67/F67)</f>
        <v/>
      </c>
      <c r="Y67" s="18" t="n">
        <v>175.257</v>
      </c>
      <c r="Z67" s="16" t="n">
        <v>-0.034</v>
      </c>
      <c r="AA67" s="16" t="n">
        <v>0.01923260372838383</v>
      </c>
      <c r="AB67" s="9">
        <f>IF(AND(N67="",O67=""),"DATI MANCANTI",IF(AND(N(N67)&gt;=PARAMETRI!$B$4,N(O67)&gt;=PARAMETRI!$B$4),"OK","NO"))</f>
        <v/>
      </c>
      <c r="AC67" s="9">
        <f>IF(K67="","N/D",IF(K67&lt;PARAMETRI!$B$6,"OTTIMO",IF(K67&lt;PARAMETRI!$B$5,"OK","NO")))</f>
        <v/>
      </c>
      <c r="AD67" s="9">
        <f>IF(OR(AB67="DATI MANCANTI",AC67="N/D"),"DA COMPLETARE",IF(AND(AB67="OK",AC67="OTTIMO"),"PASSA FORTE",IF(AND(AB67="OK",AC67="OK"),"PASSA","SCARTA")))</f>
        <v/>
      </c>
      <c r="AE67" s="8" t="inlineStr">
        <is>
          <t>2026-08-04</t>
        </is>
      </c>
      <c r="AF67" s="8" t="inlineStr">
        <is>
          <t>yahoo</t>
        </is>
      </c>
      <c r="AG67" s="19" t="inlineStr"/>
    </row>
  </sheetData>
  <autoFilter ref="A1:AG67"/>
  <conditionalFormatting sqref="AD2:AD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N2:N67">
    <cfRule type="dataBar" priority="5">
      <dataBar>
        <cfvo type="num" val="0"/>
        <cfvo type="num" val="0.4"/>
        <color rgb="00638EC6"/>
      </dataBar>
    </cfRule>
  </conditionalFormatting>
  <conditionalFormatting sqref="O2:O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SINTESI DELLO SCREENING</t>
        </is>
      </c>
    </row>
    <row r="3">
      <c r="A3" s="2" t="inlineStr">
        <is>
          <t>Esito</t>
        </is>
      </c>
      <c r="B3" s="2" t="inlineStr">
        <is>
          <t>Titoli</t>
        </is>
      </c>
    </row>
    <row r="4">
      <c r="A4" s="3" t="inlineStr">
        <is>
          <t>PASSA FORTE</t>
        </is>
      </c>
      <c r="B4" s="3">
        <f>COUNTIF(LISTINO!AD2:AD67,"PASSA FORTE")</f>
        <v/>
      </c>
    </row>
    <row r="5">
      <c r="A5" s="3" t="inlineStr">
        <is>
          <t>PASSA</t>
        </is>
      </c>
      <c r="B5" s="3">
        <f>COUNTIF(LISTINO!AD2:AD67,"PASSA")</f>
        <v/>
      </c>
    </row>
    <row r="6">
      <c r="A6" s="3" t="inlineStr">
        <is>
          <t>SCARTA</t>
        </is>
      </c>
      <c r="B6" s="3">
        <f>COUNTIF(LISTINO!AD2:AD67,"SCARTA")</f>
        <v/>
      </c>
    </row>
    <row r="7">
      <c r="A7" s="3" t="inlineStr">
        <is>
          <t>DA COMPLETARE</t>
        </is>
      </c>
      <c r="B7" s="3">
        <f>COUNTIF(LISTINO!AD2:AD67,"DA COMPLETARE")</f>
        <v/>
      </c>
    </row>
    <row r="8">
      <c r="A8" s="20" t="inlineStr">
        <is>
          <t>Totale</t>
        </is>
      </c>
      <c r="B8" s="20">
        <f>SUM(B4:B7)</f>
        <v/>
      </c>
    </row>
    <row r="10">
      <c r="A10" s="21" t="inlineStr">
        <is>
          <t>Per classe</t>
        </is>
      </c>
    </row>
    <row r="11">
      <c r="A11" s="2" t="inlineStr">
        <is>
          <t>Classe</t>
        </is>
      </c>
      <c r="B11" s="2" t="inlineStr">
        <is>
          <t>Titoli</t>
        </is>
      </c>
      <c r="C11" s="2" t="inlineStr">
        <is>
          <t>Passano</t>
        </is>
      </c>
      <c r="D11" s="2" t="inlineStr">
        <is>
          <t>ROE 1a medio</t>
        </is>
      </c>
    </row>
    <row r="12">
      <c r="A12" s="3" t="inlineStr">
        <is>
          <t>Consumi</t>
        </is>
      </c>
      <c r="B12" s="3">
        <f>COUNTIF(LISTINO!E2:E67,A12)</f>
        <v/>
      </c>
      <c r="C12" s="3">
        <f>COUNTIFS(LISTINO!E2:E67,A12,LISTINO!AD2:AD67,"PASSA")+COUNTIFS(LISTINO!E2:E67,A12,LISTINO!AD2:AD67,"PASSA FORTE")</f>
        <v/>
      </c>
      <c r="D12" s="22">
        <f>IFERROR(AVERAGEIF(LISTINO!E2:E67,A12,LISTINO!N2:N67),"")</f>
        <v/>
      </c>
    </row>
    <row r="13">
      <c r="A13" s="3" t="inlineStr">
        <is>
          <t>Finanziario</t>
        </is>
      </c>
      <c r="B13" s="3">
        <f>COUNTIF(LISTINO!E2:E67,A13)</f>
        <v/>
      </c>
      <c r="C13" s="3">
        <f>COUNTIFS(LISTINO!E2:E67,A13,LISTINO!AD2:AD67,"PASSA")+COUNTIFS(LISTINO!E2:E67,A13,LISTINO!AD2:AD67,"PASSA FORTE")</f>
        <v/>
      </c>
      <c r="D13" s="22">
        <f>IFERROR(AVERAGEIF(LISTINO!E2:E67,A13,LISTINO!N2:N67),"")</f>
        <v/>
      </c>
    </row>
    <row r="14">
      <c r="A14" s="3" t="inlineStr">
        <is>
          <t>Immobiliare</t>
        </is>
      </c>
      <c r="B14" s="3">
        <f>COUNTIF(LISTINO!E2:E67,A14)</f>
        <v/>
      </c>
      <c r="C14" s="3">
        <f>COUNTIFS(LISTINO!E2:E67,A14,LISTINO!AD2:AD67,"PASSA")+COUNTIFS(LISTINO!E2:E67,A14,LISTINO!AD2:AD67,"PASSA FORTE")</f>
        <v/>
      </c>
      <c r="D14" s="22">
        <f>IFERROR(AVERAGEIF(LISTINO!E2:E67,A14,LISTINO!N2:N67),"")</f>
        <v/>
      </c>
    </row>
    <row r="15">
      <c r="A15" s="3" t="inlineStr">
        <is>
          <t>Industriale</t>
        </is>
      </c>
      <c r="B15" s="3">
        <f>COUNTIF(LISTINO!E2:E67,A15)</f>
        <v/>
      </c>
      <c r="C15" s="3">
        <f>COUNTIFS(LISTINO!E2:E67,A15,LISTINO!AD2:AD67,"PASSA")+COUNTIFS(LISTINO!E2:E67,A15,LISTINO!AD2:AD67,"PASSA FORTE")</f>
        <v/>
      </c>
      <c r="D15" s="22">
        <f>IFERROR(AVERAGEIF(LISTINO!E2:E67,A15,LISTINO!N2:N67),"")</f>
        <v/>
      </c>
    </row>
    <row r="16">
      <c r="A16" s="3" t="inlineStr">
        <is>
          <t>Salute</t>
        </is>
      </c>
      <c r="B16" s="3">
        <f>COUNTIF(LISTINO!E2:E67,A16)</f>
        <v/>
      </c>
      <c r="C16" s="3">
        <f>COUNTIFS(LISTINO!E2:E67,A16,LISTINO!AD2:AD67,"PASSA")+COUNTIFS(LISTINO!E2:E67,A16,LISTINO!AD2:AD67,"PASSA FORTE")</f>
        <v/>
      </c>
      <c r="D16" s="22">
        <f>IFERROR(AVERAGEIF(LISTINO!E2:E67,A16,LISTINO!N2:N67),"")</f>
        <v/>
      </c>
    </row>
    <row r="17">
      <c r="A17" s="3" t="inlineStr">
        <is>
          <t>Utility</t>
        </is>
      </c>
      <c r="B17" s="3">
        <f>COUNTIF(LISTINO!E2:E67,A17)</f>
        <v/>
      </c>
      <c r="C17" s="3">
        <f>COUNTIFS(LISTINO!E2:E67,A17,LISTINO!AD2:AD67,"PASSA")+COUNTIFS(LISTINO!E2:E67,A17,LISTINO!AD2:AD67,"PASSA FORTE")</f>
        <v/>
      </c>
      <c r="D17" s="22">
        <f>IFERROR(AVERAGEIF(LISTINO!E2:E67,A17,LISTINO!N2:N67),"")</f>
        <v/>
      </c>
    </row>
    <row r="18">
      <c r="A18" s="3" t="inlineStr">
        <is>
          <t>Veicolo</t>
        </is>
      </c>
      <c r="B18" s="3">
        <f>COUNTIF(LISTINO!E2:E67,A18)</f>
        <v/>
      </c>
      <c r="C18" s="3">
        <f>COUNTIFS(LISTINO!E2:E67,A18,LISTINO!AD2:AD67,"PASSA")+COUNTIFS(LISTINO!E2:E67,A18,LISTINO!AD2:AD67,"PASSA FORTE")</f>
        <v/>
      </c>
      <c r="D18" s="22">
        <f>IFERROR(AVERAGEIF(LISTINO!E2:E67,A18,LISTINO!N2:N67),"")</f>
        <v/>
      </c>
    </row>
    <row r="20">
      <c r="A20" s="5" t="inlineStr">
        <is>
          <t>Il ROE contabile di banche e assicurazioni non e' confrontabile con quello degli industriali: leggi le due classi separatamente.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2026-08-04T09:17:46Z</dcterms:created>
  <dcterms:modified xsi:type="dcterms:W3CDTF">2026-08-04T09:17:46Z</dcterms:modified>
</cp:coreProperties>
</file>
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MAIRE/" TargetMode="External" Id="rId5" /><Relationship Type="http://schemas.openxmlformats.org/officeDocument/2006/relationships/hyperlink" Target="https://www.tradingview.com/symbols/MIL-A2A/" TargetMode="External" Id="rId6" /><Relationship Type="http://schemas.openxmlformats.org/officeDocument/2006/relationships/hyperlink" Target="https://www.tradingview.com/symbols/MIL-BPE/" TargetMode="External" Id="rId7" /><Relationship Type="http://schemas.openxmlformats.org/officeDocument/2006/relationships/hyperlink" Target="https://www.tradingview.com/symbols/MIL-UNI/" TargetMode="External" Id="rId8" /><Relationship Type="http://schemas.openxmlformats.org/officeDocument/2006/relationships/hyperlink" Target="https://www.tradingview.com/symbols/MIL-C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IG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PST/" TargetMode="External" Id="rId13" /><Relationship Type="http://schemas.openxmlformats.org/officeDocument/2006/relationships/hyperlink" Target="https://www.tradingview.com/symbols/MIL-FBK/" TargetMode="External" Id="rId14" /><Relationship Type="http://schemas.openxmlformats.org/officeDocument/2006/relationships/hyperlink" Target="https://www.tradingview.com/symbols/MIL-ACE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PRO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TRN/" TargetMode="External" Id="rId30" /><Relationship Type="http://schemas.openxmlformats.org/officeDocument/2006/relationships/hyperlink" Target="https://www.tradingview.com/symbols/MIL-G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MFEB/" TargetMode="External" Id="rId35" /><Relationship Type="http://schemas.openxmlformats.org/officeDocument/2006/relationships/hyperlink" Target="https://www.tradingview.com/symbols/MIL-TEN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DAN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INW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MTX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BMW/" TargetMode="External" Id="rId12" /><Relationship Type="http://schemas.openxmlformats.org/officeDocument/2006/relationships/hyperlink" Target="https://www.tradingview.com/symbols/XETR-CBK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RW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G1A/" TargetMode="External" Id="rId18" /><Relationship Type="http://schemas.openxmlformats.org/officeDocument/2006/relationships/hyperlink" Target="https://www.tradingview.com/symbols/XETR-VNA/" TargetMode="External" Id="rId19" /><Relationship Type="http://schemas.openxmlformats.org/officeDocument/2006/relationships/hyperlink" Target="https://www.tradingview.com/symbols/XETR-HEN3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BEI/" TargetMode="External" Id="rId23" /><Relationship Type="http://schemas.openxmlformats.org/officeDocument/2006/relationships/hyperlink" Target="https://www.tradingview.com/symbols/XETR-IFX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SAP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CAP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WKL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SOON/" TargetMode="External" Id="rId10" /><Relationship Type="http://schemas.openxmlformats.org/officeDocument/2006/relationships/hyperlink" Target="https://www.tradingview.com/symbols/SIX-GIVN/" TargetMode="External" Id="rId11" /><Relationship Type="http://schemas.openxmlformats.org/officeDocument/2006/relationships/hyperlink" Target="https://www.tradingview.com/symbols/SIX-NOVN/" TargetMode="External" Id="rId12" /><Relationship Type="http://schemas.openxmlformats.org/officeDocument/2006/relationships/hyperlink" Target="https://www.tradingview.com/symbols/SIX-UBSG/" TargetMode="External" Id="rId13" /><Relationship Type="http://schemas.openxmlformats.org/officeDocument/2006/relationships/hyperlink" Target="https://www.tradingview.com/symbols/SIX-NESN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EP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AXP/" TargetMode="External" Id="rId10" /><Relationship Type="http://schemas.openxmlformats.org/officeDocument/2006/relationships/hyperlink" Target="https://www.tradingview.com/symbols/PGR/" TargetMode="External" Id="rId11" /><Relationship Type="http://schemas.openxmlformats.org/officeDocument/2006/relationships/hyperlink" Target="https://www.tradingview.com/symbols/ACN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TG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KLAC/" TargetMode="External" Id="rId22" /><Relationship Type="http://schemas.openxmlformats.org/officeDocument/2006/relationships/hyperlink" Target="https://www.tradingview.com/symbols/AMAT/" TargetMode="External" Id="rId23" /><Relationship Type="http://schemas.openxmlformats.org/officeDocument/2006/relationships/hyperlink" Target="https://www.tradingview.com/symbols/LLY/" TargetMode="External" Id="rId24" /><Relationship Type="http://schemas.openxmlformats.org/officeDocument/2006/relationships/hyperlink" Target="https://www.tradingview.com/symbols/URI/" TargetMode="External" Id="rId25" /><Relationship Type="http://schemas.openxmlformats.org/officeDocument/2006/relationships/hyperlink" Target="https://www.tradingview.com/symbols/TRV/" TargetMode="External" Id="rId26" /><Relationship Type="http://schemas.openxmlformats.org/officeDocument/2006/relationships/hyperlink" Target="https://www.tradingview.com/symbols/UPS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LMT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COST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TJX/" TargetMode="External" Id="rId38" /><Relationship Type="http://schemas.openxmlformats.org/officeDocument/2006/relationships/hyperlink" Target="https://www.tradingview.com/symbols/JPM/" TargetMode="External" Id="rId39" /><Relationship Type="http://schemas.openxmlformats.org/officeDocument/2006/relationships/hyperlink" Target="https://www.tradingview.com/symbols/GS/" TargetMode="External" Id="rId40" /><Relationship Type="http://schemas.openxmlformats.org/officeDocument/2006/relationships/hyperlink" Target="https://www.tradingview.com/symbols/NOC/" TargetMode="External" Id="rId41" /><Relationship Type="http://schemas.openxmlformats.org/officeDocument/2006/relationships/hyperlink" Target="https://www.tradingview.com/symbols/CB/" TargetMode="External" Id="rId42" /><Relationship Type="http://schemas.openxmlformats.org/officeDocument/2006/relationships/hyperlink" Target="https://www.tradingview.com/symbols/NVDA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NKE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BKNG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PG/" TargetMode="External" Id="rId51" /><Relationship Type="http://schemas.openxmlformats.org/officeDocument/2006/relationships/hyperlink" Target="https://www.tradingview.com/symbols/FDX/" TargetMode="External" Id="rId52" /><Relationship Type="http://schemas.openxmlformats.org/officeDocument/2006/relationships/hyperlink" Target="https://www.tradingview.com/symbols/BAC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CI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NFLX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PSX/" TargetMode="External" Id="rId61" /><Relationship Type="http://schemas.openxmlformats.org/officeDocument/2006/relationships/hyperlink" Target="https://www.tradingview.com/symbols/MS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SCHW/" TargetMode="External" Id="rId64" /><Relationship Type="http://schemas.openxmlformats.org/officeDocument/2006/relationships/hyperlink" Target="https://www.tradingview.com/symbols/VLO/" TargetMode="External" Id="rId65" /><Relationship Type="http://schemas.openxmlformats.org/officeDocument/2006/relationships/hyperlink" Target="https://www.tradingview.com/symbols/PH/" TargetMode="External" Id="rId66" /><Relationship Type="http://schemas.openxmlformats.org/officeDocument/2006/relationships/hyperlink" Target="https://www.tradingview.com/symbols/BA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C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COP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INTU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REGN/" TargetMode="External" Id="rId75" /><Relationship Type="http://schemas.openxmlformats.org/officeDocument/2006/relationships/hyperlink" Target="https://www.tradingview.com/symbols/DE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JNJ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WMT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XOM/" TargetMode="External" Id="rId85" /><Relationship Type="http://schemas.openxmlformats.org/officeDocument/2006/relationships/hyperlink" Target="https://www.tradingview.com/symbols/KMB/" TargetMode="External" Id="rId86" /><Relationship Type="http://schemas.openxmlformats.org/officeDocument/2006/relationships/hyperlink" Target="https://www.tradingview.com/symbols/SYK/" TargetMode="External" Id="rId87" /><Relationship Type="http://schemas.openxmlformats.org/officeDocument/2006/relationships/hyperlink" Target="https://www.tradingview.com/symbols/SLB/" TargetMode="External" Id="rId88" /><Relationship Type="http://schemas.openxmlformats.org/officeDocument/2006/relationships/hyperlink" Target="https://www.tradingview.com/symbols/BLK/" TargetMode="External" Id="rId89" /><Relationship Type="http://schemas.openxmlformats.org/officeDocument/2006/relationships/hyperlink" Target="https://www.tradingview.com/symbols/NUE/" TargetMode="External" Id="rId90" /><Relationship Type="http://schemas.openxmlformats.org/officeDocument/2006/relationships/hyperlink" Target="https://www.tradingview.com/symbols/IBM/" TargetMode="External" Id="rId91" /><Relationship Type="http://schemas.openxmlformats.org/officeDocument/2006/relationships/hyperlink" Target="https://www.tradingview.com/symbols/TMO/" TargetMode="External" Id="rId92" /><Relationship Type="http://schemas.openxmlformats.org/officeDocument/2006/relationships/hyperlink" Target="https://www.tradingview.com/symbols/LIN/" TargetMode="External" Id="rId93" /><Relationship Type="http://schemas.openxmlformats.org/officeDocument/2006/relationships/hyperlink" Target="https://www.tradingview.com/symbols/ELV/" TargetMode="External" Id="rId94" /><Relationship Type="http://schemas.openxmlformats.org/officeDocument/2006/relationships/hyperlink" Target="https://www.tradingview.com/symbols/ORCL/" TargetMode="External" Id="rId95" /><Relationship Type="http://schemas.openxmlformats.org/officeDocument/2006/relationships/hyperlink" Target="https://www.tradingview.com/symbols/MU/" TargetMode="External" Id="rId96" /><Relationship Type="http://schemas.openxmlformats.org/officeDocument/2006/relationships/hyperlink" Target="https://www.tradingview.com/symbols/NOW/" TargetMode="External" Id="rId97" /><Relationship Type="http://schemas.openxmlformats.org/officeDocument/2006/relationships/hyperlink" Target="https://www.tradingview.com/symbols/UNH/" TargetMode="External" Id="rId98" /><Relationship Type="http://schemas.openxmlformats.org/officeDocument/2006/relationships/hyperlink" Target="https://www.tradingview.com/symbols/HD/" TargetMode="External" Id="rId99" /><Relationship Type="http://schemas.openxmlformats.org/officeDocument/2006/relationships/hyperlink" Target="https://www.tradingview.com/symbols/NEE/" TargetMode="External" Id="rId100" /><Relationship Type="http://schemas.openxmlformats.org/officeDocument/2006/relationships/hyperlink" Target="https://www.tradingview.com/symbols/EMR/" TargetMode="External" Id="rId101" /><Relationship Type="http://schemas.openxmlformats.org/officeDocument/2006/relationships/hyperlink" Target="https://www.tradingview.com/symbols/BRK.B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GD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MET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BSX/" TargetMode="External" Id="rId119" /><Relationship Type="http://schemas.openxmlformats.org/officeDocument/2006/relationships/hyperlink" Target="https://www.tradingview.com/symbols/RTX/" TargetMode="External" Id="rId120" /><Relationship Type="http://schemas.openxmlformats.org/officeDocument/2006/relationships/hyperlink" Target="https://www.tradingview.com/symbols/MDLZ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BMY/" TargetMode="External" Id="rId125" /><Relationship Type="http://schemas.openxmlformats.org/officeDocument/2006/relationships/hyperlink" Target="https://www.tradingview.com/symbols/AMZN/" TargetMode="External" Id="rId126" /><Relationship Type="http://schemas.openxmlformats.org/officeDocument/2006/relationships/hyperlink" Target="https://www.tradingview.com/symbols/D/" TargetMode="External" Id="rId127" /><Relationship Type="http://schemas.openxmlformats.org/officeDocument/2006/relationships/hyperlink" Target="https://www.tradingview.com/symbols/TSLA/" TargetMode="External" Id="rId128" /><Relationship Type="http://schemas.openxmlformats.org/officeDocument/2006/relationships/hyperlink" Target="https://www.tradingview.com/symbols/UBER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PLD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34.84</v>
      </c>
      <c r="G2" s="15" t="inlineStr">
        <is>
          <t>EUR</t>
        </is>
      </c>
      <c r="H2" s="14" t="n">
        <v>34.84</v>
      </c>
      <c r="I2" s="16" t="n">
        <v>4838.2</v>
      </c>
      <c r="J2" s="16" t="n">
        <v>4838.2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2.502334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60.25</v>
      </c>
      <c r="G3" s="15" t="inlineStr">
        <is>
          <t>EUR</t>
        </is>
      </c>
      <c r="H3" s="14" t="n">
        <v>60.25</v>
      </c>
      <c r="I3" s="16" t="n">
        <v>6873.5</v>
      </c>
      <c r="J3" s="16" t="n">
        <v>6873.5</v>
      </c>
      <c r="K3" s="14" t="n">
        <v>4.66</v>
      </c>
      <c r="L3" s="14" t="n">
        <v>3.82408</v>
      </c>
      <c r="M3" s="17">
        <f>IF(OR(F3="",K3="",K3&lt;=0),"",F3/K3)</f>
        <v/>
      </c>
      <c r="N3" s="18" t="n">
        <v>4.890025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22.89</v>
      </c>
      <c r="G4" s="15" t="inlineStr">
        <is>
          <t>EUR</t>
        </is>
      </c>
      <c r="H4" s="14" t="n">
        <v>22.89</v>
      </c>
      <c r="I4" s="16" t="n">
        <v>16922.9</v>
      </c>
      <c r="J4" s="16" t="n">
        <v>16922.9</v>
      </c>
      <c r="K4" s="14" t="n">
        <v>1.77</v>
      </c>
      <c r="L4" s="14" t="n">
        <v>1.58223</v>
      </c>
      <c r="M4" s="17">
        <f>IF(OR(F4="",K4="",K4&lt;=0),"",F4/K4)</f>
        <v/>
      </c>
      <c r="N4" s="18" t="n">
        <v>3.703284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2.065</v>
      </c>
      <c r="G5" s="15" t="inlineStr">
        <is>
          <t>EUR</t>
        </is>
      </c>
      <c r="H5" s="14" t="n">
        <v>2.065</v>
      </c>
      <c r="I5" s="16" t="n">
        <v>538.7</v>
      </c>
      <c r="J5" s="16" t="n">
        <v>538.7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1.8503584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Maire</t>
        </is>
      </c>
      <c r="C6" s="12" t="inlineStr">
        <is>
          <t>MAIRE.MI</t>
        </is>
      </c>
      <c r="D6" s="11" t="inlineStr">
        <is>
          <t>Impiantistica</t>
        </is>
      </c>
      <c r="E6" s="13" t="inlineStr">
        <is>
          <t>Industriale</t>
        </is>
      </c>
      <c r="F6" s="14" t="n">
        <v>12.33</v>
      </c>
      <c r="G6" s="15" t="inlineStr">
        <is>
          <t>EUR</t>
        </is>
      </c>
      <c r="H6" s="14" t="n">
        <v>12.33</v>
      </c>
      <c r="I6" s="16" t="n">
        <v>4027.9</v>
      </c>
      <c r="J6" s="16" t="n">
        <v>4027.9</v>
      </c>
      <c r="K6" s="14" t="n">
        <v>0.83</v>
      </c>
      <c r="L6" s="14" t="n">
        <v>1.01703</v>
      </c>
      <c r="M6" s="17">
        <f>IF(OR(F6="",K6="",K6&lt;=0),"",F6/K6)</f>
        <v/>
      </c>
      <c r="N6" s="18" t="n">
        <v>6.950394</v>
      </c>
      <c r="O6" s="19">
        <f>IF(OR(N6="",M6="",M6&lt;=0),"",N6/M6)</f>
        <v/>
      </c>
      <c r="P6" s="20" t="n">
        <v>0.48770002</v>
      </c>
      <c r="Q6" s="20" t="n">
        <v>0.2798475537626282</v>
      </c>
      <c r="R6" s="20" t="n">
        <v>0.07298807403400039</v>
      </c>
      <c r="S6" s="21" t="n">
        <v>4</v>
      </c>
      <c r="T6" s="20" t="n"/>
      <c r="U6" s="20" t="n">
        <v>0.3651153492743763</v>
      </c>
      <c r="V6" s="20" t="n">
        <v>0.3334743216615139</v>
      </c>
      <c r="W6" s="20" t="n">
        <v>0.2379389607111064</v>
      </c>
      <c r="X6" s="20" t="n">
        <v>0.182861583403516</v>
      </c>
      <c r="Y6" s="14" t="n">
        <v>0.59</v>
      </c>
      <c r="Z6" s="19">
        <f>IF(OR(Y6="",F6="",F6=0),"",Y6/F6)</f>
        <v/>
      </c>
      <c r="AA6" s="22" t="n">
        <v>235.473</v>
      </c>
      <c r="AB6" s="20" t="n">
        <v>0.095</v>
      </c>
      <c r="AC6" s="20" t="n">
        <v>0.03901697042341981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A2A</t>
        </is>
      </c>
      <c r="C7" s="12" t="inlineStr">
        <is>
          <t>A2A.MI</t>
        </is>
      </c>
      <c r="D7" s="11" t="inlineStr">
        <is>
          <t>Utility</t>
        </is>
      </c>
      <c r="E7" s="13" t="inlineStr">
        <is>
          <t>Utility</t>
        </is>
      </c>
      <c r="F7" s="14" t="n">
        <v>2.386</v>
      </c>
      <c r="G7" s="15" t="inlineStr">
        <is>
          <t>EUR</t>
        </is>
      </c>
      <c r="H7" s="14" t="n">
        <v>2.386</v>
      </c>
      <c r="I7" s="16" t="n">
        <v>7467.7</v>
      </c>
      <c r="J7" s="16" t="n">
        <v>7467.7</v>
      </c>
      <c r="K7" s="14" t="n">
        <v>0.22</v>
      </c>
      <c r="L7" s="14" t="n">
        <v>0.21117</v>
      </c>
      <c r="M7" s="17">
        <f>IF(OR(F7="",K7="",K7&lt;=0),"",F7/K7)</f>
        <v/>
      </c>
      <c r="N7" s="18" t="n">
        <v>1.4356197</v>
      </c>
      <c r="O7" s="19">
        <f>IF(OR(N7="",M7="",M7&lt;=0),"",N7/M7)</f>
        <v/>
      </c>
      <c r="P7" s="20" t="n">
        <v>0.11337</v>
      </c>
      <c r="Q7" s="20" t="n">
        <v>0.1352876506101037</v>
      </c>
      <c r="R7" s="20" t="n">
        <v>0.02216391989798138</v>
      </c>
      <c r="S7" s="21" t="n">
        <v>4</v>
      </c>
      <c r="T7" s="20" t="n"/>
      <c r="U7" s="20" t="n">
        <v>0.1267534223424032</v>
      </c>
      <c r="V7" s="20" t="n">
        <v>0.1561257679797615</v>
      </c>
      <c r="W7" s="20" t="n">
        <v>0.1554245283018868</v>
      </c>
      <c r="X7" s="20" t="n">
        <v>0.1028468838163632</v>
      </c>
      <c r="Y7" s="14" t="n">
        <v>0.1</v>
      </c>
      <c r="Z7" s="19">
        <f>IF(OR(Y7="",F7="",F7=0),"",Y7/F7)</f>
        <v/>
      </c>
      <c r="AA7" s="22" t="n">
        <v>113.764</v>
      </c>
      <c r="AB7" s="20" t="n">
        <v>0.314</v>
      </c>
      <c r="AC7" s="20" t="n">
        <v>0.05000363927505641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BPER Banca</t>
        </is>
      </c>
      <c r="C8" s="12" t="inlineStr">
        <is>
          <t>BPE.MI</t>
        </is>
      </c>
      <c r="D8" s="11" t="inlineStr">
        <is>
          <t>Banca</t>
        </is>
      </c>
      <c r="E8" s="13" t="inlineStr">
        <is>
          <t>Finanziario</t>
        </is>
      </c>
      <c r="F8" s="14" t="n">
        <v>13.446</v>
      </c>
      <c r="G8" s="15" t="inlineStr">
        <is>
          <t>EUR</t>
        </is>
      </c>
      <c r="H8" s="14" t="n">
        <v>13.446</v>
      </c>
      <c r="I8" s="16" t="n">
        <v>28076.2</v>
      </c>
      <c r="J8" s="16" t="n">
        <v>28076.2</v>
      </c>
      <c r="K8" s="14" t="n">
        <v>1.12</v>
      </c>
      <c r="L8" s="14" t="n">
        <v>1.30349</v>
      </c>
      <c r="M8" s="17">
        <f>IF(OR(F8="",K8="",K8&lt;=0),"",F8/K8)</f>
        <v/>
      </c>
      <c r="N8" s="18" t="n">
        <v>1.5569708</v>
      </c>
      <c r="O8" s="19">
        <f>IF(OR(N8="",M8="",M8&lt;=0),"",N8/M8)</f>
        <v/>
      </c>
      <c r="P8" s="20" t="n">
        <v>0.15279001</v>
      </c>
      <c r="Q8" s="20" t="n">
        <v>0.1445086984556243</v>
      </c>
      <c r="R8" s="20" t="n">
        <v>0.02916558394996791</v>
      </c>
      <c r="S8" s="21" t="n">
        <v>4</v>
      </c>
      <c r="T8" s="20" t="n"/>
      <c r="U8" s="20" t="n">
        <v>0.1097761581692051</v>
      </c>
      <c r="V8" s="20" t="n">
        <v>0.1235393192469138</v>
      </c>
      <c r="W8" s="20" t="n">
        <v>0.1622327383431547</v>
      </c>
      <c r="X8" s="20" t="n">
        <v>0.1824865780632235</v>
      </c>
      <c r="Y8" s="14" t="n">
        <v>0.66</v>
      </c>
      <c r="Z8" s="19">
        <f>IF(OR(Y8="",F8="",F8=0),"",Y8/F8)</f>
        <v/>
      </c>
      <c r="AA8" s="22" t="n"/>
      <c r="AB8" s="20" t="n">
        <v>0.54</v>
      </c>
      <c r="AC8" s="20" t="n">
        <v>0.3142613117453214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Unipol</t>
        </is>
      </c>
      <c r="C9" s="12" t="inlineStr">
        <is>
          <t>UNI.MI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25.68</v>
      </c>
      <c r="G9" s="15" t="inlineStr">
        <is>
          <t>EUR</t>
        </is>
      </c>
      <c r="H9" s="14" t="n">
        <v>25.68</v>
      </c>
      <c r="I9" s="16" t="n">
        <v>18940.9</v>
      </c>
      <c r="J9" s="16" t="n">
        <v>18940.9</v>
      </c>
      <c r="K9" s="14" t="n">
        <v>2.39</v>
      </c>
      <c r="L9" s="14" t="n">
        <v>2.26656</v>
      </c>
      <c r="M9" s="17">
        <f>IF(OR(F9="",K9="",K9&lt;=0),"",F9/K9)</f>
        <v/>
      </c>
      <c r="N9" s="18" t="n">
        <v>1.8337618</v>
      </c>
      <c r="O9" s="19">
        <f>IF(OR(N9="",M9="",M9&lt;=0),"",N9/M9)</f>
        <v/>
      </c>
      <c r="P9" s="20" t="n">
        <v>0.16938</v>
      </c>
      <c r="Q9" s="20" t="n">
        <v>0.1181376184447107</v>
      </c>
      <c r="R9" s="20" t="n">
        <v>0.02618848036787977</v>
      </c>
      <c r="S9" s="21" t="n">
        <v>4</v>
      </c>
      <c r="T9" s="20" t="n"/>
      <c r="U9" s="20" t="n">
        <v>0.1426234241170244</v>
      </c>
      <c r="V9" s="20" t="n">
        <v>0.1152236884454458</v>
      </c>
      <c r="W9" s="20" t="n">
        <v>0.1381950546002259</v>
      </c>
      <c r="X9" s="20" t="n">
        <v>0.0765083066161469</v>
      </c>
      <c r="Y9" s="14" t="n">
        <v>1.09</v>
      </c>
      <c r="Z9" s="19">
        <f>IF(OR(Y9="",F9="",F9=0),"",Y9/F9)</f>
        <v/>
      </c>
      <c r="AA9" s="22" t="n">
        <v>40.819</v>
      </c>
      <c r="AB9" s="20" t="n">
        <v>0.232</v>
      </c>
      <c r="AC9" s="20" t="n">
        <v>0.1254284255815649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Credito Emiliano</t>
        </is>
      </c>
      <c r="C10" s="12" t="inlineStr">
        <is>
          <t>CE.MI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20.16</v>
      </c>
      <c r="G10" s="15" t="inlineStr">
        <is>
          <t>EUR</t>
        </is>
      </c>
      <c r="H10" s="14" t="n">
        <v>20.16</v>
      </c>
      <c r="I10" s="16" t="n">
        <v>6856.1</v>
      </c>
      <c r="J10" s="16" t="n">
        <v>6856.1</v>
      </c>
      <c r="K10" s="14" t="n">
        <v>1.66</v>
      </c>
      <c r="L10" s="14" t="n">
        <v>1.70855</v>
      </c>
      <c r="M10" s="17">
        <f>IF(OR(F10="",K10="",K10&lt;=0),"",F10/K10)</f>
        <v/>
      </c>
      <c r="N10" s="18" t="n">
        <v>1.451613</v>
      </c>
      <c r="O10" s="19">
        <f>IF(OR(N10="",M10="",M10&lt;=0),"",N10/M10)</f>
        <v/>
      </c>
      <c r="P10" s="20" t="n">
        <v>0.12286</v>
      </c>
      <c r="Q10" s="20" t="n">
        <v>0.1300062824285416</v>
      </c>
      <c r="R10" s="20" t="n">
        <v>0.01959756211205863</v>
      </c>
      <c r="S10" s="21" t="n">
        <v>4</v>
      </c>
      <c r="T10" s="20" t="n"/>
      <c r="U10" s="20" t="n">
        <v>0.1332810045412384</v>
      </c>
      <c r="V10" s="20" t="n">
        <v>0.1444498517998922</v>
      </c>
      <c r="W10" s="20" t="n">
        <v>0.1452297895230177</v>
      </c>
      <c r="X10" s="20" t="n">
        <v>0.09706448385001806</v>
      </c>
      <c r="Y10" s="14" t="n">
        <v>0.75</v>
      </c>
      <c r="Z10" s="19">
        <f>IF(OR(Y10="",F10="",F10=0),"",Y10/F10)</f>
        <v/>
      </c>
      <c r="AA10" s="22" t="n"/>
      <c r="AB10" s="20" t="n">
        <v>0.165</v>
      </c>
      <c r="AC10" s="20" t="n">
        <v>0.2710626925445219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3.546</v>
      </c>
      <c r="G11" s="15" t="inlineStr">
        <is>
          <t>EUR</t>
        </is>
      </c>
      <c r="H11" s="14" t="n">
        <v>3.546</v>
      </c>
      <c r="I11" s="16" t="n">
        <v>5242.3</v>
      </c>
      <c r="J11" s="16" t="n">
        <v>5242.3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1.2838522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>
        <v>0.16</v>
      </c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Italgas</t>
        </is>
      </c>
      <c r="C12" s="12" t="inlineStr">
        <is>
          <t>IG.MI</t>
        </is>
      </c>
      <c r="D12" s="11" t="inlineStr">
        <is>
          <t>Utility / Reti</t>
        </is>
      </c>
      <c r="E12" s="13" t="inlineStr">
        <is>
          <t>Utility</t>
        </is>
      </c>
      <c r="F12" s="14" t="n">
        <v>8.6</v>
      </c>
      <c r="G12" s="15" t="inlineStr">
        <is>
          <t>EUR</t>
        </is>
      </c>
      <c r="H12" s="14" t="n">
        <v>8.6</v>
      </c>
      <c r="I12" s="16" t="n">
        <v>8756.299999999999</v>
      </c>
      <c r="J12" s="16" t="n">
        <v>8756.299999999999</v>
      </c>
      <c r="K12" s="14" t="n">
        <v>0.68</v>
      </c>
      <c r="L12" s="14" t="n">
        <v>0.79922</v>
      </c>
      <c r="M12" s="17">
        <f>IF(OR(F12="",K12="",K12&lt;=0),"",F12/K12)</f>
        <v/>
      </c>
      <c r="N12" s="18" t="n">
        <v>2.3186843</v>
      </c>
      <c r="O12" s="19">
        <f>IF(OR(N12="",M12="",M12&lt;=0),"",N12/M12)</f>
        <v/>
      </c>
      <c r="P12" s="20" t="n">
        <v>0.19063</v>
      </c>
      <c r="Q12" s="20" t="n">
        <v>0.19063</v>
      </c>
      <c r="R12" s="20" t="n"/>
      <c r="S12" s="21" t="n">
        <v>0</v>
      </c>
      <c r="T12" s="20" t="n"/>
      <c r="U12" s="20" t="n">
        <v>0.1760500959304389</v>
      </c>
      <c r="V12" s="20" t="n">
        <v>0.194821061899161</v>
      </c>
      <c r="W12" s="20" t="n">
        <v>0.1927868944489472</v>
      </c>
      <c r="X12" s="20" t="n">
        <v>0.1931866153257992</v>
      </c>
      <c r="Y12" s="14" t="n">
        <v>0.43</v>
      </c>
      <c r="Z12" s="19">
        <f>IF(OR(Y12="",F12="",F12=0),"",Y12/F12)</f>
        <v/>
      </c>
      <c r="AA12" s="22" t="n">
        <v>294.061</v>
      </c>
      <c r="AB12" s="20" t="n">
        <v>0.306</v>
      </c>
      <c r="AC12" s="20" t="n">
        <v>0.2063045888567778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0.805</v>
      </c>
      <c r="G13" s="15" t="inlineStr">
        <is>
          <t>EUR</t>
        </is>
      </c>
      <c r="H13" s="14" t="n">
        <v>0.805</v>
      </c>
      <c r="I13" s="16" t="n">
        <v>416.5</v>
      </c>
      <c r="J13" s="16" t="n">
        <v>416.5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0.9055118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Poste Italiane</t>
        </is>
      </c>
      <c r="C14" s="12" t="inlineStr">
        <is>
          <t>PST.MI</t>
        </is>
      </c>
      <c r="D14" s="11" t="inlineStr">
        <is>
          <t>Servizi finanziari</t>
        </is>
      </c>
      <c r="E14" s="13" t="inlineStr">
        <is>
          <t>Finanziario</t>
        </is>
      </c>
      <c r="F14" s="14" t="n">
        <v>24.34</v>
      </c>
      <c r="G14" s="15" t="inlineStr">
        <is>
          <t>EUR</t>
        </is>
      </c>
      <c r="H14" s="14" t="n">
        <v>24.34</v>
      </c>
      <c r="I14" s="16" t="n">
        <v>38879.6</v>
      </c>
      <c r="J14" s="16" t="n">
        <v>38879.6</v>
      </c>
      <c r="K14" s="14" t="n">
        <v>1.85</v>
      </c>
      <c r="L14" s="14" t="n">
        <v>1.98996</v>
      </c>
      <c r="M14" s="17">
        <f>IF(OR(F14="",K14="",K14&lt;=0),"",F14/K14)</f>
        <v/>
      </c>
      <c r="N14" s="18" t="n">
        <v>2.4543715</v>
      </c>
      <c r="O14" s="19">
        <f>IF(OR(N14="",M14="",M14&lt;=0),"",N14/M14)</f>
        <v/>
      </c>
      <c r="P14" s="20" t="n">
        <v>0.18174</v>
      </c>
      <c r="Q14" s="20" t="n">
        <v>0.1799413465174911</v>
      </c>
      <c r="R14" s="20" t="n">
        <v>0.01549228779776163</v>
      </c>
      <c r="S14" s="21" t="n">
        <v>4</v>
      </c>
      <c r="T14" s="20" t="n"/>
      <c r="U14" s="20" t="n">
        <v>0.1599826577064817</v>
      </c>
      <c r="V14" s="20" t="n">
        <v>0.1721488388155055</v>
      </c>
      <c r="W14" s="20" t="n">
        <v>0.1862042239875993</v>
      </c>
      <c r="X14" s="20" t="n">
        <v>0.2014296655603778</v>
      </c>
      <c r="Y14" s="14" t="n">
        <v>1.25</v>
      </c>
      <c r="Z14" s="19">
        <f>IF(OR(Y14="",F14="",F14=0),"",Y14/F14)</f>
        <v/>
      </c>
      <c r="AA14" s="22" t="n">
        <v>631.496</v>
      </c>
      <c r="AB14" s="20" t="n">
        <v>0.034</v>
      </c>
      <c r="AC14" s="20" t="n">
        <v>0.1031947370684095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FinecoBank</t>
        </is>
      </c>
      <c r="C15" s="12" t="inlineStr">
        <is>
          <t>FBK.MI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21.28</v>
      </c>
      <c r="G15" s="15" t="inlineStr">
        <is>
          <t>EUR</t>
        </is>
      </c>
      <c r="H15" s="14" t="n">
        <v>21.28</v>
      </c>
      <c r="I15" s="16" t="n">
        <v>13019.5</v>
      </c>
      <c r="J15" s="16" t="n">
        <v>13019.5</v>
      </c>
      <c r="K15" s="14" t="n">
        <v>1.1</v>
      </c>
      <c r="L15" s="14" t="n">
        <v>1.28961</v>
      </c>
      <c r="M15" s="17">
        <f>IF(OR(F15="",K15="",K15&lt;=0),"",F15/K15)</f>
        <v/>
      </c>
      <c r="N15" s="18" t="n">
        <v>5.4327292</v>
      </c>
      <c r="O15" s="19">
        <f>IF(OR(N15="",M15="",M15&lt;=0),"",N15/M15)</f>
        <v/>
      </c>
      <c r="P15" s="20" t="n">
        <v>0.28855</v>
      </c>
      <c r="Q15" s="20" t="n">
        <v>0.2570624236556285</v>
      </c>
      <c r="R15" s="20" t="n">
        <v>0.02097502353736271</v>
      </c>
      <c r="S15" s="21" t="n">
        <v>4</v>
      </c>
      <c r="T15" s="20" t="n"/>
      <c r="U15" s="20" t="n">
        <v>0.2534112396233302</v>
      </c>
      <c r="V15" s="20" t="n">
        <v>0.2730011819301958</v>
      </c>
      <c r="W15" s="20" t="n">
        <v>0.2775357273693247</v>
      </c>
      <c r="X15" s="20" t="n">
        <v>0.2243015456996635</v>
      </c>
      <c r="Y15" s="14" t="n">
        <v>0.79</v>
      </c>
      <c r="Z15" s="19">
        <f>IF(OR(Y15="",F15="",F15=0),"",Y15/F15)</f>
        <v/>
      </c>
      <c r="AA15" s="22" t="n"/>
      <c r="AB15" s="20" t="n">
        <v>0.18</v>
      </c>
      <c r="AC15" s="20" t="n">
        <v>0.4311898534625156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Acea</t>
        </is>
      </c>
      <c r="C16" s="12" t="inlineStr">
        <is>
          <t>ACE.MI</t>
        </is>
      </c>
      <c r="D16" s="11" t="inlineStr">
        <is>
          <t>Utility</t>
        </is>
      </c>
      <c r="E16" s="13" t="inlineStr">
        <is>
          <t>Utility</t>
        </is>
      </c>
      <c r="F16" s="14" t="n">
        <v>19.9</v>
      </c>
      <c r="G16" s="15" t="inlineStr">
        <is>
          <t>EUR</t>
        </is>
      </c>
      <c r="H16" s="14" t="n">
        <v>19.9</v>
      </c>
      <c r="I16" s="16" t="n">
        <v>4229.7</v>
      </c>
      <c r="J16" s="16" t="n">
        <v>4229.7</v>
      </c>
      <c r="K16" s="14" t="n">
        <v>1.7</v>
      </c>
      <c r="L16" s="14" t="n">
        <v>1.58975</v>
      </c>
      <c r="M16" s="17">
        <f>IF(OR(F16="",K16="",K16&lt;=0),"",F16/K16)</f>
        <v/>
      </c>
      <c r="N16" s="18" t="n">
        <v>1.4194008</v>
      </c>
      <c r="O16" s="19">
        <f>IF(OR(N16="",M16="",M16&lt;=0),"",N16/M16)</f>
        <v/>
      </c>
      <c r="P16" s="20" t="n">
        <v>0.124309994</v>
      </c>
      <c r="Q16" s="20" t="n">
        <v>0.1377274020186562</v>
      </c>
      <c r="R16" s="20" t="n">
        <v>0.02063562538189108</v>
      </c>
      <c r="S16" s="21" t="n">
        <v>4</v>
      </c>
      <c r="T16" s="20" t="n"/>
      <c r="U16" s="20" t="n">
        <v>0.172816869044327</v>
      </c>
      <c r="V16" s="20" t="n">
        <v>0.1323776847677043</v>
      </c>
      <c r="W16" s="20" t="n">
        <v>0.1236319980683815</v>
      </c>
      <c r="X16" s="20" t="n">
        <v>0.1220830561942121</v>
      </c>
      <c r="Y16" s="14" t="n">
        <v>0.95</v>
      </c>
      <c r="Z16" s="19">
        <f>IF(OR(Y16="",F16="",F16=0),"",Y16/F16)</f>
        <v/>
      </c>
      <c r="AA16" s="22" t="n">
        <v>169.549</v>
      </c>
      <c r="AB16" s="20" t="n">
        <v>0.063</v>
      </c>
      <c r="AC16" s="20" t="n">
        <v>0.1313480180950612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356.35</v>
      </c>
      <c r="G17" s="15" t="inlineStr">
        <is>
          <t>EUR</t>
        </is>
      </c>
      <c r="H17" s="14" t="n">
        <v>356.35</v>
      </c>
      <c r="I17" s="16" t="n">
        <v>62503.8</v>
      </c>
      <c r="J17" s="16" t="n">
        <v>62503.8</v>
      </c>
      <c r="K17" s="14" t="n">
        <v>9.23</v>
      </c>
      <c r="L17" s="14" t="n">
        <v>11.05319</v>
      </c>
      <c r="M17" s="17">
        <f>IF(OR(F17="",K17="",K17&lt;=0),"",F17/K17)</f>
        <v/>
      </c>
      <c r="N17" s="18" t="n">
        <v>17.135508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38.07</v>
      </c>
      <c r="G18" s="15" t="inlineStr">
        <is>
          <t>EUR</t>
        </is>
      </c>
      <c r="H18" s="14" t="n">
        <v>38.07</v>
      </c>
      <c r="I18" s="16" t="n">
        <v>6703.8</v>
      </c>
      <c r="J18" s="16" t="n">
        <v>6703.8</v>
      </c>
      <c r="K18" s="14" t="n">
        <v>4.76</v>
      </c>
      <c r="L18" s="14" t="n">
        <v>4.83569</v>
      </c>
      <c r="M18" s="17">
        <f>IF(OR(F18="",K18="",K18&lt;=0),"",F18/K18)</f>
        <v/>
      </c>
      <c r="N18" s="18" t="n">
        <v>0.9229091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76.19</v>
      </c>
      <c r="G19" s="15" t="inlineStr">
        <is>
          <t>EUR</t>
        </is>
      </c>
      <c r="H19" s="14" t="n">
        <v>76.19</v>
      </c>
      <c r="I19" s="16" t="n">
        <v>114890.9</v>
      </c>
      <c r="J19" s="16" t="n">
        <v>114890.9</v>
      </c>
      <c r="K19" s="14" t="n">
        <v>6.97</v>
      </c>
      <c r="L19" s="14" t="n">
        <v>8.40325</v>
      </c>
      <c r="M19" s="17">
        <f>IF(OR(F19="",K19="",K19&lt;=0),"",F19/K19)</f>
        <v/>
      </c>
      <c r="N19" s="18" t="n">
        <v>1.6210294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6.148</v>
      </c>
      <c r="G20" s="15" t="inlineStr">
        <is>
          <t>EUR</t>
        </is>
      </c>
      <c r="H20" s="14" t="n">
        <v>6.148</v>
      </c>
      <c r="I20" s="16" t="n">
        <v>106311.8</v>
      </c>
      <c r="J20" s="16" t="n">
        <v>106311.8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1.5723784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2.144</v>
      </c>
      <c r="G21" s="15" t="inlineStr">
        <is>
          <t>EUR</t>
        </is>
      </c>
      <c r="H21" s="14" t="n">
        <v>2.144</v>
      </c>
      <c r="I21" s="16" t="n">
        <v>1502.7</v>
      </c>
      <c r="J21" s="16" t="n">
        <v>1502.7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0.43060857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2.41</v>
      </c>
      <c r="G22" s="15" t="inlineStr">
        <is>
          <t>EUR</t>
        </is>
      </c>
      <c r="H22" s="14" t="n">
        <v>2.41</v>
      </c>
      <c r="I22" s="16" t="n">
        <v>3092.2</v>
      </c>
      <c r="J22" s="16" t="n">
        <v>3092.2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1.048738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2026-10-16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10.26</v>
      </c>
      <c r="G23" s="15" t="inlineStr">
        <is>
          <t>EUR</t>
        </is>
      </c>
      <c r="H23" s="14" t="n">
        <v>10.26</v>
      </c>
      <c r="I23" s="16" t="n">
        <v>626.7</v>
      </c>
      <c r="J23" s="16" t="n">
        <v>626.7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0.30571198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2026-10-16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11.188</v>
      </c>
      <c r="G24" s="15" t="inlineStr">
        <is>
          <t>EUR</t>
        </is>
      </c>
      <c r="H24" s="14" t="n">
        <v>11.188</v>
      </c>
      <c r="I24" s="16" t="n">
        <v>33993.8</v>
      </c>
      <c r="J24" s="16" t="n">
        <v>33993.8</v>
      </c>
      <c r="K24" s="14" t="n">
        <v>1.19</v>
      </c>
      <c r="L24" s="14" t="n">
        <v>0.8913</v>
      </c>
      <c r="M24" s="17">
        <f>IF(OR(F24="",K24="",K24&lt;=0),"",F24/K24)</f>
        <v/>
      </c>
      <c r="N24" s="18" t="n">
        <v>1.2874569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2026-10-16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87.28</v>
      </c>
      <c r="G25" s="15" t="inlineStr">
        <is>
          <t>EUR</t>
        </is>
      </c>
      <c r="H25" s="14" t="n">
        <v>87.28</v>
      </c>
      <c r="I25" s="16" t="n">
        <v>5935</v>
      </c>
      <c r="J25" s="16" t="n">
        <v>5935</v>
      </c>
      <c r="K25" s="14" t="n">
        <v>2.02</v>
      </c>
      <c r="L25" s="14" t="n">
        <v>2.62383</v>
      </c>
      <c r="M25" s="17">
        <f>IF(OR(F25="",K25="",K25&lt;=0),"",F25/K25)</f>
        <v/>
      </c>
      <c r="N25" s="18" t="n">
        <v>10.831472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2026-10-16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13.8</v>
      </c>
      <c r="G26" s="15" t="inlineStr">
        <is>
          <t>EUR</t>
        </is>
      </c>
      <c r="H26" s="14" t="n">
        <v>13.8</v>
      </c>
      <c r="I26" s="16" t="n">
        <v>20774.6</v>
      </c>
      <c r="J26" s="16" t="n">
        <v>20774.6</v>
      </c>
      <c r="K26" s="14" t="n">
        <v>1.27</v>
      </c>
      <c r="L26" s="14" t="n">
        <v>1.42436</v>
      </c>
      <c r="M26" s="17">
        <f>IF(OR(F26="",K26="",K26&lt;=0),"",F26/K26)</f>
        <v/>
      </c>
      <c r="N26" s="18" t="n">
        <v>1.3301204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2026-10-16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52.95</v>
      </c>
      <c r="G27" s="15" t="inlineStr">
        <is>
          <t>EUR</t>
        </is>
      </c>
      <c r="H27" s="14" t="n">
        <v>52.95</v>
      </c>
      <c r="I27" s="16" t="n">
        <v>11013.6</v>
      </c>
      <c r="J27" s="16" t="n">
        <v>11013.6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5.089878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2026-10-16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10.57</v>
      </c>
      <c r="G28" s="15" t="inlineStr">
        <is>
          <t>EUR</t>
        </is>
      </c>
      <c r="H28" s="14" t="n">
        <v>10.57</v>
      </c>
      <c r="I28" s="16" t="n">
        <v>3362.5</v>
      </c>
      <c r="J28" s="16" t="n">
        <v>3362.5</v>
      </c>
      <c r="K28" s="14" t="n">
        <v>0.72</v>
      </c>
      <c r="L28" s="14" t="n">
        <v>0.8532</v>
      </c>
      <c r="M28" s="17">
        <f>IF(OR(F28="",K28="",K28&lt;=0),"",F28/K28)</f>
        <v/>
      </c>
      <c r="N28" s="18" t="n">
        <v>1.4351664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2026-10-16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Banca Profilo</t>
        </is>
      </c>
      <c r="C29" s="12" t="inlineStr">
        <is>
          <t>PRO.MI</t>
        </is>
      </c>
      <c r="D29" s="11" t="inlineStr">
        <is>
          <t>Banca</t>
        </is>
      </c>
      <c r="E29" s="13" t="inlineStr">
        <is>
          <t>Finanziario</t>
        </is>
      </c>
      <c r="F29" s="14" t="n">
        <v>1.512</v>
      </c>
      <c r="G29" s="15" t="inlineStr">
        <is>
          <t>EUR</t>
        </is>
      </c>
      <c r="H29" s="14" t="n">
        <v>1.512</v>
      </c>
      <c r="I29" s="16" t="n">
        <v>99.90000000000001</v>
      </c>
      <c r="J29" s="16" t="n">
        <v>99.90000000000001</v>
      </c>
      <c r="K29" s="14" t="n">
        <v>0.13</v>
      </c>
      <c r="L29" s="14" t="n">
        <v>0.158</v>
      </c>
      <c r="M29" s="17">
        <f>IF(OR(F29="",K29="",K29&lt;=0),"",F29/K29)</f>
        <v/>
      </c>
      <c r="N29" s="18" t="n">
        <v>0.61891115</v>
      </c>
      <c r="O29" s="19">
        <f>IF(OR(N29="",M29="",M29&lt;=0),"",N29/M29)</f>
        <v/>
      </c>
      <c r="P29" s="20" t="n">
        <v>0.05441</v>
      </c>
      <c r="Q29" s="20" t="n">
        <v>0.06503077574268615</v>
      </c>
      <c r="R29" s="20" t="n">
        <v>0.006357036968247848</v>
      </c>
      <c r="S29" s="21" t="n">
        <v>4</v>
      </c>
      <c r="T29" s="20" t="n"/>
      <c r="U29" s="20" t="n">
        <v>0.060088543950598</v>
      </c>
      <c r="V29" s="20" t="n">
        <v>0.05765696403735347</v>
      </c>
      <c r="W29" s="20" t="n">
        <v>0.07306048899843912</v>
      </c>
      <c r="X29" s="20" t="n">
        <v>0.06931710598435398</v>
      </c>
      <c r="Y29" s="14" t="n">
        <v>0.07000000000000001</v>
      </c>
      <c r="Z29" s="19">
        <f>IF(OR(Y29="",F29="",F29=0),"",Y29/F29)</f>
        <v/>
      </c>
      <c r="AA29" s="22" t="n"/>
      <c r="AB29" s="20" t="n">
        <v>-0.28</v>
      </c>
      <c r="AC29" s="20" t="n">
        <v>0.127950402243708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2026-10-16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43.25</v>
      </c>
      <c r="G30" s="15" t="inlineStr">
        <is>
          <t>EUR</t>
        </is>
      </c>
      <c r="H30" s="14" t="n">
        <v>43.25</v>
      </c>
      <c r="I30" s="16" t="n">
        <v>11763.6</v>
      </c>
      <c r="J30" s="16" t="n">
        <v>11763.6</v>
      </c>
      <c r="K30" s="14" t="n">
        <v>2.35</v>
      </c>
      <c r="L30" s="14" t="n">
        <v>2.54713</v>
      </c>
      <c r="M30" s="17">
        <f>IF(OR(F30="",K30="",K30&lt;=0),"",F30/K30)</f>
        <v/>
      </c>
      <c r="N30" s="18" t="n">
        <v>3.224003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2026-10-16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Terna</t>
        </is>
      </c>
      <c r="C31" s="12" t="inlineStr">
        <is>
          <t>TRN.MI</t>
        </is>
      </c>
      <c r="D31" s="11" t="inlineStr">
        <is>
          <t>Utility / Reti</t>
        </is>
      </c>
      <c r="E31" s="13" t="inlineStr">
        <is>
          <t>Utility</t>
        </is>
      </c>
      <c r="F31" s="14" t="n">
        <v>9.374000000000001</v>
      </c>
      <c r="G31" s="15" t="inlineStr">
        <is>
          <t>EUR</t>
        </is>
      </c>
      <c r="H31" s="14" t="n">
        <v>9.374000000000001</v>
      </c>
      <c r="I31" s="16" t="n">
        <v>18800.2</v>
      </c>
      <c r="J31" s="16" t="n">
        <v>18800.2</v>
      </c>
      <c r="K31" s="14" t="n">
        <v>0.51</v>
      </c>
      <c r="L31" s="14" t="n">
        <v>0.55945</v>
      </c>
      <c r="M31" s="17">
        <f>IF(OR(F31="",K31="",K31&lt;=0),"",F31/K31)</f>
        <v/>
      </c>
      <c r="N31" s="18" t="n">
        <v>3.162618</v>
      </c>
      <c r="O31" s="19">
        <f>IF(OR(N31="",M31="",M31&lt;=0),"",N31/M31)</f>
        <v/>
      </c>
      <c r="P31" s="20" t="n">
        <v>0.13828</v>
      </c>
      <c r="Q31" s="20" t="n">
        <v>0.1473166531875201</v>
      </c>
      <c r="R31" s="20" t="n">
        <v>0.01230561727656675</v>
      </c>
      <c r="S31" s="21" t="n">
        <v>4</v>
      </c>
      <c r="T31" s="20" t="n"/>
      <c r="U31" s="20" t="n"/>
      <c r="V31" s="20" t="n">
        <v>0.1411312830599931</v>
      </c>
      <c r="W31" s="20" t="n">
        <v>0.1399974701157422</v>
      </c>
      <c r="X31" s="20" t="n">
        <v>0.1395310973624227</v>
      </c>
      <c r="Y31" s="14" t="n">
        <v>0.4</v>
      </c>
      <c r="Z31" s="19">
        <f>IF(OR(Y31="",F31="",F31=0),"",Y31/F31)</f>
        <v/>
      </c>
      <c r="AA31" s="22" t="n">
        <v>172.37</v>
      </c>
      <c r="AB31" s="20" t="n">
        <v>0.123</v>
      </c>
      <c r="AC31" s="20" t="n">
        <v>0.291854893908282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2026-10-16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Assicurazioni Generali</t>
        </is>
      </c>
      <c r="C32" s="12" t="inlineStr">
        <is>
          <t>G.MI</t>
        </is>
      </c>
      <c r="D32" s="11" t="inlineStr">
        <is>
          <t>Assicurazione</t>
        </is>
      </c>
      <c r="E32" s="13" t="inlineStr">
        <is>
          <t>Finanziario</t>
        </is>
      </c>
      <c r="F32" s="14" t="n">
        <v>42.93</v>
      </c>
      <c r="G32" s="15" t="inlineStr">
        <is>
          <t>EUR</t>
        </is>
      </c>
      <c r="H32" s="14" t="n">
        <v>42.93</v>
      </c>
      <c r="I32" s="16" t="n">
        <v>64489.8</v>
      </c>
      <c r="J32" s="16" t="n">
        <v>64489.8</v>
      </c>
      <c r="K32" s="14" t="n">
        <v>2.95</v>
      </c>
      <c r="L32" s="14" t="n">
        <v>3.40268</v>
      </c>
      <c r="M32" s="17">
        <f>IF(OR(F32="",K32="",K32&lt;=0),"",F32/K32)</f>
        <v/>
      </c>
      <c r="N32" s="18" t="n">
        <v>2.0220432</v>
      </c>
      <c r="O32" s="19">
        <f>IF(OR(N32="",M32="",M32&lt;=0),"",N32/M32)</f>
        <v/>
      </c>
      <c r="P32" s="20" t="n">
        <v>0.1514</v>
      </c>
      <c r="Q32" s="20" t="n">
        <v>0.1514</v>
      </c>
      <c r="R32" s="20" t="n"/>
      <c r="S32" s="21" t="n">
        <v>0</v>
      </c>
      <c r="T32" s="20" t="n"/>
      <c r="U32" s="20" t="n">
        <v>0.1301147704590818</v>
      </c>
      <c r="V32" s="20" t="n">
        <v>0.1225443417025898</v>
      </c>
      <c r="W32" s="20" t="n">
        <v>0.1293451620697988</v>
      </c>
      <c r="X32" s="20" t="n">
        <v>0.08386491557223265</v>
      </c>
      <c r="Y32" s="14" t="n">
        <v>1.64</v>
      </c>
      <c r="Z32" s="19">
        <f>IF(OR(Y32="",F32="",F32=0),"",Y32/F32)</f>
        <v/>
      </c>
      <c r="AA32" s="22" t="n">
        <v>118.93</v>
      </c>
      <c r="AB32" s="20" t="n">
        <v>0.054</v>
      </c>
      <c r="AC32" s="20" t="n">
        <v>0.06105243451634225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2026-10-16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6.74</v>
      </c>
      <c r="G33" s="15" t="inlineStr">
        <is>
          <t>EUR</t>
        </is>
      </c>
      <c r="H33" s="14" t="n">
        <v>6.74</v>
      </c>
      <c r="I33" s="16" t="n">
        <v>7312.1</v>
      </c>
      <c r="J33" s="16" t="n">
        <v>7312.1</v>
      </c>
      <c r="K33" s="14" t="n">
        <v>0.5</v>
      </c>
      <c r="L33" s="14" t="n">
        <v>0.5735</v>
      </c>
      <c r="M33" s="17">
        <f>IF(OR(F33="",K33="",K33&lt;=0),"",F33/K33)</f>
        <v/>
      </c>
      <c r="N33" s="18" t="n">
        <v>1.1431478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2026-10-16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25.65</v>
      </c>
      <c r="G34" s="15" t="inlineStr">
        <is>
          <t>EUR</t>
        </is>
      </c>
      <c r="H34" s="14" t="n">
        <v>25.65</v>
      </c>
      <c r="I34" s="16" t="n">
        <v>20687.6</v>
      </c>
      <c r="J34" s="16" t="n">
        <v>20687.6</v>
      </c>
      <c r="K34" s="14" t="n">
        <v>1.51</v>
      </c>
      <c r="L34" s="14" t="n">
        <v>1.85884</v>
      </c>
      <c r="M34" s="17">
        <f>IF(OR(F34="",K34="",K34&lt;=0),"",F34/K34)</f>
        <v/>
      </c>
      <c r="N34" s="18" t="n">
        <v>1.7868339</v>
      </c>
      <c r="O34" s="19">
        <f>IF(OR(N34="",M34="",M34&lt;=0),"",N34/M34)</f>
        <v/>
      </c>
      <c r="P34" s="20" t="n">
        <v>0.0919960661733171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2026-10-16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1.908</v>
      </c>
      <c r="G35" s="15" t="inlineStr">
        <is>
          <t>EUR</t>
        </is>
      </c>
      <c r="H35" s="14" t="n">
        <v>1.908</v>
      </c>
      <c r="I35" s="16" t="n">
        <v>1886.7</v>
      </c>
      <c r="J35" s="16" t="n">
        <v>1886.7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1.0743243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2026-10-16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MFE-MediaForEurope B</t>
        </is>
      </c>
      <c r="C36" s="12" t="inlineStr">
        <is>
          <t>MFEB.MI</t>
        </is>
      </c>
      <c r="D36" s="11" t="inlineStr">
        <is>
          <t>Media / TV</t>
        </is>
      </c>
      <c r="E36" s="13" t="inlineStr">
        <is>
          <t>Industriale</t>
        </is>
      </c>
      <c r="F36" s="14" t="n">
        <v>2.914</v>
      </c>
      <c r="G36" s="15" t="inlineStr">
        <is>
          <t>EUR</t>
        </is>
      </c>
      <c r="H36" s="14" t="n">
        <v>2.914</v>
      </c>
      <c r="I36" s="16" t="n">
        <v>2038.7</v>
      </c>
      <c r="J36" s="16" t="n">
        <v>2038.7</v>
      </c>
      <c r="K36" s="14" t="n">
        <v>0.19</v>
      </c>
      <c r="L36" s="14" t="n">
        <v>0.5222</v>
      </c>
      <c r="M36" s="17">
        <f>IF(OR(F36="",K36="",K36&lt;=0),"",F36/K36)</f>
        <v/>
      </c>
      <c r="N36" s="18" t="n">
        <v>0.58525807</v>
      </c>
      <c r="O36" s="19">
        <f>IF(OR(N36="",M36="",M36&lt;=0),"",N36/M36)</f>
        <v/>
      </c>
      <c r="P36" s="20" t="n">
        <v>0.055760004</v>
      </c>
      <c r="Q36" s="20" t="n">
        <v>0.07215163334997049</v>
      </c>
      <c r="R36" s="20" t="n">
        <v>0.01470500804818441</v>
      </c>
      <c r="S36" s="21" t="n">
        <v>4</v>
      </c>
      <c r="T36" s="20" t="n"/>
      <c r="U36" s="20" t="n">
        <v>0.08632122864934692</v>
      </c>
      <c r="V36" s="20" t="n">
        <v>0.04807055460661624</v>
      </c>
      <c r="W36" s="20" t="n">
        <v>0.07291485134711234</v>
      </c>
      <c r="X36" s="20" t="n">
        <v>0.08129989879680648</v>
      </c>
      <c r="Y36" s="14" t="n">
        <v>0.22</v>
      </c>
      <c r="Z36" s="19">
        <f>IF(OR(Y36="",F36="",F36=0),"",Y36/F36)</f>
        <v/>
      </c>
      <c r="AA36" s="22" t="n">
        <v>88.622</v>
      </c>
      <c r="AB36" s="20" t="n">
        <v>0.945</v>
      </c>
      <c r="AC36" s="20" t="n">
        <v>0.0410969196093163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2026-10-16</t>
        </is>
      </c>
      <c r="AI36" s="11" t="inlineStr">
        <is>
          <t>yahoo</t>
        </is>
      </c>
      <c r="AJ36" s="23" t="inlineStr">
        <is>
          <t>Stessa societa' di MFEA, voto multiplo</t>
        </is>
      </c>
    </row>
    <row r="37">
      <c r="A37" s="10">
        <f>IF(AD37="","",RANK(AD37,AD$2:AD$67))</f>
        <v/>
      </c>
      <c r="B37" s="11" t="inlineStr">
        <is>
          <t>Tenaris</t>
        </is>
      </c>
      <c r="C37" s="12" t="inlineStr">
        <is>
          <t>TEN.MI</t>
        </is>
      </c>
      <c r="D37" s="11" t="inlineStr">
        <is>
          <t>Oil service</t>
        </is>
      </c>
      <c r="E37" s="13" t="inlineStr">
        <is>
          <t>Energia</t>
        </is>
      </c>
      <c r="F37" s="14" t="n">
        <v>26.3</v>
      </c>
      <c r="G37" s="15" t="inlineStr">
        <is>
          <t>EUR</t>
        </is>
      </c>
      <c r="H37" s="14" t="n">
        <v>26.3</v>
      </c>
      <c r="I37" s="16" t="n">
        <v>26553.5</v>
      </c>
      <c r="J37" s="16" t="n">
        <v>26553.5</v>
      </c>
      <c r="K37" s="14" t="n">
        <v>1.64</v>
      </c>
      <c r="L37" s="14" t="n">
        <v>1.9313878</v>
      </c>
      <c r="M37" s="17">
        <f>IF(OR(F37="",K37="",K37&lt;=0),"",F37/K37)</f>
        <v/>
      </c>
      <c r="N37" s="18" t="n">
        <v>1.752415</v>
      </c>
      <c r="O37" s="19">
        <f>IF(OR(N37="",M37="",M37&lt;=0),"",N37/M37)</f>
        <v/>
      </c>
      <c r="P37" s="20" t="n">
        <v>0.115839995</v>
      </c>
      <c r="Q37" s="20" t="n">
        <v>0.163851096927405</v>
      </c>
      <c r="R37" s="20" t="n">
        <v>0.04758970868898593</v>
      </c>
      <c r="S37" s="21" t="n">
        <v>4</v>
      </c>
      <c r="T37" s="20" t="n"/>
      <c r="U37" s="20" t="n">
        <v>0.1164401927780697</v>
      </c>
      <c r="V37" s="20" t="n">
        <v>0.1227272620438531</v>
      </c>
      <c r="W37" s="20" t="n">
        <v>0.2326231380067603</v>
      </c>
      <c r="X37" s="20" t="n">
        <v>0.183613794880937</v>
      </c>
      <c r="Y37" s="14" t="n">
        <v>0.77</v>
      </c>
      <c r="Z37" s="19">
        <f>IF(OR(Y37="",F37="",F37=0),"",Y37/F37)</f>
        <v/>
      </c>
      <c r="AA37" s="22" t="n">
        <v>2.596</v>
      </c>
      <c r="AB37" s="20" t="n">
        <v>-0.039</v>
      </c>
      <c r="AC37" s="20" t="n">
        <v>0.1596170600218326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2026-10-16</t>
        </is>
      </c>
      <c r="AI37" s="11" t="inlineStr">
        <is>
          <t>yahoo</t>
        </is>
      </c>
      <c r="AJ37" s="23" t="inlineStr">
        <is>
          <t>Bilancio in USD</t>
        </is>
      </c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109.4</v>
      </c>
      <c r="G38" s="15" t="inlineStr">
        <is>
          <t>EUR</t>
        </is>
      </c>
      <c r="H38" s="14" t="n">
        <v>109.4</v>
      </c>
      <c r="I38" s="16" t="n">
        <v>32740.6</v>
      </c>
      <c r="J38" s="16" t="n">
        <v>32740.6</v>
      </c>
      <c r="K38" s="14" t="n">
        <v>4.7</v>
      </c>
      <c r="L38" s="14" t="n">
        <v>6.18245</v>
      </c>
      <c r="M38" s="17">
        <f>IF(OR(F38="",K38="",K38&lt;=0),"",F38/K38)</f>
        <v/>
      </c>
      <c r="N38" s="18" t="n">
        <v>4.5076227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2026-10-16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5.792</v>
      </c>
      <c r="G39" s="15" t="inlineStr">
        <is>
          <t>EUR</t>
        </is>
      </c>
      <c r="H39" s="14" t="n">
        <v>5.792</v>
      </c>
      <c r="I39" s="16" t="n">
        <v>19440.3</v>
      </c>
      <c r="J39" s="16" t="n">
        <v>19440.3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2.3496957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>
        <v>0.3</v>
      </c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2026-10-16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24.11</v>
      </c>
      <c r="G40" s="15" t="inlineStr">
        <is>
          <t>EUR</t>
        </is>
      </c>
      <c r="H40" s="14" t="n">
        <v>24.11</v>
      </c>
      <c r="I40" s="16" t="n">
        <v>5570.1</v>
      </c>
      <c r="J40" s="16" t="n">
        <v>5570.1</v>
      </c>
      <c r="K40" s="14" t="n">
        <v>0.9</v>
      </c>
      <c r="L40" s="14" t="n">
        <v>2.23468</v>
      </c>
      <c r="M40" s="17">
        <f>IF(OR(F40="",K40="",K40&lt;=0),"",F40/K40)</f>
        <v/>
      </c>
      <c r="N40" s="18" t="n">
        <v>25.036345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2026-10-16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Danieli &amp; C. ord.</t>
        </is>
      </c>
      <c r="C41" s="12" t="inlineStr">
        <is>
          <t>DAN.MI</t>
        </is>
      </c>
      <c r="D41" s="11" t="inlineStr">
        <is>
          <t>Impiantistica</t>
        </is>
      </c>
      <c r="E41" s="13" t="inlineStr">
        <is>
          <t>Industriale</t>
        </is>
      </c>
      <c r="F41" s="14" t="n">
        <v>51.1</v>
      </c>
      <c r="G41" s="15" t="inlineStr">
        <is>
          <t>EUR</t>
        </is>
      </c>
      <c r="H41" s="14" t="n">
        <v>51.1</v>
      </c>
      <c r="I41" s="16" t="n">
        <v>3657.4</v>
      </c>
      <c r="J41" s="16" t="n">
        <v>3657.4</v>
      </c>
      <c r="K41" s="14" t="n">
        <v>3.21</v>
      </c>
      <c r="L41" s="14" t="n">
        <v>4.40998</v>
      </c>
      <c r="M41" s="17">
        <f>IF(OR(F41="",K41="",K41&lt;=0),"",F41/K41)</f>
        <v/>
      </c>
      <c r="N41" s="18" t="n">
        <v>1.2813439</v>
      </c>
      <c r="O41" s="19">
        <f>IF(OR(N41="",M41="",M41&lt;=0),"",N41/M41)</f>
        <v/>
      </c>
      <c r="P41" s="20" t="n">
        <v>0.08036</v>
      </c>
      <c r="Q41" s="20" t="n">
        <v>0.0968440934016148</v>
      </c>
      <c r="R41" s="20" t="n">
        <v>0.00397470844110338</v>
      </c>
      <c r="S41" s="21" t="n">
        <v>3</v>
      </c>
      <c r="T41" s="20" t="n"/>
      <c r="U41" s="20" t="n"/>
      <c r="V41" s="20" t="n">
        <v>0.09166035137508417</v>
      </c>
      <c r="W41" s="20" t="n">
        <v>0.1013185357254691</v>
      </c>
      <c r="X41" s="20" t="n">
        <v>0.09755339310429112</v>
      </c>
      <c r="Y41" s="14" t="n">
        <v>0.31</v>
      </c>
      <c r="Z41" s="19">
        <f>IF(OR(Y41="",F41="",F41=0),"",Y41/F41)</f>
        <v/>
      </c>
      <c r="AA41" s="22" t="n">
        <v>29.397</v>
      </c>
      <c r="AB41" s="20" t="n">
        <v>-0.048</v>
      </c>
      <c r="AC41" s="20" t="n">
        <v>0.05336443329885146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2026-10-16</t>
        </is>
      </c>
      <c r="AI41" s="11" t="inlineStr">
        <is>
          <t>yahoo</t>
        </is>
      </c>
      <c r="AJ41" s="23" t="inlineStr">
        <is>
          <t>Verificare se posizione e' su risparmio (DANR.MI)</t>
        </is>
      </c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16.76</v>
      </c>
      <c r="G42" s="15" t="inlineStr">
        <is>
          <t>EUR</t>
        </is>
      </c>
      <c r="H42" s="14" t="n">
        <v>16.76</v>
      </c>
      <c r="I42" s="16" t="n">
        <v>2203.5</v>
      </c>
      <c r="J42" s="16" t="n">
        <v>2203.5</v>
      </c>
      <c r="K42" s="14" t="n">
        <v>1.02</v>
      </c>
      <c r="L42" s="14" t="n"/>
      <c r="M42" s="17">
        <f>IF(OR(F42="",K42="",K42&lt;=0),"",F42/K42)</f>
        <v/>
      </c>
      <c r="N42" s="18" t="n">
        <v>1.4721124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2026-10-16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50.42</v>
      </c>
      <c r="G43" s="15" t="inlineStr">
        <is>
          <t>EUR</t>
        </is>
      </c>
      <c r="H43" s="14" t="n">
        <v>50.42</v>
      </c>
      <c r="I43" s="16" t="n">
        <v>29082.1</v>
      </c>
      <c r="J43" s="16" t="n">
        <v>29082.1</v>
      </c>
      <c r="K43" s="14" t="n">
        <v>2.03</v>
      </c>
      <c r="L43" s="14" t="n">
        <v>2.86701</v>
      </c>
      <c r="M43" s="17">
        <f>IF(OR(F43="",K43="",K43&lt;=0),"",F43/K43)</f>
        <v/>
      </c>
      <c r="N43" s="18" t="n">
        <v>3.0124872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2026-10-16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48.15</v>
      </c>
      <c r="G44" s="15" t="inlineStr">
        <is>
          <t>CHF</t>
        </is>
      </c>
      <c r="H44" s="14" t="n">
        <v>52.01581540057039</v>
      </c>
      <c r="I44" s="16" t="n">
        <v>2868.593898539452</v>
      </c>
      <c r="J44" s="16" t="n">
        <v>2655.4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0.8608976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2026-10-16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37.14</v>
      </c>
      <c r="G45" s="15" t="inlineStr">
        <is>
          <t>EUR</t>
        </is>
      </c>
      <c r="H45" s="14" t="n">
        <v>37.14</v>
      </c>
      <c r="I45" s="16" t="n">
        <v>3903.2</v>
      </c>
      <c r="J45" s="16" t="n">
        <v>3903.2</v>
      </c>
      <c r="K45" s="14" t="n">
        <v>2</v>
      </c>
      <c r="L45" s="14" t="n">
        <v>2.38908</v>
      </c>
      <c r="M45" s="17">
        <f>IF(OR(F45="",K45="",K45&lt;=0),"",F45/K45)</f>
        <v/>
      </c>
      <c r="N45" s="18" t="n">
        <v>1.8117956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2026-10-16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9.186999999999999</v>
      </c>
      <c r="G46" s="15" t="inlineStr">
        <is>
          <t>EUR</t>
        </is>
      </c>
      <c r="H46" s="14" t="n">
        <v>9.186999999999999</v>
      </c>
      <c r="I46" s="16" t="n">
        <v>91296.3</v>
      </c>
      <c r="J46" s="16" t="n">
        <v>91296.3</v>
      </c>
      <c r="K46" s="14" t="n">
        <v>0.42</v>
      </c>
      <c r="L46" s="14" t="n">
        <v>0.75749</v>
      </c>
      <c r="M46" s="17">
        <f>IF(OR(F46="",K46="",K46&lt;=0),"",F46/K46)</f>
        <v/>
      </c>
      <c r="N46" s="18" t="n">
        <v>3.6925244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2026-10-16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77.23999999999999</v>
      </c>
      <c r="G47" s="15" t="inlineStr">
        <is>
          <t>EUR</t>
        </is>
      </c>
      <c r="H47" s="14" t="n">
        <v>77.23999999999999</v>
      </c>
      <c r="I47" s="16" t="n">
        <v>3805.2</v>
      </c>
      <c r="J47" s="16" t="n">
        <v>3805.2</v>
      </c>
      <c r="K47" s="14" t="n">
        <v>2.72</v>
      </c>
      <c r="L47" s="14" t="n">
        <v>4.3364</v>
      </c>
      <c r="M47" s="17">
        <f>IF(OR(F47="",K47="",K47&lt;=0),"",F47/K47)</f>
        <v/>
      </c>
      <c r="N47" s="18" t="n">
        <v>2.6858613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2026-10-16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11.615</v>
      </c>
      <c r="G48" s="15" t="inlineStr">
        <is>
          <t>USD</t>
        </is>
      </c>
      <c r="H48" s="14" t="n">
        <v>10.33735005168675</v>
      </c>
      <c r="I48" s="16" t="n">
        <v>16624.13208312066</v>
      </c>
      <c r="J48" s="16" t="n">
        <v>18678.8</v>
      </c>
      <c r="K48" s="14" t="n">
        <v>0.25</v>
      </c>
      <c r="L48" s="14" t="n">
        <v>0.68986</v>
      </c>
      <c r="M48" s="17">
        <f>IF(OR(F48="",K48="",K48&lt;=0),"",F48/K48)</f>
        <v/>
      </c>
      <c r="N48" s="18" t="n">
        <v>1.8536546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2026-10-16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25.955</v>
      </c>
      <c r="G49" s="15" t="inlineStr">
        <is>
          <t>EUR</t>
        </is>
      </c>
      <c r="H49" s="14" t="n">
        <v>25.955</v>
      </c>
      <c r="I49" s="16" t="n">
        <v>74331.89999999999</v>
      </c>
      <c r="J49" s="16" t="n">
        <v>74331.89999999999</v>
      </c>
      <c r="K49" s="14" t="n">
        <v>1.23</v>
      </c>
      <c r="L49" s="14" t="n">
        <v>2.66353</v>
      </c>
      <c r="M49" s="17">
        <f>IF(OR(F49="",K49="",K49&lt;=0),"",F49/K49)</f>
        <v/>
      </c>
      <c r="N49" s="18" t="n">
        <v>1.6443866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2026-10-16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41.155</v>
      </c>
      <c r="G50" s="15" t="inlineStr">
        <is>
          <t>EUR</t>
        </is>
      </c>
      <c r="H50" s="14" t="n">
        <v>41.155</v>
      </c>
      <c r="I50" s="16" t="n">
        <v>36848.2</v>
      </c>
      <c r="J50" s="16" t="n">
        <v>36848.2</v>
      </c>
      <c r="K50" s="14" t="n">
        <v>0.03</v>
      </c>
      <c r="L50" s="14" t="n">
        <v>1.42</v>
      </c>
      <c r="M50" s="17">
        <f>IF(OR(F50="",K50="",K50&lt;=0),"",F50/K50)</f>
        <v/>
      </c>
      <c r="N50" s="18" t="n">
        <v>2.3306453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2026-10-16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INWIT</t>
        </is>
      </c>
      <c r="C51" s="12" t="inlineStr">
        <is>
          <t>INW.MI</t>
        </is>
      </c>
      <c r="D51" s="11" t="inlineStr">
        <is>
          <t>Torri / Infrastrutture</t>
        </is>
      </c>
      <c r="E51" s="13" t="inlineStr">
        <is>
          <t>Industriale</t>
        </is>
      </c>
      <c r="F51" s="14" t="n">
        <v>7.255</v>
      </c>
      <c r="G51" s="15" t="inlineStr">
        <is>
          <t>EUR</t>
        </is>
      </c>
      <c r="H51" s="14" t="n">
        <v>7.255</v>
      </c>
      <c r="I51" s="16" t="n">
        <v>6547.6</v>
      </c>
      <c r="J51" s="16" t="n">
        <v>6547.6</v>
      </c>
      <c r="K51" s="14" t="n">
        <v>0.37</v>
      </c>
      <c r="L51" s="14" t="n">
        <v>0.35536</v>
      </c>
      <c r="M51" s="17">
        <f>IF(OR(F51="",K51="",K51&lt;=0),"",F51/K51)</f>
        <v/>
      </c>
      <c r="N51" s="18" t="n">
        <v>2.1566586</v>
      </c>
      <c r="O51" s="19">
        <f>IF(OR(N51="",M51="",M51&lt;=0),"",N51/M51)</f>
        <v/>
      </c>
      <c r="P51" s="20" t="n">
        <v>0.098620005</v>
      </c>
      <c r="Q51" s="20" t="n">
        <v>0.08375718905919846</v>
      </c>
      <c r="R51" s="20" t="n">
        <v>0.01401549999798546</v>
      </c>
      <c r="S51" s="21" t="n">
        <v>4</v>
      </c>
      <c r="T51" s="20" t="n"/>
      <c r="U51" s="20" t="n">
        <v>0.1042395007229944</v>
      </c>
      <c r="V51" s="20" t="n">
        <v>0.0868230114415488</v>
      </c>
      <c r="W51" s="20" t="n">
        <v>0.0782900743220354</v>
      </c>
      <c r="X51" s="20" t="n">
        <v>0.06567616975021522</v>
      </c>
      <c r="Y51" s="14" t="n">
        <v>0.55</v>
      </c>
      <c r="Z51" s="19">
        <f>IF(OR(Y51="",F51="",F51=0),"",Y51/F51)</f>
        <v/>
      </c>
      <c r="AA51" s="22" t="n">
        <v>176.713</v>
      </c>
      <c r="AB51" s="20" t="n">
        <v>-0.008</v>
      </c>
      <c r="AC51" s="20" t="n">
        <v>0.3133351145555501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2026-10-16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12.555</v>
      </c>
      <c r="G52" s="15" t="inlineStr">
        <is>
          <t>EUR</t>
        </is>
      </c>
      <c r="H52" s="14" t="n">
        <v>12.555</v>
      </c>
      <c r="I52" s="16" t="n">
        <v>3336.5</v>
      </c>
      <c r="J52" s="16" t="n">
        <v>3336.5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2.2041783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2026-10-16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6.62</v>
      </c>
      <c r="G53" s="15" t="inlineStr">
        <is>
          <t>EUR</t>
        </is>
      </c>
      <c r="H53" s="14" t="n">
        <v>6.62</v>
      </c>
      <c r="I53" s="16" t="n">
        <v>7939.8</v>
      </c>
      <c r="J53" s="16" t="n">
        <v>7939.8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1.9891826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2026-10-16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14.36</v>
      </c>
      <c r="G54" s="15" t="inlineStr">
        <is>
          <t>EUR</t>
        </is>
      </c>
      <c r="H54" s="14" t="n">
        <v>14.36</v>
      </c>
      <c r="I54" s="16" t="n">
        <v>3824.7</v>
      </c>
      <c r="J54" s="16" t="n">
        <v>3824.7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1.5497518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2026-10-16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22.76</v>
      </c>
      <c r="G55" s="15" t="inlineStr">
        <is>
          <t>EUR</t>
        </is>
      </c>
      <c r="H55" s="14" t="n">
        <v>22.76</v>
      </c>
      <c r="I55" s="16" t="n">
        <v>3308.3</v>
      </c>
      <c r="J55" s="16" t="n">
        <v>3308.3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1.750904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2026-10-16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8.005000000000001</v>
      </c>
      <c r="G56" s="15" t="inlineStr">
        <is>
          <t>EUR</t>
        </is>
      </c>
      <c r="H56" s="14" t="n">
        <v>8.005000000000001</v>
      </c>
      <c r="I56" s="16" t="n">
        <v>395.8</v>
      </c>
      <c r="J56" s="16" t="n">
        <v>395.8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1.0502492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2026-10-16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5.592</v>
      </c>
      <c r="G57" s="15" t="inlineStr">
        <is>
          <t>EUR</t>
        </is>
      </c>
      <c r="H57" s="14" t="n">
        <v>5.592</v>
      </c>
      <c r="I57" s="16" t="n">
        <v>11929.2</v>
      </c>
      <c r="J57" s="16" t="n">
        <v>11929.2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1.0319247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2026-10-16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12.52</v>
      </c>
      <c r="G58" s="15" t="inlineStr">
        <is>
          <t>EUR</t>
        </is>
      </c>
      <c r="H58" s="14" t="n">
        <v>12.52</v>
      </c>
      <c r="I58" s="16" t="n">
        <v>4741.5</v>
      </c>
      <c r="J58" s="16" t="n">
        <v>4741.5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2.777285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2026-10-16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7.265</v>
      </c>
      <c r="G59" s="15" t="inlineStr">
        <is>
          <t>EUR</t>
        </is>
      </c>
      <c r="H59" s="14" t="n">
        <v>7.265</v>
      </c>
      <c r="I59" s="16" t="n">
        <v>1196.5</v>
      </c>
      <c r="J59" s="16" t="n">
        <v>1196.5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2.0534198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2026-10-16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4.591</v>
      </c>
      <c r="G60" s="15" t="inlineStr">
        <is>
          <t>EUR</t>
        </is>
      </c>
      <c r="H60" s="14" t="n">
        <v>4.591</v>
      </c>
      <c r="I60" s="16" t="n">
        <v>8907.799999999999</v>
      </c>
      <c r="J60" s="16" t="n">
        <v>8907.799999999999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3.85151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2026-10-16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69.15000000000001</v>
      </c>
      <c r="G61" s="15" t="inlineStr">
        <is>
          <t>EUR</t>
        </is>
      </c>
      <c r="H61" s="14" t="n">
        <v>69.15000000000001</v>
      </c>
      <c r="I61" s="16" t="n">
        <v>22762.8</v>
      </c>
      <c r="J61" s="16" t="n">
        <v>22762.8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0.43797424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2026-10-16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9.018000000000001</v>
      </c>
      <c r="G62" s="15" t="inlineStr">
        <is>
          <t>EUR</t>
        </is>
      </c>
      <c r="H62" s="14" t="n">
        <v>9.018000000000001</v>
      </c>
      <c r="I62" s="16" t="n">
        <v>1659.8</v>
      </c>
      <c r="J62" s="16" t="n">
        <v>1659.8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0.8699594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2026-10-16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0.2745</v>
      </c>
      <c r="G63" s="15" t="inlineStr">
        <is>
          <t>EUR</t>
        </is>
      </c>
      <c r="H63" s="14" t="n">
        <v>0.2745</v>
      </c>
      <c r="I63" s="16" t="n">
        <v>100.5</v>
      </c>
      <c r="J63" s="16" t="n">
        <v>100.5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1.326087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2026-10-16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1.693</v>
      </c>
      <c r="G64" s="15" t="inlineStr">
        <is>
          <t>EUR</t>
        </is>
      </c>
      <c r="H64" s="14" t="n">
        <v>1.693</v>
      </c>
      <c r="I64" s="16" t="n">
        <v>706</v>
      </c>
      <c r="J64" s="16" t="n">
        <v>706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60.464283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2026-10-16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4.41</v>
      </c>
      <c r="G65" s="15" t="inlineStr">
        <is>
          <t>EUR</t>
        </is>
      </c>
      <c r="H65" s="14" t="n">
        <v>4.41</v>
      </c>
      <c r="I65" s="16" t="n">
        <v>5180.5</v>
      </c>
      <c r="J65" s="16" t="n">
        <v>5180.5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0.76178956</v>
      </c>
      <c r="O65" s="19">
        <f>IF(OR(N65="",M65="",M65&lt;=0),"",N65/M65)</f>
        <v/>
      </c>
      <c r="P65" s="20" t="n">
        <v>-0.3861</v>
      </c>
      <c r="Q65" s="20" t="n">
        <v>-0.3861</v>
      </c>
      <c r="R65" s="20" t="n"/>
      <c r="S65" s="21" t="n">
        <v>0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-0.5299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2026-10-16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0.018</v>
      </c>
      <c r="G66" s="15" t="inlineStr">
        <is>
          <t>EUR</t>
        </is>
      </c>
      <c r="H66" s="14" t="n">
        <v>0.018</v>
      </c>
      <c r="I66" s="16" t="n">
        <v>32.4</v>
      </c>
      <c r="J66" s="16" t="n">
        <v>32.4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2026-10-16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3.9865</v>
      </c>
      <c r="G67" s="15" t="inlineStr">
        <is>
          <t>EUR</t>
        </is>
      </c>
      <c r="H67" s="14" t="n">
        <v>3.9865</v>
      </c>
      <c r="I67" s="16" t="n">
        <v>11564.6</v>
      </c>
      <c r="J67" s="16" t="n">
        <v>11564.6</v>
      </c>
      <c r="K67" s="14" t="n">
        <v>-7.49</v>
      </c>
      <c r="L67" s="14" t="n">
        <v>1.07023</v>
      </c>
      <c r="M67" s="17">
        <f>IF(OR(F67="",K67="",K67&lt;=0),"",F67/K67)</f>
        <v/>
      </c>
      <c r="N67" s="18" t="n">
        <v>0.20572299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2026-10-16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547.2</v>
      </c>
      <c r="G2" s="15" t="inlineStr">
        <is>
          <t>EUR</t>
        </is>
      </c>
      <c r="H2" s="14" t="n">
        <v>547.2</v>
      </c>
      <c r="I2" s="16" t="n">
        <v>68845.7</v>
      </c>
      <c r="J2" s="16" t="n">
        <v>68845.7</v>
      </c>
      <c r="K2" s="14" t="n">
        <v>56.2</v>
      </c>
      <c r="L2" s="14" t="n">
        <v>51.60554</v>
      </c>
      <c r="M2" s="17">
        <f>IF(OR(F2="",K2="",K2&lt;=0),"",F2/K2)</f>
        <v/>
      </c>
      <c r="N2" s="18" t="n">
        <v>2.051359</v>
      </c>
      <c r="O2" s="19">
        <f>IF(OR(N2="",M2="",M2&lt;=0),"",N2/M2)</f>
        <v/>
      </c>
      <c r="P2" s="20" t="n">
        <v>0.21299</v>
      </c>
      <c r="Q2" s="20" t="n">
        <v>0.21299</v>
      </c>
      <c r="R2" s="20" t="n"/>
      <c r="S2" s="21" t="n">
        <v>0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433.9</v>
      </c>
      <c r="G3" s="15" t="inlineStr">
        <is>
          <t>EUR</t>
        </is>
      </c>
      <c r="H3" s="14" t="n">
        <v>433.9</v>
      </c>
      <c r="I3" s="16" t="n">
        <v>164572.3</v>
      </c>
      <c r="J3" s="16" t="n">
        <v>164572.3</v>
      </c>
      <c r="K3" s="14" t="n">
        <v>31.41</v>
      </c>
      <c r="L3" s="14" t="n">
        <v>33.39562</v>
      </c>
      <c r="M3" s="17">
        <f>IF(OR(F3="",K3="",K3&lt;=0),"",F3/K3)</f>
        <v/>
      </c>
      <c r="N3" s="18" t="n">
        <v>2.6086695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274.4</v>
      </c>
      <c r="G4" s="15" t="inlineStr">
        <is>
          <t>EUR</t>
        </is>
      </c>
      <c r="H4" s="14" t="n">
        <v>274.4</v>
      </c>
      <c r="I4" s="16" t="n">
        <v>33091.9</v>
      </c>
      <c r="J4" s="16" t="n">
        <v>33091.9</v>
      </c>
      <c r="K4" s="14" t="n">
        <v>23.54</v>
      </c>
      <c r="L4" s="14" t="n">
        <v>23.62468</v>
      </c>
      <c r="M4" s="17">
        <f>IF(OR(F4="",K4="",K4&lt;=0),"",F4/K4)</f>
        <v/>
      </c>
      <c r="N4" s="18" t="n">
        <v>2.4944775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29.33</v>
      </c>
      <c r="G5" s="15" t="inlineStr">
        <is>
          <t>EUR</t>
        </is>
      </c>
      <c r="H5" s="14" t="n">
        <v>29.33</v>
      </c>
      <c r="I5" s="16" t="n">
        <v>55111.1</v>
      </c>
      <c r="J5" s="16" t="n">
        <v>55111.1</v>
      </c>
      <c r="K5" s="14" t="n">
        <v>3.29</v>
      </c>
      <c r="L5" s="14" t="n">
        <v>3.84065</v>
      </c>
      <c r="M5" s="17">
        <f>IF(OR(F5="",K5="",K5&lt;=0),"",F5/K5)</f>
        <v/>
      </c>
      <c r="N5" s="18" t="n">
        <v>0.69916564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25.89</v>
      </c>
      <c r="G6" s="15" t="inlineStr">
        <is>
          <t>EUR</t>
        </is>
      </c>
      <c r="H6" s="14" t="n">
        <v>25.89</v>
      </c>
      <c r="I6" s="16" t="n">
        <v>123821.8</v>
      </c>
      <c r="J6" s="16" t="n">
        <v>123821.8</v>
      </c>
      <c r="K6" s="14" t="n">
        <v>1.69</v>
      </c>
      <c r="L6" s="14" t="n">
        <v>2.56634</v>
      </c>
      <c r="M6" s="17">
        <f>IF(OR(F6="",K6="",K6&lt;=0),"",F6/K6)</f>
        <v/>
      </c>
      <c r="N6" s="18" t="n">
        <v>2.0688827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58.22</v>
      </c>
      <c r="G7" s="15" t="inlineStr">
        <is>
          <t>EUR</t>
        </is>
      </c>
      <c r="H7" s="14" t="n">
        <v>58.22</v>
      </c>
      <c r="I7" s="16" t="n">
        <v>65162.3</v>
      </c>
      <c r="J7" s="16" t="n">
        <v>65162.3</v>
      </c>
      <c r="K7" s="14" t="n">
        <v>3.39</v>
      </c>
      <c r="L7" s="14" t="n">
        <v>3.88721</v>
      </c>
      <c r="M7" s="17">
        <f>IF(OR(F7="",K7="",K7&lt;=0),"",F7/K7)</f>
        <v/>
      </c>
      <c r="N7" s="18" t="n">
        <v>2.8995469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144.35</v>
      </c>
      <c r="G8" s="15" t="inlineStr">
        <is>
          <t>EUR</t>
        </is>
      </c>
      <c r="H8" s="14" t="n">
        <v>144.35</v>
      </c>
      <c r="I8" s="16" t="n">
        <v>25377</v>
      </c>
      <c r="J8" s="16" t="n">
        <v>25377</v>
      </c>
      <c r="K8" s="14" t="n">
        <v>11.48</v>
      </c>
      <c r="L8" s="14" t="n">
        <v>14.38566</v>
      </c>
      <c r="M8" s="17">
        <f>IF(OR(F8="",K8="",K8&lt;=0),"",F8/K8)</f>
        <v/>
      </c>
      <c r="N8" s="18" t="n">
        <v>1.3618696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309.5</v>
      </c>
      <c r="G9" s="15" t="inlineStr">
        <is>
          <t>EUR</t>
        </is>
      </c>
      <c r="H9" s="14" t="n">
        <v>309.5</v>
      </c>
      <c r="I9" s="16" t="n">
        <v>55799</v>
      </c>
      <c r="J9" s="16" t="n">
        <v>55799</v>
      </c>
      <c r="K9" s="14" t="n">
        <v>12.13</v>
      </c>
      <c r="L9" s="14" t="n">
        <v>13.58575</v>
      </c>
      <c r="M9" s="17">
        <f>IF(OR(F9="",K9="",K9&lt;=0),"",F9/K9)</f>
        <v/>
      </c>
      <c r="N9" s="18" t="n">
        <v>5.3880434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41.085</v>
      </c>
      <c r="G10" s="15" t="inlineStr">
        <is>
          <t>EUR</t>
        </is>
      </c>
      <c r="H10" s="14" t="n">
        <v>41.085</v>
      </c>
      <c r="I10" s="16" t="n">
        <v>38999.2</v>
      </c>
      <c r="J10" s="16" t="n">
        <v>38999.2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0.4140506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MTU Aero Engines</t>
        </is>
      </c>
      <c r="C11" s="12" t="inlineStr">
        <is>
          <t>MTX.DE</t>
        </is>
      </c>
      <c r="D11" s="11" t="inlineStr">
        <is>
          <t>Aerospazio</t>
        </is>
      </c>
      <c r="E11" s="13" t="inlineStr">
        <is>
          <t>Industriale</t>
        </is>
      </c>
      <c r="F11" s="14" t="n">
        <v>352.9</v>
      </c>
      <c r="G11" s="15" t="inlineStr">
        <is>
          <t>EUR</t>
        </is>
      </c>
      <c r="H11" s="14" t="n">
        <v>352.9</v>
      </c>
      <c r="I11" s="16" t="n">
        <v>19010.9</v>
      </c>
      <c r="J11" s="16" t="n">
        <v>19010.9</v>
      </c>
      <c r="K11" s="14" t="n">
        <v>17.34</v>
      </c>
      <c r="L11" s="14" t="n">
        <v>20.67373</v>
      </c>
      <c r="M11" s="17">
        <f>IF(OR(F11="",K11="",K11&lt;=0),"",F11/K11)</f>
        <v/>
      </c>
      <c r="N11" s="18" t="n">
        <v>4.184651</v>
      </c>
      <c r="O11" s="19">
        <f>IF(OR(N11="",M11="",M11&lt;=0),"",N11/M11)</f>
        <v/>
      </c>
      <c r="P11" s="20" t="n">
        <v>0.22635001</v>
      </c>
      <c r="Q11" s="20" t="n">
        <v>0.22635001</v>
      </c>
      <c r="R11" s="20" t="n"/>
      <c r="S11" s="21" t="n">
        <v>0</v>
      </c>
      <c r="T11" s="20" t="n"/>
      <c r="U11" s="20" t="n">
        <v>0.2355122855818266</v>
      </c>
      <c r="V11" s="20" t="n">
        <v>0.1882247992863515</v>
      </c>
      <c r="W11" s="20" t="n">
        <v>-0.03562696472231924</v>
      </c>
      <c r="X11" s="20" t="n">
        <v>0.1090969017798286</v>
      </c>
      <c r="Y11" s="14" t="n">
        <v>3.6</v>
      </c>
      <c r="Z11" s="19">
        <f>IF(OR(Y11="",F11="",F11=0),"",Y11/F11)</f>
        <v/>
      </c>
      <c r="AA11" s="22" t="n">
        <v>55.565</v>
      </c>
      <c r="AB11" s="20" t="n">
        <v>0.167</v>
      </c>
      <c r="AC11" s="20" t="n">
        <v>0.1074974323861691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1090.2</v>
      </c>
      <c r="G12" s="15" t="inlineStr">
        <is>
          <t>EUR</t>
        </is>
      </c>
      <c r="H12" s="14" t="n">
        <v>1090.2</v>
      </c>
      <c r="I12" s="16" t="n">
        <v>50877.5</v>
      </c>
      <c r="J12" s="16" t="n">
        <v>50877.5</v>
      </c>
      <c r="K12" s="14" t="n">
        <v>28.52</v>
      </c>
      <c r="L12" s="14" t="n">
        <v>52.99102</v>
      </c>
      <c r="M12" s="17">
        <f>IF(OR(F12="",K12="",K12&lt;=0),"",F12/K12)</f>
        <v/>
      </c>
      <c r="N12" s="18" t="n">
        <v>10.2322</v>
      </c>
      <c r="O12" s="19">
        <f>IF(OR(N12="",M12="",M12&lt;=0),"",N12/M12)</f>
        <v/>
      </c>
      <c r="P12" s="20" t="n">
        <v>0.25688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51.63</v>
      </c>
      <c r="AB12" s="20" t="n">
        <v>0.6879999999999999</v>
      </c>
      <c r="AC12" s="20" t="n">
        <v>0.1217916456970307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BMW</t>
        </is>
      </c>
      <c r="C13" s="12" t="inlineStr">
        <is>
          <t>BMW.DE</t>
        </is>
      </c>
      <c r="D13" s="11" t="inlineStr">
        <is>
          <t>Auto</t>
        </is>
      </c>
      <c r="E13" s="13" t="inlineStr">
        <is>
          <t>Consumi</t>
        </is>
      </c>
      <c r="F13" s="14" t="n">
        <v>57.06</v>
      </c>
      <c r="G13" s="15" t="inlineStr">
        <is>
          <t>EUR</t>
        </is>
      </c>
      <c r="H13" s="14" t="n">
        <v>57.06</v>
      </c>
      <c r="I13" s="16" t="n">
        <v>34154.7</v>
      </c>
      <c r="J13" s="16" t="n">
        <v>34154.7</v>
      </c>
      <c r="K13" s="14" t="n">
        <v>10.67</v>
      </c>
      <c r="L13" s="14" t="n">
        <v>8.55368</v>
      </c>
      <c r="M13" s="17">
        <f>IF(OR(F13="",K13="",K13&lt;=0),"",F13/K13)</f>
        <v/>
      </c>
      <c r="N13" s="18" t="n">
        <v>0.35838333</v>
      </c>
      <c r="O13" s="19">
        <f>IF(OR(N13="",M13="",M13&lt;=0),"",N13/M13)</f>
        <v/>
      </c>
      <c r="P13" s="20" t="n">
        <v>0.06592000000000001</v>
      </c>
      <c r="Q13" s="20" t="n">
        <v>0.1217802745892722</v>
      </c>
      <c r="R13" s="20" t="n">
        <v>0.05245569366129516</v>
      </c>
      <c r="S13" s="21" t="n">
        <v>4</v>
      </c>
      <c r="T13" s="20" t="n"/>
      <c r="U13" s="20" t="n">
        <v>0.07621973520591033</v>
      </c>
      <c r="V13" s="20" t="n">
        <v>0.07896874830742566</v>
      </c>
      <c r="W13" s="20" t="n">
        <v>0.1260100897361489</v>
      </c>
      <c r="X13" s="20" t="n">
        <v>0.205922525107604</v>
      </c>
      <c r="Y13" s="14" t="n">
        <v>4.4</v>
      </c>
      <c r="Z13" s="19">
        <f>IF(OR(Y13="",F13="",F13=0),"",Y13/F13)</f>
        <v/>
      </c>
      <c r="AA13" s="22" t="n">
        <v>119.855</v>
      </c>
      <c r="AB13" s="20" t="n">
        <v>-0.079</v>
      </c>
      <c r="AC13" s="20" t="n">
        <v>0.04723011145496916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Commerzbank</t>
        </is>
      </c>
      <c r="C14" s="12" t="inlineStr">
        <is>
          <t>CBK.DE</t>
        </is>
      </c>
      <c r="D14" s="11" t="inlineStr">
        <is>
          <t>Banca</t>
        </is>
      </c>
      <c r="E14" s="13" t="inlineStr">
        <is>
          <t>Finanziario</t>
        </is>
      </c>
      <c r="F14" s="14" t="n">
        <v>37.88</v>
      </c>
      <c r="G14" s="15" t="inlineStr">
        <is>
          <t>EUR</t>
        </is>
      </c>
      <c r="H14" s="14" t="n">
        <v>37.88</v>
      </c>
      <c r="I14" s="16" t="n">
        <v>40942.5</v>
      </c>
      <c r="J14" s="16" t="n">
        <v>40942.5</v>
      </c>
      <c r="K14" s="14" t="n">
        <v>2.61</v>
      </c>
      <c r="L14" s="14" t="n">
        <v>3.92459</v>
      </c>
      <c r="M14" s="17">
        <f>IF(OR(F14="",K14="",K14&lt;=0),"",F14/K14)</f>
        <v/>
      </c>
      <c r="N14" s="18" t="n">
        <v>1.2125093</v>
      </c>
      <c r="O14" s="19">
        <f>IF(OR(N14="",M14="",M14&lt;=0),"",N14/M14)</f>
        <v/>
      </c>
      <c r="P14" s="20" t="n">
        <v>0.09666</v>
      </c>
      <c r="Q14" s="20" t="n">
        <v>0.06813536415307286</v>
      </c>
      <c r="R14" s="20" t="n">
        <v>0.0122202754534199</v>
      </c>
      <c r="S14" s="21" t="n">
        <v>4</v>
      </c>
      <c r="T14" s="20" t="n"/>
      <c r="U14" s="20" t="n">
        <v>0.07759614531910491</v>
      </c>
      <c r="V14" s="20" t="n">
        <v>0.07766624115121272</v>
      </c>
      <c r="W14" s="20" t="n">
        <v>0.06951737934483621</v>
      </c>
      <c r="X14" s="20" t="n">
        <v>0.04776169079713763</v>
      </c>
      <c r="Y14" s="14" t="n">
        <v>1.1</v>
      </c>
      <c r="Z14" s="19">
        <f>IF(OR(Y14="",F14="",F14=0),"",Y14/F14)</f>
        <v/>
      </c>
      <c r="AA14" s="22" t="n"/>
      <c r="AB14" s="20" t="n">
        <v>0.101</v>
      </c>
      <c r="AC14" s="20" t="n">
        <v>0.2217411473635379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39.54</v>
      </c>
      <c r="G15" s="15" t="inlineStr">
        <is>
          <t>EUR</t>
        </is>
      </c>
      <c r="H15" s="14" t="n">
        <v>39.54</v>
      </c>
      <c r="I15" s="16" t="n">
        <v>10619</v>
      </c>
      <c r="J15" s="16" t="n">
        <v>10619</v>
      </c>
      <c r="K15" s="14" t="n">
        <v>3.5</v>
      </c>
      <c r="L15" s="14" t="n">
        <v>4.24831</v>
      </c>
      <c r="M15" s="17">
        <f>IF(OR(F15="",K15="",K15&lt;=0),"",F15/K15)</f>
        <v/>
      </c>
      <c r="N15" s="18" t="n">
        <v>0.8379604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68.68000000000001</v>
      </c>
      <c r="G16" s="15" t="inlineStr">
        <is>
          <t>EUR</t>
        </is>
      </c>
      <c r="H16" s="14" t="n">
        <v>68.68000000000001</v>
      </c>
      <c r="I16" s="16" t="n">
        <v>34429</v>
      </c>
      <c r="J16" s="16" t="n">
        <v>34429</v>
      </c>
      <c r="K16" s="14" t="n">
        <v>10</v>
      </c>
      <c r="L16" s="14" t="n">
        <v>21.97345</v>
      </c>
      <c r="M16" s="17">
        <f>IF(OR(F16="",K16="",K16&lt;=0),"",F16/K16)</f>
        <v/>
      </c>
      <c r="N16" s="18" t="n">
        <v>0.19635199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RWE</t>
        </is>
      </c>
      <c r="C17" s="12" t="inlineStr">
        <is>
          <t>RWE.DE</t>
        </is>
      </c>
      <c r="D17" s="11" t="inlineStr">
        <is>
          <t>Utility / Generazione</t>
        </is>
      </c>
      <c r="E17" s="13" t="inlineStr">
        <is>
          <t>Utility</t>
        </is>
      </c>
      <c r="F17" s="14" t="n">
        <v>59.04</v>
      </c>
      <c r="G17" s="15" t="inlineStr">
        <is>
          <t>EUR</t>
        </is>
      </c>
      <c r="H17" s="14" t="n">
        <v>59.04</v>
      </c>
      <c r="I17" s="16" t="n">
        <v>46050.3</v>
      </c>
      <c r="J17" s="16" t="n">
        <v>46050.3</v>
      </c>
      <c r="K17" s="14" t="n">
        <v>4.51</v>
      </c>
      <c r="L17" s="14" t="n">
        <v>3.36249</v>
      </c>
      <c r="M17" s="17">
        <f>IF(OR(F17="",K17="",K17&lt;=0),"",F17/K17)</f>
        <v/>
      </c>
      <c r="N17" s="18" t="n">
        <v>1.0588995</v>
      </c>
      <c r="O17" s="19">
        <f>IF(OR(N17="",M17="",M17&lt;=0),"",N17/M17)</f>
        <v/>
      </c>
      <c r="P17" s="20" t="n">
        <v>0.08547</v>
      </c>
      <c r="Q17" s="20" t="n">
        <v>0.09991327745593341</v>
      </c>
      <c r="R17" s="20" t="n">
        <v>0.04122771245141714</v>
      </c>
      <c r="S17" s="21" t="n">
        <v>4</v>
      </c>
      <c r="T17" s="20" t="n"/>
      <c r="U17" s="20" t="n">
        <v>0.09106774090340596</v>
      </c>
      <c r="V17" s="20" t="n">
        <v>0.1627626866144727</v>
      </c>
      <c r="W17" s="20" t="n">
        <v>0.04729497705491212</v>
      </c>
      <c r="X17" s="20" t="n">
        <v>0.09852770525094284</v>
      </c>
      <c r="Y17" s="14" t="n">
        <v>1.2</v>
      </c>
      <c r="Z17" s="19">
        <f>IF(OR(Y17="",F17="",F17=0),"",Y17/F17)</f>
        <v/>
      </c>
      <c r="AA17" s="22" t="n">
        <v>50.366</v>
      </c>
      <c r="AB17" s="20" t="n">
        <v>-0.091</v>
      </c>
      <c r="AC17" s="20" t="n">
        <v>0.183458127524393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17.855</v>
      </c>
      <c r="G18" s="15" t="inlineStr">
        <is>
          <t>EUR</t>
        </is>
      </c>
      <c r="H18" s="14" t="n">
        <v>17.855</v>
      </c>
      <c r="I18" s="16" t="n">
        <v>46678</v>
      </c>
      <c r="J18" s="16" t="n">
        <v>46678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2.1994333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GEA Group</t>
        </is>
      </c>
      <c r="C19" s="12" t="inlineStr">
        <is>
          <t>G1A.DE</t>
        </is>
      </c>
      <c r="D19" s="11" t="inlineStr">
        <is>
          <t>Impiantistica</t>
        </is>
      </c>
      <c r="E19" s="13" t="inlineStr">
        <is>
          <t>Industriale</t>
        </is>
      </c>
      <c r="F19" s="14" t="n">
        <v>69.2</v>
      </c>
      <c r="G19" s="15" t="inlineStr">
        <is>
          <t>EUR</t>
        </is>
      </c>
      <c r="H19" s="14" t="n">
        <v>69.2</v>
      </c>
      <c r="I19" s="16" t="n">
        <v>11265.9</v>
      </c>
      <c r="J19" s="16" t="n">
        <v>11265.9</v>
      </c>
      <c r="K19" s="14" t="n">
        <v>2.73</v>
      </c>
      <c r="L19" s="14" t="n">
        <v>3.74645</v>
      </c>
      <c r="M19" s="17">
        <f>IF(OR(F19="",K19="",K19&lt;=0),"",F19/K19)</f>
        <v/>
      </c>
      <c r="N19" s="18" t="n">
        <v>4.5016913</v>
      </c>
      <c r="O19" s="19">
        <f>IF(OR(N19="",M19="",M19&lt;=0),"",N19/M19)</f>
        <v/>
      </c>
      <c r="P19" s="20" t="n">
        <v>0.18450001</v>
      </c>
      <c r="Q19" s="20" t="n">
        <v>0.18450001</v>
      </c>
      <c r="R19" s="20" t="n"/>
      <c r="S19" s="21" t="n">
        <v>0</v>
      </c>
      <c r="T19" s="20" t="n"/>
      <c r="U19" s="20" t="n">
        <v>0.1687777491054856</v>
      </c>
      <c r="V19" s="20" t="n">
        <v>0.1588625719907466</v>
      </c>
      <c r="W19" s="20" t="n">
        <v>0.1638357842063747</v>
      </c>
      <c r="X19" s="20" t="n">
        <v>0.1760249485974526</v>
      </c>
      <c r="Y19" s="14" t="n">
        <v>1.3</v>
      </c>
      <c r="Z19" s="19">
        <f>IF(OR(Y19="",F19="",F19=0),"",Y19/F19)</f>
        <v/>
      </c>
      <c r="AA19" s="22" t="n">
        <v>10.426</v>
      </c>
      <c r="AB19" s="20" t="n">
        <v>0.1</v>
      </c>
      <c r="AC19" s="20" t="n">
        <v>0.07950968344907955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Vonovia</t>
        </is>
      </c>
      <c r="C20" s="12" t="inlineStr">
        <is>
          <t>VNA.DE</t>
        </is>
      </c>
      <c r="D20" s="11" t="inlineStr">
        <is>
          <t>Immobiliare residenziale</t>
        </is>
      </c>
      <c r="E20" s="13" t="inlineStr">
        <is>
          <t>Immobiliare</t>
        </is>
      </c>
      <c r="F20" s="14" t="n">
        <v>16.825</v>
      </c>
      <c r="G20" s="15" t="inlineStr">
        <is>
          <t>EUR</t>
        </is>
      </c>
      <c r="H20" s="14" t="n">
        <v>16.825</v>
      </c>
      <c r="I20" s="16" t="n">
        <v>14274.9</v>
      </c>
      <c r="J20" s="16" t="n">
        <v>14274.9</v>
      </c>
      <c r="K20" s="14" t="n">
        <v>4.39</v>
      </c>
      <c r="L20" s="14" t="n">
        <v>1.83186</v>
      </c>
      <c r="M20" s="17">
        <f>IF(OR(F20="",K20="",K20&lt;=0),"",F20/K20)</f>
        <v/>
      </c>
      <c r="N20" s="18" t="n">
        <v>0.52378434</v>
      </c>
      <c r="O20" s="19">
        <f>IF(OR(N20="",M20="",M20&lt;=0),"",N20/M20)</f>
        <v/>
      </c>
      <c r="P20" s="20" t="n">
        <v>0.14558</v>
      </c>
      <c r="Q20" s="20" t="n">
        <v>-0.04176565175875539</v>
      </c>
      <c r="R20" s="20" t="n">
        <v>0.1351856935006739</v>
      </c>
      <c r="S20" s="21" t="n">
        <v>4</v>
      </c>
      <c r="T20" s="20" t="n"/>
      <c r="U20" s="20" t="n">
        <v>0.1355464455010813</v>
      </c>
      <c r="V20" s="20" t="n">
        <v>-0.03733893417345936</v>
      </c>
      <c r="W20" s="20" t="n">
        <v>-0.2447221075747782</v>
      </c>
      <c r="X20" s="20" t="n">
        <v>-0.02054801078786525</v>
      </c>
      <c r="Y20" s="14" t="n">
        <v>1.25</v>
      </c>
      <c r="Z20" s="19">
        <f>IF(OR(Y20="",F20="",F20=0),"",Y20/F20)</f>
        <v/>
      </c>
      <c r="AA20" s="22" t="n">
        <v>135.1</v>
      </c>
      <c r="AB20" s="20" t="n">
        <v>0.016</v>
      </c>
      <c r="AC20" s="20" t="n">
        <v>0.7151217436320666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Henkel VZ</t>
        </is>
      </c>
      <c r="C21" s="12" t="inlineStr">
        <is>
          <t>HEN3.DE</t>
        </is>
      </c>
      <c r="D21" s="11" t="inlineStr">
        <is>
          <t>Beni per la casa</t>
        </is>
      </c>
      <c r="E21" s="13" t="inlineStr">
        <is>
          <t>Consumi</t>
        </is>
      </c>
      <c r="F21" s="14" t="n">
        <v>79.02</v>
      </c>
      <c r="G21" s="15" t="inlineStr">
        <is>
          <t>EUR</t>
        </is>
      </c>
      <c r="H21" s="14" t="n">
        <v>79.02</v>
      </c>
      <c r="I21" s="16" t="n">
        <v>31991.3</v>
      </c>
      <c r="J21" s="16" t="n">
        <v>31991.3</v>
      </c>
      <c r="K21" s="14" t="n">
        <v>4.93</v>
      </c>
      <c r="L21" s="14" t="n">
        <v>5.86276</v>
      </c>
      <c r="M21" s="17">
        <f>IF(OR(F21="",K21="",K21&lt;=0),"",F21/K21)</f>
        <v/>
      </c>
      <c r="N21" s="18" t="n">
        <v>1.5272812</v>
      </c>
      <c r="O21" s="19">
        <f>IF(OR(N21="",M21="",M21&lt;=0),"",N21/M21)</f>
        <v/>
      </c>
      <c r="P21" s="20" t="n">
        <v>0.09395000000000001</v>
      </c>
      <c r="Q21" s="20" t="n">
        <v>0.08012437507857159</v>
      </c>
      <c r="R21" s="20" t="n">
        <v>0.01593853352087433</v>
      </c>
      <c r="S21" s="21" t="n">
        <v>4</v>
      </c>
      <c r="T21" s="20" t="n"/>
      <c r="U21" s="20" t="n">
        <v>0.09929735532350932</v>
      </c>
      <c r="V21" s="20" t="n">
        <v>0.09235229155162894</v>
      </c>
      <c r="W21" s="20" t="n">
        <v>0.06615801626342736</v>
      </c>
      <c r="X21" s="20" t="n">
        <v>0.06268983717572076</v>
      </c>
      <c r="Y21" s="14" t="n">
        <v>2.07</v>
      </c>
      <c r="Z21" s="19">
        <f>IF(OR(Y21="",F21="",F21=0),"",Y21/F21)</f>
        <v/>
      </c>
      <c r="AA21" s="22" t="n">
        <v>32.159</v>
      </c>
      <c r="AB21" s="20" t="n">
        <v>-0.005</v>
      </c>
      <c r="AC21" s="20" t="n">
        <v>0.09333983586240546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270.65</v>
      </c>
      <c r="G22" s="15" t="inlineStr">
        <is>
          <t>EUR</t>
        </is>
      </c>
      <c r="H22" s="14" t="n">
        <v>270.65</v>
      </c>
      <c r="I22" s="16" t="n">
        <v>207172.6</v>
      </c>
      <c r="J22" s="16" t="n">
        <v>207172.6</v>
      </c>
      <c r="K22" s="14" t="n">
        <v>9.98</v>
      </c>
      <c r="L22" s="14" t="n">
        <v>13.00633</v>
      </c>
      <c r="M22" s="17">
        <f>IF(OR(F22="",K22="",K22&lt;=0),"",F22/K22)</f>
        <v/>
      </c>
      <c r="N22" s="18" t="n">
        <v>3.0690813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2026-10-16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65.04000000000001</v>
      </c>
      <c r="G23" s="15" t="inlineStr">
        <is>
          <t>EUR</t>
        </is>
      </c>
      <c r="H23" s="14" t="n">
        <v>65.04000000000001</v>
      </c>
      <c r="I23" s="16" t="n">
        <v>9390.799999999999</v>
      </c>
      <c r="J23" s="16" t="n">
        <v>9390.799999999999</v>
      </c>
      <c r="K23" s="14" t="n">
        <v>2.65</v>
      </c>
      <c r="L23" s="14" t="n">
        <v>4.17018</v>
      </c>
      <c r="M23" s="17">
        <f>IF(OR(F23="",K23="",K23&lt;=0),"",F23/K23)</f>
        <v/>
      </c>
      <c r="N23" s="18" t="n">
        <v>2.117946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2026-10-16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Beiersdorf</t>
        </is>
      </c>
      <c r="C24" s="12" t="inlineStr">
        <is>
          <t>BEI.DE</t>
        </is>
      </c>
      <c r="D24" s="11" t="inlineStr">
        <is>
          <t>Cura della persona</t>
        </is>
      </c>
      <c r="E24" s="13" t="inlineStr">
        <is>
          <t>Consumi</t>
        </is>
      </c>
      <c r="F24" s="14" t="n">
        <v>81.81999999999999</v>
      </c>
      <c r="G24" s="15" t="inlineStr">
        <is>
          <t>EUR</t>
        </is>
      </c>
      <c r="H24" s="14" t="n">
        <v>81.81999999999999</v>
      </c>
      <c r="I24" s="16" t="n">
        <v>17879.6</v>
      </c>
      <c r="J24" s="16" t="n">
        <v>17879.6</v>
      </c>
      <c r="K24" s="14" t="n">
        <v>4.35</v>
      </c>
      <c r="L24" s="14" t="n">
        <v>3.98892</v>
      </c>
      <c r="M24" s="17">
        <f>IF(OR(F24="",K24="",K24&lt;=0),"",F24/K24)</f>
        <v/>
      </c>
      <c r="N24" s="18" t="n">
        <v>1.9825059</v>
      </c>
      <c r="O24" s="19">
        <f>IF(OR(N24="",M24="",M24&lt;=0),"",N24/M24)</f>
        <v/>
      </c>
      <c r="P24" s="20" t="n">
        <v>0.10887</v>
      </c>
      <c r="Q24" s="20" t="n">
        <v>0.1005514061555024</v>
      </c>
      <c r="R24" s="20" t="n">
        <v>0.008420139168014068</v>
      </c>
      <c r="S24" s="21" t="n">
        <v>4</v>
      </c>
      <c r="T24" s="20" t="n"/>
      <c r="U24" s="20" t="n">
        <v>0.1091733519358214</v>
      </c>
      <c r="V24" s="20" t="n">
        <v>0.1076106194690265</v>
      </c>
      <c r="W24" s="20" t="n">
        <v>0.08844027877913962</v>
      </c>
      <c r="X24" s="20" t="n">
        <v>0.09698137443802184</v>
      </c>
      <c r="Y24" s="14" t="n">
        <v>1</v>
      </c>
      <c r="Z24" s="19">
        <f>IF(OR(Y24="",F24="",F24=0),"",Y24/F24)</f>
        <v/>
      </c>
      <c r="AA24" s="22" t="n">
        <v>1.221</v>
      </c>
      <c r="AB24" s="20" t="n">
        <v>-0.045</v>
      </c>
      <c r="AC24" s="20" t="n">
        <v>0.0952090946000812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2026-10-16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Infineon Technologies</t>
        </is>
      </c>
      <c r="C25" s="12" t="inlineStr">
        <is>
          <t>IFX.DE</t>
        </is>
      </c>
      <c r="D25" s="11" t="inlineStr">
        <is>
          <t>Semiconduttori</t>
        </is>
      </c>
      <c r="E25" s="13" t="inlineStr">
        <is>
          <t>Tecnologia</t>
        </is>
      </c>
      <c r="F25" s="14" t="n">
        <v>52.39</v>
      </c>
      <c r="G25" s="15" t="inlineStr">
        <is>
          <t>EUR</t>
        </is>
      </c>
      <c r="H25" s="14" t="n">
        <v>52.39</v>
      </c>
      <c r="I25" s="16" t="n">
        <v>68080.8</v>
      </c>
      <c r="J25" s="16" t="n">
        <v>68080.8</v>
      </c>
      <c r="K25" s="14" t="n">
        <v>0.79</v>
      </c>
      <c r="L25" s="14" t="n">
        <v>2.85362</v>
      </c>
      <c r="M25" s="17">
        <f>IF(OR(F25="",K25="",K25&lt;=0),"",F25/K25)</f>
        <v/>
      </c>
      <c r="N25" s="18" t="n">
        <v>3.92082</v>
      </c>
      <c r="O25" s="19">
        <f>IF(OR(N25="",M25="",M25&lt;=0),"",N25/M25)</f>
        <v/>
      </c>
      <c r="P25" s="20" t="n">
        <v>0.07019</v>
      </c>
      <c r="Q25" s="20" t="n">
        <v>0.1162368598156738</v>
      </c>
      <c r="R25" s="20" t="n">
        <v>0.05085412037839204</v>
      </c>
      <c r="S25" s="21" t="n">
        <v>4</v>
      </c>
      <c r="T25" s="20" t="n"/>
      <c r="U25" s="20" t="n">
        <v>0.05952730045158642</v>
      </c>
      <c r="V25" s="20" t="n">
        <v>0.07555607178117196</v>
      </c>
      <c r="W25" s="20" t="n">
        <v>0.1840530391926778</v>
      </c>
      <c r="X25" s="20" t="n">
        <v>0.1458110278372591</v>
      </c>
      <c r="Y25" s="14" t="n">
        <v>0.35</v>
      </c>
      <c r="Z25" s="19">
        <f>IF(OR(Y25="",F25="",F25=0),"",Y25/F25)</f>
        <v/>
      </c>
      <c r="AA25" s="22" t="n">
        <v>40.183</v>
      </c>
      <c r="AB25" s="20" t="n">
        <v>0.126</v>
      </c>
      <c r="AC25" s="20" t="n">
        <v>0.08211703723912153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2026-10-16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144.3</v>
      </c>
      <c r="G26" s="15" t="inlineStr">
        <is>
          <t>EUR</t>
        </is>
      </c>
      <c r="H26" s="14" t="n">
        <v>144.3</v>
      </c>
      <c r="I26" s="16" t="n">
        <v>62738.5</v>
      </c>
      <c r="J26" s="16" t="n">
        <v>62738.5</v>
      </c>
      <c r="K26" s="14" t="n">
        <v>5.57</v>
      </c>
      <c r="L26" s="14" t="n">
        <v>8.92984</v>
      </c>
      <c r="M26" s="17">
        <f>IF(OR(F26="",K26="",K26&lt;=0),"",F26/K26)</f>
        <v/>
      </c>
      <c r="N26" s="18" t="n">
        <v>2.0738719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2026-10-16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158.5</v>
      </c>
      <c r="G27" s="15" t="inlineStr">
        <is>
          <t>EUR</t>
        </is>
      </c>
      <c r="H27" s="14" t="n">
        <v>158.5</v>
      </c>
      <c r="I27" s="16" t="n">
        <v>27747.5</v>
      </c>
      <c r="J27" s="16" t="n">
        <v>27747.5</v>
      </c>
      <c r="K27" s="14" t="n">
        <v>8.380000000000001</v>
      </c>
      <c r="L27" s="14" t="n">
        <v>11.60782</v>
      </c>
      <c r="M27" s="17">
        <f>IF(OR(F27="",K27="",K27&lt;=0),"",F27/K27)</f>
        <v/>
      </c>
      <c r="N27" s="18" t="n">
        <v>4.6587505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2026-10-16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41.45</v>
      </c>
      <c r="G28" s="15" t="inlineStr">
        <is>
          <t>EUR</t>
        </is>
      </c>
      <c r="H28" s="14" t="n">
        <v>41.45</v>
      </c>
      <c r="I28" s="16" t="n">
        <v>46390.8</v>
      </c>
      <c r="J28" s="16" t="n">
        <v>46390.8</v>
      </c>
      <c r="K28" s="14" t="n">
        <v>2.09</v>
      </c>
      <c r="L28" s="14" t="n">
        <v>2.38123</v>
      </c>
      <c r="M28" s="17">
        <f>IF(OR(F28="",K28="",K28&lt;=0),"",F28/K28)</f>
        <v/>
      </c>
      <c r="N28" s="18" t="n">
        <v>2.419449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2026-10-16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SAP</t>
        </is>
      </c>
      <c r="C29" s="12" t="inlineStr">
        <is>
          <t>SAP.DE</t>
        </is>
      </c>
      <c r="D29" s="11" t="inlineStr">
        <is>
          <t>Software</t>
        </is>
      </c>
      <c r="E29" s="13" t="inlineStr">
        <is>
          <t>Tecnologia</t>
        </is>
      </c>
      <c r="F29" s="14" t="n">
        <v>199.22</v>
      </c>
      <c r="G29" s="15" t="inlineStr">
        <is>
          <t>EUR</t>
        </is>
      </c>
      <c r="H29" s="14" t="n">
        <v>199.22</v>
      </c>
      <c r="I29" s="16" t="n">
        <v>229940.6</v>
      </c>
      <c r="J29" s="16" t="n">
        <v>229940.6</v>
      </c>
      <c r="K29" s="14" t="n">
        <v>7.17</v>
      </c>
      <c r="L29" s="14" t="n">
        <v>8.37656</v>
      </c>
      <c r="M29" s="17">
        <f>IF(OR(F29="",K29="",K29&lt;=0),"",F29/K29)</f>
        <v/>
      </c>
      <c r="N29" s="18" t="n">
        <v>5.139172</v>
      </c>
      <c r="O29" s="19">
        <f>IF(OR(N29="",M29="",M29&lt;=0),"",N29/M29)</f>
        <v/>
      </c>
      <c r="P29" s="20" t="n">
        <v>0.18320999</v>
      </c>
      <c r="Q29" s="20" t="n">
        <v>0.1071119412848688</v>
      </c>
      <c r="R29" s="20" t="n">
        <v>0.04498832458418268</v>
      </c>
      <c r="S29" s="21" t="n">
        <v>4</v>
      </c>
      <c r="T29" s="20" t="n"/>
      <c r="U29" s="20" t="n">
        <v>0.160610954111156</v>
      </c>
      <c r="V29" s="20" t="n">
        <v>0.06875302610150094</v>
      </c>
      <c r="W29" s="20" t="n">
        <v>0.1422480709965938</v>
      </c>
      <c r="X29" s="20" t="n">
        <v>0.05683571393022446</v>
      </c>
      <c r="Y29" s="14" t="n">
        <v>2.5</v>
      </c>
      <c r="Z29" s="19">
        <f>IF(OR(Y29="",F29="",F29=0),"",Y29/F29)</f>
        <v/>
      </c>
      <c r="AA29" s="22" t="n">
        <v>21.966</v>
      </c>
      <c r="AB29" s="20" t="n">
        <v>0.094</v>
      </c>
      <c r="AC29" s="20" t="n">
        <v>0.2118478191304348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2026-10-16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41.77</v>
      </c>
      <c r="G30" s="15" t="inlineStr">
        <is>
          <t>EUR</t>
        </is>
      </c>
      <c r="H30" s="14" t="n">
        <v>41.77</v>
      </c>
      <c r="I30" s="16" t="n">
        <v>31754.1</v>
      </c>
      <c r="J30" s="16" t="n">
        <v>31754.1</v>
      </c>
      <c r="K30" s="14" t="n">
        <v>1.46</v>
      </c>
      <c r="L30" s="14" t="n">
        <v>4.77244</v>
      </c>
      <c r="M30" s="17">
        <f>IF(OR(F30="",K30="",K30&lt;=0),"",F30/K30)</f>
        <v/>
      </c>
      <c r="N30" s="18" t="n">
        <v>1.406871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2026-10-16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99.44</v>
      </c>
      <c r="G31" s="15" t="inlineStr">
        <is>
          <t>EUR</t>
        </is>
      </c>
      <c r="H31" s="14" t="n">
        <v>99.44</v>
      </c>
      <c r="I31" s="16" t="n">
        <v>13641.2</v>
      </c>
      <c r="J31" s="16" t="n">
        <v>13641.2</v>
      </c>
      <c r="K31" s="14" t="n">
        <v>1.79</v>
      </c>
      <c r="L31" s="14" t="n">
        <v>4.3862</v>
      </c>
      <c r="M31" s="17">
        <f>IF(OR(F31="",K31="",K31&lt;=0),"",F31/K31)</f>
        <v/>
      </c>
      <c r="N31" s="18" t="n">
        <v>3.6534646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2026-10-16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25.25</v>
      </c>
      <c r="G32" s="15" t="inlineStr">
        <is>
          <t>EUR</t>
        </is>
      </c>
      <c r="H32" s="14" t="n">
        <v>25.25</v>
      </c>
      <c r="I32" s="16" t="n">
        <v>6166.6</v>
      </c>
      <c r="J32" s="16" t="n">
        <v>6166.6</v>
      </c>
      <c r="K32" s="14" t="n">
        <v>0.41</v>
      </c>
      <c r="L32" s="14" t="n">
        <v>1.85143</v>
      </c>
      <c r="M32" s="17">
        <f>IF(OR(F32="",K32="",K32&lt;=0),"",F32/K32)</f>
        <v/>
      </c>
      <c r="N32" s="18" t="n">
        <v>2.4505048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2026-10-16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42.16</v>
      </c>
      <c r="G33" s="15" t="inlineStr">
        <is>
          <t>EUR</t>
        </is>
      </c>
      <c r="H33" s="14" t="n">
        <v>42.16</v>
      </c>
      <c r="I33" s="16" t="n">
        <v>38407.8</v>
      </c>
      <c r="J33" s="16" t="n">
        <v>38407.8</v>
      </c>
      <c r="K33" s="14" t="n">
        <v>0.89</v>
      </c>
      <c r="L33" s="14" t="n">
        <v>1.81587</v>
      </c>
      <c r="M33" s="17">
        <f>IF(OR(F33="",K33="",K33&lt;=0),"",F33/K33)</f>
        <v/>
      </c>
      <c r="N33" s="18" t="n">
        <v>1.6805516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2026-10-16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41.03</v>
      </c>
      <c r="G34" s="15" t="inlineStr">
        <is>
          <t>EUR</t>
        </is>
      </c>
      <c r="H34" s="14" t="n">
        <v>41.03</v>
      </c>
      <c r="I34" s="16" t="n">
        <v>8472.5</v>
      </c>
      <c r="J34" s="16" t="n">
        <v>8472.5</v>
      </c>
      <c r="K34" s="14" t="n">
        <v>1.7</v>
      </c>
      <c r="L34" s="14" t="n">
        <v>2.27313</v>
      </c>
      <c r="M34" s="17">
        <f>IF(OR(F34="",K34="",K34&lt;=0),"",F34/K34)</f>
        <v/>
      </c>
      <c r="N34" s="18" t="n">
        <v>2.8246887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2026-10-16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134.98</v>
      </c>
      <c r="G35" s="15" t="inlineStr">
        <is>
          <t>EUR</t>
        </is>
      </c>
      <c r="H35" s="14" t="n">
        <v>134.98</v>
      </c>
      <c r="I35" s="16" t="n">
        <v>114847.5</v>
      </c>
      <c r="J35" s="16" t="n">
        <v>114847.5</v>
      </c>
      <c r="K35" s="14" t="n">
        <v>2.86</v>
      </c>
      <c r="L35" s="14" t="n">
        <v>6.24731</v>
      </c>
      <c r="M35" s="17">
        <f>IF(OR(F35="",K35="",K35&lt;=0),"",F35/K35)</f>
        <v/>
      </c>
      <c r="N35" s="18" t="n">
        <v>10.70675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2026-10-16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45.075</v>
      </c>
      <c r="G36" s="15" t="inlineStr">
        <is>
          <t>EUR</t>
        </is>
      </c>
      <c r="H36" s="14" t="n">
        <v>45.075</v>
      </c>
      <c r="I36" s="16" t="n">
        <v>25387.9</v>
      </c>
      <c r="J36" s="16" t="n">
        <v>25387.9</v>
      </c>
      <c r="K36" s="14" t="n">
        <v>2.79</v>
      </c>
      <c r="L36" s="14" t="n">
        <v>3.95467</v>
      </c>
      <c r="M36" s="17">
        <f>IF(OR(F36="",K36="",K36&lt;=0),"",F36/K36)</f>
        <v/>
      </c>
      <c r="N36" s="18" t="n">
        <v>1.2887778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2026-10-16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</v>
      </c>
      <c r="G37" s="15" t="inlineStr">
        <is>
          <t>EUR</t>
        </is>
      </c>
      <c r="H37" s="14" t="n">
        <v>25</v>
      </c>
      <c r="I37" s="16" t="n">
        <v>7656.2</v>
      </c>
      <c r="J37" s="16" t="n">
        <v>7656.2</v>
      </c>
      <c r="K37" s="14" t="n">
        <v>0.3</v>
      </c>
      <c r="L37" s="14" t="n">
        <v>13.85479</v>
      </c>
      <c r="M37" s="17">
        <f>IF(OR(F37="",K37="",K37&lt;=0),"",F37/K37)</f>
        <v/>
      </c>
      <c r="N37" s="18" t="n">
        <v>0.21430531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2026-10-16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261</v>
      </c>
      <c r="G38" s="15" t="inlineStr">
        <is>
          <t>EUR</t>
        </is>
      </c>
      <c r="H38" s="14" t="n">
        <v>261</v>
      </c>
      <c r="I38" s="16" t="n">
        <v>18022.6</v>
      </c>
      <c r="J38" s="16" t="n">
        <v>18022.6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6.658333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2026-10-16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53.23</v>
      </c>
      <c r="G39" s="15" t="inlineStr">
        <is>
          <t>EUR</t>
        </is>
      </c>
      <c r="H39" s="14" t="n">
        <v>53.23</v>
      </c>
      <c r="I39" s="16" t="n">
        <v>47072.6</v>
      </c>
      <c r="J39" s="16" t="n">
        <v>47072.6</v>
      </c>
      <c r="K39" s="14" t="n">
        <v>2.46</v>
      </c>
      <c r="L39" s="14" t="n">
        <v>2.95887</v>
      </c>
      <c r="M39" s="17">
        <f>IF(OR(F39="",K39="",K39&lt;=0),"",F39/K39)</f>
        <v/>
      </c>
      <c r="N39" s="18" t="n">
        <v>1.2709517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2026-10-16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44.46</v>
      </c>
      <c r="G40" s="15" t="inlineStr">
        <is>
          <t>EUR</t>
        </is>
      </c>
      <c r="H40" s="14" t="n">
        <v>44.46</v>
      </c>
      <c r="I40" s="16" t="n">
        <v>43678.6</v>
      </c>
      <c r="J40" s="16" t="n">
        <v>43678.6</v>
      </c>
      <c r="K40" s="14" t="n">
        <v>-1.78</v>
      </c>
      <c r="L40" s="14" t="n">
        <v>4.83721</v>
      </c>
      <c r="M40" s="17">
        <f>IF(OR(F40="",K40="",K40&lt;=0),"",F40/K40)</f>
        <v/>
      </c>
      <c r="N40" s="18" t="n">
        <v>1.4764386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2026-10-16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69.98</v>
      </c>
      <c r="G41" s="15" t="inlineStr">
        <is>
          <t>EUR</t>
        </is>
      </c>
      <c r="H41" s="14" t="n">
        <v>69.98</v>
      </c>
      <c r="I41" s="16" t="n">
        <v>13996.4</v>
      </c>
      <c r="J41" s="16" t="n">
        <v>13996.4</v>
      </c>
      <c r="K41" s="14" t="n">
        <v>-2.34</v>
      </c>
      <c r="L41" s="14" t="n">
        <v>6.57333</v>
      </c>
      <c r="M41" s="17">
        <f>IF(OR(F41="",K41="",K41&lt;=0),"",F41/K41)</f>
        <v/>
      </c>
      <c r="N41" s="18" t="n">
        <v>3.330795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2026-10-16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2026-10-16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444.2</v>
      </c>
      <c r="G43" s="15" t="inlineStr">
        <is>
          <t>EUR</t>
        </is>
      </c>
      <c r="H43" s="14" t="n">
        <v>444.2</v>
      </c>
      <c r="I43" s="16" t="n">
        <v>204767.4</v>
      </c>
      <c r="J43" s="16" t="n">
        <v>204767.4</v>
      </c>
      <c r="K43" s="14" t="n"/>
      <c r="L43" s="14" t="n"/>
      <c r="M43" s="17">
        <f>IF(OR(F43="",K43="",K43&lt;=0),"",F43/K43)</f>
        <v/>
      </c>
      <c r="N43" s="18" t="n">
        <v>5.8655906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2026-10-16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24.24</v>
      </c>
      <c r="G44" s="15" t="inlineStr">
        <is>
          <t>EUR</t>
        </is>
      </c>
      <c r="H44" s="14" t="n">
        <v>24.24</v>
      </c>
      <c r="I44" s="16" t="n">
        <v>3568.3</v>
      </c>
      <c r="J44" s="16" t="n">
        <v>3568.3</v>
      </c>
      <c r="K44" s="14" t="n">
        <v>-3.17</v>
      </c>
      <c r="L44" s="14" t="n">
        <v>0.27222</v>
      </c>
      <c r="M44" s="17">
        <f>IF(OR(F44="",K44="",K44&lt;=0),"",F44/K44)</f>
        <v/>
      </c>
      <c r="N44" s="18" t="n">
        <v>1.9520051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2026-10-16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80.70999999999999</v>
      </c>
      <c r="G2" s="15" t="inlineStr">
        <is>
          <t>EUR</t>
        </is>
      </c>
      <c r="H2" s="14" t="n">
        <v>80.70999999999999</v>
      </c>
      <c r="I2" s="16" t="n">
        <v>177951.7</v>
      </c>
      <c r="J2" s="16" t="n">
        <v>177951.7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1.5735744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89.55</v>
      </c>
      <c r="G3" s="15" t="inlineStr">
        <is>
          <t>EUR</t>
        </is>
      </c>
      <c r="H3" s="14" t="n">
        <v>89.55</v>
      </c>
      <c r="I3" s="16" t="n">
        <v>98146.8</v>
      </c>
      <c r="J3" s="16" t="n">
        <v>98146.8</v>
      </c>
      <c r="K3" s="14" t="n">
        <v>11.23</v>
      </c>
      <c r="L3" s="14" t="n">
        <v>13.25077</v>
      </c>
      <c r="M3" s="17">
        <f>IF(OR(F3="",K3="",K3&lt;=0),"",F3/K3)</f>
        <v/>
      </c>
      <c r="N3" s="18" t="n">
        <v>0.8172112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108.05</v>
      </c>
      <c r="G4" s="15" t="inlineStr">
        <is>
          <t>EUR</t>
        </is>
      </c>
      <c r="H4" s="14" t="n">
        <v>108.05</v>
      </c>
      <c r="I4" s="16" t="n">
        <v>59594.9</v>
      </c>
      <c r="J4" s="16" t="n">
        <v>59594.9</v>
      </c>
      <c r="K4" s="14" t="n">
        <v>9.01</v>
      </c>
      <c r="L4" s="14" t="n">
        <v>10.09205</v>
      </c>
      <c r="M4" s="17">
        <f>IF(OR(F4="",K4="",K4&lt;=0),"",F4/K4)</f>
        <v/>
      </c>
      <c r="N4" s="18" t="n">
        <v>1.9573567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74.68000000000001</v>
      </c>
      <c r="G5" s="15" t="inlineStr">
        <is>
          <t>EUR</t>
        </is>
      </c>
      <c r="H5" s="14" t="n">
        <v>74.68000000000001</v>
      </c>
      <c r="I5" s="16" t="n">
        <v>4341.4</v>
      </c>
      <c r="J5" s="16" t="n">
        <v>4341.4</v>
      </c>
      <c r="K5" s="14" t="n">
        <v>7.91</v>
      </c>
      <c r="L5" s="14" t="n">
        <v>14.21599</v>
      </c>
      <c r="M5" s="17">
        <f>IF(OR(F5="",K5="",K5&lt;=0),"",F5/K5)</f>
        <v/>
      </c>
      <c r="N5" s="18" t="n">
        <v>1.0353959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42.97</v>
      </c>
      <c r="G6" s="15" t="inlineStr">
        <is>
          <t>EUR</t>
        </is>
      </c>
      <c r="H6" s="14" t="n">
        <v>42.97</v>
      </c>
      <c r="I6" s="16" t="n">
        <v>89853.10000000001</v>
      </c>
      <c r="J6" s="16" t="n">
        <v>89853.10000000001</v>
      </c>
      <c r="K6" s="14" t="n">
        <v>3.71</v>
      </c>
      <c r="L6" s="14" t="n">
        <v>4.47797</v>
      </c>
      <c r="M6" s="17">
        <f>IF(OR(F6="",K6="",K6&lt;=0),"",F6/K6)</f>
        <v/>
      </c>
      <c r="N6" s="18" t="n">
        <v>1.9451361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15.715</v>
      </c>
      <c r="G7" s="15" t="inlineStr">
        <is>
          <t>EUR</t>
        </is>
      </c>
      <c r="H7" s="14" t="n">
        <v>15.715</v>
      </c>
      <c r="I7" s="16" t="n">
        <v>47668.9</v>
      </c>
      <c r="J7" s="16" t="n">
        <v>47668.9</v>
      </c>
      <c r="K7" s="14" t="n">
        <v>1.98</v>
      </c>
      <c r="L7" s="14" t="n">
        <v>2.48891</v>
      </c>
      <c r="M7" s="17">
        <f>IF(OR(F7="",K7="",K7&lt;=0),"",F7/K7)</f>
        <v/>
      </c>
      <c r="N7" s="18" t="n">
        <v>0.67737067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Capgemini</t>
        </is>
      </c>
      <c r="C8" s="12" t="inlineStr">
        <is>
          <t>CAP.PA</t>
        </is>
      </c>
      <c r="D8" s="11" t="inlineStr">
        <is>
          <t>Servizi IT</t>
        </is>
      </c>
      <c r="E8" s="13" t="inlineStr">
        <is>
          <t>Tecnologia</t>
        </is>
      </c>
      <c r="F8" s="14" t="n">
        <v>121.35</v>
      </c>
      <c r="G8" s="15" t="inlineStr">
        <is>
          <t>EUR</t>
        </is>
      </c>
      <c r="H8" s="14" t="n">
        <v>121.35</v>
      </c>
      <c r="I8" s="16" t="n">
        <v>20144.4</v>
      </c>
      <c r="J8" s="16" t="n">
        <v>20144.4</v>
      </c>
      <c r="K8" s="14" t="n">
        <v>7.87</v>
      </c>
      <c r="L8" s="14" t="n">
        <v>13.77383</v>
      </c>
      <c r="M8" s="17">
        <f>IF(OR(F8="",K8="",K8&lt;=0),"",F8/K8)</f>
        <v/>
      </c>
      <c r="N8" s="18" t="n">
        <v>1.7587466</v>
      </c>
      <c r="O8" s="19">
        <f>IF(OR(N8="",M8="",M8&lt;=0),"",N8/M8)</f>
        <v/>
      </c>
      <c r="P8" s="20" t="n">
        <v>0.12202</v>
      </c>
      <c r="Q8" s="20" t="n">
        <v>0.1493697560657985</v>
      </c>
      <c r="R8" s="20" t="n">
        <v>0.009817698883656849</v>
      </c>
      <c r="S8" s="21" t="n">
        <v>4</v>
      </c>
      <c r="T8" s="20" t="n"/>
      <c r="U8" s="20" t="n">
        <v>0.137448489010989</v>
      </c>
      <c r="V8" s="20" t="n">
        <v>0.1419108280254777</v>
      </c>
      <c r="W8" s="20" t="n">
        <v>0.1590778649320834</v>
      </c>
      <c r="X8" s="20" t="n">
        <v>0.1590418422946438</v>
      </c>
      <c r="Y8" s="14" t="n">
        <v>3.4</v>
      </c>
      <c r="Z8" s="19">
        <f>IF(OR(Y8="",F8="",F8=0),"",Y8/F8)</f>
        <v/>
      </c>
      <c r="AA8" s="22" t="n">
        <v>87.509</v>
      </c>
      <c r="AB8" s="20" t="n">
        <v>0.08799999999999999</v>
      </c>
      <c r="AC8" s="20" t="n">
        <v>0.06120632379256621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198.82</v>
      </c>
      <c r="G9" s="15" t="inlineStr">
        <is>
          <t>EUR</t>
        </is>
      </c>
      <c r="H9" s="14" t="n">
        <v>198.82</v>
      </c>
      <c r="I9" s="16" t="n">
        <v>157362.2</v>
      </c>
      <c r="J9" s="16" t="n">
        <v>157362.2</v>
      </c>
      <c r="K9" s="14" t="n">
        <v>7.51</v>
      </c>
      <c r="L9" s="14" t="n">
        <v>8.72044</v>
      </c>
      <c r="M9" s="17">
        <f>IF(OR(F9="",K9="",K9&lt;=0),"",F9/K9)</f>
        <v/>
      </c>
      <c r="N9" s="18" t="n">
        <v>6.081796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66.54000000000001</v>
      </c>
      <c r="G10" s="15" t="inlineStr">
        <is>
          <t>EUR</t>
        </is>
      </c>
      <c r="H10" s="14" t="n">
        <v>66.54000000000001</v>
      </c>
      <c r="I10" s="16" t="n">
        <v>32495.5</v>
      </c>
      <c r="J10" s="16" t="n">
        <v>32495.5</v>
      </c>
      <c r="K10" s="14" t="n">
        <v>5.39</v>
      </c>
      <c r="L10" s="14" t="n">
        <v>6.80623</v>
      </c>
      <c r="M10" s="17">
        <f>IF(OR(F10="",K10="",K10&lt;=0),"",F10/K10)</f>
        <v/>
      </c>
      <c r="N10" s="18" t="n">
        <v>1.2819822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1337.5</v>
      </c>
      <c r="G11" s="15" t="inlineStr">
        <is>
          <t>EUR</t>
        </is>
      </c>
      <c r="H11" s="14" t="n">
        <v>1337.5</v>
      </c>
      <c r="I11" s="16" t="n">
        <v>140091.8</v>
      </c>
      <c r="J11" s="16" t="n">
        <v>140091.8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7.3643584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16.61</v>
      </c>
      <c r="G12" s="15" t="inlineStr">
        <is>
          <t>EUR</t>
        </is>
      </c>
      <c r="H12" s="14" t="n">
        <v>16.61</v>
      </c>
      <c r="I12" s="16" t="n">
        <v>11753.5</v>
      </c>
      <c r="J12" s="16" t="n">
        <v>11753.5</v>
      </c>
      <c r="K12" s="14" t="n">
        <v>2.15</v>
      </c>
      <c r="L12" s="14" t="n">
        <v>1.87459</v>
      </c>
      <c r="M12" s="17">
        <f>IF(OR(F12="",K12="",K12&lt;=0),"",F12/K12)</f>
        <v/>
      </c>
      <c r="N12" s="18" t="n">
        <v>1.0620204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102.45</v>
      </c>
      <c r="G13" s="15" t="inlineStr">
        <is>
          <t>EUR</t>
        </is>
      </c>
      <c r="H13" s="14" t="n">
        <v>102.45</v>
      </c>
      <c r="I13" s="16" t="n">
        <v>25583.9</v>
      </c>
      <c r="J13" s="16" t="n">
        <v>25583.9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2.4321628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64.47</v>
      </c>
      <c r="G14" s="15" t="inlineStr">
        <is>
          <t>EUR</t>
        </is>
      </c>
      <c r="H14" s="14" t="n">
        <v>64.47</v>
      </c>
      <c r="I14" s="16" t="n">
        <v>46719.8</v>
      </c>
      <c r="J14" s="16" t="n">
        <v>46719.8</v>
      </c>
      <c r="K14" s="14" t="n">
        <v>7.79</v>
      </c>
      <c r="L14" s="14" t="n">
        <v>9.20004</v>
      </c>
      <c r="M14" s="17">
        <f>IF(OR(F14="",K14="",K14&lt;=0),"",F14/K14)</f>
        <v/>
      </c>
      <c r="N14" s="18" t="n">
        <v>0.6580049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397</v>
      </c>
      <c r="G15" s="15" t="inlineStr">
        <is>
          <t>EUR</t>
        </is>
      </c>
      <c r="H15" s="14" t="n">
        <v>397</v>
      </c>
      <c r="I15" s="16" t="n">
        <v>195707.2</v>
      </c>
      <c r="J15" s="16" t="n">
        <v>195707.2</v>
      </c>
      <c r="K15" s="14" t="n">
        <v>21.94</v>
      </c>
      <c r="L15" s="14" t="n">
        <v>24.16192</v>
      </c>
      <c r="M15" s="17">
        <f>IF(OR(F15="",K15="",K15&lt;=0),"",F15/K15)</f>
        <v/>
      </c>
      <c r="N15" s="18" t="n">
        <v>2.874812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134</v>
      </c>
      <c r="G16" s="15" t="inlineStr">
        <is>
          <t>EUR</t>
        </is>
      </c>
      <c r="H16" s="14" t="n">
        <v>134</v>
      </c>
      <c r="I16" s="16" t="n">
        <v>35123.2</v>
      </c>
      <c r="J16" s="16" t="n">
        <v>35123.2</v>
      </c>
      <c r="K16" s="14" t="n">
        <v>4.97</v>
      </c>
      <c r="L16" s="14" t="n">
        <v>6.86233</v>
      </c>
      <c r="M16" s="17">
        <f>IF(OR(F16="",K16="",K16&lt;=0),"",F16/K16)</f>
        <v/>
      </c>
      <c r="N16" s="18" t="n">
        <v>4.6872816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407.4</v>
      </c>
      <c r="G17" s="15" t="inlineStr">
        <is>
          <t>EUR</t>
        </is>
      </c>
      <c r="H17" s="14" t="n">
        <v>407.4</v>
      </c>
      <c r="I17" s="16" t="n">
        <v>216899.4</v>
      </c>
      <c r="J17" s="16" t="n">
        <v>216899.4</v>
      </c>
      <c r="K17" s="14" t="n">
        <v>11.78</v>
      </c>
      <c r="L17" s="14" t="n">
        <v>14.9293</v>
      </c>
      <c r="M17" s="17">
        <f>IF(OR(F17="",K17="",K17&lt;=0),"",F17/K17)</f>
        <v/>
      </c>
      <c r="N17" s="18" t="n">
        <v>6.409389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68.22</v>
      </c>
      <c r="G18" s="15" t="inlineStr">
        <is>
          <t>EUR</t>
        </is>
      </c>
      <c r="H18" s="14" t="n">
        <v>68.22</v>
      </c>
      <c r="I18" s="16" t="n">
        <v>17178.7</v>
      </c>
      <c r="J18" s="16" t="n">
        <v>17178.7</v>
      </c>
      <c r="K18" s="14" t="n">
        <v>4.77</v>
      </c>
      <c r="L18" s="14" t="n">
        <v>5.90185</v>
      </c>
      <c r="M18" s="17">
        <f>IF(OR(F18="",K18="",K18&lt;=0),"",F18/K18)</f>
        <v/>
      </c>
      <c r="N18" s="18" t="n">
        <v>1.1077193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27.59</v>
      </c>
      <c r="G19" s="15" t="inlineStr">
        <is>
          <t>EUR</t>
        </is>
      </c>
      <c r="H19" s="14" t="n">
        <v>27.59</v>
      </c>
      <c r="I19" s="16" t="n">
        <v>7983.8</v>
      </c>
      <c r="J19" s="16" t="n">
        <v>7983.8</v>
      </c>
      <c r="K19" s="14" t="n">
        <v>3.27</v>
      </c>
      <c r="L19" s="14" t="n">
        <v>6.42452</v>
      </c>
      <c r="M19" s="17">
        <f>IF(OR(F19="",K19="",K19&lt;=0),"",F19/K19)</f>
        <v/>
      </c>
      <c r="N19" s="18" t="n">
        <v>0.38916156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234</v>
      </c>
      <c r="G20" s="15" t="inlineStr">
        <is>
          <t>EUR</t>
        </is>
      </c>
      <c r="H20" s="14" t="n">
        <v>234</v>
      </c>
      <c r="I20" s="16" t="n">
        <v>48123.9</v>
      </c>
      <c r="J20" s="16" t="n">
        <v>48123.9</v>
      </c>
      <c r="K20" s="14" t="n">
        <v>7.26</v>
      </c>
      <c r="L20" s="14" t="n">
        <v>12.39858</v>
      </c>
      <c r="M20" s="17">
        <f>IF(OR(F20="",K20="",K20&lt;=0),"",F20/K20)</f>
        <v/>
      </c>
      <c r="N20" s="18" t="n">
        <v>6.0046186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253.3</v>
      </c>
      <c r="G21" s="15" t="inlineStr">
        <is>
          <t>EUR</t>
        </is>
      </c>
      <c r="H21" s="14" t="n">
        <v>253.3</v>
      </c>
      <c r="I21" s="16" t="n">
        <v>142684.2</v>
      </c>
      <c r="J21" s="16" t="n">
        <v>142684.2</v>
      </c>
      <c r="K21" s="14" t="n">
        <v>8.32</v>
      </c>
      <c r="L21" s="14" t="n">
        <v>12.3388</v>
      </c>
      <c r="M21" s="17">
        <f>IF(OR(F21="",K21="",K21&lt;=0),"",F21/K21)</f>
        <v/>
      </c>
      <c r="N21" s="18" t="n">
        <v>5.822587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14.565</v>
      </c>
      <c r="G22" s="15" t="inlineStr">
        <is>
          <t>EUR</t>
        </is>
      </c>
      <c r="H22" s="14" t="n">
        <v>14.565</v>
      </c>
      <c r="I22" s="16" t="n">
        <v>38710.5</v>
      </c>
      <c r="J22" s="16" t="n">
        <v>38710.5</v>
      </c>
      <c r="K22" s="14" t="n">
        <v>1.07</v>
      </c>
      <c r="L22" s="14" t="n">
        <v>1.1491</v>
      </c>
      <c r="M22" s="17">
        <f>IF(OR(F22="",K22="",K22&lt;=0),"",F22/K22)</f>
        <v/>
      </c>
      <c r="N22" s="18" t="n">
        <v>1.2163855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2026-10-16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89.81999999999999</v>
      </c>
      <c r="G23" s="15" t="inlineStr">
        <is>
          <t>EUR</t>
        </is>
      </c>
      <c r="H23" s="14" t="n">
        <v>89.81999999999999</v>
      </c>
      <c r="I23" s="16" t="n">
        <v>12981</v>
      </c>
      <c r="J23" s="16" t="n">
        <v>12981</v>
      </c>
      <c r="K23" s="14" t="n">
        <v>10.8</v>
      </c>
      <c r="L23" s="14" t="n">
        <v>9.404109999999999</v>
      </c>
      <c r="M23" s="17">
        <f>IF(OR(F23="",K23="",K23&lt;=0),"",F23/K23)</f>
        <v/>
      </c>
      <c r="N23" s="18" t="n">
        <v>0.7904116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2026-10-16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23.1</v>
      </c>
      <c r="G24" s="15" t="inlineStr">
        <is>
          <t>EUR</t>
        </is>
      </c>
      <c r="H24" s="14" t="n">
        <v>23.1</v>
      </c>
      <c r="I24" s="16" t="n">
        <v>30355.3</v>
      </c>
      <c r="J24" s="16" t="n">
        <v>30355.3</v>
      </c>
      <c r="K24" s="14" t="n">
        <v>0.97</v>
      </c>
      <c r="L24" s="14" t="n">
        <v>1.4092</v>
      </c>
      <c r="M24" s="17">
        <f>IF(OR(F24="",K24="",K24&lt;=0),"",F24/K24)</f>
        <v/>
      </c>
      <c r="N24" s="18" t="n">
        <v>3.2821825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2026-10-16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71.94</v>
      </c>
      <c r="G25" s="15" t="inlineStr">
        <is>
          <t>EUR</t>
        </is>
      </c>
      <c r="H25" s="14" t="n">
        <v>71.94</v>
      </c>
      <c r="I25" s="16" t="n">
        <v>86189.10000000001</v>
      </c>
      <c r="J25" s="16" t="n">
        <v>86189.10000000001</v>
      </c>
      <c r="K25" s="14" t="n">
        <v>3.25</v>
      </c>
      <c r="L25" s="14" t="n">
        <v>9.037610000000001</v>
      </c>
      <c r="M25" s="17">
        <f>IF(OR(F25="",K25="",K25&lt;=0),"",F25/K25)</f>
        <v/>
      </c>
      <c r="N25" s="18" t="n">
        <v>1.2453909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2026-10-16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173.16</v>
      </c>
      <c r="G26" s="15" t="inlineStr">
        <is>
          <t>EUR</t>
        </is>
      </c>
      <c r="H26" s="14" t="n">
        <v>173.16</v>
      </c>
      <c r="I26" s="16" t="n">
        <v>110504.5</v>
      </c>
      <c r="J26" s="16" t="n">
        <v>110504.5</v>
      </c>
      <c r="K26" s="14" t="n">
        <v>5.55</v>
      </c>
      <c r="L26" s="14" t="n">
        <v>7.18908</v>
      </c>
      <c r="M26" s="17">
        <f>IF(OR(F26="",K26="",K26&lt;=0),"",F26/K26)</f>
        <v/>
      </c>
      <c r="N26" s="18" t="n">
        <v>4.156206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2026-10-16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23.42</v>
      </c>
      <c r="G27" s="15" t="inlineStr">
        <is>
          <t>EUR</t>
        </is>
      </c>
      <c r="H27" s="14" t="n">
        <v>23.42</v>
      </c>
      <c r="I27" s="16" t="n">
        <v>59501</v>
      </c>
      <c r="J27" s="16" t="n">
        <v>59501</v>
      </c>
      <c r="K27" s="14" t="n">
        <v>1.63</v>
      </c>
      <c r="L27" s="14" t="n">
        <v>2.11061</v>
      </c>
      <c r="M27" s="17">
        <f>IF(OR(F27="",K27="",K27&lt;=0),"",F27/K27)</f>
        <v/>
      </c>
      <c r="N27" s="18" t="n">
        <v>1.7458069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2026-10-16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154.4</v>
      </c>
      <c r="G28" s="15" t="inlineStr">
        <is>
          <t>EUR</t>
        </is>
      </c>
      <c r="H28" s="14" t="n">
        <v>154.4</v>
      </c>
      <c r="I28" s="16" t="n">
        <v>70772.7</v>
      </c>
      <c r="J28" s="16" t="n">
        <v>70772.7</v>
      </c>
      <c r="K28" s="14" t="n">
        <v>5.35</v>
      </c>
      <c r="L28" s="14" t="n">
        <v>7.86994</v>
      </c>
      <c r="M28" s="17">
        <f>IF(OR(F28="",K28="",K28&lt;=0),"",F28/K28)</f>
        <v/>
      </c>
      <c r="N28" s="18" t="n">
        <v>1.8094456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2026-10-16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32.4</v>
      </c>
      <c r="G29" s="15" t="inlineStr">
        <is>
          <t>EUR</t>
        </is>
      </c>
      <c r="H29" s="14" t="n">
        <v>32.4</v>
      </c>
      <c r="I29" s="16" t="n">
        <v>24042.9</v>
      </c>
      <c r="J29" s="16" t="n">
        <v>24042.9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3.325123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2026-10-16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78.26000000000001</v>
      </c>
      <c r="G30" s="15" t="inlineStr">
        <is>
          <t>EUR</t>
        </is>
      </c>
      <c r="H30" s="14" t="n">
        <v>78.26000000000001</v>
      </c>
      <c r="I30" s="16" t="n">
        <v>13391.2</v>
      </c>
      <c r="J30" s="16" t="n">
        <v>13391.2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3.7527573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2026-10-16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317</v>
      </c>
      <c r="G31" s="15" t="inlineStr">
        <is>
          <t>EUR</t>
        </is>
      </c>
      <c r="H31" s="14" t="n">
        <v>317</v>
      </c>
      <c r="I31" s="16" t="n">
        <v>131247.8</v>
      </c>
      <c r="J31" s="16" t="n">
        <v>131247.8</v>
      </c>
      <c r="K31" s="14" t="n">
        <v>9.31</v>
      </c>
      <c r="L31" s="14" t="n">
        <v>12.95408</v>
      </c>
      <c r="M31" s="17">
        <f>IF(OR(F31="",K31="",K31&lt;=0),"",F31/K31)</f>
        <v/>
      </c>
      <c r="N31" s="18" t="n">
        <v>9.055849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2026-10-16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61.56</v>
      </c>
      <c r="G32" s="15" t="inlineStr">
        <is>
          <t>EUR</t>
        </is>
      </c>
      <c r="H32" s="14" t="n">
        <v>61.56</v>
      </c>
      <c r="I32" s="16" t="n">
        <v>39650.5</v>
      </c>
      <c r="J32" s="16" t="n">
        <v>39650.5</v>
      </c>
      <c r="K32" s="14" t="n">
        <v>3.02</v>
      </c>
      <c r="L32" s="14" t="n">
        <v>4.21721</v>
      </c>
      <c r="M32" s="17">
        <f>IF(OR(F32="",K32="",K32&lt;=0),"",F32/K32)</f>
        <v/>
      </c>
      <c r="N32" s="18" t="n">
        <v>2.2489316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2026-10-16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30.05</v>
      </c>
      <c r="G33" s="15" t="inlineStr">
        <is>
          <t>EUR</t>
        </is>
      </c>
      <c r="H33" s="14" t="n">
        <v>30.05</v>
      </c>
      <c r="I33" s="16" t="n">
        <v>6859.5</v>
      </c>
      <c r="J33" s="16" t="n">
        <v>6859.5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-7.055647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2026-10-16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216.95</v>
      </c>
      <c r="G34" s="15" t="inlineStr">
        <is>
          <t>EUR</t>
        </is>
      </c>
      <c r="H34" s="14" t="n">
        <v>216.95</v>
      </c>
      <c r="I34" s="16" t="n">
        <v>26602</v>
      </c>
      <c r="J34" s="16" t="n">
        <v>26602</v>
      </c>
      <c r="K34" s="14" t="n">
        <v>-2.98</v>
      </c>
      <c r="L34" s="14" t="n">
        <v>9.608470000000001</v>
      </c>
      <c r="M34" s="17">
        <f>IF(OR(F34="",K34="",K34&lt;=0),"",F34/K34)</f>
        <v/>
      </c>
      <c r="N34" s="18" t="n">
        <v>1.8369092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2026-10-16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33.67</v>
      </c>
      <c r="G35" s="15" t="inlineStr">
        <is>
          <t>EUR</t>
        </is>
      </c>
      <c r="H35" s="14" t="n">
        <v>33.67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0.40143546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2026-10-16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11.856</v>
      </c>
      <c r="G36" s="15" t="inlineStr">
        <is>
          <t>EUR</t>
        </is>
      </c>
      <c r="H36" s="14" t="n">
        <v>11.856</v>
      </c>
      <c r="I36" s="16" t="n">
        <v>670.5</v>
      </c>
      <c r="J36" s="16" t="n">
        <v>670.5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0.17989531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2026-10-16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35.96</v>
      </c>
      <c r="G2" s="15" t="inlineStr">
        <is>
          <t>EUR</t>
        </is>
      </c>
      <c r="H2" s="14" t="n">
        <v>35.96</v>
      </c>
      <c r="I2" s="16" t="n">
        <v>75154.8</v>
      </c>
      <c r="J2" s="16" t="n">
        <v>75154.8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1.662818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155.55</v>
      </c>
      <c r="G3" s="15" t="inlineStr">
        <is>
          <t>EUR</t>
        </is>
      </c>
      <c r="H3" s="14" t="n">
        <v>155.55</v>
      </c>
      <c r="I3" s="16" t="n">
        <v>12306.1</v>
      </c>
      <c r="J3" s="16" t="n">
        <v>12306.1</v>
      </c>
      <c r="K3" s="14" t="n">
        <v>2.62</v>
      </c>
      <c r="L3" s="14" t="n">
        <v>6.56014</v>
      </c>
      <c r="M3" s="17">
        <f>IF(OR(F3="",K3="",K3&lt;=0),"",F3/K3)</f>
        <v/>
      </c>
      <c r="N3" s="18" t="n">
        <v>21.930073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Wolters Kluwer</t>
        </is>
      </c>
      <c r="C4" s="12" t="inlineStr">
        <is>
          <t>WKL.AS</t>
        </is>
      </c>
      <c r="D4" s="11" t="inlineStr">
        <is>
          <t>Informazione professionale</t>
        </is>
      </c>
      <c r="E4" s="13" t="inlineStr">
        <is>
          <t>Tecnologia</t>
        </is>
      </c>
      <c r="F4" s="14" t="n">
        <v>81.52</v>
      </c>
      <c r="G4" s="15" t="inlineStr">
        <is>
          <t>EUR</t>
        </is>
      </c>
      <c r="H4" s="14" t="n">
        <v>81.52</v>
      </c>
      <c r="I4" s="16" t="n">
        <v>18133.1</v>
      </c>
      <c r="J4" s="16" t="n">
        <v>18133.1</v>
      </c>
      <c r="K4" s="14" t="n">
        <v>5.85</v>
      </c>
      <c r="L4" s="14" t="n">
        <v>6.19534</v>
      </c>
      <c r="M4" s="17">
        <f>IF(OR(F4="",K4="",K4&lt;=0),"",F4/K4)</f>
        <v/>
      </c>
      <c r="N4" s="18" t="n">
        <v>19.358822</v>
      </c>
      <c r="O4" s="19">
        <f>IF(OR(N4="",M4="",M4&lt;=0),"",N4/M4)</f>
        <v/>
      </c>
      <c r="P4" s="20" t="n">
        <v>1.46141</v>
      </c>
      <c r="Q4" s="20" t="n">
        <v>0.8394564854324691</v>
      </c>
      <c r="R4" s="20" t="n">
        <v>0.4703152761290522</v>
      </c>
      <c r="S4" s="21" t="n">
        <v>4</v>
      </c>
      <c r="T4" s="20" t="n"/>
      <c r="U4" s="20" t="n">
        <v>1.639097744360902</v>
      </c>
      <c r="V4" s="20" t="n">
        <v>0.6983818770226538</v>
      </c>
      <c r="W4" s="20" t="n">
        <v>0.5757575757575758</v>
      </c>
      <c r="X4" s="20" t="n">
        <v>0.4445887445887446</v>
      </c>
      <c r="Y4" s="14" t="n">
        <v>2.6</v>
      </c>
      <c r="Z4" s="19">
        <f>IF(OR(Y4="",F4="",F4=0),"",Y4/F4)</f>
        <v/>
      </c>
      <c r="AA4" s="22" t="n">
        <v>590.213</v>
      </c>
      <c r="AB4" s="20" t="n">
        <v>-0.006</v>
      </c>
      <c r="AC4" s="20" t="n">
        <v>0.217959194122449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1477.2</v>
      </c>
      <c r="G5" s="15" t="inlineStr">
        <is>
          <t>EUR</t>
        </is>
      </c>
      <c r="H5" s="14" t="n">
        <v>1477.2</v>
      </c>
      <c r="I5" s="16" t="n">
        <v>567392.5</v>
      </c>
      <c r="J5" s="16" t="n">
        <v>567392.5</v>
      </c>
      <c r="K5" s="14" t="n">
        <v>34.98</v>
      </c>
      <c r="L5" s="14" t="n">
        <v>55.59788</v>
      </c>
      <c r="M5" s="17">
        <f>IF(OR(F5="",K5="",K5&lt;=0),"",F5/K5)</f>
        <v/>
      </c>
      <c r="N5" s="18" t="n">
        <v>25.64895</v>
      </c>
      <c r="O5" s="19">
        <f>IF(OR(N5="",M5="",M5&lt;=0),"",N5/M5)</f>
        <v/>
      </c>
      <c r="P5" s="20" t="n">
        <v>0.65636003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7.52</v>
      </c>
      <c r="Z5" s="19">
        <f>IF(OR(Y5="",F5="",F5=0),"",Y5/F5)</f>
        <v/>
      </c>
      <c r="AA5" s="22" t="n">
        <v>8.897</v>
      </c>
      <c r="AB5" s="20" t="n">
        <v>0.552</v>
      </c>
      <c r="AC5" s="20" t="n">
        <v>0.4124705716113667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30.06</v>
      </c>
      <c r="G6" s="15" t="inlineStr">
        <is>
          <t>EUR</t>
        </is>
      </c>
      <c r="H6" s="14" t="n">
        <v>30.06</v>
      </c>
      <c r="I6" s="16" t="n">
        <v>85400.89999999999</v>
      </c>
      <c r="J6" s="16" t="n">
        <v>85400.89999999999</v>
      </c>
      <c r="K6" s="14" t="n">
        <v>2.29</v>
      </c>
      <c r="L6" s="14" t="n">
        <v>2.99754</v>
      </c>
      <c r="M6" s="17">
        <f>IF(OR(F6="",K6="",K6&lt;=0),"",F6/K6)</f>
        <v/>
      </c>
      <c r="N6" s="18" t="n">
        <v>1.7108707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947.3</v>
      </c>
      <c r="G7" s="15" t="inlineStr">
        <is>
          <t>EUR</t>
        </is>
      </c>
      <c r="H7" s="14" t="n">
        <v>947.3</v>
      </c>
      <c r="I7" s="16" t="n">
        <v>29903.1</v>
      </c>
      <c r="J7" s="16" t="n">
        <v>29903.1</v>
      </c>
      <c r="K7" s="14" t="n">
        <v>35.58</v>
      </c>
      <c r="L7" s="14" t="n">
        <v>46.82907</v>
      </c>
      <c r="M7" s="17">
        <f>IF(OR(F7="",K7="",K7&lt;=0),"",F7/K7)</f>
        <v/>
      </c>
      <c r="N7" s="18" t="n">
        <v>5.060796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32.36</v>
      </c>
      <c r="G8" s="15" t="inlineStr">
        <is>
          <t>EUR</t>
        </is>
      </c>
      <c r="H8" s="14" t="n">
        <v>32.36</v>
      </c>
      <c r="I8" s="16" t="n">
        <v>28250.7</v>
      </c>
      <c r="J8" s="16" t="n">
        <v>28250.7</v>
      </c>
      <c r="K8" s="14" t="n">
        <v>2.52</v>
      </c>
      <c r="L8" s="14" t="n">
        <v>2.91429</v>
      </c>
      <c r="M8" s="17">
        <f>IF(OR(F8="",K8="",K8&lt;=0),"",F8/K8)</f>
        <v/>
      </c>
      <c r="N8" s="18" t="n">
        <v>1.957416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4.088</v>
      </c>
      <c r="G9" s="15" t="inlineStr">
        <is>
          <t>EUR</t>
        </is>
      </c>
      <c r="H9" s="14" t="n">
        <v>4.088</v>
      </c>
      <c r="I9" s="16" t="n">
        <v>15420.4</v>
      </c>
      <c r="J9" s="16" t="n">
        <v>15420.4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6.7236843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40.99</v>
      </c>
      <c r="G10" s="15" t="inlineStr">
        <is>
          <t>EUR</t>
        </is>
      </c>
      <c r="H10" s="14" t="n">
        <v>40.99</v>
      </c>
      <c r="I10" s="16" t="n">
        <v>33404.2</v>
      </c>
      <c r="J10" s="16" t="n">
        <v>33404.2</v>
      </c>
      <c r="K10" s="14" t="n">
        <v>2.78</v>
      </c>
      <c r="L10" s="14" t="n">
        <v>3.81418</v>
      </c>
      <c r="M10" s="17">
        <f>IF(OR(F10="",K10="",K10&lt;=0),"",F10/K10)</f>
        <v/>
      </c>
      <c r="N10" s="18" t="n">
        <v>1.2219772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16.265</v>
      </c>
      <c r="G11" s="15" t="inlineStr">
        <is>
          <t>EUR</t>
        </is>
      </c>
      <c r="H11" s="14" t="n">
        <v>16.265</v>
      </c>
      <c r="I11" s="16" t="n">
        <v>29247.9</v>
      </c>
      <c r="J11" s="16" t="n">
        <v>29247.9</v>
      </c>
      <c r="K11" s="14" t="n">
        <v>0.18</v>
      </c>
      <c r="L11" s="14" t="n">
        <v>1.08965</v>
      </c>
      <c r="M11" s="17">
        <f>IF(OR(F11="",K11="",K11&lt;=0),"",F11/K11)</f>
        <v/>
      </c>
      <c r="N11" s="18" t="n">
        <v>8.1325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76.45999999999999</v>
      </c>
      <c r="G12" s="15" t="inlineStr">
        <is>
          <t>EUR</t>
        </is>
      </c>
      <c r="H12" s="14" t="n">
        <v>76.45999999999999</v>
      </c>
      <c r="I12" s="16" t="n">
        <v>19793.2</v>
      </c>
      <c r="J12" s="16" t="n">
        <v>19793.2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0.95228606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753</v>
      </c>
      <c r="G13" s="15" t="inlineStr">
        <is>
          <t>EUR</t>
        </is>
      </c>
      <c r="H13" s="14" t="n">
        <v>753</v>
      </c>
      <c r="I13" s="16" t="n">
        <v>36759.2</v>
      </c>
      <c r="J13" s="16" t="n">
        <v>36759.2</v>
      </c>
      <c r="K13" s="14" t="n">
        <v>21.86</v>
      </c>
      <c r="L13" s="14" t="n">
        <v>31.5893</v>
      </c>
      <c r="M13" s="17">
        <f>IF(OR(F13="",K13="",K13&lt;=0),"",F13/K13)</f>
        <v/>
      </c>
      <c r="N13" s="18" t="n">
        <v>8.292859999999999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59.02</v>
      </c>
      <c r="G14" s="15" t="inlineStr">
        <is>
          <t>EUR</t>
        </is>
      </c>
      <c r="H14" s="14" t="n">
        <v>59.02</v>
      </c>
      <c r="I14" s="16" t="n">
        <v>10116</v>
      </c>
      <c r="J14" s="16" t="n">
        <v>10116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2.0844812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104</v>
      </c>
      <c r="G15" s="15" t="inlineStr">
        <is>
          <t>EUR</t>
        </is>
      </c>
      <c r="H15" s="14" t="n">
        <v>104</v>
      </c>
      <c r="I15" s="16" t="n">
        <v>6139.4</v>
      </c>
      <c r="J15" s="16" t="n">
        <v>6139.4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2.8925045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76.09999999999999</v>
      </c>
      <c r="G16" s="15" t="inlineStr">
        <is>
          <t>EUR</t>
        </is>
      </c>
      <c r="H16" s="14" t="n">
        <v>76.09999999999999</v>
      </c>
      <c r="I16" s="16" t="n">
        <v>42095.8</v>
      </c>
      <c r="J16" s="16" t="n">
        <v>42095.8</v>
      </c>
      <c r="K16" s="14" t="n">
        <v>4.04</v>
      </c>
      <c r="L16" s="14" t="n">
        <v>5.6914</v>
      </c>
      <c r="M16" s="17">
        <f>IF(OR(F16="",K16="",K16&lt;=0),"",F16/K16)</f>
        <v/>
      </c>
      <c r="N16" s="18" t="n">
        <v>2.1825795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34.57</v>
      </c>
      <c r="G17" s="15" t="inlineStr">
        <is>
          <t>EUR</t>
        </is>
      </c>
      <c r="H17" s="14" t="n">
        <v>34.57</v>
      </c>
      <c r="I17" s="16" t="n">
        <v>6065.3</v>
      </c>
      <c r="J17" s="16" t="n">
        <v>6065.3</v>
      </c>
      <c r="K17" s="14" t="n">
        <v>1.78</v>
      </c>
      <c r="L17" s="14" t="n">
        <v>2.89977</v>
      </c>
      <c r="M17" s="17">
        <f>IF(OR(F17="",K17="",K17&lt;=0),"",F17/K17)</f>
        <v/>
      </c>
      <c r="N17" s="18" t="n">
        <v>1.5541968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7.5</v>
      </c>
      <c r="G18" s="15" t="inlineStr">
        <is>
          <t>EUR</t>
        </is>
      </c>
      <c r="H18" s="14" t="n">
        <v>7.5</v>
      </c>
      <c r="I18" s="16" t="n">
        <v>11099.9</v>
      </c>
      <c r="J18" s="16" t="n">
        <v>11099.9</v>
      </c>
      <c r="K18" s="14" t="n">
        <v>0.59</v>
      </c>
      <c r="L18" s="14" t="n">
        <v>0.92522</v>
      </c>
      <c r="M18" s="17">
        <f>IF(OR(F18="",K18="",K18&lt;=0),"",F18/K18)</f>
        <v/>
      </c>
      <c r="N18" s="18" t="n">
        <v>1.2491672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23.16</v>
      </c>
      <c r="G19" s="15" t="inlineStr">
        <is>
          <t>EUR</t>
        </is>
      </c>
      <c r="H19" s="14" t="n">
        <v>23.16</v>
      </c>
      <c r="I19" s="16" t="n">
        <v>22637.2</v>
      </c>
      <c r="J19" s="16" t="n">
        <v>22637.2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1.9776278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56.8</v>
      </c>
      <c r="G20" s="15" t="inlineStr">
        <is>
          <t>EUR</t>
        </is>
      </c>
      <c r="H20" s="14" t="n">
        <v>56.8</v>
      </c>
      <c r="I20" s="16" t="n">
        <v>42709.9</v>
      </c>
      <c r="J20" s="16" t="n">
        <v>42709.9</v>
      </c>
      <c r="K20" s="14" t="n">
        <v>2.03</v>
      </c>
      <c r="L20" s="14" t="n">
        <v>6.658413</v>
      </c>
      <c r="M20" s="17">
        <f>IF(OR(F20="",K20="",K20&lt;=0),"",F20/K20)</f>
        <v/>
      </c>
      <c r="N20" s="18" t="n">
        <v>0.8746178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107.05</v>
      </c>
      <c r="G21" s="15" t="inlineStr">
        <is>
          <t>EUR</t>
        </is>
      </c>
      <c r="H21" s="14" t="n">
        <v>107.05</v>
      </c>
      <c r="I21" s="16" t="n">
        <v>26158.9</v>
      </c>
      <c r="J21" s="16" t="n">
        <v>26158.9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1.5025194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607.4</v>
      </c>
      <c r="G2" s="15" t="inlineStr">
        <is>
          <t>CHF</t>
        </is>
      </c>
      <c r="H2" s="14" t="n">
        <v>656.166277763374</v>
      </c>
      <c r="I2" s="16" t="n">
        <v>16918.04943392965</v>
      </c>
      <c r="J2" s="16" t="n">
        <v>15660.7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10.686137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613.4</v>
      </c>
      <c r="G3" s="15" t="inlineStr">
        <is>
          <t>CHF</t>
        </is>
      </c>
      <c r="H3" s="14" t="n">
        <v>662.6479993086164</v>
      </c>
      <c r="I3" s="16" t="n">
        <v>98979.23688531674</v>
      </c>
      <c r="J3" s="16" t="n">
        <v>91623.10000000001</v>
      </c>
      <c r="K3" s="14" t="n">
        <v>39.19</v>
      </c>
      <c r="L3" s="14" t="n">
        <v>43.42129</v>
      </c>
      <c r="M3" s="17">
        <f>IF(OR(F3="",K3="",K3&lt;=0),"",F3/K3)</f>
        <v/>
      </c>
      <c r="N3" s="18" t="n">
        <v>3.465853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553.8</v>
      </c>
      <c r="G4" s="15" t="inlineStr">
        <is>
          <t>CHF</t>
        </is>
      </c>
      <c r="H4" s="14" t="n">
        <v>598.262898625875</v>
      </c>
      <c r="I4" s="16" t="n">
        <v>19358.8497104831</v>
      </c>
      <c r="J4" s="16" t="n">
        <v>17920.1</v>
      </c>
      <c r="K4" s="14" t="n">
        <v>18.86</v>
      </c>
      <c r="L4" s="14" t="n">
        <v>21.05917</v>
      </c>
      <c r="M4" s="17">
        <f>IF(OR(F4="",K4="",K4&lt;=0),"",F4/K4)</f>
        <v/>
      </c>
      <c r="N4" s="18" t="n">
        <v>16.167454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70.90000000000001</v>
      </c>
      <c r="G5" s="15" t="inlineStr">
        <is>
          <t>CHF</t>
        </is>
      </c>
      <c r="H5" s="14" t="n">
        <v>76.59234292628123</v>
      </c>
      <c r="I5" s="16" t="n">
        <v>15759.98185117967</v>
      </c>
      <c r="J5" s="16" t="n">
        <v>14588.7</v>
      </c>
      <c r="K5" s="14" t="n">
        <v>5.54</v>
      </c>
      <c r="L5" s="14" t="n">
        <v>6.23582</v>
      </c>
      <c r="M5" s="17">
        <f>IF(OR(F5="",K5="",K5&lt;=0),"",F5/K5)</f>
        <v/>
      </c>
      <c r="N5" s="18" t="n">
        <v>1.9782367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75.68000000000001</v>
      </c>
      <c r="G6" s="15" t="inlineStr">
        <is>
          <t>CHF</t>
        </is>
      </c>
      <c r="H6" s="14" t="n">
        <v>81.75611442399102</v>
      </c>
      <c r="I6" s="16" t="n">
        <v>147907.5922565033</v>
      </c>
      <c r="J6" s="16" t="n">
        <v>136915.1</v>
      </c>
      <c r="K6" s="14" t="n">
        <v>2.18</v>
      </c>
      <c r="L6" s="14" t="n">
        <v>2.9936948</v>
      </c>
      <c r="M6" s="17">
        <f>IF(OR(F6="",K6="",K6&lt;=0),"",F6/K6)</f>
        <v/>
      </c>
      <c r="N6" s="18" t="n">
        <v>10.386129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97.81999999999999</v>
      </c>
      <c r="G7" s="15" t="inlineStr">
        <is>
          <t>CHF</t>
        </is>
      </c>
      <c r="H7" s="14" t="n">
        <v>105.6736669259355</v>
      </c>
      <c r="I7" s="16" t="n">
        <v>20900.63520871143</v>
      </c>
      <c r="J7" s="16" t="n">
        <v>19347.3</v>
      </c>
      <c r="K7" s="14" t="n">
        <v>3.4</v>
      </c>
      <c r="L7" s="14" t="n">
        <v>4.4884</v>
      </c>
      <c r="M7" s="17">
        <f>IF(OR(F7="",K7="",K7&lt;=0),"",F7/K7)</f>
        <v/>
      </c>
      <c r="N7" s="18" t="n">
        <v>19.195446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231.8</v>
      </c>
      <c r="G8" s="15" t="inlineStr">
        <is>
          <t>CHF</t>
        </is>
      </c>
      <c r="H8" s="14" t="n">
        <v>250.4105090311987</v>
      </c>
      <c r="I8" s="16" t="n">
        <v>29738.78662172673</v>
      </c>
      <c r="J8" s="16" t="n">
        <v>27528.6</v>
      </c>
      <c r="K8" s="14" t="n">
        <v>7.26</v>
      </c>
      <c r="L8" s="14" t="n">
        <v>9.54321</v>
      </c>
      <c r="M8" s="17">
        <f>IF(OR(F8="",K8="",K8&lt;=0),"",F8/K8)</f>
        <v/>
      </c>
      <c r="N8" s="18" t="n">
        <v>13.422119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86.28</v>
      </c>
      <c r="G9" s="15" t="inlineStr">
        <is>
          <t>CHF</t>
        </is>
      </c>
      <c r="H9" s="14" t="n">
        <v>93.20715582058595</v>
      </c>
      <c r="I9" s="16" t="n">
        <v>13346.1887477314</v>
      </c>
      <c r="J9" s="16" t="n">
        <v>12354.3</v>
      </c>
      <c r="K9" s="14" t="n">
        <v>4.33</v>
      </c>
      <c r="L9" s="14" t="n">
        <v>4.9917483</v>
      </c>
      <c r="M9" s="17">
        <f>IF(OR(F9="",K9="",K9&lt;=0),"",F9/K9)</f>
        <v/>
      </c>
      <c r="N9" s="18" t="n">
        <v>6.332081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150</v>
      </c>
      <c r="G10" s="15" t="inlineStr">
        <is>
          <t>CHF</t>
        </is>
      </c>
      <c r="H10" s="14" t="n">
        <v>162.0430386310604</v>
      </c>
      <c r="I10" s="16" t="n">
        <v>47789.62492437992</v>
      </c>
      <c r="J10" s="16" t="n">
        <v>44237.9</v>
      </c>
      <c r="K10" s="14" t="n">
        <v>13.03</v>
      </c>
      <c r="L10" s="14" t="n">
        <v>12.956655</v>
      </c>
      <c r="M10" s="17">
        <f>IF(OR(F10="",K10="",K10&lt;=0),"",F10/K10)</f>
        <v/>
      </c>
      <c r="N10" s="18" t="n">
        <v>2.1678448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Sonova Holding</t>
        </is>
      </c>
      <c r="C11" s="12" t="inlineStr">
        <is>
          <t>SOON.SW</t>
        </is>
      </c>
      <c r="D11" s="11" t="inlineStr">
        <is>
          <t>Apparecchi acustici</t>
        </is>
      </c>
      <c r="E11" s="13" t="inlineStr">
        <is>
          <t>Salute</t>
        </is>
      </c>
      <c r="F11" s="14" t="n">
        <v>278</v>
      </c>
      <c r="G11" s="15" t="inlineStr">
        <is>
          <t>CHF</t>
        </is>
      </c>
      <c r="H11" s="14" t="n">
        <v>300.3197649295653</v>
      </c>
      <c r="I11" s="16" t="n">
        <v>17840.39840981765</v>
      </c>
      <c r="J11" s="16" t="n">
        <v>16514.5</v>
      </c>
      <c r="K11" s="14" t="n">
        <v>9.01</v>
      </c>
      <c r="L11" s="14" t="n">
        <v>12.12515</v>
      </c>
      <c r="M11" s="17">
        <f>IF(OR(F11="",K11="",K11&lt;=0),"",F11/K11)</f>
        <v/>
      </c>
      <c r="N11" s="18" t="n">
        <v>6.317895</v>
      </c>
      <c r="O11" s="19">
        <f>IF(OR(N11="",M11="",M11&lt;=0),"",N11/M11)</f>
        <v/>
      </c>
      <c r="P11" s="20" t="n">
        <v>0.20524</v>
      </c>
      <c r="Q11" s="20" t="n">
        <v>0.225882106970715</v>
      </c>
      <c r="R11" s="20" t="n">
        <v>0.04752069499990572</v>
      </c>
      <c r="S11" s="21" t="n">
        <v>4</v>
      </c>
      <c r="T11" s="20" t="n">
        <v>0.1647346876315085</v>
      </c>
      <c r="U11" s="20" t="n">
        <v>0.2028447046461007</v>
      </c>
      <c r="V11" s="20" t="n">
        <v>0.2432804404145078</v>
      </c>
      <c r="W11" s="20" t="n">
        <v>0.2926685951907431</v>
      </c>
      <c r="X11" s="20" t="n"/>
      <c r="Y11" s="14" t="n">
        <v>4.7</v>
      </c>
      <c r="Z11" s="19">
        <f>IF(OR(Y11="",F11="",F11=0),"",Y11/F11)</f>
        <v/>
      </c>
      <c r="AA11" s="22" t="n">
        <v>64.938</v>
      </c>
      <c r="AB11" s="20" t="n"/>
      <c r="AC11" s="20" t="n">
        <v>0.1489503402756593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Givaudan</t>
        </is>
      </c>
      <c r="C12" s="12" t="inlineStr">
        <is>
          <t>GIVN.SW</t>
        </is>
      </c>
      <c r="D12" s="11" t="inlineStr">
        <is>
          <t>Aromi e fragranze</t>
        </is>
      </c>
      <c r="E12" s="13" t="inlineStr">
        <is>
          <t>Materiali</t>
        </is>
      </c>
      <c r="F12" s="14" t="n">
        <v>3915</v>
      </c>
      <c r="G12" s="15" t="inlineStr">
        <is>
          <t>CHF</t>
        </is>
      </c>
      <c r="H12" s="14" t="n">
        <v>4229.323308270677</v>
      </c>
      <c r="I12" s="16" t="n">
        <v>39042.21761299801</v>
      </c>
      <c r="J12" s="16" t="n">
        <v>36140.6</v>
      </c>
      <c r="K12" s="14" t="n">
        <v>102.7</v>
      </c>
      <c r="L12" s="14" t="n">
        <v>131.79533</v>
      </c>
      <c r="M12" s="17">
        <f>IF(OR(F12="",K12="",K12&lt;=0),"",F12/K12)</f>
        <v/>
      </c>
      <c r="N12" s="18" t="n">
        <v>8.210043000000001</v>
      </c>
      <c r="O12" s="19">
        <f>IF(OR(N12="",M12="",M12&lt;=0),"",N12/M12)</f>
        <v/>
      </c>
      <c r="P12" s="20" t="n">
        <v>0.22337</v>
      </c>
      <c r="Q12" s="20" t="n">
        <v>0.2250160278421974</v>
      </c>
      <c r="R12" s="20" t="n">
        <v>0.01425094170273812</v>
      </c>
      <c r="S12" s="21" t="n">
        <v>4</v>
      </c>
      <c r="T12" s="20" t="n"/>
      <c r="U12" s="20" t="n">
        <v>0.2360590698699581</v>
      </c>
      <c r="V12" s="20" t="n">
        <v>0.2380952380952381</v>
      </c>
      <c r="W12" s="20" t="n">
        <v>0.223641372401703</v>
      </c>
      <c r="X12" s="20" t="n">
        <v>0.2022684310018903</v>
      </c>
      <c r="Y12" s="14" t="n">
        <v>72</v>
      </c>
      <c r="Z12" s="19">
        <f>IF(OR(Y12="",F12="",F12=0),"",Y12/F12)</f>
        <v/>
      </c>
      <c r="AA12" s="22" t="n">
        <v>110.755</v>
      </c>
      <c r="AB12" s="20" t="n">
        <v>-0.017</v>
      </c>
      <c r="AC12" s="20" t="n">
        <v>0.1276766595289079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Novartis</t>
        </is>
      </c>
      <c r="C13" s="12" t="inlineStr">
        <is>
          <t>NOVN.SW</t>
        </is>
      </c>
      <c r="D13" s="11" t="inlineStr">
        <is>
          <t>Farmaceutica</t>
        </is>
      </c>
      <c r="E13" s="13" t="inlineStr">
        <is>
          <t>Salute</t>
        </is>
      </c>
      <c r="F13" s="14" t="n">
        <v>124.7</v>
      </c>
      <c r="G13" s="15" t="inlineStr">
        <is>
          <t>CHF</t>
        </is>
      </c>
      <c r="H13" s="14" t="n">
        <v>134.7117794486216</v>
      </c>
      <c r="I13" s="16" t="n">
        <v>256048.6345173278</v>
      </c>
      <c r="J13" s="16" t="n">
        <v>237019.1</v>
      </c>
      <c r="K13" s="14" t="n">
        <v>5.25</v>
      </c>
      <c r="L13" s="14" t="n">
        <v>8.183697</v>
      </c>
      <c r="M13" s="17">
        <f>IF(OR(F13="",K13="",K13&lt;=0),"",F13/K13)</f>
        <v/>
      </c>
      <c r="N13" s="18" t="n">
        <v>6.8591843</v>
      </c>
      <c r="O13" s="19">
        <f>IF(OR(N13="",M13="",M13&lt;=0),"",N13/M13)</f>
        <v/>
      </c>
      <c r="P13" s="20" t="n">
        <v>0.3035</v>
      </c>
      <c r="Q13" s="20" t="n">
        <v>0.2524150557605632</v>
      </c>
      <c r="R13" s="20" t="n">
        <v>0.07989744316384528</v>
      </c>
      <c r="S13" s="21" t="n">
        <v>4</v>
      </c>
      <c r="T13" s="20" t="n"/>
      <c r="U13" s="20" t="n">
        <v>0.3031432907001951</v>
      </c>
      <c r="V13" s="20" t="n">
        <v>0.2711029378377151</v>
      </c>
      <c r="W13" s="20" t="n">
        <v>0.3182120127713374</v>
      </c>
      <c r="X13" s="20" t="n">
        <v>0.1172019817330053</v>
      </c>
      <c r="Y13" s="14" t="n">
        <v>3.7</v>
      </c>
      <c r="Z13" s="19">
        <f>IF(OR(Y13="",F13="",F13=0),"",Y13/F13)</f>
        <v/>
      </c>
      <c r="AA13" s="22" t="n">
        <v>116.85</v>
      </c>
      <c r="AB13" s="20" t="n">
        <v>0.008</v>
      </c>
      <c r="AC13" s="20" t="n">
        <v>0.2250944029360906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UBS Group</t>
        </is>
      </c>
      <c r="C14" s="12" t="inlineStr">
        <is>
          <t>UBSG.SW</t>
        </is>
      </c>
      <c r="D14" s="11" t="inlineStr">
        <is>
          <t>Banca</t>
        </is>
      </c>
      <c r="E14" s="13" t="inlineStr">
        <is>
          <t>Finanziario</t>
        </is>
      </c>
      <c r="F14" s="14" t="n">
        <v>39.63</v>
      </c>
      <c r="G14" s="15" t="inlineStr">
        <is>
          <t>CHF</t>
        </is>
      </c>
      <c r="H14" s="14" t="n">
        <v>42.81177080632617</v>
      </c>
      <c r="I14" s="16" t="n">
        <v>131078.5584651283</v>
      </c>
      <c r="J14" s="16" t="n">
        <v>121336.8</v>
      </c>
      <c r="K14" s="14" t="n">
        <v>2.33</v>
      </c>
      <c r="L14" s="14" t="n">
        <v>3.55208</v>
      </c>
      <c r="M14" s="17">
        <f>IF(OR(F14="",K14="",K14&lt;=0),"",F14/K14)</f>
        <v/>
      </c>
      <c r="N14" s="18" t="n">
        <v>1.6359861</v>
      </c>
      <c r="O14" s="19">
        <f>IF(OR(N14="",M14="",M14&lt;=0),"",N14/M14)</f>
        <v/>
      </c>
      <c r="P14" s="20" t="n">
        <v>0.10672</v>
      </c>
      <c r="Q14" s="20" t="n">
        <v>0.1499041326772791</v>
      </c>
      <c r="R14" s="20" t="n">
        <v>0.1015400164616229</v>
      </c>
      <c r="S14" s="21" t="n">
        <v>4</v>
      </c>
      <c r="T14" s="20" t="n"/>
      <c r="U14" s="20" t="n">
        <v>0.086096238901267</v>
      </c>
      <c r="V14" s="20" t="n">
        <v>0.05977973412945616</v>
      </c>
      <c r="W14" s="20" t="n">
        <v>0.3196066523404653</v>
      </c>
      <c r="X14" s="20" t="n">
        <v>0.1341339053379281</v>
      </c>
      <c r="Y14" s="14" t="n">
        <v>0.86</v>
      </c>
      <c r="Z14" s="19">
        <f>IF(OR(Y14="",F14="",F14=0),"",Y14/F14)</f>
        <v/>
      </c>
      <c r="AA14" s="22" t="n"/>
      <c r="AB14" s="20" t="n">
        <v>0.146</v>
      </c>
      <c r="AC14" s="20" t="n">
        <v>0.2012897769320224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Nestle</t>
        </is>
      </c>
      <c r="C15" s="12" t="inlineStr">
        <is>
          <t>NESN.SW</t>
        </is>
      </c>
      <c r="D15" s="11" t="inlineStr">
        <is>
          <t>Alimentare</t>
        </is>
      </c>
      <c r="E15" s="13" t="inlineStr">
        <is>
          <t>Consumi</t>
        </is>
      </c>
      <c r="F15" s="14" t="n">
        <v>82.43000000000001</v>
      </c>
      <c r="G15" s="15" t="inlineStr">
        <is>
          <t>CHF</t>
        </is>
      </c>
      <c r="H15" s="14" t="n">
        <v>89.04805116238873</v>
      </c>
      <c r="I15" s="16" t="n">
        <v>229051.1839944689</v>
      </c>
      <c r="J15" s="16" t="n">
        <v>212028.1</v>
      </c>
      <c r="K15" s="14" t="n">
        <v>2.89</v>
      </c>
      <c r="L15" s="14" t="n">
        <v>4.82053</v>
      </c>
      <c r="M15" s="17">
        <f>IF(OR(F15="",K15="",K15&lt;=0),"",F15/K15)</f>
        <v/>
      </c>
      <c r="N15" s="18" t="n">
        <v>7.256162</v>
      </c>
      <c r="O15" s="19">
        <f>IF(OR(N15="",M15="",M15&lt;=0),"",N15/M15)</f>
        <v/>
      </c>
      <c r="P15" s="20" t="n">
        <v>0.26244</v>
      </c>
      <c r="Q15" s="20" t="n">
        <v>0.26244</v>
      </c>
      <c r="R15" s="20" t="n"/>
      <c r="S15" s="21" t="n">
        <v>0</v>
      </c>
      <c r="T15" s="20" t="n"/>
      <c r="U15" s="20" t="n">
        <v>0.275312404754648</v>
      </c>
      <c r="V15" s="20" t="n">
        <v>0.3030319904223627</v>
      </c>
      <c r="W15" s="20" t="n">
        <v>0.3136086396955962</v>
      </c>
      <c r="X15" s="20" t="n">
        <v>0.2208089181077605</v>
      </c>
      <c r="Y15" s="14" t="n">
        <v>3.1</v>
      </c>
      <c r="Z15" s="19">
        <f>IF(OR(Y15="",F15="",F15=0),"",Y15/F15)</f>
        <v/>
      </c>
      <c r="AA15" s="22" t="n">
        <v>213.005</v>
      </c>
      <c r="AB15" s="20" t="n">
        <v>-0.025</v>
      </c>
      <c r="AC15" s="20" t="n">
        <v>0.083809994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182.55</v>
      </c>
      <c r="G16" s="15" t="inlineStr">
        <is>
          <t>CHF</t>
        </is>
      </c>
      <c r="H16" s="14" t="n">
        <v>197.2063780140005</v>
      </c>
      <c r="I16" s="16" t="n">
        <v>31639.65949356149</v>
      </c>
      <c r="J16" s="16" t="n">
        <v>29288.2</v>
      </c>
      <c r="K16" s="14" t="n">
        <v>6.48</v>
      </c>
      <c r="L16" s="14" t="n">
        <v>8.38485</v>
      </c>
      <c r="M16" s="17">
        <f>IF(OR(F16="",K16="",K16&lt;=0),"",F16/K16)</f>
        <v/>
      </c>
      <c r="N16" s="18" t="n">
        <v>4.2980247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93.81999999999999</v>
      </c>
      <c r="G17" s="15" t="inlineStr">
        <is>
          <t>CHF</t>
        </is>
      </c>
      <c r="H17" s="14" t="n">
        <v>101.3525192291072</v>
      </c>
      <c r="I17" s="16" t="n">
        <v>16160.7683000605</v>
      </c>
      <c r="J17" s="16" t="n">
        <v>14959.7</v>
      </c>
      <c r="K17" s="14" t="n">
        <v>2.31</v>
      </c>
      <c r="L17" s="14" t="n">
        <v>3.85093</v>
      </c>
      <c r="M17" s="17">
        <f>IF(OR(F17="",K17="",K17&lt;=0),"",F17/K17)</f>
        <v/>
      </c>
      <c r="N17" s="18" t="n">
        <v>6.540258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927</v>
      </c>
      <c r="G18" s="15" t="inlineStr">
        <is>
          <t>CHF</t>
        </is>
      </c>
      <c r="H18" s="14" t="n">
        <v>1001.425978739953</v>
      </c>
      <c r="I18" s="16" t="n">
        <v>27985.37291504623</v>
      </c>
      <c r="J18" s="16" t="n">
        <v>25905.5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4.102859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668.5</v>
      </c>
      <c r="G19" s="15" t="inlineStr">
        <is>
          <t>CHF</t>
        </is>
      </c>
      <c r="H19" s="14" t="n">
        <v>722.1718088324259</v>
      </c>
      <c r="I19" s="16" t="n">
        <v>37409.90407052113</v>
      </c>
      <c r="J19" s="16" t="n">
        <v>34629.6</v>
      </c>
      <c r="K19" s="14" t="n">
        <v>25.38</v>
      </c>
      <c r="L19" s="14" t="n">
        <v>31.21911</v>
      </c>
      <c r="M19" s="17">
        <f>IF(OR(F19="",K19="",K19&lt;=0),"",F19/K19)</f>
        <v/>
      </c>
      <c r="N19" s="18" t="n">
        <v>3.0065618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64.2</v>
      </c>
      <c r="G20" s="15" t="inlineStr">
        <is>
          <t>CHF</t>
        </is>
      </c>
      <c r="H20" s="14" t="n">
        <v>69.35442053409386</v>
      </c>
      <c r="I20" s="16" t="n">
        <v>38361.63685074756</v>
      </c>
      <c r="J20" s="16" t="n">
        <v>35510.6</v>
      </c>
      <c r="K20" s="14" t="n">
        <v>0.7</v>
      </c>
      <c r="L20" s="14" t="n">
        <v>4.30259</v>
      </c>
      <c r="M20" s="17">
        <f>IF(OR(F20="",K20="",K20&lt;=0),"",F20/K20)</f>
        <v/>
      </c>
      <c r="N20" s="18" t="n">
        <v>2.2502627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176.1</v>
      </c>
      <c r="G21" s="15" t="inlineStr">
        <is>
          <t>CHF</t>
        </is>
      </c>
      <c r="H21" s="14" t="n">
        <v>190.2385273528649</v>
      </c>
      <c r="I21" s="16" t="n">
        <v>111848.9110707804</v>
      </c>
      <c r="J21" s="16" t="n">
        <v>103536.3</v>
      </c>
      <c r="K21" s="14" t="n">
        <v>5.47</v>
      </c>
      <c r="L21" s="14" t="n">
        <v>7.973841</v>
      </c>
      <c r="M21" s="17">
        <f>IF(OR(F21="",K21="",K21&lt;=0),"",F21/K21)</f>
        <v/>
      </c>
      <c r="N21" s="18" t="n">
        <v>4.6212864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54.74</v>
      </c>
      <c r="G22" s="15" t="inlineStr">
        <is>
          <t>CHF</t>
        </is>
      </c>
      <c r="H22" s="14" t="n">
        <v>59.13490623109498</v>
      </c>
      <c r="I22" s="16" t="n">
        <v>28585.79638752052</v>
      </c>
      <c r="J22" s="16" t="n">
        <v>26461.3</v>
      </c>
      <c r="K22" s="14" t="n">
        <v>1.05</v>
      </c>
      <c r="L22" s="14" t="n">
        <v>3.639827</v>
      </c>
      <c r="M22" s="17">
        <f>IF(OR(F22="",K22="",K22&lt;=0),"",F22/K22)</f>
        <v/>
      </c>
      <c r="N22" s="18" t="n">
        <v>1.4731143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2026-10-16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604</v>
      </c>
      <c r="G23" s="15" t="inlineStr">
        <is>
          <t>CHF</t>
        </is>
      </c>
      <c r="H23" s="14" t="n">
        <v>652.4933022210699</v>
      </c>
      <c r="I23" s="16" t="n">
        <v>45572.87615590701</v>
      </c>
      <c r="J23" s="16" t="n">
        <v>42185.9</v>
      </c>
      <c r="K23" s="14" t="n">
        <v>15.09</v>
      </c>
      <c r="L23" s="14" t="n">
        <v>22.21388</v>
      </c>
      <c r="M23" s="17">
        <f>IF(OR(F23="",K23="",K23&lt;=0),"",F23/K23)</f>
        <v/>
      </c>
      <c r="N23" s="18" t="n">
        <v>5.1902075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2026-10-16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211.8025</v>
      </c>
      <c r="G2" s="15" t="inlineStr">
        <is>
          <t>USD</t>
        </is>
      </c>
      <c r="H2" s="14" t="n">
        <v>188.5042259425211</v>
      </c>
      <c r="I2" s="16" t="n">
        <v>59744.54329872272</v>
      </c>
      <c r="J2" s="16" t="n">
        <v>67128.7</v>
      </c>
      <c r="K2" s="14" t="n">
        <v>27.09</v>
      </c>
      <c r="L2" s="14" t="n">
        <v>9.815810000000001</v>
      </c>
      <c r="M2" s="17">
        <f>IF(OR(F2="",K2="",K2&lt;=0),"",F2/K2)</f>
        <v/>
      </c>
      <c r="N2" s="18" t="n">
        <v>3.6213605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2026-10-16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204.795</v>
      </c>
      <c r="G3" s="15" t="inlineStr">
        <is>
          <t>USD</t>
        </is>
      </c>
      <c r="H3" s="14" t="n">
        <v>182.2675509113377</v>
      </c>
      <c r="I3" s="16" t="n">
        <v>69193.05034596525</v>
      </c>
      <c r="J3" s="16" t="n">
        <v>77745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15.079522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2026-10-16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244.317</v>
      </c>
      <c r="G4" s="15" t="inlineStr">
        <is>
          <t>USD</t>
        </is>
      </c>
      <c r="H4" s="14" t="n">
        <v>217.4421310872107</v>
      </c>
      <c r="I4" s="16" t="n">
        <v>84628.49842314249</v>
      </c>
      <c r="J4" s="16" t="n">
        <v>95088.2</v>
      </c>
      <c r="K4" s="14" t="n">
        <v>17.91</v>
      </c>
      <c r="L4" s="14" t="n">
        <v>27.50756</v>
      </c>
      <c r="M4" s="17">
        <f>IF(OR(F4="",K4="",K4&lt;=0),"",F4/K4)</f>
        <v/>
      </c>
      <c r="N4" s="18" t="n">
        <v>8.120350999999999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2026-10-16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156.88</v>
      </c>
      <c r="G5" s="15" t="inlineStr">
        <is>
          <t>USD</t>
        </is>
      </c>
      <c r="H5" s="14" t="n">
        <v>139.623200698116</v>
      </c>
      <c r="I5" s="16" t="n">
        <v>74367.33237183667</v>
      </c>
      <c r="J5" s="16" t="n">
        <v>83558.8</v>
      </c>
      <c r="K5" s="14" t="n">
        <v>12.85</v>
      </c>
      <c r="L5" s="14" t="n">
        <v>15.8339</v>
      </c>
      <c r="M5" s="17">
        <f>IF(OR(F5="",K5="",K5&lt;=0),"",F5/K5)</f>
        <v/>
      </c>
      <c r="N5" s="18" t="n">
        <v>2.587242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2026-10-16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78.98999999999999</v>
      </c>
      <c r="G6" s="15" t="inlineStr">
        <is>
          <t>USD</t>
        </is>
      </c>
      <c r="H6" s="14" t="n">
        <v>70.3011003515055</v>
      </c>
      <c r="I6" s="16" t="n">
        <v>29050.04514525023</v>
      </c>
      <c r="J6" s="16" t="n">
        <v>32640.5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10.392054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2026-10-16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341.035</v>
      </c>
      <c r="G7" s="15" t="inlineStr">
        <is>
          <t>USD</t>
        </is>
      </c>
      <c r="H7" s="14" t="n">
        <v>303.5211515176058</v>
      </c>
      <c r="I7" s="16" t="n">
        <v>3712044.147560221</v>
      </c>
      <c r="J7" s="16" t="n">
        <v>4170836.1</v>
      </c>
      <c r="K7" s="14" t="n">
        <v>19.93</v>
      </c>
      <c r="L7" s="14" t="n">
        <v>15.28255</v>
      </c>
      <c r="M7" s="17">
        <f>IF(OR(F7="",K7="",K7&lt;=0),"",F7/K7)</f>
        <v/>
      </c>
      <c r="N7" s="18" t="n">
        <v>6.700625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2026-10-16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478.65</v>
      </c>
      <c r="G8" s="15" t="inlineStr">
        <is>
          <t>USD</t>
        </is>
      </c>
      <c r="H8" s="14" t="n">
        <v>425.9985021299925</v>
      </c>
      <c r="I8" s="16" t="n">
        <v>124364.595621823</v>
      </c>
      <c r="J8" s="16" t="n">
        <v>139735.5</v>
      </c>
      <c r="K8" s="14" t="n">
        <v>28.88</v>
      </c>
      <c r="L8" s="14" t="n">
        <v>55.93157</v>
      </c>
      <c r="M8" s="17">
        <f>IF(OR(F8="",K8="",K8&lt;=0),"",F8/K8)</f>
        <v/>
      </c>
      <c r="N8" s="18" t="n">
        <v>7.1005783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2026-10-16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PepsiCo</t>
        </is>
      </c>
      <c r="C9" s="12" t="inlineStr">
        <is>
          <t>PEP</t>
        </is>
      </c>
      <c r="D9" s="11" t="inlineStr">
        <is>
          <t>Bevande e snack</t>
        </is>
      </c>
      <c r="E9" s="13" t="inlineStr">
        <is>
          <t>Consumi</t>
        </is>
      </c>
      <c r="F9" s="14" t="n">
        <v>131.065</v>
      </c>
      <c r="G9" s="15" t="inlineStr">
        <is>
          <t>USD</t>
        </is>
      </c>
      <c r="H9" s="14" t="n">
        <v>116.6478505832393</v>
      </c>
      <c r="I9" s="16" t="n">
        <v>158960.8537948043</v>
      </c>
      <c r="J9" s="16" t="n">
        <v>178607.7</v>
      </c>
      <c r="K9" s="14" t="n">
        <v>7.95</v>
      </c>
      <c r="L9" s="14" t="n">
        <v>8.638719999999999</v>
      </c>
      <c r="M9" s="17">
        <f>IF(OR(F9="",K9="",K9&lt;=0),"",F9/K9)</f>
        <v/>
      </c>
      <c r="N9" s="18" t="n">
        <v>8.019641</v>
      </c>
      <c r="O9" s="19">
        <f>IF(OR(N9="",M9="",M9&lt;=0),"",N9/M9)</f>
        <v/>
      </c>
      <c r="P9" s="20" t="n">
        <v>0.5218699999999999</v>
      </c>
      <c r="Q9" s="20" t="n">
        <v>0.486168855450935</v>
      </c>
      <c r="R9" s="20" t="n">
        <v>0.04979556056471136</v>
      </c>
      <c r="S9" s="21" t="n">
        <v>4</v>
      </c>
      <c r="T9" s="20" t="n"/>
      <c r="U9" s="20" t="n">
        <v>0.4038028030971283</v>
      </c>
      <c r="V9" s="20" t="n">
        <v>0.5309018347098277</v>
      </c>
      <c r="W9" s="20" t="n">
        <v>0.490406961033346</v>
      </c>
      <c r="X9" s="20" t="n">
        <v>0.5195638229634381</v>
      </c>
      <c r="Y9" s="14" t="n">
        <v>5.92</v>
      </c>
      <c r="Z9" s="19">
        <f>IF(OR(Y9="",F9="",F9=0),"",Y9/F9)</f>
        <v/>
      </c>
      <c r="AA9" s="22" t="n">
        <v>230.716</v>
      </c>
      <c r="AB9" s="20" t="n">
        <v>0.056</v>
      </c>
      <c r="AC9" s="20" t="n">
        <v>0.1160074527548576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2026-10-16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57.24</v>
      </c>
      <c r="G10" s="15" t="inlineStr">
        <is>
          <t>USD</t>
        </is>
      </c>
      <c r="H10" s="14" t="n">
        <v>50.94360025471801</v>
      </c>
      <c r="I10" s="16" t="n">
        <v>43913.40121956701</v>
      </c>
      <c r="J10" s="16" t="n">
        <v>49340.9</v>
      </c>
      <c r="K10" s="14" t="n">
        <v>5.29</v>
      </c>
      <c r="L10" s="14" t="n">
        <v>5.78532</v>
      </c>
      <c r="M10" s="17">
        <f>IF(OR(F10="",K10="",K10&lt;=0),"",F10/K10)</f>
        <v/>
      </c>
      <c r="N10" s="18" t="n">
        <v>2.4894533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2026-10-16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American Express</t>
        </is>
      </c>
      <c r="C11" s="12" t="inlineStr">
        <is>
          <t>AXP</t>
        </is>
      </c>
      <c r="D11" s="11" t="inlineStr">
        <is>
          <t>Pagamenti / Credito</t>
        </is>
      </c>
      <c r="E11" s="13" t="inlineStr">
        <is>
          <t>Finanziario</t>
        </is>
      </c>
      <c r="F11" s="14" t="n">
        <v>313.15</v>
      </c>
      <c r="G11" s="15" t="inlineStr">
        <is>
          <t>USD</t>
        </is>
      </c>
      <c r="H11" s="14" t="n">
        <v>278.7035013935175</v>
      </c>
      <c r="I11" s="16" t="n">
        <v>188211.2379410562</v>
      </c>
      <c r="J11" s="16" t="n">
        <v>211473.3</v>
      </c>
      <c r="K11" s="14" t="n">
        <v>16.48</v>
      </c>
      <c r="L11" s="14" t="n">
        <v>20.15437</v>
      </c>
      <c r="M11" s="17">
        <f>IF(OR(F11="",K11="",K11&lt;=0),"",F11/K11)</f>
        <v/>
      </c>
      <c r="N11" s="18" t="n">
        <v>6.1661906</v>
      </c>
      <c r="O11" s="19">
        <f>IF(OR(N11="",M11="",M11&lt;=0),"",N11/M11)</f>
        <v/>
      </c>
      <c r="P11" s="20" t="n">
        <v>0.34377</v>
      </c>
      <c r="Q11" s="20" t="n">
        <v>0.3152128333482085</v>
      </c>
      <c r="R11" s="20" t="n">
        <v>0.01461690524528727</v>
      </c>
      <c r="S11" s="21" t="n">
        <v>4</v>
      </c>
      <c r="T11" s="20" t="n"/>
      <c r="U11" s="20" t="n">
        <v>0.3236243054310808</v>
      </c>
      <c r="V11" s="20" t="n">
        <v>0.3346880782447793</v>
      </c>
      <c r="W11" s="20" t="n">
        <v>0.2984638414655879</v>
      </c>
      <c r="X11" s="20" t="n">
        <v>0.304075108251386</v>
      </c>
      <c r="Y11" s="14" t="n">
        <v>3.8</v>
      </c>
      <c r="Z11" s="19">
        <f>IF(OR(Y11="",F11="",F11=0),"",Y11/F11)</f>
        <v/>
      </c>
      <c r="AA11" s="22" t="n">
        <v>172.38</v>
      </c>
      <c r="AB11" s="20" t="n">
        <v>0.128</v>
      </c>
      <c r="AC11" s="20" t="n">
        <v>0.1565969756610827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2026-10-16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Progressive</t>
        </is>
      </c>
      <c r="C12" s="12" t="inlineStr">
        <is>
          <t>PGR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216.175</v>
      </c>
      <c r="G12" s="15" t="inlineStr">
        <is>
          <t>USD</t>
        </is>
      </c>
      <c r="H12" s="14" t="n">
        <v>192.3957509619788</v>
      </c>
      <c r="I12" s="16" t="n">
        <v>111666.5205583326</v>
      </c>
      <c r="J12" s="16" t="n">
        <v>125468</v>
      </c>
      <c r="K12" s="14" t="n">
        <v>19.85</v>
      </c>
      <c r="L12" s="14" t="n">
        <v>16.24428</v>
      </c>
      <c r="M12" s="17">
        <f>IF(OR(F12="",K12="",K12&lt;=0),"",F12/K12)</f>
        <v/>
      </c>
      <c r="N12" s="18" t="n">
        <v>3.632705</v>
      </c>
      <c r="O12" s="19">
        <f>IF(OR(N12="",M12="",M12&lt;=0),"",N12/M12)</f>
        <v/>
      </c>
      <c r="P12" s="20" t="n">
        <v>0.33238998</v>
      </c>
      <c r="Q12" s="20" t="n">
        <v>0.2355508402188087</v>
      </c>
      <c r="R12" s="20" t="n">
        <v>0.128500392044818</v>
      </c>
      <c r="S12" s="21" t="n">
        <v>4</v>
      </c>
      <c r="T12" s="20" t="n"/>
      <c r="U12" s="20" t="n">
        <v>0.3729182468753092</v>
      </c>
      <c r="V12" s="20" t="n">
        <v>0.3313664960337619</v>
      </c>
      <c r="W12" s="20" t="n">
        <v>0.1924840952803669</v>
      </c>
      <c r="X12" s="20" t="n">
        <v>0.04543452268579699</v>
      </c>
      <c r="Y12" s="14" t="n">
        <v>0.4</v>
      </c>
      <c r="Z12" s="19">
        <f>IF(OR(Y12="",F12="",F12=0),"",Y12/F12)</f>
        <v/>
      </c>
      <c r="AA12" s="22" t="n">
        <v>24.327</v>
      </c>
      <c r="AB12" s="20" t="n">
        <v>0.03</v>
      </c>
      <c r="AC12" s="20" t="n">
        <v>0.1326152152173169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2026-10-16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Accenture</t>
        </is>
      </c>
      <c r="C13" s="12" t="inlineStr">
        <is>
          <t>ACN</t>
        </is>
      </c>
      <c r="D13" s="11" t="inlineStr">
        <is>
          <t>Consulenza IT</t>
        </is>
      </c>
      <c r="E13" s="13" t="inlineStr">
        <is>
          <t>Tecnologia</t>
        </is>
      </c>
      <c r="F13" s="14" t="n">
        <v>224.505</v>
      </c>
      <c r="G13" s="15" t="inlineStr">
        <is>
          <t>USD</t>
        </is>
      </c>
      <c r="H13" s="14" t="n">
        <v>199.8094509990472</v>
      </c>
      <c r="I13" s="16" t="n">
        <v>122271.8496113593</v>
      </c>
      <c r="J13" s="16" t="n">
        <v>137384.1</v>
      </c>
      <c r="K13" s="14" t="n">
        <v>13.56</v>
      </c>
      <c r="L13" s="14" t="n">
        <v>15.88693</v>
      </c>
      <c r="M13" s="17">
        <f>IF(OR(F13="",K13="",K13&lt;=0),"",F13/K13)</f>
        <v/>
      </c>
      <c r="N13" s="18" t="n">
        <v>4.238743</v>
      </c>
      <c r="O13" s="19">
        <f>IF(OR(N13="",M13="",M13&lt;=0),"",N13/M13)</f>
        <v/>
      </c>
      <c r="P13" s="20" t="n">
        <v>0.26025</v>
      </c>
      <c r="Q13" s="20" t="n">
        <v>0.2703743517719677</v>
      </c>
      <c r="R13" s="20" t="n">
        <v>0.02468970483462087</v>
      </c>
      <c r="S13" s="21" t="n">
        <v>4</v>
      </c>
      <c r="T13" s="20" t="n"/>
      <c r="U13" s="20" t="n">
        <v>0.2461395487020766</v>
      </c>
      <c r="V13" s="20" t="n">
        <v>0.2568092866657528</v>
      </c>
      <c r="W13" s="20" t="n">
        <v>0.2674502806015326</v>
      </c>
      <c r="X13" s="20" t="n">
        <v>0.3110982911185091</v>
      </c>
      <c r="Y13" s="14" t="n">
        <v>6.84</v>
      </c>
      <c r="Z13" s="19">
        <f>IF(OR(Y13="",F13="",F13=0),"",Y13/F13)</f>
        <v/>
      </c>
      <c r="AA13" s="22" t="n">
        <v>40.283</v>
      </c>
      <c r="AB13" s="20" t="n">
        <v>0.062</v>
      </c>
      <c r="AC13" s="20" t="n">
        <v>0.1200904027970557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2026-10-16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525</v>
      </c>
      <c r="G14" s="15" t="inlineStr">
        <is>
          <t>USD</t>
        </is>
      </c>
      <c r="H14" s="14" t="n">
        <v>467.25000233625</v>
      </c>
      <c r="I14" s="16" t="n">
        <v>3469586.341347932</v>
      </c>
      <c r="J14" s="16" t="n">
        <v>3898411.6</v>
      </c>
      <c r="K14" s="14" t="n">
        <v>17.75</v>
      </c>
      <c r="L14" s="14" t="n">
        <v>23.67408</v>
      </c>
      <c r="M14" s="17">
        <f>IF(OR(F14="",K14="",K14&lt;=0),"",F14/K14)</f>
        <v/>
      </c>
      <c r="N14" s="18" t="n">
        <v>8.813901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2026-10-16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Target</t>
        </is>
      </c>
      <c r="C15" s="12" t="inlineStr">
        <is>
          <t>TGT</t>
        </is>
      </c>
      <c r="D15" s="11" t="inlineStr">
        <is>
          <t>Grande distribuzione</t>
        </is>
      </c>
      <c r="E15" s="13" t="inlineStr">
        <is>
          <t>Consumi</t>
        </is>
      </c>
      <c r="F15" s="14" t="n">
        <v>154.95</v>
      </c>
      <c r="G15" s="15" t="inlineStr">
        <is>
          <t>USD</t>
        </is>
      </c>
      <c r="H15" s="14" t="n">
        <v>137.9055006895275</v>
      </c>
      <c r="I15" s="16" t="n">
        <v>62649.32531324663</v>
      </c>
      <c r="J15" s="16" t="n">
        <v>70392.5</v>
      </c>
      <c r="K15" s="14" t="n">
        <v>9.630000000000001</v>
      </c>
      <c r="L15" s="14" t="n">
        <v>9.545249999999999</v>
      </c>
      <c r="M15" s="17">
        <f>IF(OR(F15="",K15="",K15&lt;=0),"",F15/K15)</f>
        <v/>
      </c>
      <c r="N15" s="18" t="n">
        <v>3.9450567</v>
      </c>
      <c r="O15" s="19">
        <f>IF(OR(N15="",M15="",M15&lt;=0),"",N15/M15)</f>
        <v/>
      </c>
      <c r="P15" s="20" t="n">
        <v>0.26408002</v>
      </c>
      <c r="Q15" s="20" t="n">
        <v>0.265930196598988</v>
      </c>
      <c r="R15" s="20" t="n">
        <v>0.03014032785235156</v>
      </c>
      <c r="S15" s="21" t="n">
        <v>4</v>
      </c>
      <c r="T15" s="20" t="n">
        <v>0.2291988864831426</v>
      </c>
      <c r="U15" s="20" t="n">
        <v>0.278944497477158</v>
      </c>
      <c r="V15" s="20" t="n">
        <v>0.3080702799285289</v>
      </c>
      <c r="W15" s="20" t="n">
        <v>0.2475071225071225</v>
      </c>
      <c r="X15" s="20" t="n"/>
      <c r="Y15" s="14" t="n">
        <v>4.64</v>
      </c>
      <c r="Z15" s="19">
        <f>IF(OR(Y15="",F15="",F15=0),"",Y15/F15)</f>
        <v/>
      </c>
      <c r="AA15" s="22" t="n">
        <v>107.583</v>
      </c>
      <c r="AB15" s="20" t="n">
        <v>0.053</v>
      </c>
      <c r="AC15" s="20" t="n">
        <v>0.04191639625882802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2026-10-16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480.925</v>
      </c>
      <c r="G16" s="15" t="inlineStr">
        <is>
          <t>USD</t>
        </is>
      </c>
      <c r="H16" s="14" t="n">
        <v>428.0232521401163</v>
      </c>
      <c r="I16" s="16" t="n">
        <v>74125.5193706276</v>
      </c>
      <c r="J16" s="16" t="n">
        <v>83287.10000000001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27.53335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>
        <v>4.12</v>
      </c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2026-10-16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267.105</v>
      </c>
      <c r="G17" s="15" t="inlineStr">
        <is>
          <t>USD</t>
        </is>
      </c>
      <c r="H17" s="14" t="n">
        <v>237.7234511886173</v>
      </c>
      <c r="I17" s="16" t="n">
        <v>297492.9144874646</v>
      </c>
      <c r="J17" s="16" t="n">
        <v>334261.7</v>
      </c>
      <c r="K17" s="14" t="n">
        <v>5.76</v>
      </c>
      <c r="L17" s="14" t="n">
        <v>11.76415</v>
      </c>
      <c r="M17" s="17">
        <f>IF(OR(F17="",K17="",K17&lt;=0),"",F17/K17)</f>
        <v/>
      </c>
      <c r="N17" s="18" t="n">
        <v>26.798937</v>
      </c>
      <c r="O17" s="19">
        <f>IF(OR(N17="",M17="",M17&lt;=0),"",N17/M17)</f>
        <v/>
      </c>
      <c r="P17" s="20" t="n">
        <v>0.65066004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>
        <v>1.32</v>
      </c>
      <c r="Z17" s="19">
        <f>IF(OR(Y17="",F17="",F17=0),"",Y17/F17)</f>
        <v/>
      </c>
      <c r="AA17" s="22" t="n">
        <v>33.049</v>
      </c>
      <c r="AB17" s="20" t="n">
        <v>0.3</v>
      </c>
      <c r="AC17" s="20" t="n">
        <v>0.3127229874801411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2026-10-16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343.05</v>
      </c>
      <c r="G18" s="15" t="inlineStr">
        <is>
          <t>USD</t>
        </is>
      </c>
      <c r="H18" s="14" t="n">
        <v>305.3145015265725</v>
      </c>
      <c r="I18" s="16" t="n">
        <v>4455814.481279072</v>
      </c>
      <c r="J18" s="16" t="n">
        <v>5006533.1</v>
      </c>
      <c r="K18" s="14" t="n">
        <v>8.720000000000001</v>
      </c>
      <c r="L18" s="14" t="n">
        <v>9.57785</v>
      </c>
      <c r="M18" s="17">
        <f>IF(OR(F18="",K18="",K18&lt;=0),"",F18/K18)</f>
        <v/>
      </c>
      <c r="N18" s="18" t="n">
        <v>46.61005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>
        <v>1.08</v>
      </c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2026-10-16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401.95</v>
      </c>
      <c r="G19" s="15" t="inlineStr">
        <is>
          <t>USD</t>
        </is>
      </c>
      <c r="H19" s="14" t="n">
        <v>357.7355017886775</v>
      </c>
      <c r="I19" s="16" t="n">
        <v>671596.6733579834</v>
      </c>
      <c r="J19" s="16" t="n">
        <v>754603</v>
      </c>
      <c r="K19" s="14" t="n">
        <v>11.75</v>
      </c>
      <c r="L19" s="14" t="n">
        <v>15.00808</v>
      </c>
      <c r="M19" s="17">
        <f>IF(OR(F19="",K19="",K19&lt;=0),"",F19/K19)</f>
        <v/>
      </c>
      <c r="N19" s="18" t="n">
        <v>21.301006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2026-10-16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178.655</v>
      </c>
      <c r="G20" s="15" t="inlineStr">
        <is>
          <t>USD</t>
        </is>
      </c>
      <c r="H20" s="14" t="n">
        <v>159.0029507950148</v>
      </c>
      <c r="I20" s="16" t="n">
        <v>200611.4300030571</v>
      </c>
      <c r="J20" s="16" t="n">
        <v>225406.1</v>
      </c>
      <c r="K20" s="14" t="n">
        <v>3.17</v>
      </c>
      <c r="L20" s="14" t="n">
        <v>5.21686</v>
      </c>
      <c r="M20" s="17">
        <f>IF(OR(F20="",K20="",K20&lt;=0),"",F20/K20)</f>
        <v/>
      </c>
      <c r="N20" s="18" t="n">
        <v>15.232251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2026-10-16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735.29</v>
      </c>
      <c r="G21" s="15" t="inlineStr">
        <is>
          <t>USD</t>
        </is>
      </c>
      <c r="H21" s="14" t="n">
        <v>654.4081032720405</v>
      </c>
      <c r="I21" s="16" t="n">
        <v>300814.9285040746</v>
      </c>
      <c r="J21" s="16" t="n">
        <v>337994.3</v>
      </c>
      <c r="K21" s="14" t="n">
        <v>23.23</v>
      </c>
      <c r="L21" s="14" t="n">
        <v>32.58861</v>
      </c>
      <c r="M21" s="17">
        <f>IF(OR(F21="",K21="",K21&lt;=0),"",F21/K21)</f>
        <v/>
      </c>
      <c r="N21" s="18" t="n">
        <v>17.426823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2026-10-16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614.22</v>
      </c>
      <c r="G22" s="15" t="inlineStr">
        <is>
          <t>USD</t>
        </is>
      </c>
      <c r="H22" s="14" t="n">
        <v>546.6558027332791</v>
      </c>
      <c r="I22" s="16" t="n">
        <v>478875.8943943795</v>
      </c>
      <c r="J22" s="16" t="n">
        <v>538062.8</v>
      </c>
      <c r="K22" s="14" t="n">
        <v>18.18</v>
      </c>
      <c r="L22" s="14" t="n">
        <v>23.03455</v>
      </c>
      <c r="M22" s="17">
        <f>IF(OR(F22="",K22="",K22&lt;=0),"",F22/K22)</f>
        <v/>
      </c>
      <c r="N22" s="18" t="n">
        <v>96.03189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2026-10-16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KLA Corporation</t>
        </is>
      </c>
      <c r="C23" s="12" t="inlineStr">
        <is>
          <t>KLAC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168.92</v>
      </c>
      <c r="G23" s="15" t="inlineStr">
        <is>
          <t>USD</t>
        </is>
      </c>
      <c r="H23" s="14" t="n">
        <v>150.338800751694</v>
      </c>
      <c r="I23" s="16" t="n">
        <v>196216.3429810817</v>
      </c>
      <c r="J23" s="16" t="n">
        <v>220467.8</v>
      </c>
      <c r="K23" s="14" t="n">
        <v>3.66</v>
      </c>
      <c r="L23" s="14" t="n">
        <v>6.74039</v>
      </c>
      <c r="M23" s="17">
        <f>IF(OR(F23="",K23="",K23&lt;=0),"",F23/K23)</f>
        <v/>
      </c>
      <c r="N23" s="18" t="n">
        <v>34.77563</v>
      </c>
      <c r="O23" s="19">
        <f>IF(OR(N23="",M23="",M23&lt;=0),"",N23/M23)</f>
        <v/>
      </c>
      <c r="P23" s="20" t="n">
        <v>0.87496</v>
      </c>
      <c r="Q23" s="20" t="n">
        <v>0.9016067947009443</v>
      </c>
      <c r="R23" s="20" t="n">
        <v>0.1538102798939616</v>
      </c>
      <c r="S23" s="21" t="n">
        <v>4</v>
      </c>
      <c r="T23" s="20" t="n">
        <v>0.7607729037988479</v>
      </c>
      <c r="U23" s="20" t="n">
        <v>0.8655692449130551</v>
      </c>
      <c r="V23" s="20" t="n">
        <v>0.8199605264095421</v>
      </c>
      <c r="W23" s="20" t="n">
        <v>1.160124503682332</v>
      </c>
      <c r="X23" s="20" t="n">
        <v>2.370431819008942</v>
      </c>
      <c r="Y23" s="14" t="n">
        <v>0.92</v>
      </c>
      <c r="Z23" s="19">
        <f>IF(OR(Y23="",F23="",F23=0),"",Y23/F23)</f>
        <v/>
      </c>
      <c r="AA23" s="22" t="n">
        <v>96.88</v>
      </c>
      <c r="AB23" s="20" t="n">
        <v>0.152</v>
      </c>
      <c r="AC23" s="20" t="n">
        <v>0.3557406191520203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2026-10-16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Applied Materials</t>
        </is>
      </c>
      <c r="C24" s="12" t="inlineStr">
        <is>
          <t>AMAT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416.07</v>
      </c>
      <c r="G24" s="15" t="inlineStr">
        <is>
          <t>USD</t>
        </is>
      </c>
      <c r="H24" s="14" t="n">
        <v>370.3023018515115</v>
      </c>
      <c r="I24" s="16" t="n">
        <v>293870.9704693548</v>
      </c>
      <c r="J24" s="16" t="n">
        <v>330192.1</v>
      </c>
      <c r="K24" s="14" t="n">
        <v>11.59</v>
      </c>
      <c r="L24" s="14" t="n">
        <v>18.45665</v>
      </c>
      <c r="M24" s="17">
        <f>IF(OR(F24="",K24="",K24&lt;=0),"",F24/K24)</f>
        <v/>
      </c>
      <c r="N24" s="18" t="n">
        <v>12.885015</v>
      </c>
      <c r="O24" s="19">
        <f>IF(OR(N24="",M24="",M24&lt;=0),"",N24/M24)</f>
        <v/>
      </c>
      <c r="P24" s="20" t="n">
        <v>0.41068</v>
      </c>
      <c r="Q24" s="20" t="n">
        <v>0.4187390558280515</v>
      </c>
      <c r="R24" s="20" t="n">
        <v>0.07244233633790677</v>
      </c>
      <c r="S24" s="21" t="n">
        <v>4</v>
      </c>
      <c r="T24" s="20" t="n"/>
      <c r="U24" s="20" t="n">
        <v>0.3427871662992897</v>
      </c>
      <c r="V24" s="20" t="n">
        <v>0.377716962265144</v>
      </c>
      <c r="W24" s="20" t="n">
        <v>0.4193528656186923</v>
      </c>
      <c r="X24" s="20" t="n">
        <v>0.5350992291290799</v>
      </c>
      <c r="Y24" s="14" t="n">
        <v>2.12</v>
      </c>
      <c r="Z24" s="19">
        <f>IF(OR(Y24="",F24="",F24=0),"",Y24/F24)</f>
        <v/>
      </c>
      <c r="AA24" s="22" t="n">
        <v>28.666</v>
      </c>
      <c r="AB24" s="20" t="n">
        <v>0.248</v>
      </c>
      <c r="AC24" s="20" t="n">
        <v>0.3266709080654258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2026-10-16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Eli Lilly</t>
        </is>
      </c>
      <c r="C25" s="12" t="inlineStr">
        <is>
          <t>LLY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1257.88</v>
      </c>
      <c r="G25" s="15" t="inlineStr">
        <is>
          <t>USD</t>
        </is>
      </c>
      <c r="H25" s="14" t="n">
        <v>1119.513205597566</v>
      </c>
      <c r="I25" s="16" t="n">
        <v>997885.9829894298</v>
      </c>
      <c r="J25" s="16" t="n">
        <v>1121220.2</v>
      </c>
      <c r="K25" s="14" t="n">
        <v>29.79</v>
      </c>
      <c r="L25" s="14" t="n">
        <v>47.4758</v>
      </c>
      <c r="M25" s="17">
        <f>IF(OR(F25="",K25="",K25&lt;=0),"",F25/K25)</f>
        <v/>
      </c>
      <c r="N25" s="18" t="n">
        <v>33.100365</v>
      </c>
      <c r="O25" s="19">
        <f>IF(OR(N25="",M25="",M25&lt;=0),"",N25/M25)</f>
        <v/>
      </c>
      <c r="P25" s="20" t="n">
        <v>1.02286</v>
      </c>
      <c r="Q25" s="20" t="n">
        <v>0.6481702467386419</v>
      </c>
      <c r="R25" s="20" t="n">
        <v>0.1178900700269788</v>
      </c>
      <c r="S25" s="21" t="n">
        <v>4</v>
      </c>
      <c r="T25" s="20" t="n"/>
      <c r="U25" s="20" t="n">
        <v>0.7778405879027699</v>
      </c>
      <c r="V25" s="20" t="n">
        <v>0.7420123318385651</v>
      </c>
      <c r="W25" s="20" t="n">
        <v>0.4864508582515619</v>
      </c>
      <c r="X25" s="20" t="n">
        <v>0.5863772089616707</v>
      </c>
      <c r="Y25" s="14" t="n">
        <v>6.92</v>
      </c>
      <c r="Z25" s="19">
        <f>IF(OR(Y25="",F25="",F25=0),"",Y25/F25)</f>
        <v/>
      </c>
      <c r="AA25" s="22" t="n">
        <v>162.071</v>
      </c>
      <c r="AB25" s="20" t="n">
        <v>0.477</v>
      </c>
      <c r="AC25" s="20" t="n">
        <v>0.4098098933705641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2026-10-16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United Rentals</t>
        </is>
      </c>
      <c r="C26" s="12" t="inlineStr">
        <is>
          <t>URI</t>
        </is>
      </c>
      <c r="D26" s="11" t="inlineStr">
        <is>
          <t>Noleggio attrezzature</t>
        </is>
      </c>
      <c r="E26" s="13" t="inlineStr">
        <is>
          <t>Industriale</t>
        </is>
      </c>
      <c r="F26" s="14" t="n">
        <v>1038.57</v>
      </c>
      <c r="G26" s="15" t="inlineStr">
        <is>
          <t>USD</t>
        </is>
      </c>
      <c r="H26" s="14" t="n">
        <v>924.3273046216365</v>
      </c>
      <c r="I26" s="16" t="n">
        <v>57532.44828766224</v>
      </c>
      <c r="J26" s="16" t="n">
        <v>64643.2</v>
      </c>
      <c r="K26" s="14" t="n">
        <v>41.59</v>
      </c>
      <c r="L26" s="14" t="n">
        <v>57.31793</v>
      </c>
      <c r="M26" s="17">
        <f>IF(OR(F26="",K26="",K26&lt;=0),"",F26/K26)</f>
        <v/>
      </c>
      <c r="N26" s="18" t="n">
        <v>7.018882</v>
      </c>
      <c r="O26" s="19">
        <f>IF(OR(N26="",M26="",M26&lt;=0),"",N26/M26)</f>
        <v/>
      </c>
      <c r="P26" s="20" t="n">
        <v>0.28895</v>
      </c>
      <c r="Q26" s="20" t="n">
        <v>0.2932459241968061</v>
      </c>
      <c r="R26" s="20" t="n">
        <v>0.008747380113543703</v>
      </c>
      <c r="S26" s="21" t="n">
        <v>4</v>
      </c>
      <c r="T26" s="20" t="n"/>
      <c r="U26" s="20" t="n">
        <v>0.278099910793934</v>
      </c>
      <c r="V26" s="20" t="n">
        <v>0.298654604500116</v>
      </c>
      <c r="W26" s="20" t="n">
        <v>0.2981549815498155</v>
      </c>
      <c r="X26" s="20" t="n">
        <v>0.2980741999433588</v>
      </c>
      <c r="Y26" s="14" t="n">
        <v>7.88</v>
      </c>
      <c r="Z26" s="19">
        <f>IF(OR(Y26="",F26="",F26=0),"",Y26/F26)</f>
        <v/>
      </c>
      <c r="AA26" s="22" t="n">
        <v>166.793</v>
      </c>
      <c r="AB26" s="20" t="n">
        <v>0.118</v>
      </c>
      <c r="AC26" s="20" t="n">
        <v>0.1638611173364805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2026-10-16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Travelers</t>
        </is>
      </c>
      <c r="C27" s="12" t="inlineStr">
        <is>
          <t>TRV</t>
        </is>
      </c>
      <c r="D27" s="11" t="inlineStr">
        <is>
          <t>Assicurazione</t>
        </is>
      </c>
      <c r="E27" s="13" t="inlineStr">
        <is>
          <t>Finanziario</t>
        </is>
      </c>
      <c r="F27" s="14" t="n">
        <v>387.525</v>
      </c>
      <c r="G27" s="15" t="inlineStr">
        <is>
          <t>USD</t>
        </is>
      </c>
      <c r="H27" s="14" t="n">
        <v>344.8972517244862</v>
      </c>
      <c r="I27" s="16" t="n">
        <v>71936.92035968461</v>
      </c>
      <c r="J27" s="16" t="n">
        <v>80828</v>
      </c>
      <c r="K27" s="14" t="n">
        <v>37.68</v>
      </c>
      <c r="L27" s="14" t="n">
        <v>30.56302</v>
      </c>
      <c r="M27" s="17">
        <f>IF(OR(F27="",K27="",K27&lt;=0),"",F27/K27)</f>
        <v/>
      </c>
      <c r="N27" s="18" t="n">
        <v>2.440672</v>
      </c>
      <c r="O27" s="19">
        <f>IF(OR(N27="",M27="",M27&lt;=0),"",N27/M27)</f>
        <v/>
      </c>
      <c r="P27" s="20" t="n">
        <v>0.26511</v>
      </c>
      <c r="Q27" s="20" t="n">
        <v>0.1556010112383756</v>
      </c>
      <c r="R27" s="20" t="n">
        <v>0.03026061633724604</v>
      </c>
      <c r="S27" s="21" t="n">
        <v>4</v>
      </c>
      <c r="T27" s="20" t="n"/>
      <c r="U27" s="20" t="n">
        <v>0.1911594819723962</v>
      </c>
      <c r="V27" s="20" t="n">
        <v>0.1794071202985932</v>
      </c>
      <c r="W27" s="20" t="n">
        <v>0.1200192608643313</v>
      </c>
      <c r="X27" s="20" t="n">
        <v>0.1318181818181818</v>
      </c>
      <c r="Y27" s="14" t="n">
        <v>5</v>
      </c>
      <c r="Z27" s="19">
        <f>IF(OR(Y27="",F27="",F27=0),"",Y27/F27)</f>
        <v/>
      </c>
      <c r="AA27" s="22" t="n">
        <v>27.378</v>
      </c>
      <c r="AB27" s="20" t="n">
        <v>0.003</v>
      </c>
      <c r="AC27" s="20" t="n">
        <v>0.1688170682395347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2026-10-16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United Parcel Service</t>
        </is>
      </c>
      <c r="C28" s="12" t="inlineStr">
        <is>
          <t>UPS</t>
        </is>
      </c>
      <c r="D28" s="11" t="inlineStr">
        <is>
          <t>Logistica</t>
        </is>
      </c>
      <c r="E28" s="13" t="inlineStr">
        <is>
          <t>Industriale</t>
        </is>
      </c>
      <c r="F28" s="14" t="n">
        <v>97.33499999999999</v>
      </c>
      <c r="G28" s="15" t="inlineStr">
        <is>
          <t>USD</t>
        </is>
      </c>
      <c r="H28" s="14" t="n">
        <v>86.62815043314075</v>
      </c>
      <c r="I28" s="16" t="n">
        <v>73701.61236850807</v>
      </c>
      <c r="J28" s="16" t="n">
        <v>82810.8</v>
      </c>
      <c r="K28" s="14" t="n">
        <v>5.38</v>
      </c>
      <c r="L28" s="14" t="n">
        <v>8.05639</v>
      </c>
      <c r="M28" s="17">
        <f>IF(OR(F28="",K28="",K28&lt;=0),"",F28/K28)</f>
        <v/>
      </c>
      <c r="N28" s="18" t="n">
        <v>5.4975996</v>
      </c>
      <c r="O28" s="19">
        <f>IF(OR(N28="",M28="",M28&lt;=0),"",N28/M28)</f>
        <v/>
      </c>
      <c r="P28" s="20" t="n">
        <v>0.29602</v>
      </c>
      <c r="Q28" s="20" t="n">
        <v>0.4151223305037616</v>
      </c>
      <c r="R28" s="20" t="n">
        <v>0.09887106435484694</v>
      </c>
      <c r="S28" s="21" t="n">
        <v>4</v>
      </c>
      <c r="T28" s="20" t="n"/>
      <c r="U28" s="20" t="n">
        <v>0.3433783200838109</v>
      </c>
      <c r="V28" s="20" t="n">
        <v>0.3458547673166646</v>
      </c>
      <c r="W28" s="20" t="n">
        <v>0.3876112330983474</v>
      </c>
      <c r="X28" s="20" t="n">
        <v>0.5836450015162236</v>
      </c>
      <c r="Y28" s="14" t="n">
        <v>6.56</v>
      </c>
      <c r="Z28" s="19">
        <f>IF(OR(Y28="",F28="",F28=0),"",Y28/F28)</f>
        <v/>
      </c>
      <c r="AA28" s="22" t="n">
        <v>189.9</v>
      </c>
      <c r="AB28" s="20" t="n">
        <v>0.076</v>
      </c>
      <c r="AC28" s="20" t="n">
        <v>0.05154464614655824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2026-10-16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287.64</v>
      </c>
      <c r="G29" s="15" t="inlineStr">
        <is>
          <t>USD</t>
        </is>
      </c>
      <c r="H29" s="14" t="n">
        <v>255.999601279998</v>
      </c>
      <c r="I29" s="16" t="n">
        <v>152083.1117604155</v>
      </c>
      <c r="J29" s="16" t="n">
        <v>170879.9</v>
      </c>
      <c r="K29" s="14" t="n">
        <v>12.34</v>
      </c>
      <c r="L29" s="14" t="n">
        <v>14.23702</v>
      </c>
      <c r="M29" s="17">
        <f>IF(OR(F29="",K29="",K29&lt;=0),"",F29/K29)</f>
        <v/>
      </c>
      <c r="N29" s="18" t="n">
        <v>8.264092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2026-10-16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172.43</v>
      </c>
      <c r="G30" s="15" t="inlineStr">
        <is>
          <t>USD</t>
        </is>
      </c>
      <c r="H30" s="14" t="n">
        <v>153.4627007673135</v>
      </c>
      <c r="I30" s="16" t="n">
        <v>91891.25445945628</v>
      </c>
      <c r="J30" s="16" t="n">
        <v>103248.6</v>
      </c>
      <c r="K30" s="14" t="n">
        <v>4.39</v>
      </c>
      <c r="L30" s="14" t="n">
        <v>6.20711</v>
      </c>
      <c r="M30" s="17">
        <f>IF(OR(F30="",K30="",K30&lt;=0),"",F30/K30)</f>
        <v/>
      </c>
      <c r="N30" s="18" t="n">
        <v>13.044103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2026-10-16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93.18129999999999</v>
      </c>
      <c r="G31" s="15" t="inlineStr">
        <is>
          <t>USD</t>
        </is>
      </c>
      <c r="H31" s="14" t="n">
        <v>82.93135741465679</v>
      </c>
      <c r="I31" s="16" t="n">
        <v>356816.2207840811</v>
      </c>
      <c r="J31" s="16" t="n">
        <v>400917.1</v>
      </c>
      <c r="K31" s="14" t="n">
        <v>3.33</v>
      </c>
      <c r="L31" s="14" t="n">
        <v>3.52639</v>
      </c>
      <c r="M31" s="17">
        <f>IF(OR(F31="",K31="",K31&lt;=0),"",F31/K31)</f>
        <v/>
      </c>
      <c r="N31" s="18" t="n">
        <v>11.091691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2026-10-16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334.445</v>
      </c>
      <c r="G32" s="15" t="inlineStr">
        <is>
          <t>USD</t>
        </is>
      </c>
      <c r="H32" s="14" t="n">
        <v>297.6560514882802</v>
      </c>
      <c r="I32" s="16" t="n">
        <v>72258.38836129195</v>
      </c>
      <c r="J32" s="16" t="n">
        <v>81189.2</v>
      </c>
      <c r="K32" s="14" t="n">
        <v>10.85</v>
      </c>
      <c r="L32" s="14" t="n">
        <v>13.53724</v>
      </c>
      <c r="M32" s="17">
        <f>IF(OR(F32="",K32="",K32&lt;=0),"",F32/K32)</f>
        <v/>
      </c>
      <c r="N32" s="18" t="n">
        <v>20.938147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2026-10-16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279.95</v>
      </c>
      <c r="G33" s="15" t="inlineStr">
        <is>
          <t>USD</t>
        </is>
      </c>
      <c r="H33" s="14" t="n">
        <v>249.1555012457775</v>
      </c>
      <c r="I33" s="16" t="n">
        <v>227540.6941377035</v>
      </c>
      <c r="J33" s="16" t="n">
        <v>255663.7</v>
      </c>
      <c r="K33" s="14" t="n">
        <v>6.57</v>
      </c>
      <c r="L33" s="14" t="n">
        <v>10.64485</v>
      </c>
      <c r="M33" s="17">
        <f>IF(OR(F33="",K33="",K33&lt;=0),"",F33/K33)</f>
        <v/>
      </c>
      <c r="N33" s="18" t="n">
        <v>14.194089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6.08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2026-10-16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Lockheed Martin</t>
        </is>
      </c>
      <c r="C34" s="12" t="inlineStr">
        <is>
          <t>LMT</t>
        </is>
      </c>
      <c r="D34" s="11" t="inlineStr">
        <is>
          <t>Difesa</t>
        </is>
      </c>
      <c r="E34" s="13" t="inlineStr">
        <is>
          <t>Industriale</t>
        </is>
      </c>
      <c r="F34" s="14" t="n">
        <v>546.6513</v>
      </c>
      <c r="G34" s="15" t="inlineStr">
        <is>
          <t>USD</t>
        </is>
      </c>
      <c r="H34" s="14" t="n">
        <v>486.5196594325983</v>
      </c>
      <c r="I34" s="16" t="n">
        <v>112284.2695614214</v>
      </c>
      <c r="J34" s="16" t="n">
        <v>126162.1</v>
      </c>
      <c r="K34" s="14" t="n">
        <v>27.13</v>
      </c>
      <c r="L34" s="14" t="n">
        <v>32.68732</v>
      </c>
      <c r="M34" s="17">
        <f>IF(OR(F34="",K34="",K34&lt;=0),"",F34/K34)</f>
        <v/>
      </c>
      <c r="N34" s="18" t="n">
        <v>14.339522</v>
      </c>
      <c r="O34" s="19">
        <f>IF(OR(N34="",M34="",M34&lt;=0),"",N34/M34)</f>
        <v/>
      </c>
      <c r="P34" s="20" t="n">
        <v>0.8916500000000001</v>
      </c>
      <c r="Q34" s="20" t="n">
        <v>0.8050196518940778</v>
      </c>
      <c r="R34" s="20" t="n">
        <v>0.1437100287177017</v>
      </c>
      <c r="S34" s="21" t="n">
        <v>4</v>
      </c>
      <c r="T34" s="20" t="n"/>
      <c r="U34" s="20" t="n">
        <v>0.746466299657789</v>
      </c>
      <c r="V34" s="20" t="n">
        <v>0.8425706616137691</v>
      </c>
      <c r="W34" s="20" t="n">
        <v>1.012435991221653</v>
      </c>
      <c r="X34" s="20" t="n">
        <v>0.6186056550830995</v>
      </c>
      <c r="Y34" s="14" t="n">
        <v>14.4</v>
      </c>
      <c r="Z34" s="19">
        <f>IF(OR(Y34="",F34="",F34=0),"",Y34/F34)</f>
        <v/>
      </c>
      <c r="AA34" s="22" t="n">
        <v>234.238</v>
      </c>
      <c r="AB34" s="20" t="n">
        <v>0.105</v>
      </c>
      <c r="AC34" s="20" t="n">
        <v>0.08377305276622961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2026-10-16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29.995</v>
      </c>
      <c r="G35" s="15" t="inlineStr">
        <is>
          <t>USD</t>
        </is>
      </c>
      <c r="H35" s="14" t="n">
        <v>26.69555013347775</v>
      </c>
      <c r="I35" s="16" t="n">
        <v>33781.01816890509</v>
      </c>
      <c r="J35" s="16" t="n">
        <v>37956.2</v>
      </c>
      <c r="K35" s="14" t="n">
        <v>1.09</v>
      </c>
      <c r="L35" s="14" t="n">
        <v>1.36869</v>
      </c>
      <c r="M35" s="17">
        <f>IF(OR(F35="",K35="",K35&lt;=0),"",F35/K35)</f>
        <v/>
      </c>
      <c r="N35" s="18" t="n">
        <v>17.288185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2026-10-16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Costco Wholesale</t>
        </is>
      </c>
      <c r="C36" s="12" t="inlineStr">
        <is>
          <t>COST</t>
        </is>
      </c>
      <c r="D36" s="11" t="inlineStr">
        <is>
          <t>Grande distribuzione</t>
        </is>
      </c>
      <c r="E36" s="13" t="inlineStr">
        <is>
          <t>Consumi</t>
        </is>
      </c>
      <c r="F36" s="14" t="n">
        <v>990.58</v>
      </c>
      <c r="G36" s="15" t="inlineStr">
        <is>
          <t>USD</t>
        </is>
      </c>
      <c r="H36" s="14" t="n">
        <v>881.6162044080811</v>
      </c>
      <c r="I36" s="16" t="n">
        <v>390670.0409533502</v>
      </c>
      <c r="J36" s="16" t="n">
        <v>438955.1</v>
      </c>
      <c r="K36" s="14" t="n">
        <v>20.76</v>
      </c>
      <c r="L36" s="14" t="n">
        <v>25.01618</v>
      </c>
      <c r="M36" s="17">
        <f>IF(OR(F36="",K36="",K36&lt;=0),"",F36/K36)</f>
        <v/>
      </c>
      <c r="N36" s="18" t="n">
        <v>12.264055</v>
      </c>
      <c r="O36" s="19">
        <f>IF(OR(N36="",M36="",M36&lt;=0),"",N36/M36)</f>
        <v/>
      </c>
      <c r="P36" s="20" t="n">
        <v>0.28402</v>
      </c>
      <c r="Q36" s="20" t="n">
        <v>0.2809463090154591</v>
      </c>
      <c r="R36" s="20" t="n">
        <v>0.02157800377927351</v>
      </c>
      <c r="S36" s="21" t="n">
        <v>4</v>
      </c>
      <c r="T36" s="20" t="n"/>
      <c r="U36" s="20" t="n">
        <v>0.2777053902071047</v>
      </c>
      <c r="V36" s="20" t="n">
        <v>0.3118702904072475</v>
      </c>
      <c r="W36" s="20" t="n">
        <v>0.2510974539069359</v>
      </c>
      <c r="X36" s="20" t="n">
        <v>0.2831121015405484</v>
      </c>
      <c r="Y36" s="14" t="n">
        <v>5.88</v>
      </c>
      <c r="Z36" s="19">
        <f>IF(OR(Y36="",F36="",F36=0),"",Y36/F36)</f>
        <v/>
      </c>
      <c r="AA36" s="22" t="n">
        <v>28.436</v>
      </c>
      <c r="AB36" s="20" t="n">
        <v>0.111</v>
      </c>
      <c r="AC36" s="20" t="n">
        <v>0.03352044755935837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2026-10-16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272.245</v>
      </c>
      <c r="G37" s="15" t="inlineStr">
        <is>
          <t>USD</t>
        </is>
      </c>
      <c r="H37" s="14" t="n">
        <v>242.2980512114903</v>
      </c>
      <c r="I37" s="16" t="n">
        <v>69006.50634503253</v>
      </c>
      <c r="J37" s="16" t="n">
        <v>77535.39999999999</v>
      </c>
      <c r="K37" s="14" t="n">
        <v>11.03</v>
      </c>
      <c r="L37" s="14" t="n">
        <v>12.34399</v>
      </c>
      <c r="M37" s="17">
        <f>IF(OR(F37="",K37="",K37&lt;=0),"",F37/K37)</f>
        <v/>
      </c>
      <c r="N37" s="18" t="n">
        <v>26.790495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6.88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2026-10-16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106.99</v>
      </c>
      <c r="G38" s="15" t="inlineStr">
        <is>
          <t>USD</t>
        </is>
      </c>
      <c r="H38" s="14" t="n">
        <v>95.22110047610551</v>
      </c>
      <c r="I38" s="16" t="n">
        <v>113817.5615690878</v>
      </c>
      <c r="J38" s="16" t="n">
        <v>127884.9</v>
      </c>
      <c r="K38" s="14" t="n">
        <v>4.45</v>
      </c>
      <c r="L38" s="14" t="n">
        <v>7.41203</v>
      </c>
      <c r="M38" s="17">
        <f>IF(OR(F38="",K38="",K38&lt;=0),"",F38/K38)</f>
        <v/>
      </c>
      <c r="N38" s="18" t="n">
        <v>9.494187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68.185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2026-10-16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TJX Companies</t>
        </is>
      </c>
      <c r="C39" s="12" t="inlineStr">
        <is>
          <t>TJX</t>
        </is>
      </c>
      <c r="D39" s="11" t="inlineStr">
        <is>
          <t>Abbigliamento / Retail</t>
        </is>
      </c>
      <c r="E39" s="13" t="inlineStr">
        <is>
          <t>Consumi</t>
        </is>
      </c>
      <c r="F39" s="14" t="n">
        <v>147.005</v>
      </c>
      <c r="G39" s="15" t="inlineStr">
        <is>
          <t>USD</t>
        </is>
      </c>
      <c r="H39" s="14" t="n">
        <v>130.8344506541723</v>
      </c>
      <c r="I39" s="16" t="n">
        <v>144533.4197226671</v>
      </c>
      <c r="J39" s="16" t="n">
        <v>162397.1</v>
      </c>
      <c r="K39" s="14" t="n">
        <v>5.4</v>
      </c>
      <c r="L39" s="14" t="n">
        <v>5.77352</v>
      </c>
      <c r="M39" s="17">
        <f>IF(OR(F39="",K39="",K39&lt;=0),"",F39/K39)</f>
        <v/>
      </c>
      <c r="N39" s="18" t="n">
        <v>15.199029</v>
      </c>
      <c r="O39" s="19">
        <f>IF(OR(N39="",M39="",M39&lt;=0),"",N39/M39)</f>
        <v/>
      </c>
      <c r="P39" s="20" t="n">
        <v>0.62171</v>
      </c>
      <c r="Q39" s="20" t="n">
        <v>0.5702624372175532</v>
      </c>
      <c r="R39" s="20" t="n">
        <v>0.02863520188802303</v>
      </c>
      <c r="S39" s="21" t="n">
        <v>4</v>
      </c>
      <c r="T39" s="20" t="n">
        <v>0.5391560353287537</v>
      </c>
      <c r="U39" s="20" t="n">
        <v>0.5795305611819374</v>
      </c>
      <c r="V39" s="20" t="n">
        <v>0.6127088468912627</v>
      </c>
      <c r="W39" s="20" t="n">
        <v>0.549654305468259</v>
      </c>
      <c r="X39" s="20" t="n"/>
      <c r="Y39" s="14" t="n">
        <v>1.92</v>
      </c>
      <c r="Z39" s="19">
        <f>IF(OR(Y39="",F39="",F39=0),"",Y39/F39)</f>
        <v/>
      </c>
      <c r="AA39" s="22" t="n">
        <v>134.419</v>
      </c>
      <c r="AB39" s="20" t="n">
        <v>0.054</v>
      </c>
      <c r="AC39" s="20" t="n">
        <v>0.1004936031272776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2026-10-16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JPMorgan Chase</t>
        </is>
      </c>
      <c r="C40" s="12" t="inlineStr">
        <is>
          <t>JPM</t>
        </is>
      </c>
      <c r="D40" s="11" t="inlineStr">
        <is>
          <t>Banca</t>
        </is>
      </c>
      <c r="E40" s="13" t="inlineStr">
        <is>
          <t>Finanziario</t>
        </is>
      </c>
      <c r="F40" s="14" t="n">
        <v>338.28</v>
      </c>
      <c r="G40" s="15" t="inlineStr">
        <is>
          <t>USD</t>
        </is>
      </c>
      <c r="H40" s="14" t="n">
        <v>301.069201505346</v>
      </c>
      <c r="I40" s="16" t="n">
        <v>799472.1409973608</v>
      </c>
      <c r="J40" s="16" t="n">
        <v>898283.3</v>
      </c>
      <c r="K40" s="14" t="n">
        <v>23.84</v>
      </c>
      <c r="L40" s="14" t="n">
        <v>25.50124</v>
      </c>
      <c r="M40" s="17">
        <f>IF(OR(F40="",K40="",K40&lt;=0),"",F40/K40)</f>
        <v/>
      </c>
      <c r="N40" s="18" t="n">
        <v>2.556823</v>
      </c>
      <c r="O40" s="19">
        <f>IF(OR(N40="",M40="",M40&lt;=0),"",N40/M40)</f>
        <v/>
      </c>
      <c r="P40" s="20" t="n">
        <v>0.18013</v>
      </c>
      <c r="Q40" s="20" t="n">
        <v>0.1517527710837262</v>
      </c>
      <c r="R40" s="20" t="n">
        <v>0.01478123957270239</v>
      </c>
      <c r="S40" s="21" t="n">
        <v>4</v>
      </c>
      <c r="T40" s="20" t="n"/>
      <c r="U40" s="20" t="n">
        <v>0.1574007140531622</v>
      </c>
      <c r="V40" s="20" t="n">
        <v>0.1696001253052866</v>
      </c>
      <c r="W40" s="20" t="n">
        <v>0.1511293834902006</v>
      </c>
      <c r="X40" s="20" t="n">
        <v>0.1288808614862554</v>
      </c>
      <c r="Y40" s="14" t="n">
        <v>6.6</v>
      </c>
      <c r="Z40" s="19">
        <f>IF(OR(Y40="",F40="",F40=0),"",Y40/F40)</f>
        <v/>
      </c>
      <c r="AA40" s="22" t="n"/>
      <c r="AB40" s="20" t="n">
        <v>0.102</v>
      </c>
      <c r="AC40" s="20" t="n">
        <v>0.3548422550385764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2026-10-16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Goldman Sachs</t>
        </is>
      </c>
      <c r="C41" s="12" t="inlineStr">
        <is>
          <t>GS</t>
        </is>
      </c>
      <c r="D41" s="11" t="inlineStr">
        <is>
          <t>Banca d'investimento</t>
        </is>
      </c>
      <c r="E41" s="13" t="inlineStr">
        <is>
          <t>Finanziario</t>
        </is>
      </c>
      <c r="F41" s="14" t="n">
        <v>877.91</v>
      </c>
      <c r="G41" s="15" t="inlineStr">
        <is>
          <t>USD</t>
        </is>
      </c>
      <c r="H41" s="14" t="n">
        <v>781.3399039066995</v>
      </c>
      <c r="I41" s="16" t="n">
        <v>227503.8481375192</v>
      </c>
      <c r="J41" s="16" t="n">
        <v>255622.3</v>
      </c>
      <c r="K41" s="14" t="n">
        <v>69.55</v>
      </c>
      <c r="L41" s="14" t="n">
        <v>73.49288</v>
      </c>
      <c r="M41" s="17">
        <f>IF(OR(F41="",K41="",K41&lt;=0),"",F41/K41)</f>
        <v/>
      </c>
      <c r="N41" s="18" t="n">
        <v>2.3584135</v>
      </c>
      <c r="O41" s="19">
        <f>IF(OR(N41="",M41="",M41&lt;=0),"",N41/M41)</f>
        <v/>
      </c>
      <c r="P41" s="20" t="n">
        <v>0.17753</v>
      </c>
      <c r="Q41" s="20" t="n">
        <v>0.1058492814900844</v>
      </c>
      <c r="R41" s="20" t="n">
        <v>0.02401629869746958</v>
      </c>
      <c r="S41" s="21" t="n">
        <v>4</v>
      </c>
      <c r="T41" s="20" t="n"/>
      <c r="U41" s="20" t="n">
        <v>0.1374387862881285</v>
      </c>
      <c r="V41" s="20" t="n">
        <v>0.117020230171481</v>
      </c>
      <c r="W41" s="20" t="n">
        <v>0.07284547281981096</v>
      </c>
      <c r="X41" s="20" t="n">
        <v>0.09609263668091715</v>
      </c>
      <c r="Y41" s="14" t="n">
        <v>20</v>
      </c>
      <c r="Z41" s="19">
        <f>IF(OR(Y41="",F41="",F41=0),"",Y41/F41)</f>
        <v/>
      </c>
      <c r="AA41" s="22" t="n">
        <v>671.2</v>
      </c>
      <c r="AB41" s="20" t="n">
        <v>0.233</v>
      </c>
      <c r="AC41" s="20" t="n">
        <v>0.3646346232005902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2026-10-16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Northrop Grumman</t>
        </is>
      </c>
      <c r="C42" s="12" t="inlineStr">
        <is>
          <t>NOC</t>
        </is>
      </c>
      <c r="D42" s="11" t="inlineStr">
        <is>
          <t>Difesa</t>
        </is>
      </c>
      <c r="E42" s="13" t="inlineStr">
        <is>
          <t>Industriale</t>
        </is>
      </c>
      <c r="F42" s="14" t="n">
        <v>514.4109999999999</v>
      </c>
      <c r="G42" s="15" t="inlineStr">
        <is>
          <t>USD</t>
        </is>
      </c>
      <c r="H42" s="14" t="n">
        <v>457.8257922891289</v>
      </c>
      <c r="I42" s="16" t="n">
        <v>65040.13232520067</v>
      </c>
      <c r="J42" s="16" t="n">
        <v>73078.8</v>
      </c>
      <c r="K42" s="14" t="n">
        <v>31.46</v>
      </c>
      <c r="L42" s="14" t="n">
        <v>30.36835</v>
      </c>
      <c r="M42" s="17">
        <f>IF(OR(F42="",K42="",K42&lt;=0),"",F42/K42)</f>
        <v/>
      </c>
      <c r="N42" s="18" t="n">
        <v>4.0862594</v>
      </c>
      <c r="O42" s="19">
        <f>IF(OR(N42="",M42="",M42&lt;=0),"",N42/M42)</f>
        <v/>
      </c>
      <c r="P42" s="20" t="n">
        <v>0.26958</v>
      </c>
      <c r="Q42" s="20" t="n">
        <v>0.2456284021316426</v>
      </c>
      <c r="R42" s="20" t="n">
        <v>0.06641956155607608</v>
      </c>
      <c r="S42" s="21" t="n">
        <v>4</v>
      </c>
      <c r="T42" s="20" t="n"/>
      <c r="U42" s="20" t="n">
        <v>0.250809643756747</v>
      </c>
      <c r="V42" s="20" t="n">
        <v>0.2729888816219752</v>
      </c>
      <c r="W42" s="20" t="n">
        <v>0.1389658668469077</v>
      </c>
      <c r="X42" s="20" t="n">
        <v>0.3197492163009404</v>
      </c>
      <c r="Y42" s="14" t="n">
        <v>9.880000000000001</v>
      </c>
      <c r="Z42" s="19">
        <f>IF(OR(Y42="",F42="",F42=0),"",Y42/F42)</f>
        <v/>
      </c>
      <c r="AA42" s="22" t="n">
        <v>95.348</v>
      </c>
      <c r="AB42" s="20" t="n">
        <v>0.051</v>
      </c>
      <c r="AC42" s="20" t="n">
        <v>0.1071649902273919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2026-10-16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Chubb</t>
        </is>
      </c>
      <c r="C43" s="12" t="inlineStr">
        <is>
          <t>CB</t>
        </is>
      </c>
      <c r="D43" s="11" t="inlineStr">
        <is>
          <t>Assicurazione</t>
        </is>
      </c>
      <c r="E43" s="13" t="inlineStr">
        <is>
          <t>Finanziario</t>
        </is>
      </c>
      <c r="F43" s="14" t="n">
        <v>354.675</v>
      </c>
      <c r="G43" s="15" t="inlineStr">
        <is>
          <t>USD</t>
        </is>
      </c>
      <c r="H43" s="14" t="n">
        <v>315.6607515783038</v>
      </c>
      <c r="I43" s="16" t="n">
        <v>121781.9046089095</v>
      </c>
      <c r="J43" s="16" t="n">
        <v>136833.6</v>
      </c>
      <c r="K43" s="14" t="n">
        <v>28.23</v>
      </c>
      <c r="L43" s="14" t="n">
        <v>29.26263</v>
      </c>
      <c r="M43" s="17">
        <f>IF(OR(F43="",K43="",K43&lt;=0),"",F43/K43)</f>
        <v/>
      </c>
      <c r="N43" s="18" t="n">
        <v>1.8146584</v>
      </c>
      <c r="O43" s="19">
        <f>IF(OR(N43="",M43="",M43&lt;=0),"",N43/M43)</f>
        <v/>
      </c>
      <c r="P43" s="20" t="n">
        <v>0.14822</v>
      </c>
      <c r="Q43" s="20" t="n">
        <v>0.1350415459271134</v>
      </c>
      <c r="R43" s="20" t="n">
        <v>0.0185040460098504</v>
      </c>
      <c r="S43" s="21" t="n">
        <v>4</v>
      </c>
      <c r="T43" s="20" t="n"/>
      <c r="U43" s="20" t="n">
        <v>0.1397833425979907</v>
      </c>
      <c r="V43" s="20" t="n">
        <v>0.1448274784836226</v>
      </c>
      <c r="W43" s="20" t="n">
        <v>0.1517132438200548</v>
      </c>
      <c r="X43" s="20" t="n">
        <v>0.1038421188067856</v>
      </c>
      <c r="Y43" s="14" t="n">
        <v>4.08</v>
      </c>
      <c r="Z43" s="19">
        <f>IF(OR(Y43="",F43="",F43=0),"",Y43/F43)</f>
        <v/>
      </c>
      <c r="AA43" s="22" t="n">
        <v>30.941</v>
      </c>
      <c r="AB43" s="20" t="n">
        <v>0.061</v>
      </c>
      <c r="AC43" s="20" t="n">
        <v>0.1870933283374872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2026-10-16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NVIDIA</t>
        </is>
      </c>
      <c r="C44" s="12" t="inlineStr">
        <is>
          <t>NVDA</t>
        </is>
      </c>
      <c r="D44" s="11" t="inlineStr">
        <is>
          <t>Semiconduttori</t>
        </is>
      </c>
      <c r="E44" s="13" t="inlineStr">
        <is>
          <t>Tecnologia</t>
        </is>
      </c>
      <c r="F44" s="14" t="n">
        <v>215.93</v>
      </c>
      <c r="G44" s="15" t="inlineStr">
        <is>
          <t>USD</t>
        </is>
      </c>
      <c r="H44" s="14" t="n">
        <v>192.1777009608885</v>
      </c>
      <c r="I44" s="16" t="n">
        <v>4640514.758202574</v>
      </c>
      <c r="J44" s="16" t="n">
        <v>5214061.5</v>
      </c>
      <c r="K44" s="14" t="n">
        <v>7.91</v>
      </c>
      <c r="L44" s="14" t="n">
        <v>15.9146</v>
      </c>
      <c r="M44" s="17">
        <f>IF(OR(F44="",K44="",K44&lt;=0),"",F44/K44)</f>
        <v/>
      </c>
      <c r="N44" s="18" t="n">
        <v>22.77022</v>
      </c>
      <c r="O44" s="19">
        <f>IF(OR(N44="",M44="",M44&lt;=0),"",N44/M44)</f>
        <v/>
      </c>
      <c r="P44" s="20" t="n">
        <v>1.17211</v>
      </c>
      <c r="Q44" s="20" t="n">
        <v>0.6430369043825913</v>
      </c>
      <c r="R44" s="20" t="n">
        <v>0.2698604910859732</v>
      </c>
      <c r="S44" s="21" t="n">
        <v>4</v>
      </c>
      <c r="T44" s="20" t="n">
        <v>0.7633333969089534</v>
      </c>
      <c r="U44" s="20" t="n">
        <v>0.9187288060811577</v>
      </c>
      <c r="V44" s="20" t="n">
        <v>0.6924472986178976</v>
      </c>
      <c r="W44" s="20" t="n">
        <v>0.1976381159223564</v>
      </c>
      <c r="X44" s="20" t="n"/>
      <c r="Y44" s="14" t="n">
        <v>1</v>
      </c>
      <c r="Z44" s="19">
        <f>IF(OR(Y44="",F44="",F44=0),"",Y44/F44)</f>
        <v/>
      </c>
      <c r="AA44" s="22" t="n">
        <v>16.971</v>
      </c>
      <c r="AB44" s="20" t="n">
        <v>1.059</v>
      </c>
      <c r="AC44" s="20" t="n">
        <v>0.8932193547407126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2026-10-16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48.4189</v>
      </c>
      <c r="G45" s="15" t="inlineStr">
        <is>
          <t>USD</t>
        </is>
      </c>
      <c r="H45" s="14" t="n">
        <v>43.09282121546411</v>
      </c>
      <c r="I45" s="16" t="n">
        <v>79828.37239914187</v>
      </c>
      <c r="J45" s="16" t="n">
        <v>89694.8</v>
      </c>
      <c r="K45" s="14" t="n">
        <v>1.72</v>
      </c>
      <c r="L45" s="14" t="n">
        <v>2.28383</v>
      </c>
      <c r="M45" s="17">
        <f>IF(OR(F45="",K45="",K45&lt;=0),"",F45/K45)</f>
        <v/>
      </c>
      <c r="N45" s="18" t="n">
        <v>6.3692317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2026-10-16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318.75</v>
      </c>
      <c r="G46" s="15" t="inlineStr">
        <is>
          <t>USD</t>
        </is>
      </c>
      <c r="H46" s="14" t="n">
        <v>283.6875014184375</v>
      </c>
      <c r="I46" s="16" t="n">
        <v>78245.50739122754</v>
      </c>
      <c r="J46" s="16" t="n">
        <v>87916.3</v>
      </c>
      <c r="K46" s="14" t="n">
        <v>5.03</v>
      </c>
      <c r="L46" s="14" t="n">
        <v>9.5677</v>
      </c>
      <c r="M46" s="17">
        <f>IF(OR(F46="",K46="",K46&lt;=0),"",F46/K46)</f>
        <v/>
      </c>
      <c r="N46" s="18" t="n">
        <v>12.800177</v>
      </c>
      <c r="O46" s="19">
        <f>IF(OR(N46="",M46="",M46&lt;=0),"",N46/M46)</f>
        <v/>
      </c>
      <c r="P46" s="20" t="n">
        <v>0.23229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38.661</v>
      </c>
      <c r="AB46" s="20" t="n">
        <v>0.242</v>
      </c>
      <c r="AC46" s="20" t="n">
        <v>0.2601579539488204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2026-10-16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710.075</v>
      </c>
      <c r="G47" s="15" t="inlineStr">
        <is>
          <t>USD</t>
        </is>
      </c>
      <c r="H47" s="14" t="n">
        <v>631.9667531598338</v>
      </c>
      <c r="I47" s="16" t="n">
        <v>1609939.253049696</v>
      </c>
      <c r="J47" s="16" t="n">
        <v>1808920.5</v>
      </c>
      <c r="K47" s="14" t="n">
        <v>26.54</v>
      </c>
      <c r="L47" s="14" t="n">
        <v>34.48846</v>
      </c>
      <c r="M47" s="17">
        <f>IF(OR(F47="",K47="",K47&lt;=0),"",F47/K47)</f>
        <v/>
      </c>
      <c r="N47" s="18" t="n">
        <v>6.92621</v>
      </c>
      <c r="O47" s="19">
        <f>IF(OR(N47="",M47="",M47&lt;=0),"",N47/M47)</f>
        <v/>
      </c>
      <c r="P47" s="20" t="n">
        <v>0.29848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42.997</v>
      </c>
      <c r="AB47" s="20" t="n">
        <v>0.28</v>
      </c>
      <c r="AC47" s="20" t="n">
        <v>0.3388533326433327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2026-10-16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Nike</t>
        </is>
      </c>
      <c r="C48" s="12" t="inlineStr">
        <is>
          <t>NKE</t>
        </is>
      </c>
      <c r="D48" s="11" t="inlineStr">
        <is>
          <t>Abbigliamento sportivo</t>
        </is>
      </c>
      <c r="E48" s="13" t="inlineStr">
        <is>
          <t>Consumi</t>
        </is>
      </c>
      <c r="F48" s="14" t="n">
        <v>37.245</v>
      </c>
      <c r="G48" s="15" t="inlineStr">
        <is>
          <t>USD</t>
        </is>
      </c>
      <c r="H48" s="14" t="n">
        <v>33.14805016574025</v>
      </c>
      <c r="I48" s="16" t="n">
        <v>49175.61524587808</v>
      </c>
      <c r="J48" s="16" t="n">
        <v>55253.5</v>
      </c>
      <c r="K48" s="14" t="n">
        <v>2.08</v>
      </c>
      <c r="L48" s="14" t="n">
        <v>1.65671</v>
      </c>
      <c r="M48" s="17">
        <f>IF(OR(F48="",K48="",K48&lt;=0),"",F48/K48)</f>
        <v/>
      </c>
      <c r="N48" s="18" t="n">
        <v>3.6246715</v>
      </c>
      <c r="O48" s="19">
        <f>IF(OR(N48="",M48="",M48&lt;=0),"",N48/M48)</f>
        <v/>
      </c>
      <c r="P48" s="20" t="n">
        <v>0.21563</v>
      </c>
      <c r="Q48" s="20" t="n">
        <v>0.3024388129670675</v>
      </c>
      <c r="R48" s="20" t="n">
        <v>0.07793665822629463</v>
      </c>
      <c r="S48" s="21" t="n">
        <v>4</v>
      </c>
      <c r="T48" s="20" t="n">
        <v>0.2090817356205853</v>
      </c>
      <c r="U48" s="20" t="n">
        <v>0.2436237039279497</v>
      </c>
      <c r="V48" s="20" t="n">
        <v>0.395010395010395</v>
      </c>
      <c r="W48" s="20" t="n">
        <v>0.3620394173093402</v>
      </c>
      <c r="X48" s="20" t="n"/>
      <c r="Y48" s="14" t="n">
        <v>1.64</v>
      </c>
      <c r="Z48" s="19">
        <f>IF(OR(Y48="",F48="",F48=0),"",Y48/F48)</f>
        <v/>
      </c>
      <c r="AA48" s="22" t="n">
        <v>73.095</v>
      </c>
      <c r="AB48" s="20" t="n">
        <v>-0.043</v>
      </c>
      <c r="AC48" s="20" t="n">
        <v>0.06666235475667055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2026-10-16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224.745</v>
      </c>
      <c r="G49" s="15" t="inlineStr">
        <is>
          <t>USD</t>
        </is>
      </c>
      <c r="H49" s="14" t="n">
        <v>200.0230510001153</v>
      </c>
      <c r="I49" s="16" t="n">
        <v>79952.2603997613</v>
      </c>
      <c r="J49" s="16" t="n">
        <v>89834</v>
      </c>
      <c r="K49" s="14" t="n">
        <v>7.06</v>
      </c>
      <c r="L49" s="14" t="n">
        <v>9.08508</v>
      </c>
      <c r="M49" s="17">
        <f>IF(OR(F49="",K49="",K49&lt;=0),"",F49/K49)</f>
        <v/>
      </c>
      <c r="N49" s="18" t="n">
        <v>9.05682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2026-10-16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Booking Holdings</t>
        </is>
      </c>
      <c r="C50" s="12" t="inlineStr">
        <is>
          <t>BKNG</t>
        </is>
      </c>
      <c r="D50" s="11" t="inlineStr">
        <is>
          <t>Viaggi</t>
        </is>
      </c>
      <c r="E50" s="13" t="inlineStr">
        <is>
          <t>Consumi</t>
        </is>
      </c>
      <c r="F50" s="14" t="n">
        <v>163.755</v>
      </c>
      <c r="G50" s="15" t="inlineStr">
        <is>
          <t>USD</t>
        </is>
      </c>
      <c r="H50" s="14" t="n">
        <v>145.7419507287098</v>
      </c>
      <c r="I50" s="16" t="n">
        <v>112921.9545646098</v>
      </c>
      <c r="J50" s="16" t="n">
        <v>126878.6</v>
      </c>
      <c r="K50" s="14" t="n">
        <v>9.02</v>
      </c>
      <c r="L50" s="14" t="n">
        <v>12.37827</v>
      </c>
      <c r="M50" s="17">
        <f>IF(OR(F50="",K50="",K50&lt;=0),"",F50/K50)</f>
        <v/>
      </c>
      <c r="N50" s="18" t="n">
        <v>-11.509912</v>
      </c>
      <c r="O50" s="19">
        <f>IF(OR(N50="",M50="",M50&lt;=0),"",N50/M50)</f>
        <v/>
      </c>
      <c r="P50" s="20" t="n">
        <v>1.09920920201294</v>
      </c>
      <c r="Q50" s="20" t="n">
        <v>1.09920920201294</v>
      </c>
      <c r="R50" s="20" t="n"/>
      <c r="S50" s="21" t="n">
        <v>1</v>
      </c>
      <c r="T50" s="20" t="n"/>
      <c r="U50" s="20" t="n"/>
      <c r="V50" s="20" t="n"/>
      <c r="W50" s="20" t="n"/>
      <c r="X50" s="20" t="n">
        <v>1.09920920201294</v>
      </c>
      <c r="Y50" s="14" t="n">
        <v>1.68</v>
      </c>
      <c r="Z50" s="19">
        <f>IF(OR(Y50="",F50="",F50=0),"",Y50/F50)</f>
        <v/>
      </c>
      <c r="AA50" s="22" t="n"/>
      <c r="AB50" s="20" t="n">
        <v>0.081</v>
      </c>
      <c r="AC50" s="20" t="n">
        <v>0.2678233063119961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2026-10-16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107.75</v>
      </c>
      <c r="G51" s="15" t="inlineStr">
        <is>
          <t>USD</t>
        </is>
      </c>
      <c r="H51" s="14" t="n">
        <v>95.8975004794875</v>
      </c>
      <c r="I51" s="16" t="n">
        <v>378084.194890421</v>
      </c>
      <c r="J51" s="16" t="n">
        <v>424813.7</v>
      </c>
      <c r="K51" s="14" t="n">
        <v>3.33</v>
      </c>
      <c r="L51" s="14" t="n">
        <v>5.62203</v>
      </c>
      <c r="M51" s="17">
        <f>IF(OR(F51="",K51="",K51&lt;=0),"",F51/K51)</f>
        <v/>
      </c>
      <c r="N51" s="18" t="n">
        <v>8.455622999999999</v>
      </c>
      <c r="O51" s="19">
        <f>IF(OR(N51="",M51="",M51&lt;=0),"",N51/M51)</f>
        <v/>
      </c>
      <c r="P51" s="20" t="n">
        <v>0.27319</v>
      </c>
      <c r="Q51" s="20" t="n">
        <v>0.2481407932680991</v>
      </c>
      <c r="R51" s="20" t="n">
        <v>0.0271800865071588</v>
      </c>
      <c r="S51" s="21" t="n">
        <v>4</v>
      </c>
      <c r="T51" s="20" t="n">
        <v>0.2638361340359948</v>
      </c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62.017</v>
      </c>
      <c r="AB51" s="20" t="n">
        <v>0.176</v>
      </c>
      <c r="AC51" s="20" t="n">
        <v>0.2095065190682985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2026-10-16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Procter &amp; Gamble</t>
        </is>
      </c>
      <c r="C52" s="12" t="inlineStr">
        <is>
          <t>PG</t>
        </is>
      </c>
      <c r="D52" s="11" t="inlineStr">
        <is>
          <t>Beni per la casa</t>
        </is>
      </c>
      <c r="E52" s="13" t="inlineStr">
        <is>
          <t>Consumi</t>
        </is>
      </c>
      <c r="F52" s="14" t="n">
        <v>158.6464</v>
      </c>
      <c r="G52" s="15" t="inlineStr">
        <is>
          <t>USD</t>
        </is>
      </c>
      <c r="H52" s="14" t="n">
        <v>141.1952967059765</v>
      </c>
      <c r="I52" s="16" t="n">
        <v>328198.9826409949</v>
      </c>
      <c r="J52" s="16" t="n">
        <v>368762.9</v>
      </c>
      <c r="K52" s="14" t="n">
        <v>6.62</v>
      </c>
      <c r="L52" s="14" t="n">
        <v>7.39145</v>
      </c>
      <c r="M52" s="17">
        <f>IF(OR(F52="",K52="",K52&lt;=0),"",F52/K52)</f>
        <v/>
      </c>
      <c r="N52" s="18" t="n">
        <v>6.9136004</v>
      </c>
      <c r="O52" s="19">
        <f>IF(OR(N52="",M52="",M52&lt;=0),"",N52/M52)</f>
        <v/>
      </c>
      <c r="P52" s="20" t="n">
        <v>0.30290002</v>
      </c>
      <c r="Q52" s="20" t="n">
        <v>0.3032410724344928</v>
      </c>
      <c r="R52" s="20" t="n">
        <v>0.007281835576251603</v>
      </c>
      <c r="S52" s="21" t="n">
        <v>4</v>
      </c>
      <c r="T52" s="20" t="n">
        <v>0.2967030935078863</v>
      </c>
      <c r="U52" s="20" t="n">
        <v>0.3071214335153426</v>
      </c>
      <c r="V52" s="20" t="n">
        <v>0.2958875233663445</v>
      </c>
      <c r="W52" s="20" t="n">
        <v>0.3132522393483977</v>
      </c>
      <c r="X52" s="20" t="n">
        <v>0.3164266243104595</v>
      </c>
      <c r="Y52" s="14" t="n">
        <v>4.35</v>
      </c>
      <c r="Z52" s="19">
        <f>IF(OR(Y52="",F52="",F52=0),"",Y52/F52)</f>
        <v/>
      </c>
      <c r="AA52" s="22" t="n">
        <v>64.48999999999999</v>
      </c>
      <c r="AB52" s="20" t="n">
        <v>0.015</v>
      </c>
      <c r="AC52" s="20" t="n">
        <v>0.1810138843643717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2026-10-16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FedEx</t>
        </is>
      </c>
      <c r="C53" s="12" t="inlineStr">
        <is>
          <t>FDX</t>
        </is>
      </c>
      <c r="D53" s="11" t="inlineStr">
        <is>
          <t>Logistica</t>
        </is>
      </c>
      <c r="E53" s="13" t="inlineStr">
        <is>
          <t>Industriale</t>
        </is>
      </c>
      <c r="F53" s="14" t="n">
        <v>292.82</v>
      </c>
      <c r="G53" s="15" t="inlineStr">
        <is>
          <t>USD</t>
        </is>
      </c>
      <c r="H53" s="14" t="n">
        <v>260.609801303049</v>
      </c>
      <c r="I53" s="16" t="n">
        <v>61678.60230839302</v>
      </c>
      <c r="J53" s="16" t="n">
        <v>69301.8</v>
      </c>
      <c r="K53" s="14" t="n">
        <v>18.55</v>
      </c>
      <c r="L53" s="14" t="n">
        <v>20.85888</v>
      </c>
      <c r="M53" s="17">
        <f>IF(OR(F53="",K53="",K53&lt;=0),"",F53/K53)</f>
        <v/>
      </c>
      <c r="N53" s="18" t="n">
        <v>2.220638</v>
      </c>
      <c r="O53" s="19">
        <f>IF(OR(N53="",M53="",M53&lt;=0),"",N53/M53)</f>
        <v/>
      </c>
      <c r="P53" s="20" t="n">
        <v>0.14846</v>
      </c>
      <c r="Q53" s="20" t="n">
        <v>0.1487776787174603</v>
      </c>
      <c r="R53" s="20" t="n">
        <v>0.006420595404348427</v>
      </c>
      <c r="S53" s="21" t="n">
        <v>4</v>
      </c>
      <c r="T53" s="20" t="n">
        <v>0.1400764685436218</v>
      </c>
      <c r="U53" s="20" t="n">
        <v>0.1457576405214789</v>
      </c>
      <c r="V53" s="20" t="n">
        <v>0.1570226959611341</v>
      </c>
      <c r="W53" s="20" t="n">
        <v>0.1522539098436063</v>
      </c>
      <c r="X53" s="20" t="n"/>
      <c r="Y53" s="14" t="n">
        <v>4.88</v>
      </c>
      <c r="Z53" s="19">
        <f>IF(OR(Y53="",F53="",F53=0),"",Y53/F53)</f>
        <v/>
      </c>
      <c r="AA53" s="22" t="n">
        <v>135.697</v>
      </c>
      <c r="AB53" s="20" t="n">
        <v>0.125</v>
      </c>
      <c r="AC53" s="20" t="n">
        <v>0.0467271945945946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2026-10-16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Bank of America</t>
        </is>
      </c>
      <c r="C54" s="12" t="inlineStr">
        <is>
          <t>BAC</t>
        </is>
      </c>
      <c r="D54" s="11" t="inlineStr">
        <is>
          <t>Banca</t>
        </is>
      </c>
      <c r="E54" s="13" t="inlineStr">
        <is>
          <t>Finanziario</t>
        </is>
      </c>
      <c r="F54" s="14" t="n">
        <v>51.545</v>
      </c>
      <c r="G54" s="15" t="inlineStr">
        <is>
          <t>USD</t>
        </is>
      </c>
      <c r="H54" s="14" t="n">
        <v>45.87505022937525</v>
      </c>
      <c r="I54" s="16" t="n">
        <v>320823.8196041191</v>
      </c>
      <c r="J54" s="16" t="n">
        <v>360476.2</v>
      </c>
      <c r="K54" s="14" t="n">
        <v>4.19</v>
      </c>
      <c r="L54" s="14" t="n">
        <v>5.19322</v>
      </c>
      <c r="M54" s="17">
        <f>IF(OR(F54="",K54="",K54&lt;=0),"",F54/K54)</f>
        <v/>
      </c>
      <c r="N54" s="18" t="n">
        <v>1.3132085</v>
      </c>
      <c r="O54" s="19">
        <f>IF(OR(N54="",M54="",M54&lt;=0),"",N54/M54)</f>
        <v/>
      </c>
      <c r="P54" s="20" t="n">
        <v>0.1073</v>
      </c>
      <c r="Q54" s="20" t="n">
        <v>0.09583073596940467</v>
      </c>
      <c r="R54" s="20" t="n">
        <v>0.004886619979617854</v>
      </c>
      <c r="S54" s="21" t="n">
        <v>4</v>
      </c>
      <c r="T54" s="20" t="n"/>
      <c r="U54" s="20" t="n">
        <v>0.1006090824850038</v>
      </c>
      <c r="V54" s="20" t="n">
        <v>0.09175644553906444</v>
      </c>
      <c r="W54" s="20" t="n">
        <v>0.0901949623859062</v>
      </c>
      <c r="X54" s="20" t="n">
        <v>0.1007624534676442</v>
      </c>
      <c r="Y54" s="14" t="n">
        <v>1.28</v>
      </c>
      <c r="Z54" s="19">
        <f>IF(OR(Y54="",F54="",F54=0),"",Y54/F54)</f>
        <v/>
      </c>
      <c r="AA54" s="22" t="n"/>
      <c r="AB54" s="20" t="n">
        <v>0.07099999999999999</v>
      </c>
      <c r="AC54" s="20" t="n">
        <v>0.2720054449543312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2026-10-16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333</v>
      </c>
      <c r="G55" s="15" t="inlineStr">
        <is>
          <t>USD</t>
        </is>
      </c>
      <c r="H55" s="14" t="n">
        <v>296.37000148185</v>
      </c>
      <c r="I55" s="16" t="n">
        <v>1414760.739073804</v>
      </c>
      <c r="J55" s="16" t="n">
        <v>1589618.8</v>
      </c>
      <c r="K55" s="14" t="n">
        <v>7.59</v>
      </c>
      <c r="L55" s="14" t="n">
        <v>19.39382</v>
      </c>
      <c r="M55" s="17">
        <f>IF(OR(F55="",K55="",K55&lt;=0),"",F55/K55)</f>
        <v/>
      </c>
      <c r="N55" s="18" t="n">
        <v>15.946749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2026-10-16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Cigna Group</t>
        </is>
      </c>
      <c r="C56" s="12" t="inlineStr">
        <is>
          <t>CI</t>
        </is>
      </c>
      <c r="D56" s="11" t="inlineStr">
        <is>
          <t>Assicurazione sanitaria</t>
        </is>
      </c>
      <c r="E56" s="13" t="inlineStr">
        <is>
          <t>Salute</t>
        </is>
      </c>
      <c r="F56" s="14" t="n">
        <v>300.54</v>
      </c>
      <c r="G56" s="15" t="inlineStr">
        <is>
          <t>USD</t>
        </is>
      </c>
      <c r="H56" s="14" t="n">
        <v>267.480601337403</v>
      </c>
      <c r="I56" s="16" t="n">
        <v>70679.17235339587</v>
      </c>
      <c r="J56" s="16" t="n">
        <v>79414.8</v>
      </c>
      <c r="K56" s="14" t="n">
        <v>24.19</v>
      </c>
      <c r="L56" s="14" t="n">
        <v>33.48462</v>
      </c>
      <c r="M56" s="17">
        <f>IF(OR(F56="",K56="",K56&lt;=0),"",F56/K56)</f>
        <v/>
      </c>
      <c r="N56" s="18" t="n">
        <v>1.8595126</v>
      </c>
      <c r="O56" s="19">
        <f>IF(OR(N56="",M56="",M56&lt;=0),"",N56/M56)</f>
        <v/>
      </c>
      <c r="P56" s="20" t="n">
        <v>0.16758</v>
      </c>
      <c r="Q56" s="20" t="n">
        <v>0.1220696910352129</v>
      </c>
      <c r="R56" s="20" t="n">
        <v>0.02642867866442709</v>
      </c>
      <c r="S56" s="21" t="n">
        <v>4</v>
      </c>
      <c r="T56" s="20" t="n"/>
      <c r="U56" s="20" t="n">
        <v>0.1428091961738547</v>
      </c>
      <c r="V56" s="20" t="n">
        <v>0.0836887383325616</v>
      </c>
      <c r="W56" s="20" t="n">
        <v>0.1117192739545248</v>
      </c>
      <c r="X56" s="20" t="n">
        <v>0.1500615556799105</v>
      </c>
      <c r="Y56" s="14" t="n">
        <v>6.24</v>
      </c>
      <c r="Z56" s="19">
        <f>IF(OR(Y56="",F56="",F56=0),"",Y56/F56)</f>
        <v/>
      </c>
      <c r="AA56" s="22" t="n">
        <v>74.29000000000001</v>
      </c>
      <c r="AB56" s="20" t="n">
        <v>0.067</v>
      </c>
      <c r="AC56" s="20" t="n">
        <v>0.02342854221592527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2026-10-16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433.96</v>
      </c>
      <c r="G57" s="15" t="inlineStr">
        <is>
          <t>USD</t>
        </is>
      </c>
      <c r="H57" s="14" t="n">
        <v>386.224401931122</v>
      </c>
      <c r="I57" s="16" t="n">
        <v>208805.3040440265</v>
      </c>
      <c r="J57" s="16" t="n">
        <v>234612.7</v>
      </c>
      <c r="K57" s="14" t="n">
        <v>16.1</v>
      </c>
      <c r="L57" s="14" t="n">
        <v>24.49778</v>
      </c>
      <c r="M57" s="17">
        <f>IF(OR(F57="",K57="",K57&lt;=0),"",F57/K57)</f>
        <v/>
      </c>
      <c r="N57" s="18" t="n">
        <v>20.072155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2026-10-16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Netflix</t>
        </is>
      </c>
      <c r="C58" s="12" t="inlineStr">
        <is>
          <t>NFLX</t>
        </is>
      </c>
      <c r="D58" s="11" t="inlineStr">
        <is>
          <t>Streaming</t>
        </is>
      </c>
      <c r="E58" s="13" t="inlineStr">
        <is>
          <t>Consumi</t>
        </is>
      </c>
      <c r="F58" s="14" t="n">
        <v>70.5</v>
      </c>
      <c r="G58" s="15" t="inlineStr">
        <is>
          <t>USD</t>
        </is>
      </c>
      <c r="H58" s="14" t="n">
        <v>62.745000313725</v>
      </c>
      <c r="I58" s="16" t="n">
        <v>261266.3543063318</v>
      </c>
      <c r="J58" s="16" t="n">
        <v>293557.7</v>
      </c>
      <c r="K58" s="14" t="n">
        <v>3.18</v>
      </c>
      <c r="L58" s="14" t="n">
        <v>3.80273</v>
      </c>
      <c r="M58" s="17">
        <f>IF(OR(F58="",K58="",K58&lt;=0),"",F58/K58)</f>
        <v/>
      </c>
      <c r="N58" s="18" t="n">
        <v>9.736224</v>
      </c>
      <c r="O58" s="19">
        <f>IF(OR(N58="",M58="",M58&lt;=0),"",N58/M58)</f>
        <v/>
      </c>
      <c r="P58" s="20" t="n">
        <v>0.49541</v>
      </c>
      <c r="Q58" s="20" t="n">
        <v>0.49541</v>
      </c>
      <c r="R58" s="20" t="n"/>
      <c r="S58" s="21" t="n">
        <v>0</v>
      </c>
      <c r="T58" s="20" t="n"/>
      <c r="U58" s="20" t="n">
        <v>0.4125868742290204</v>
      </c>
      <c r="V58" s="20" t="n">
        <v>0.3520766023750739</v>
      </c>
      <c r="W58" s="20" t="n">
        <v>0.262672808597771</v>
      </c>
      <c r="X58" s="20" t="n">
        <v>0.2161927759877186</v>
      </c>
      <c r="Y58" s="14" t="n"/>
      <c r="Z58" s="19">
        <f>IF(OR(Y58="",F58="",F58=0),"",Y58/F58)</f>
        <v/>
      </c>
      <c r="AA58" s="22" t="n">
        <v>55.236</v>
      </c>
      <c r="AB58" s="20" t="n">
        <v>0.134</v>
      </c>
      <c r="AC58" s="20" t="n">
        <v>0.28219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2026-10-16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284.97</v>
      </c>
      <c r="G59" s="15" t="inlineStr">
        <is>
          <t>USD</t>
        </is>
      </c>
      <c r="H59" s="14" t="n">
        <v>253.6233012681165</v>
      </c>
      <c r="I59" s="16" t="n">
        <v>448182.1082409106</v>
      </c>
      <c r="J59" s="16" t="n">
        <v>503575.4</v>
      </c>
      <c r="K59" s="14" t="n">
        <v>3.54</v>
      </c>
      <c r="L59" s="14" t="n">
        <v>16.21519</v>
      </c>
      <c r="M59" s="17">
        <f>IF(OR(F59="",K59="",K59&lt;=0),"",F59/K59)</f>
        <v/>
      </c>
      <c r="N59" s="18" t="n">
        <v>-84.83775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>
        <v>6.92</v>
      </c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2026-10-16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389.155</v>
      </c>
      <c r="G60" s="15" t="inlineStr">
        <is>
          <t>USD</t>
        </is>
      </c>
      <c r="H60" s="14" t="n">
        <v>346.3479517317397</v>
      </c>
      <c r="I60" s="16" t="n">
        <v>90315.86545157933</v>
      </c>
      <c r="J60" s="16" t="n">
        <v>101478.5</v>
      </c>
      <c r="K60" s="14" t="n">
        <v>9.67</v>
      </c>
      <c r="L60" s="14" t="n">
        <v>13.14881</v>
      </c>
      <c r="M60" s="17">
        <f>IF(OR(F60="",K60="",K60&lt;=0),"",F60/K60)</f>
        <v/>
      </c>
      <c r="N60" s="18" t="n">
        <v>-22.515331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2026-10-16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316.08</v>
      </c>
      <c r="G61" s="15" t="inlineStr">
        <is>
          <t>USD</t>
        </is>
      </c>
      <c r="H61" s="14" t="n">
        <v>281.311201406556</v>
      </c>
      <c r="I61" s="16" t="n">
        <v>291877.9044593896</v>
      </c>
      <c r="J61" s="16" t="n">
        <v>327952.7</v>
      </c>
      <c r="K61" s="14" t="n">
        <v>8.48</v>
      </c>
      <c r="L61" s="14" t="n">
        <v>9.11275</v>
      </c>
      <c r="M61" s="17">
        <f>IF(OR(F61="",K61="",K61&lt;=0),"",F61/K61)</f>
        <v/>
      </c>
      <c r="N61" s="18" t="n">
        <v>18.591846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2026-10-16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Phillips 66</t>
        </is>
      </c>
      <c r="C62" s="12" t="inlineStr">
        <is>
          <t>PSX</t>
        </is>
      </c>
      <c r="D62" s="11" t="inlineStr">
        <is>
          <t>Raffinazione</t>
        </is>
      </c>
      <c r="E62" s="13" t="inlineStr">
        <is>
          <t>Energia</t>
        </is>
      </c>
      <c r="F62" s="14" t="n">
        <v>292.6375</v>
      </c>
      <c r="G62" s="15" t="inlineStr">
        <is>
          <t>USD</t>
        </is>
      </c>
      <c r="H62" s="14" t="n">
        <v>260.4473763022369</v>
      </c>
      <c r="I62" s="16" t="n">
        <v>103923.9655196198</v>
      </c>
      <c r="J62" s="16" t="n">
        <v>116768.5</v>
      </c>
      <c r="K62" s="14" t="n">
        <v>17.5</v>
      </c>
      <c r="L62" s="14" t="n">
        <v>29.9519</v>
      </c>
      <c r="M62" s="17">
        <f>IF(OR(F62="",K62="",K62&lt;=0),"",F62/K62)</f>
        <v/>
      </c>
      <c r="N62" s="18" t="n">
        <v>3.7062428</v>
      </c>
      <c r="O62" s="19">
        <f>IF(OR(N62="",M62="",M62&lt;=0),"",N62/M62)</f>
        <v/>
      </c>
      <c r="P62" s="20" t="n">
        <v>0.23452999</v>
      </c>
      <c r="Q62" s="20" t="n">
        <v>0.2079323006455208</v>
      </c>
      <c r="R62" s="20" t="n">
        <v>0.1098238706639464</v>
      </c>
      <c r="S62" s="21" t="n">
        <v>4</v>
      </c>
      <c r="T62" s="20" t="n"/>
      <c r="U62" s="20" t="n">
        <v>0.151342247275977</v>
      </c>
      <c r="V62" s="20" t="n">
        <v>0.07724022183304145</v>
      </c>
      <c r="W62" s="20" t="n">
        <v>0.2293757970114116</v>
      </c>
      <c r="X62" s="20" t="n">
        <v>0.3737709364616532</v>
      </c>
      <c r="Y62" s="14" t="n">
        <v>5.08</v>
      </c>
      <c r="Z62" s="19">
        <f>IF(OR(Y62="",F62="",F62=0),"",Y62/F62)</f>
        <v/>
      </c>
      <c r="AA62" s="22" t="n">
        <v>62.884</v>
      </c>
      <c r="AB62" s="20" t="n">
        <v>0.531</v>
      </c>
      <c r="AC62" s="20" t="n">
        <v>0.05352178787695655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2026-10-16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Morgan Stanley</t>
        </is>
      </c>
      <c r="C63" s="12" t="inlineStr">
        <is>
          <t>MS</t>
        </is>
      </c>
      <c r="D63" s="11" t="inlineStr">
        <is>
          <t>Banca d'investimento</t>
        </is>
      </c>
      <c r="E63" s="13" t="inlineStr">
        <is>
          <t>Finanziario</t>
        </is>
      </c>
      <c r="F63" s="14" t="n">
        <v>180.715</v>
      </c>
      <c r="G63" s="15" t="inlineStr">
        <is>
          <t>USD</t>
        </is>
      </c>
      <c r="H63" s="14" t="n">
        <v>160.8363508041818</v>
      </c>
      <c r="I63" s="16" t="n">
        <v>252604.1622630208</v>
      </c>
      <c r="J63" s="16" t="n">
        <v>283824.9</v>
      </c>
      <c r="K63" s="14" t="n">
        <v>12.61</v>
      </c>
      <c r="L63" s="14" t="n">
        <v>13.64362</v>
      </c>
      <c r="M63" s="17">
        <f>IF(OR(F63="",K63="",K63&lt;=0),"",F63/K63)</f>
        <v/>
      </c>
      <c r="N63" s="18" t="n">
        <v>2.6653736</v>
      </c>
      <c r="O63" s="19">
        <f>IF(OR(N63="",M63="",M63&lt;=0),"",N63/M63)</f>
        <v/>
      </c>
      <c r="P63" s="20" t="n">
        <v>0.1863907554150638</v>
      </c>
      <c r="Q63" s="20" t="n">
        <v>0.1202621939362582</v>
      </c>
      <c r="R63" s="20" t="n">
        <v>0.02193423207360017</v>
      </c>
      <c r="S63" s="21" t="n">
        <v>4</v>
      </c>
      <c r="T63" s="20" t="n"/>
      <c r="U63" s="20" t="n">
        <v>0.1510409201662606</v>
      </c>
      <c r="V63" s="20" t="n">
        <v>0.1281204849250318</v>
      </c>
      <c r="W63" s="20" t="n">
        <v>0.09175266059492317</v>
      </c>
      <c r="X63" s="20" t="n">
        <v>0.1101347100588171</v>
      </c>
      <c r="Y63" s="14" t="n">
        <v>4.6</v>
      </c>
      <c r="Z63" s="19">
        <f>IF(OR(Y63="",F63="",F63=0),"",Y63/F63)</f>
        <v/>
      </c>
      <c r="AA63" s="22" t="n">
        <v>517.282</v>
      </c>
      <c r="AB63" s="20" t="n">
        <v>0.108</v>
      </c>
      <c r="AC63" s="20" t="n">
        <v>0.300882264924355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2026-10-16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183.65</v>
      </c>
      <c r="G64" s="15" t="inlineStr">
        <is>
          <t>USD</t>
        </is>
      </c>
      <c r="H64" s="14" t="n">
        <v>163.4485008172425</v>
      </c>
      <c r="I64" s="16" t="n">
        <v>76160.50438080252</v>
      </c>
      <c r="J64" s="16" t="n">
        <v>85573.60000000001</v>
      </c>
      <c r="K64" s="14" t="n">
        <v>7.27</v>
      </c>
      <c r="L64" s="14" t="n">
        <v>6.99337</v>
      </c>
      <c r="M64" s="17">
        <f>IF(OR(F64="",K64="",K64&lt;=0),"",F64/K64)</f>
        <v/>
      </c>
      <c r="N64" s="18" t="n">
        <v>23.005136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7.16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2026-10-16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Charles Schwab</t>
        </is>
      </c>
      <c r="C65" s="12" t="inlineStr">
        <is>
          <t>SCHW</t>
        </is>
      </c>
      <c r="D65" s="11" t="inlineStr">
        <is>
          <t>Intermediazione</t>
        </is>
      </c>
      <c r="E65" s="13" t="inlineStr">
        <is>
          <t>Finanziario</t>
        </is>
      </c>
      <c r="F65" s="14" t="n">
        <v>92.06</v>
      </c>
      <c r="G65" s="15" t="inlineStr">
        <is>
          <t>USD</t>
        </is>
      </c>
      <c r="H65" s="14" t="n">
        <v>81.933400409667</v>
      </c>
      <c r="I65" s="16" t="n">
        <v>141690.3147084516</v>
      </c>
      <c r="J65" s="16" t="n">
        <v>159202.6</v>
      </c>
      <c r="K65" s="14" t="n">
        <v>5.49</v>
      </c>
      <c r="L65" s="14" t="n">
        <v>7.8644</v>
      </c>
      <c r="M65" s="17">
        <f>IF(OR(F65="",K65="",K65&lt;=0),"",F65/K65)</f>
        <v/>
      </c>
      <c r="N65" s="18" t="n">
        <v>3.0949738</v>
      </c>
      <c r="O65" s="19">
        <f>IF(OR(N65="",M65="",M65&lt;=0),"",N65/M65)</f>
        <v/>
      </c>
      <c r="P65" s="20" t="n">
        <v>0.21122</v>
      </c>
      <c r="Q65" s="20" t="n">
        <v>0.1554644312241724</v>
      </c>
      <c r="R65" s="20" t="n">
        <v>0.03275755535947185</v>
      </c>
      <c r="S65" s="21" t="n">
        <v>4</v>
      </c>
      <c r="T65" s="20" t="n"/>
      <c r="U65" s="20" t="n">
        <v>0.179099645928174</v>
      </c>
      <c r="V65" s="20" t="n">
        <v>0.1228320413436692</v>
      </c>
      <c r="W65" s="20" t="n">
        <v>0.1237120953171542</v>
      </c>
      <c r="X65" s="20" t="n">
        <v>0.1962139423076923</v>
      </c>
      <c r="Y65" s="14" t="n">
        <v>1.28</v>
      </c>
      <c r="Z65" s="19">
        <f>IF(OR(Y65="",F65="",F65=0),"",Y65/F65)</f>
        <v/>
      </c>
      <c r="AA65" s="22" t="n">
        <v>77.821</v>
      </c>
      <c r="AB65" s="20" t="n">
        <v>0.169</v>
      </c>
      <c r="AC65" s="20" t="n">
        <v>0.4287655077964968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2026-10-16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Valero Energy</t>
        </is>
      </c>
      <c r="C66" s="12" t="inlineStr">
        <is>
          <t>VLO</t>
        </is>
      </c>
      <c r="D66" s="11" t="inlineStr">
        <is>
          <t>Raffinazione</t>
        </is>
      </c>
      <c r="E66" s="13" t="inlineStr">
        <is>
          <t>Energia</t>
        </is>
      </c>
      <c r="F66" s="14" t="n">
        <v>445.93</v>
      </c>
      <c r="G66" s="15" t="inlineStr">
        <is>
          <t>USD</t>
        </is>
      </c>
      <c r="H66" s="14" t="n">
        <v>396.8777019843885</v>
      </c>
      <c r="I66" s="16" t="n">
        <v>114271.99557136</v>
      </c>
      <c r="J66" s="16" t="n">
        <v>128395.5</v>
      </c>
      <c r="K66" s="14" t="n">
        <v>23.99</v>
      </c>
      <c r="L66" s="14" t="n">
        <v>47.38085</v>
      </c>
      <c r="M66" s="17">
        <f>IF(OR(F66="",K66="",K66&lt;=0),"",F66/K66)</f>
        <v/>
      </c>
      <c r="N66" s="18" t="n">
        <v>5.1356673</v>
      </c>
      <c r="O66" s="19">
        <f>IF(OR(N66="",M66="",M66&lt;=0),"",N66/M66)</f>
        <v/>
      </c>
      <c r="P66" s="20" t="n">
        <v>0.27637</v>
      </c>
      <c r="Q66" s="20" t="n">
        <v>0.2591503425025153</v>
      </c>
      <c r="R66" s="20" t="n">
        <v>0.1626219038409605</v>
      </c>
      <c r="S66" s="21" t="n">
        <v>4</v>
      </c>
      <c r="T66" s="20" t="n"/>
      <c r="U66" s="20" t="n">
        <v>0.09896733403582719</v>
      </c>
      <c r="V66" s="20" t="n">
        <v>0.1130058746736292</v>
      </c>
      <c r="W66" s="20" t="n">
        <v>0.3353450239125484</v>
      </c>
      <c r="X66" s="20" t="n">
        <v>0.4892831373880565</v>
      </c>
      <c r="Y66" s="14" t="n">
        <v>4.8</v>
      </c>
      <c r="Z66" s="19">
        <f>IF(OR(Y66="",F66="",F66=0),"",Y66/F66)</f>
        <v/>
      </c>
      <c r="AA66" s="22" t="n">
        <v>40.148</v>
      </c>
      <c r="AB66" s="20" t="n">
        <v>0.517</v>
      </c>
      <c r="AC66" s="20" t="n">
        <v>0.05862886806263092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2026-10-16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Parker Hannifin</t>
        </is>
      </c>
      <c r="C67" s="12" t="inlineStr">
        <is>
          <t>PH</t>
        </is>
      </c>
      <c r="D67" s="11" t="inlineStr">
        <is>
          <t>Componenti industriali</t>
        </is>
      </c>
      <c r="E67" s="13" t="inlineStr">
        <is>
          <t>Industriale</t>
        </is>
      </c>
      <c r="F67" s="14" t="n">
        <v>967.855</v>
      </c>
      <c r="G67" s="15" t="inlineStr">
        <is>
          <t>USD</t>
        </is>
      </c>
      <c r="H67" s="14" t="n">
        <v>861.3909543069548</v>
      </c>
      <c r="I67" s="16" t="n">
        <v>108632.0655431603</v>
      </c>
      <c r="J67" s="16" t="n">
        <v>122058.5</v>
      </c>
      <c r="K67" s="14" t="n">
        <v>28.48</v>
      </c>
      <c r="L67" s="14" t="n">
        <v>39.70725</v>
      </c>
      <c r="M67" s="17">
        <f>IF(OR(F67="",K67="",K67&lt;=0),"",F67/K67)</f>
        <v/>
      </c>
      <c r="N67" s="18" t="n">
        <v>7.923042</v>
      </c>
      <c r="O67" s="19">
        <f>IF(OR(N67="",M67="",M67&lt;=0),"",N67/M67)</f>
        <v/>
      </c>
      <c r="P67" s="20" t="n">
        <v>0.25076</v>
      </c>
      <c r="Q67" s="20" t="n">
        <v>0.2330477121157223</v>
      </c>
      <c r="R67" s="20" t="n">
        <v>0.02018286569552279</v>
      </c>
      <c r="S67" s="21" t="n">
        <v>4</v>
      </c>
      <c r="T67" s="20" t="n">
        <v>0.2368216047779798</v>
      </c>
      <c r="U67" s="20" t="n">
        <v>0.2580763046338255</v>
      </c>
      <c r="V67" s="20" t="n">
        <v>0.2355864811133201</v>
      </c>
      <c r="W67" s="20" t="n">
        <v>0.201706457937764</v>
      </c>
      <c r="X67" s="20" t="n">
        <v>0.1486893495046514</v>
      </c>
      <c r="Y67" s="14" t="n">
        <v>8</v>
      </c>
      <c r="Z67" s="19">
        <f>IF(OR(Y67="",F67="",F67=0),"",Y67/F67)</f>
        <v/>
      </c>
      <c r="AA67" s="22" t="n">
        <v>56.66</v>
      </c>
      <c r="AB67" s="20" t="n">
        <v>0.098</v>
      </c>
      <c r="AC67" s="20" t="n">
        <v>0.1696823108051537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2026-10-16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Boeing</t>
        </is>
      </c>
      <c r="C68" s="12" t="inlineStr">
        <is>
          <t>BA</t>
        </is>
      </c>
      <c r="D68" s="11" t="inlineStr">
        <is>
          <t>Aerospazio</t>
        </is>
      </c>
      <c r="E68" s="13" t="inlineStr">
        <is>
          <t>Industriale</t>
        </is>
      </c>
      <c r="F68" s="14" t="n">
        <v>188.195</v>
      </c>
      <c r="G68" s="15" t="inlineStr">
        <is>
          <t>USD</t>
        </is>
      </c>
      <c r="H68" s="14" t="n">
        <v>167.4935508374678</v>
      </c>
      <c r="I68" s="16" t="n">
        <v>132285.1506614258</v>
      </c>
      <c r="J68" s="16" t="n">
        <v>148635</v>
      </c>
      <c r="K68" s="14" t="n">
        <v>2.8</v>
      </c>
      <c r="L68" s="14" t="n">
        <v>3.77329</v>
      </c>
      <c r="M68" s="17">
        <f>IF(OR(F68="",K68="",K68&lt;=0),"",F68/K68)</f>
        <v/>
      </c>
      <c r="N68" s="18" t="n">
        <v>24.390228</v>
      </c>
      <c r="O68" s="19">
        <f>IF(OR(N68="",M68="",M68&lt;=0),"",N68/M68)</f>
        <v/>
      </c>
      <c r="P68" s="20" t="n">
        <v>1.73537</v>
      </c>
      <c r="Q68" s="20" t="n">
        <v>0.4097909790979098</v>
      </c>
      <c r="R68" s="20" t="n"/>
      <c r="S68" s="21" t="n">
        <v>1</v>
      </c>
      <c r="T68" s="20" t="n"/>
      <c r="U68" s="20" t="n">
        <v>0.4097909790979098</v>
      </c>
      <c r="V68" s="20" t="n"/>
      <c r="W68" s="20" t="n"/>
      <c r="X68" s="20" t="n"/>
      <c r="Y68" s="14" t="n"/>
      <c r="Z68" s="19">
        <f>IF(OR(Y68="",F68="",F68=0),"",Y68/F68)</f>
        <v/>
      </c>
      <c r="AA68" s="22" t="n">
        <v>790.875</v>
      </c>
      <c r="AB68" s="20" t="n">
        <v>0.08</v>
      </c>
      <c r="AC68" s="20" t="n">
        <v>0.02335043466013883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2026-10-16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83.65000000000001</v>
      </c>
      <c r="G69" s="15" t="inlineStr">
        <is>
          <t>USD</t>
        </is>
      </c>
      <c r="H69" s="14" t="n">
        <v>74.44850037224251</v>
      </c>
      <c r="I69" s="16" t="n">
        <v>223467.5201173376</v>
      </c>
      <c r="J69" s="16" t="n">
        <v>251087.1</v>
      </c>
      <c r="K69" s="14" t="n">
        <v>6.88</v>
      </c>
      <c r="L69" s="14" t="n">
        <v>8.029909999999999</v>
      </c>
      <c r="M69" s="17">
        <f>IF(OR(F69="",K69="",K69&lt;=0),"",F69/K69)</f>
        <v/>
      </c>
      <c r="N69" s="18" t="n">
        <v>1.5368363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>
        <v>2</v>
      </c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2026-10-16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Citigroup</t>
        </is>
      </c>
      <c r="C70" s="12" t="inlineStr">
        <is>
          <t>C</t>
        </is>
      </c>
      <c r="D70" s="11" t="inlineStr">
        <is>
          <t>Banca</t>
        </is>
      </c>
      <c r="E70" s="13" t="inlineStr">
        <is>
          <t>Finanziario</t>
        </is>
      </c>
      <c r="F70" s="14" t="n">
        <v>123.77</v>
      </c>
      <c r="G70" s="15" t="inlineStr">
        <is>
          <t>USD</t>
        </is>
      </c>
      <c r="H70" s="14" t="n">
        <v>110.1553005507765</v>
      </c>
      <c r="I70" s="16" t="n">
        <v>184778.5079238925</v>
      </c>
      <c r="J70" s="16" t="n">
        <v>207616.3</v>
      </c>
      <c r="K70" s="14" t="n">
        <v>10.26</v>
      </c>
      <c r="L70" s="14" t="n">
        <v>13.0728</v>
      </c>
      <c r="M70" s="17">
        <f>IF(OR(F70="",K70="",K70&lt;=0),"",F70/K70)</f>
        <v/>
      </c>
      <c r="N70" s="18" t="n">
        <v>1.0705729</v>
      </c>
      <c r="O70" s="19">
        <f>IF(OR(N70="",M70="",M70&lt;=0),"",N70/M70)</f>
        <v/>
      </c>
      <c r="P70" s="20" t="n">
        <v>0.09353</v>
      </c>
      <c r="Q70" s="20" t="n">
        <v>0.06172167956388333</v>
      </c>
      <c r="R70" s="20" t="n">
        <v>0.01073520173144264</v>
      </c>
      <c r="S70" s="21" t="n">
        <v>4</v>
      </c>
      <c r="T70" s="20" t="n"/>
      <c r="U70" s="20" t="n">
        <v>0.06738863164241536</v>
      </c>
      <c r="V70" s="20" t="n">
        <v>0.06079636429879481</v>
      </c>
      <c r="W70" s="20" t="n">
        <v>0.04491538210685656</v>
      </c>
      <c r="X70" s="20" t="n">
        <v>0.07378634020746661</v>
      </c>
      <c r="Y70" s="14" t="n">
        <v>2.68</v>
      </c>
      <c r="Z70" s="19">
        <f>IF(OR(Y70="",F70="",F70=0),"",Y70/F70)</f>
        <v/>
      </c>
      <c r="AA70" s="22" t="n"/>
      <c r="AB70" s="20" t="n">
        <v>0.08</v>
      </c>
      <c r="AC70" s="20" t="n">
        <v>0.2096041586142959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2026-10-16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174.655</v>
      </c>
      <c r="G71" s="15" t="inlineStr">
        <is>
          <t>USD</t>
        </is>
      </c>
      <c r="H71" s="14" t="n">
        <v>155.4429507772147</v>
      </c>
      <c r="I71" s="16" t="n">
        <v>165988.1158299406</v>
      </c>
      <c r="J71" s="16" t="n">
        <v>186503.5</v>
      </c>
      <c r="K71" s="14" t="n">
        <v>8.640000000000001</v>
      </c>
      <c r="L71" s="14" t="n">
        <v>10.19018</v>
      </c>
      <c r="M71" s="17">
        <f>IF(OR(F71="",K71="",K71&lt;=0),"",F71/K71)</f>
        <v/>
      </c>
      <c r="N71" s="18" t="n">
        <v>6.6746283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2026-10-16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ConocoPhillips</t>
        </is>
      </c>
      <c r="C72" s="12" t="inlineStr">
        <is>
          <t>COP</t>
        </is>
      </c>
      <c r="D72" s="11" t="inlineStr">
        <is>
          <t>Esplorazione e produzione</t>
        </is>
      </c>
      <c r="E72" s="13" t="inlineStr">
        <is>
          <t>Energia</t>
        </is>
      </c>
      <c r="F72" s="14" t="n">
        <v>145.975</v>
      </c>
      <c r="G72" s="15" t="inlineStr">
        <is>
          <t>USD</t>
        </is>
      </c>
      <c r="H72" s="14" t="n">
        <v>129.9177506495888</v>
      </c>
      <c r="I72" s="16" t="n">
        <v>156075.0287803752</v>
      </c>
      <c r="J72" s="16" t="n">
        <v>175365.2</v>
      </c>
      <c r="K72" s="14" t="n">
        <v>7.55</v>
      </c>
      <c r="L72" s="14" t="n">
        <v>10.5163</v>
      </c>
      <c r="M72" s="17">
        <f>IF(OR(F72="",K72="",K72&lt;=0),"",F72/K72)</f>
        <v/>
      </c>
      <c r="N72" s="18" t="n">
        <v>2.6835122</v>
      </c>
      <c r="O72" s="19">
        <f>IF(OR(N72="",M72="",M72&lt;=0),"",N72/M72)</f>
        <v/>
      </c>
      <c r="P72" s="20" t="n">
        <v>0.1418</v>
      </c>
      <c r="Q72" s="20" t="n">
        <v>0.2195092664055975</v>
      </c>
      <c r="R72" s="20" t="n">
        <v>0.1046819831646029</v>
      </c>
      <c r="S72" s="21" t="n">
        <v>4</v>
      </c>
      <c r="T72" s="20" t="n"/>
      <c r="U72" s="20" t="n">
        <v>0.1238699272721634</v>
      </c>
      <c r="V72" s="20" t="n">
        <v>0.1426785604049633</v>
      </c>
      <c r="W72" s="20" t="n">
        <v>0.222346232675176</v>
      </c>
      <c r="X72" s="20" t="n">
        <v>0.3891423452700873</v>
      </c>
      <c r="Y72" s="14" t="n">
        <v>3.36</v>
      </c>
      <c r="Z72" s="19">
        <f>IF(OR(Y72="",F72="",F72=0),"",Y72/F72)</f>
        <v/>
      </c>
      <c r="AA72" s="22" t="n">
        <v>35.639</v>
      </c>
      <c r="AB72" s="20" t="n">
        <v>0.355</v>
      </c>
      <c r="AC72" s="20" t="n">
        <v>0.1569795092290988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2026-10-16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394.17</v>
      </c>
      <c r="G73" s="15" t="inlineStr">
        <is>
          <t>USD</t>
        </is>
      </c>
      <c r="H73" s="14" t="n">
        <v>350.8113017540566</v>
      </c>
      <c r="I73" s="16" t="n">
        <v>136220.0186811001</v>
      </c>
      <c r="J73" s="16" t="n">
        <v>153056.2</v>
      </c>
      <c r="K73" s="14" t="n">
        <v>9.83</v>
      </c>
      <c r="L73" s="14" t="n">
        <v>16.28635</v>
      </c>
      <c r="M73" s="17">
        <f>IF(OR(F73="",K73="",K73&lt;=0),"",F73/K73)</f>
        <v/>
      </c>
      <c r="N73" s="18" t="n">
        <v>7.5588245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2026-10-16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Intuit</t>
        </is>
      </c>
      <c r="C74" s="12" t="inlineStr">
        <is>
          <t>INTU</t>
        </is>
      </c>
      <c r="D74" s="11" t="inlineStr">
        <is>
          <t>Software</t>
        </is>
      </c>
      <c r="E74" s="13" t="inlineStr">
        <is>
          <t>Tecnologia</t>
        </is>
      </c>
      <c r="F74" s="14" t="n">
        <v>321.76</v>
      </c>
      <c r="G74" s="15" t="inlineStr">
        <is>
          <t>USD</t>
        </is>
      </c>
      <c r="H74" s="14" t="n">
        <v>286.366401431832</v>
      </c>
      <c r="I74" s="16" t="n">
        <v>76527.45138263726</v>
      </c>
      <c r="J74" s="16" t="n">
        <v>85985.89999999999</v>
      </c>
      <c r="K74" s="14" t="n">
        <v>16.46</v>
      </c>
      <c r="L74" s="14" t="n">
        <v>26.94382</v>
      </c>
      <c r="M74" s="17">
        <f>IF(OR(F74="",K74="",K74&lt;=0),"",F74/K74)</f>
        <v/>
      </c>
      <c r="N74" s="18" t="n">
        <v>4.546945</v>
      </c>
      <c r="O74" s="19">
        <f>IF(OR(N74="",M74="",M74&lt;=0),"",N74/M74)</f>
        <v/>
      </c>
      <c r="P74" s="20" t="n">
        <v>0.23596</v>
      </c>
      <c r="Q74" s="20" t="n">
        <v>0.183870579164923</v>
      </c>
      <c r="R74" s="20" t="n">
        <v>0.03868908414297412</v>
      </c>
      <c r="S74" s="21" t="n">
        <v>4</v>
      </c>
      <c r="T74" s="20" t="n">
        <v>0.2404170176916597</v>
      </c>
      <c r="U74" s="20" t="n">
        <v>0.1962962962962963</v>
      </c>
      <c r="V74" s="20" t="n">
        <v>0.1607181601215014</v>
      </c>
      <c r="W74" s="20" t="n">
        <v>0.1380508425502345</v>
      </c>
      <c r="X74" s="20" t="n">
        <v>0.125661456115808</v>
      </c>
      <c r="Y74" s="14" t="n">
        <v>5.52</v>
      </c>
      <c r="Z74" s="19">
        <f>IF(OR(Y74="",F74="",F74=0),"",Y74/F74)</f>
        <v/>
      </c>
      <c r="AA74" s="22" t="n">
        <v>44.34</v>
      </c>
      <c r="AB74" s="20" t="n">
        <v>0.137</v>
      </c>
      <c r="AC74" s="20" t="n">
        <v>0.2128869884371503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2026-10-16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43.2599</v>
      </c>
      <c r="G75" s="15" t="inlineStr">
        <is>
          <t>USD</t>
        </is>
      </c>
      <c r="H75" s="14" t="n">
        <v>38.50131119250656</v>
      </c>
      <c r="I75" s="16" t="n">
        <v>39666.14319833071</v>
      </c>
      <c r="J75" s="16" t="n">
        <v>44568.7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1.5036461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2026-10-16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Regeneron</t>
        </is>
      </c>
      <c r="C76" s="12" t="inlineStr">
        <is>
          <t>REGN</t>
        </is>
      </c>
      <c r="D76" s="11" t="inlineStr">
        <is>
          <t>Biotecnologie</t>
        </is>
      </c>
      <c r="E76" s="13" t="inlineStr">
        <is>
          <t>Salute</t>
        </is>
      </c>
      <c r="F76" s="14" t="n">
        <v>790.3200000000001</v>
      </c>
      <c r="G76" s="15" t="inlineStr">
        <is>
          <t>USD</t>
        </is>
      </c>
      <c r="H76" s="14" t="n">
        <v>703.3848035169241</v>
      </c>
      <c r="I76" s="16" t="n">
        <v>72416.98636208494</v>
      </c>
      <c r="J76" s="16" t="n">
        <v>81367.39999999999</v>
      </c>
      <c r="K76" s="14" t="n">
        <v>40.44</v>
      </c>
      <c r="L76" s="14" t="n">
        <v>61.93654</v>
      </c>
      <c r="M76" s="17">
        <f>IF(OR(F76="",K76="",K76&lt;=0),"",F76/K76)</f>
        <v/>
      </c>
      <c r="N76" s="18" t="n">
        <v>2.5001345</v>
      </c>
      <c r="O76" s="19">
        <f>IF(OR(N76="",M76="",M76&lt;=0),"",N76/M76)</f>
        <v/>
      </c>
      <c r="P76" s="20" t="n">
        <v>0.14043</v>
      </c>
      <c r="Q76" s="20" t="n">
        <v>0.1595230520456649</v>
      </c>
      <c r="R76" s="20" t="n">
        <v>0.01865889297829353</v>
      </c>
      <c r="S76" s="21" t="n">
        <v>4</v>
      </c>
      <c r="T76" s="20" t="n"/>
      <c r="U76" s="20" t="n">
        <v>0.1441249772050331</v>
      </c>
      <c r="V76" s="20" t="n">
        <v>0.1503256840728224</v>
      </c>
      <c r="W76" s="20" t="n">
        <v>0.1522190266082986</v>
      </c>
      <c r="X76" s="20" t="n">
        <v>0.1914225202965055</v>
      </c>
      <c r="Y76" s="14" t="n">
        <v>3.76</v>
      </c>
      <c r="Z76" s="19">
        <f>IF(OR(Y76="",F76="",F76=0),"",Y76/F76)</f>
        <v/>
      </c>
      <c r="AA76" s="22" t="n">
        <v>8.535</v>
      </c>
      <c r="AB76" s="20" t="n">
        <v>0.167</v>
      </c>
      <c r="AC76" s="20" t="n">
        <v>0.301800884339987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2026-10-16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Deere &amp; Company</t>
        </is>
      </c>
      <c r="C77" s="12" t="inlineStr">
        <is>
          <t>DE</t>
        </is>
      </c>
      <c r="D77" s="11" t="inlineStr">
        <is>
          <t>Macchine agricole</t>
        </is>
      </c>
      <c r="E77" s="13" t="inlineStr">
        <is>
          <t>Industriale</t>
        </is>
      </c>
      <c r="F77" s="14" t="n">
        <v>637.39</v>
      </c>
      <c r="G77" s="15" t="inlineStr">
        <is>
          <t>USD</t>
        </is>
      </c>
      <c r="H77" s="14" t="n">
        <v>567.2771028363856</v>
      </c>
      <c r="I77" s="16" t="n">
        <v>152952.2857647614</v>
      </c>
      <c r="J77" s="16" t="n">
        <v>171856.5</v>
      </c>
      <c r="K77" s="14" t="n">
        <v>17.99</v>
      </c>
      <c r="L77" s="14" t="n">
        <v>22.77321</v>
      </c>
      <c r="M77" s="17">
        <f>IF(OR(F77="",K77="",K77&lt;=0),"",F77/K77)</f>
        <v/>
      </c>
      <c r="N77" s="18" t="n">
        <v>6.1399083</v>
      </c>
      <c r="O77" s="19">
        <f>IF(OR(N77="",M77="",M77&lt;=0),"",N77/M77)</f>
        <v/>
      </c>
      <c r="P77" s="20" t="n">
        <v>0.18242</v>
      </c>
      <c r="Q77" s="20" t="n">
        <v>0.3308055602273648</v>
      </c>
      <c r="R77" s="20" t="n">
        <v>0.09758236298151571</v>
      </c>
      <c r="S77" s="21" t="n">
        <v>4</v>
      </c>
      <c r="T77" s="20" t="n"/>
      <c r="U77" s="20" t="n">
        <v>0.193718689788054</v>
      </c>
      <c r="V77" s="20" t="n">
        <v>0.3109125941495884</v>
      </c>
      <c r="W77" s="20" t="n">
        <v>0.4666513656185449</v>
      </c>
      <c r="X77" s="20" t="n">
        <v>0.3519395913532721</v>
      </c>
      <c r="Y77" s="14" t="n">
        <v>6.48</v>
      </c>
      <c r="Z77" s="19">
        <f>IF(OR(Y77="",F77="",F77=0),"",Y77/F77)</f>
        <v/>
      </c>
      <c r="AA77" s="22" t="n">
        <v>230.298</v>
      </c>
      <c r="AB77" s="20" t="n">
        <v>0.049</v>
      </c>
      <c r="AC77" s="20" t="n">
        <v>0.1091010844285235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2026-10-16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70.095</v>
      </c>
      <c r="G78" s="15" t="inlineStr">
        <is>
          <t>USD</t>
        </is>
      </c>
      <c r="H78" s="14" t="n">
        <v>62.38455031192275</v>
      </c>
      <c r="I78" s="16" t="n">
        <v>76306.73138153365</v>
      </c>
      <c r="J78" s="16" t="n">
        <v>85737.89999999999</v>
      </c>
      <c r="K78" s="14" t="n">
        <v>2.51</v>
      </c>
      <c r="L78" s="14" t="n">
        <v>2.64886</v>
      </c>
      <c r="M78" s="17">
        <f>IF(OR(F78="",K78="",K78&lt;=0),"",F78/K78)</f>
        <v/>
      </c>
      <c r="N78" s="18" t="n">
        <v>6.516828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>
        <v>2.1</v>
      </c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2026-10-16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324.46</v>
      </c>
      <c r="G79" s="15" t="inlineStr">
        <is>
          <t>USD</t>
        </is>
      </c>
      <c r="H79" s="14" t="n">
        <v>288.769401443847</v>
      </c>
      <c r="I79" s="16" t="n">
        <v>64859.99632429998</v>
      </c>
      <c r="J79" s="16" t="n">
        <v>72876.39999999999</v>
      </c>
      <c r="K79" s="14" t="n">
        <v>11.72</v>
      </c>
      <c r="L79" s="14" t="n">
        <v>14.31276</v>
      </c>
      <c r="M79" s="17">
        <f>IF(OR(F79="",K79="",K79&lt;=0),"",F79/K79)</f>
        <v/>
      </c>
      <c r="N79" s="18" t="n">
        <v>4.483845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2026-10-16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288.115</v>
      </c>
      <c r="G80" s="15" t="inlineStr">
        <is>
          <t>USD</t>
        </is>
      </c>
      <c r="H80" s="14" t="n">
        <v>256.4223512821118</v>
      </c>
      <c r="I80" s="16" t="n">
        <v>71882.5413594127</v>
      </c>
      <c r="J80" s="16" t="n">
        <v>80766.89999999999</v>
      </c>
      <c r="K80" s="14" t="n">
        <v>7.45</v>
      </c>
      <c r="L80" s="14" t="n">
        <v>9.4063</v>
      </c>
      <c r="M80" s="17">
        <f>IF(OR(F80="",K80="",K80&lt;=0),"",F80/K80)</f>
        <v/>
      </c>
      <c r="N80" s="18" t="n">
        <v>8.0322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2026-10-16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537.465</v>
      </c>
      <c r="G81" s="15" t="inlineStr">
        <is>
          <t>USD</t>
        </is>
      </c>
      <c r="H81" s="14" t="n">
        <v>478.3438523917193</v>
      </c>
      <c r="I81" s="16" t="n">
        <v>66006.22733003114</v>
      </c>
      <c r="J81" s="16" t="n">
        <v>74164.3</v>
      </c>
      <c r="K81" s="14" t="n">
        <v>19.57</v>
      </c>
      <c r="L81" s="14" t="n">
        <v>34.80721</v>
      </c>
      <c r="M81" s="17">
        <f>IF(OR(F81="",K81="",K81&lt;=0),"",F81/K81)</f>
        <v/>
      </c>
      <c r="N81" s="18" t="n">
        <v>5.759315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2026-10-16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Johnson &amp; Johnson</t>
        </is>
      </c>
      <c r="C82" s="12" t="inlineStr">
        <is>
          <t>JNJ</t>
        </is>
      </c>
      <c r="D82" s="11" t="inlineStr">
        <is>
          <t>Farmaceutica</t>
        </is>
      </c>
      <c r="E82" s="13" t="inlineStr">
        <is>
          <t>Salute</t>
        </is>
      </c>
      <c r="F82" s="14" t="n">
        <v>255.125</v>
      </c>
      <c r="G82" s="15" t="inlineStr">
        <is>
          <t>USD</t>
        </is>
      </c>
      <c r="H82" s="14" t="n">
        <v>227.0612511353063</v>
      </c>
      <c r="I82" s="16" t="n">
        <v>547194.5197359726</v>
      </c>
      <c r="J82" s="16" t="n">
        <v>614825.3</v>
      </c>
      <c r="K82" s="14" t="n">
        <v>6.59</v>
      </c>
      <c r="L82" s="14" t="n">
        <v>11.70643</v>
      </c>
      <c r="M82" s="17">
        <f>IF(OR(F82="",K82="",K82&lt;=0),"",F82/K82)</f>
        <v/>
      </c>
      <c r="N82" s="18" t="n">
        <v>7.230614</v>
      </c>
      <c r="O82" s="19">
        <f>IF(OR(N82="",M82="",M82&lt;=0),"",N82/M82)</f>
        <v/>
      </c>
      <c r="P82" s="20" t="n">
        <v>0.1892842099345645</v>
      </c>
      <c r="Q82" s="20" t="n">
        <v>0.3175483250119345</v>
      </c>
      <c r="R82" s="20" t="n">
        <v>0.1216970967224712</v>
      </c>
      <c r="S82" s="21" t="n">
        <v>4</v>
      </c>
      <c r="T82" s="20" t="n"/>
      <c r="U82" s="20" t="n">
        <v>0.3287059746885117</v>
      </c>
      <c r="V82" s="20" t="n">
        <v>0.1967547908798433</v>
      </c>
      <c r="W82" s="20" t="n">
        <v>0.5111379300316981</v>
      </c>
      <c r="X82" s="20" t="n">
        <v>0.233594604447685</v>
      </c>
      <c r="Y82" s="14" t="n">
        <v>5.36</v>
      </c>
      <c r="Z82" s="19">
        <f>IF(OR(Y82="",F82="",F82=0),"",Y82/F82)</f>
        <v/>
      </c>
      <c r="AA82" s="22" t="n">
        <v>57.709</v>
      </c>
      <c r="AB82" s="20" t="n">
        <v>0.059</v>
      </c>
      <c r="AC82" s="20" t="n">
        <v>0.1708725653923328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2026-10-16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210.7</v>
      </c>
      <c r="G83" s="15" t="inlineStr">
        <is>
          <t>USD</t>
        </is>
      </c>
      <c r="H83" s="14" t="n">
        <v>187.523000937615</v>
      </c>
      <c r="I83" s="16" t="n">
        <v>72194.13036097065</v>
      </c>
      <c r="J83" s="16" t="n">
        <v>81117</v>
      </c>
      <c r="K83" s="14" t="n">
        <v>4.42</v>
      </c>
      <c r="L83" s="14" t="n">
        <v>9.19281</v>
      </c>
      <c r="M83" s="17">
        <f>IF(OR(F83="",K83="",K83&lt;=0),"",F83/K83)</f>
        <v/>
      </c>
      <c r="N83" s="18" t="n">
        <v>17.048304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2026-10-16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Walmart</t>
        </is>
      </c>
      <c r="C84" s="12" t="inlineStr">
        <is>
          <t>WMT</t>
        </is>
      </c>
      <c r="D84" s="11" t="inlineStr">
        <is>
          <t>Grande distribuzione</t>
        </is>
      </c>
      <c r="E84" s="13" t="inlineStr">
        <is>
          <t>Consumi</t>
        </is>
      </c>
      <c r="F84" s="14" t="n">
        <v>119.11</v>
      </c>
      <c r="G84" s="15" t="inlineStr">
        <is>
          <t>USD</t>
        </is>
      </c>
      <c r="H84" s="14" t="n">
        <v>106.0079005300395</v>
      </c>
      <c r="I84" s="16" t="n">
        <v>841039.7692051989</v>
      </c>
      <c r="J84" s="16" t="n">
        <v>944988.5</v>
      </c>
      <c r="K84" s="14" t="n">
        <v>2.76</v>
      </c>
      <c r="L84" s="14" t="n">
        <v>3.22354</v>
      </c>
      <c r="M84" s="17">
        <f>IF(OR(F84="",K84="",K84&lt;=0),"",F84/K84)</f>
        <v/>
      </c>
      <c r="N84" s="18" t="n">
        <v>9.629719</v>
      </c>
      <c r="O84" s="19">
        <f>IF(OR(N84="",M84="",M84&lt;=0),"",N84/M84)</f>
        <v/>
      </c>
      <c r="P84" s="20" t="n">
        <v>0.22313999</v>
      </c>
      <c r="Q84" s="20" t="n">
        <v>0.1926449949502596</v>
      </c>
      <c r="R84" s="20" t="n">
        <v>0.02673988363519914</v>
      </c>
      <c r="S84" s="21" t="n">
        <v>4</v>
      </c>
      <c r="T84" s="20" t="n">
        <v>0.2197717257094673</v>
      </c>
      <c r="U84" s="20" t="n">
        <v>0.2135519101666795</v>
      </c>
      <c r="V84" s="20" t="n">
        <v>0.1849608280368705</v>
      </c>
      <c r="W84" s="20" t="n">
        <v>0.1522955158880211</v>
      </c>
      <c r="X84" s="20" t="n"/>
      <c r="Y84" s="14" t="n">
        <v>0.99</v>
      </c>
      <c r="Z84" s="19">
        <f>IF(OR(Y84="",F84="",F84=0),"",Y84/F84)</f>
        <v/>
      </c>
      <c r="AA84" s="22" t="n">
        <v>71.65300000000001</v>
      </c>
      <c r="AB84" s="20" t="n">
        <v>0.059</v>
      </c>
      <c r="AC84" s="20" t="n">
        <v>0.03095505551465794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2026-10-16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430.03</v>
      </c>
      <c r="G85" s="15" t="inlineStr">
        <is>
          <t>USD</t>
        </is>
      </c>
      <c r="H85" s="14" t="n">
        <v>382.7267019136335</v>
      </c>
      <c r="I85" s="16" t="n">
        <v>135208.9786760449</v>
      </c>
      <c r="J85" s="16" t="n">
        <v>151920.2</v>
      </c>
      <c r="K85" s="14" t="n">
        <v>8.720000000000001</v>
      </c>
      <c r="L85" s="14" t="n">
        <v>12.10734</v>
      </c>
      <c r="M85" s="17">
        <f>IF(OR(F85="",K85="",K85&lt;=0),"",F85/K85)</f>
        <v/>
      </c>
      <c r="N85" s="18" t="n">
        <v>8.376446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2026-10-16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Exxon Mobil</t>
        </is>
      </c>
      <c r="C86" s="12" t="inlineStr">
        <is>
          <t>XOM</t>
        </is>
      </c>
      <c r="D86" s="11" t="inlineStr">
        <is>
          <t>Petrolio integrato</t>
        </is>
      </c>
      <c r="E86" s="13" t="inlineStr">
        <is>
          <t>Energia</t>
        </is>
      </c>
      <c r="F86" s="14" t="n">
        <v>177.88</v>
      </c>
      <c r="G86" s="15" t="inlineStr">
        <is>
          <t>USD</t>
        </is>
      </c>
      <c r="H86" s="14" t="n">
        <v>158.313200791566</v>
      </c>
      <c r="I86" s="16" t="n">
        <v>650969.9442548498</v>
      </c>
      <c r="J86" s="16" t="n">
        <v>731426.9</v>
      </c>
      <c r="K86" s="14" t="n">
        <v>7.77</v>
      </c>
      <c r="L86" s="14" t="n">
        <v>11.55281</v>
      </c>
      <c r="M86" s="17">
        <f>IF(OR(F86="",K86="",K86&lt;=0),"",F86/K86)</f>
        <v/>
      </c>
      <c r="N86" s="18" t="n">
        <v>2.8199112</v>
      </c>
      <c r="O86" s="19">
        <f>IF(OR(N86="",M86="",M86&lt;=0),"",N86/M86)</f>
        <v/>
      </c>
      <c r="P86" s="20" t="n">
        <v>0.12584</v>
      </c>
      <c r="Q86" s="20" t="n">
        <v>0.1751305613408672</v>
      </c>
      <c r="R86" s="20" t="n">
        <v>0.06814950451387503</v>
      </c>
      <c r="S86" s="21" t="n">
        <v>4</v>
      </c>
      <c r="T86" s="20" t="n"/>
      <c r="U86" s="20" t="n">
        <v>0.1112010671354661</v>
      </c>
      <c r="V86" s="20" t="n">
        <v>0.1277184732940217</v>
      </c>
      <c r="W86" s="20" t="n">
        <v>0.1758283610511616</v>
      </c>
      <c r="X86" s="20" t="n">
        <v>0.2857743438828192</v>
      </c>
      <c r="Y86" s="14" t="n">
        <v>4.12</v>
      </c>
      <c r="Z86" s="19">
        <f>IF(OR(Y86="",F86="",F86=0),"",Y86/F86)</f>
        <v/>
      </c>
      <c r="AA86" s="22" t="n">
        <v>15.921</v>
      </c>
      <c r="AB86" s="20" t="n">
        <v>0.441</v>
      </c>
      <c r="AC86" s="20" t="n">
        <v>0.1011315052005989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2026-10-16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Kimberly-Clark</t>
        </is>
      </c>
      <c r="C87" s="12" t="inlineStr">
        <is>
          <t>KMB</t>
        </is>
      </c>
      <c r="D87" s="11" t="inlineStr">
        <is>
          <t>Beni per la casa</t>
        </is>
      </c>
      <c r="E87" s="13" t="inlineStr">
        <is>
          <t>Consumi</t>
        </is>
      </c>
      <c r="F87" s="14" t="n">
        <v>104.73</v>
      </c>
      <c r="G87" s="15" t="inlineStr">
        <is>
          <t>USD</t>
        </is>
      </c>
      <c r="H87" s="14" t="n">
        <v>93.2097004660485</v>
      </c>
      <c r="I87" s="16" t="n">
        <v>30940.04915470025</v>
      </c>
      <c r="J87" s="16" t="n">
        <v>34764.1</v>
      </c>
      <c r="K87" s="14" t="n">
        <v>5.07</v>
      </c>
      <c r="L87" s="14" t="n">
        <v>7.42515</v>
      </c>
      <c r="M87" s="17">
        <f>IF(OR(F87="",K87="",K87&lt;=0),"",F87/K87)</f>
        <v/>
      </c>
      <c r="N87" s="18" t="n">
        <v>19.903078</v>
      </c>
      <c r="O87" s="19">
        <f>IF(OR(N87="",M87="",M87&lt;=0),"",N87/M87)</f>
        <v/>
      </c>
      <c r="P87" s="20" t="n">
        <v>1.04913</v>
      </c>
      <c r="Q87" s="20" t="n">
        <v>2.459704758173796</v>
      </c>
      <c r="R87" s="20" t="n">
        <v>0.8670114317756352</v>
      </c>
      <c r="S87" s="21" t="n">
        <v>4</v>
      </c>
      <c r="T87" s="20" t="n"/>
      <c r="U87" s="20" t="n">
        <v>1.345539280958722</v>
      </c>
      <c r="V87" s="20" t="n">
        <v>3.029761904761905</v>
      </c>
      <c r="W87" s="20" t="n">
        <v>1.927868852459016</v>
      </c>
      <c r="X87" s="20" t="n">
        <v>3.535648994515539</v>
      </c>
      <c r="Y87" s="14" t="n">
        <v>5.12</v>
      </c>
      <c r="Z87" s="19">
        <f>IF(OR(Y87="",F87="",F87=0),"",Y87/F87)</f>
        <v/>
      </c>
      <c r="AA87" s="22" t="n">
        <v>348.933</v>
      </c>
      <c r="AB87" s="20" t="n">
        <v>0.006</v>
      </c>
      <c r="AC87" s="20" t="n">
        <v>0.1024502909953183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2026-10-16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Stryker</t>
        </is>
      </c>
      <c r="C88" s="12" t="inlineStr">
        <is>
          <t>SYK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295.6</v>
      </c>
      <c r="G88" s="15" t="inlineStr">
        <is>
          <t>USD</t>
        </is>
      </c>
      <c r="H88" s="14" t="n">
        <v>263.08400131542</v>
      </c>
      <c r="I88" s="16" t="n">
        <v>100911.9385045597</v>
      </c>
      <c r="J88" s="16" t="n">
        <v>113384.2</v>
      </c>
      <c r="K88" s="14" t="n">
        <v>10.01</v>
      </c>
      <c r="L88" s="14" t="n">
        <v>16.68292</v>
      </c>
      <c r="M88" s="17">
        <f>IF(OR(F88="",K88="",K88&lt;=0),"",F88/K88)</f>
        <v/>
      </c>
      <c r="N88" s="18" t="n">
        <v>4.7267265</v>
      </c>
      <c r="O88" s="19">
        <f>IF(OR(N88="",M88="",M88&lt;=0),"",N88/M88)</f>
        <v/>
      </c>
      <c r="P88" s="20" t="n">
        <v>0.16508</v>
      </c>
      <c r="Q88" s="20" t="n">
        <v>0.150492516403552</v>
      </c>
      <c r="R88" s="20" t="n">
        <v>0.01145902874477022</v>
      </c>
      <c r="S88" s="21" t="n">
        <v>4</v>
      </c>
      <c r="T88" s="20" t="n"/>
      <c r="U88" s="20" t="n">
        <v>0.1447814451382694</v>
      </c>
      <c r="V88" s="20" t="n">
        <v>0.1450518561597364</v>
      </c>
      <c r="W88" s="20" t="n">
        <v>0.1702253536277094</v>
      </c>
      <c r="X88" s="20" t="n">
        <v>0.141911410688493</v>
      </c>
      <c r="Y88" s="14" t="n">
        <v>3.52</v>
      </c>
      <c r="Z88" s="19">
        <f>IF(OR(Y88="",F88="",F88=0),"",Y88/F88)</f>
        <v/>
      </c>
      <c r="AA88" s="22" t="n">
        <v>64.39100000000001</v>
      </c>
      <c r="AB88" s="20" t="n">
        <v>0.094</v>
      </c>
      <c r="AC88" s="20" t="n">
        <v>0.1484710915750916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2026-10-16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SLB (Schlumberger)</t>
        </is>
      </c>
      <c r="C89" s="12" t="inlineStr">
        <is>
          <t>SLB</t>
        </is>
      </c>
      <c r="D89" s="11" t="inlineStr">
        <is>
          <t>Oil service</t>
        </is>
      </c>
      <c r="E89" s="13" t="inlineStr">
        <is>
          <t>Energia</t>
        </is>
      </c>
      <c r="F89" s="14" t="n">
        <v>49.575</v>
      </c>
      <c r="G89" s="15" t="inlineStr">
        <is>
          <t>USD</t>
        </is>
      </c>
      <c r="H89" s="14" t="n">
        <v>44.12175022060875</v>
      </c>
      <c r="I89" s="16" t="n">
        <v>65482.99632741498</v>
      </c>
      <c r="J89" s="16" t="n">
        <v>73576.39999999999</v>
      </c>
      <c r="K89" s="14" t="n">
        <v>2.07</v>
      </c>
      <c r="L89" s="14" t="n">
        <v>3.20293</v>
      </c>
      <c r="M89" s="17">
        <f>IF(OR(F89="",K89="",K89&lt;=0),"",F89/K89)</f>
        <v/>
      </c>
      <c r="N89" s="18" t="n">
        <v>2.821892</v>
      </c>
      <c r="O89" s="19">
        <f>IF(OR(N89="",M89="",M89&lt;=0),"",N89/M89)</f>
        <v/>
      </c>
      <c r="P89" s="20" t="n">
        <v>0.12909001</v>
      </c>
      <c r="Q89" s="20" t="n">
        <v>0.1857758605281961</v>
      </c>
      <c r="R89" s="20" t="n">
        <v>0.03323988575793588</v>
      </c>
      <c r="S89" s="21" t="n">
        <v>4</v>
      </c>
      <c r="T89" s="20" t="n"/>
      <c r="U89" s="20" t="n">
        <v>0.1292274694549772</v>
      </c>
      <c r="V89" s="20" t="n">
        <v>0.2111216280170374</v>
      </c>
      <c r="W89" s="20" t="n">
        <v>0.2081826737332211</v>
      </c>
      <c r="X89" s="20" t="n">
        <v>0.1945716709075488</v>
      </c>
      <c r="Y89" s="14" t="n">
        <v>1.18</v>
      </c>
      <c r="Z89" s="19">
        <f>IF(OR(Y89="",F89="",F89=0),"",Y89/F89)</f>
        <v/>
      </c>
      <c r="AA89" s="22" t="n">
        <v>47.002</v>
      </c>
      <c r="AB89" s="20" t="n">
        <v>0.05</v>
      </c>
      <c r="AC89" s="20" t="n">
        <v>0.08684328262574213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2026-10-16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BlackRock</t>
        </is>
      </c>
      <c r="C90" s="12" t="inlineStr">
        <is>
          <t>BLK</t>
        </is>
      </c>
      <c r="D90" s="11" t="inlineStr">
        <is>
          <t>Risparmio gestito</t>
        </is>
      </c>
      <c r="E90" s="13" t="inlineStr">
        <is>
          <t>Finanziario</t>
        </is>
      </c>
      <c r="F90" s="14" t="n">
        <v>1122.57</v>
      </c>
      <c r="G90" s="15" t="inlineStr">
        <is>
          <t>USD</t>
        </is>
      </c>
      <c r="H90" s="14" t="n">
        <v>999.0873049954365</v>
      </c>
      <c r="I90" s="16" t="n">
        <v>162327.9018116395</v>
      </c>
      <c r="J90" s="16" t="n">
        <v>182390.9</v>
      </c>
      <c r="K90" s="14" t="n">
        <v>43.92</v>
      </c>
      <c r="L90" s="14" t="n">
        <v>64.65537</v>
      </c>
      <c r="M90" s="17">
        <f>IF(OR(F90="",K90="",K90&lt;=0),"",F90/K90)</f>
        <v/>
      </c>
      <c r="N90" s="18" t="n">
        <v>3.020064</v>
      </c>
      <c r="O90" s="19">
        <f>IF(OR(N90="",M90="",M90&lt;=0),"",N90/M90)</f>
        <v/>
      </c>
      <c r="P90" s="20" t="n">
        <v>0.1200718700030968</v>
      </c>
      <c r="Q90" s="20" t="n">
        <v>0.1276194741974955</v>
      </c>
      <c r="R90" s="20" t="n">
        <v>0.01644167432772636</v>
      </c>
      <c r="S90" s="21" t="n">
        <v>4</v>
      </c>
      <c r="T90" s="20" t="n"/>
      <c r="U90" s="20" t="n">
        <v>0.09935943315201833</v>
      </c>
      <c r="V90" s="20" t="n">
        <v>0.1340983261395936</v>
      </c>
      <c r="W90" s="20" t="n">
        <v>0.1398327699697563</v>
      </c>
      <c r="X90" s="20" t="n">
        <v>0.1371873675286138</v>
      </c>
      <c r="Y90" s="14" t="n">
        <v>22.92</v>
      </c>
      <c r="Z90" s="19">
        <f>IF(OR(Y90="",F90="",F90=0),"",Y90/F90)</f>
        <v/>
      </c>
      <c r="AA90" s="22" t="n">
        <v>23.192</v>
      </c>
      <c r="AB90" s="20" t="n">
        <v>0.191</v>
      </c>
      <c r="AC90" s="20" t="n">
        <v>0.2854311199207136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2026-10-16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Nucor</t>
        </is>
      </c>
      <c r="C91" s="12" t="inlineStr">
        <is>
          <t>NUE</t>
        </is>
      </c>
      <c r="D91" s="11" t="inlineStr">
        <is>
          <t>Acciaio</t>
        </is>
      </c>
      <c r="E91" s="13" t="inlineStr">
        <is>
          <t>Materiali</t>
        </is>
      </c>
      <c r="F91" s="14" t="n">
        <v>258.61</v>
      </c>
      <c r="G91" s="15" t="inlineStr">
        <is>
          <t>USD</t>
        </is>
      </c>
      <c r="H91" s="14" t="n">
        <v>230.1629011508145</v>
      </c>
      <c r="I91" s="16" t="n">
        <v>52218.34726109174</v>
      </c>
      <c r="J91" s="16" t="n">
        <v>58672.3</v>
      </c>
      <c r="K91" s="14" t="n">
        <v>12.54</v>
      </c>
      <c r="L91" s="14" t="n">
        <v>20.79247</v>
      </c>
      <c r="M91" s="17">
        <f>IF(OR(F91="",K91="",K91&lt;=0),"",F91/K91)</f>
        <v/>
      </c>
      <c r="N91" s="18" t="n">
        <v>2.6537712</v>
      </c>
      <c r="O91" s="19">
        <f>IF(OR(N91="",M91="",M91&lt;=0),"",N91/M91)</f>
        <v/>
      </c>
      <c r="P91" s="20" t="n">
        <v>0.14548999</v>
      </c>
      <c r="Q91" s="20" t="n">
        <v>0.2030927127527553</v>
      </c>
      <c r="R91" s="20" t="n">
        <v>0.1315978865605651</v>
      </c>
      <c r="S91" s="21" t="n">
        <v>4</v>
      </c>
      <c r="T91" s="20" t="n"/>
      <c r="U91" s="20" t="n">
        <v>0.08330149025601834</v>
      </c>
      <c r="V91" s="20" t="n">
        <v>0.09988173844486055</v>
      </c>
      <c r="W91" s="20" t="n">
        <v>0.2160936007640879</v>
      </c>
      <c r="X91" s="20" t="n">
        <v>0.4130940215460545</v>
      </c>
      <c r="Y91" s="14" t="n">
        <v>2.24</v>
      </c>
      <c r="Z91" s="19">
        <f>IF(OR(Y91="",F91="",F91=0),"",Y91/F91)</f>
        <v/>
      </c>
      <c r="AA91" s="22" t="n">
        <v>30.512</v>
      </c>
      <c r="AB91" s="20" t="n">
        <v>0.23</v>
      </c>
      <c r="AC91" s="20" t="n">
        <v>0.08841632104388503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2026-10-16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IBM</t>
        </is>
      </c>
      <c r="C92" s="12" t="inlineStr">
        <is>
          <t>IBM</t>
        </is>
      </c>
      <c r="D92" s="11" t="inlineStr">
        <is>
          <t>Servizi IT</t>
        </is>
      </c>
      <c r="E92" s="13" t="inlineStr">
        <is>
          <t>Tecnologia</t>
        </is>
      </c>
      <c r="F92" s="14" t="n">
        <v>230.845</v>
      </c>
      <c r="G92" s="15" t="inlineStr">
        <is>
          <t>USD</t>
        </is>
      </c>
      <c r="H92" s="14" t="n">
        <v>205.4520510272603</v>
      </c>
      <c r="I92" s="16" t="n">
        <v>193563.4309678172</v>
      </c>
      <c r="J92" s="16" t="n">
        <v>217487</v>
      </c>
      <c r="K92" s="14" t="n">
        <v>11.25</v>
      </c>
      <c r="L92" s="14" t="n">
        <v>13.15007</v>
      </c>
      <c r="M92" s="17">
        <f>IF(OR(F92="",K92="",K92&lt;=0),"",F92/K92)</f>
        <v/>
      </c>
      <c r="N92" s="18" t="n">
        <v>6.31276</v>
      </c>
      <c r="O92" s="19">
        <f>IF(OR(N92="",M92="",M92&lt;=0),"",N92/M92)</f>
        <v/>
      </c>
      <c r="P92" s="20" t="n">
        <v>0.34460998</v>
      </c>
      <c r="Q92" s="20" t="n">
        <v>0.23817417040765</v>
      </c>
      <c r="R92" s="20" t="n">
        <v>0.1042197094136844</v>
      </c>
      <c r="S92" s="21" t="n">
        <v>4</v>
      </c>
      <c r="T92" s="20" t="n"/>
      <c r="U92" s="20" t="n">
        <v>0.3244609164420485</v>
      </c>
      <c r="V92" s="20" t="n">
        <v>0.2205661551983008</v>
      </c>
      <c r="W92" s="20" t="n">
        <v>0.3329339191408157</v>
      </c>
      <c r="X92" s="20" t="n">
        <v>0.07473569084943492</v>
      </c>
      <c r="Y92" s="14" t="n">
        <v>6.76</v>
      </c>
      <c r="Z92" s="19">
        <f>IF(OR(Y92="",F92="",F92=0),"",Y92/F92)</f>
        <v/>
      </c>
      <c r="AA92" s="22" t="n">
        <v>188.97</v>
      </c>
      <c r="AB92" s="20" t="n">
        <v>0.011</v>
      </c>
      <c r="AC92" s="20" t="n">
        <v>0.158508061596778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2026-10-16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Thermo Fisher</t>
        </is>
      </c>
      <c r="C93" s="12" t="inlineStr">
        <is>
          <t>TMO</t>
        </is>
      </c>
      <c r="D93" s="11" t="inlineStr">
        <is>
          <t>Strumentazione life science</t>
        </is>
      </c>
      <c r="E93" s="13" t="inlineStr">
        <is>
          <t>Salute</t>
        </is>
      </c>
      <c r="F93" s="14" t="n">
        <v>688.78</v>
      </c>
      <c r="G93" s="15" t="inlineStr">
        <is>
          <t>USD</t>
        </is>
      </c>
      <c r="H93" s="14" t="n">
        <v>613.014203065071</v>
      </c>
      <c r="I93" s="16" t="n">
        <v>226660.395133302</v>
      </c>
      <c r="J93" s="16" t="n">
        <v>254674.6</v>
      </c>
      <c r="K93" s="14" t="n">
        <v>18.58</v>
      </c>
      <c r="L93" s="14" t="n">
        <v>27.57774</v>
      </c>
      <c r="M93" s="17">
        <f>IF(OR(F93="",K93="",K93&lt;=0),"",F93/K93)</f>
        <v/>
      </c>
      <c r="N93" s="18" t="n">
        <v>4.83446</v>
      </c>
      <c r="O93" s="19">
        <f>IF(OR(N93="",M93="",M93&lt;=0),"",N93/M93)</f>
        <v/>
      </c>
      <c r="P93" s="20" t="n">
        <v>0.13515</v>
      </c>
      <c r="Q93" s="20" t="n">
        <v>0.1348992605873013</v>
      </c>
      <c r="R93" s="20" t="n">
        <v>0.0133965212757604</v>
      </c>
      <c r="S93" s="21" t="n">
        <v>4</v>
      </c>
      <c r="T93" s="20" t="n"/>
      <c r="U93" s="20" t="n">
        <v>0.1255266163611512</v>
      </c>
      <c r="V93" s="20" t="n">
        <v>0.1277604114147424</v>
      </c>
      <c r="W93" s="20" t="n">
        <v>0.1282764523376485</v>
      </c>
      <c r="X93" s="20" t="n">
        <v>0.1580335622356633</v>
      </c>
      <c r="Y93" s="14" t="n">
        <v>1.88</v>
      </c>
      <c r="Z93" s="19">
        <f>IF(OR(Y93="",F93="",F93=0),"",Y93/F93)</f>
        <v/>
      </c>
      <c r="AA93" s="22" t="n">
        <v>80.575</v>
      </c>
      <c r="AB93" s="20" t="n">
        <v>0.105</v>
      </c>
      <c r="AC93" s="20" t="n">
        <v>0.1563615159009808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2026-10-16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Linde</t>
        </is>
      </c>
      <c r="C94" s="12" t="inlineStr">
        <is>
          <t>LIN</t>
        </is>
      </c>
      <c r="D94" s="11" t="inlineStr">
        <is>
          <t>Gas industriali</t>
        </is>
      </c>
      <c r="E94" s="13" t="inlineStr">
        <is>
          <t>Materiali</t>
        </is>
      </c>
      <c r="F94" s="14" t="n">
        <v>497.71</v>
      </c>
      <c r="G94" s="15" t="inlineStr">
        <is>
          <t>USD</t>
        </is>
      </c>
      <c r="H94" s="14" t="n">
        <v>442.9619022148095</v>
      </c>
      <c r="I94" s="16" t="n">
        <v>204196.6170209831</v>
      </c>
      <c r="J94" s="16" t="n">
        <v>229434.4</v>
      </c>
      <c r="K94" s="14" t="n">
        <v>15.49</v>
      </c>
      <c r="L94" s="14" t="n">
        <v>19.57938</v>
      </c>
      <c r="M94" s="17">
        <f>IF(OR(F94="",K94="",K94&lt;=0),"",F94/K94)</f>
        <v/>
      </c>
      <c r="N94" s="18" t="n">
        <v>5.8707447</v>
      </c>
      <c r="O94" s="19">
        <f>IF(OR(N94="",M94="",M94&lt;=0),"",N94/M94)</f>
        <v/>
      </c>
      <c r="P94" s="20" t="n">
        <v>0.18400998</v>
      </c>
      <c r="Q94" s="20" t="n">
        <v>0.1530948240437311</v>
      </c>
      <c r="R94" s="20" t="n">
        <v>0.02988524127892265</v>
      </c>
      <c r="S94" s="21" t="n">
        <v>4</v>
      </c>
      <c r="T94" s="20" t="n"/>
      <c r="U94" s="20" t="n">
        <v>0.1803634462021179</v>
      </c>
      <c r="V94" s="20" t="n">
        <v>0.1723458994014491</v>
      </c>
      <c r="W94" s="20" t="n">
        <v>0.156067472306143</v>
      </c>
      <c r="X94" s="20" t="n">
        <v>0.1036024782652143</v>
      </c>
      <c r="Y94" s="14" t="n">
        <v>6.4</v>
      </c>
      <c r="Z94" s="19">
        <f>IF(OR(Y94="",F94="",F94=0),"",Y94/F94)</f>
        <v/>
      </c>
      <c r="AA94" s="22" t="n">
        <v>68.947</v>
      </c>
      <c r="AB94" s="20" t="n">
        <v>0.093</v>
      </c>
      <c r="AC94" s="20" t="n">
        <v>0.2131465973047726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2026-10-16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Elevance Health</t>
        </is>
      </c>
      <c r="C95" s="12" t="inlineStr">
        <is>
          <t>ELV</t>
        </is>
      </c>
      <c r="D95" s="11" t="inlineStr">
        <is>
          <t>Assicurazione sanitaria</t>
        </is>
      </c>
      <c r="E95" s="13" t="inlineStr">
        <is>
          <t>Salute</t>
        </is>
      </c>
      <c r="F95" s="14" t="n">
        <v>428.05</v>
      </c>
      <c r="G95" s="15" t="inlineStr">
        <is>
          <t>USD</t>
        </is>
      </c>
      <c r="H95" s="14" t="n">
        <v>380.9645019048226</v>
      </c>
      <c r="I95" s="16" t="n">
        <v>82619.5014130975</v>
      </c>
      <c r="J95" s="16" t="n">
        <v>92830.89999999999</v>
      </c>
      <c r="K95" s="14" t="n">
        <v>22.59</v>
      </c>
      <c r="L95" s="14" t="n">
        <v>29.60006</v>
      </c>
      <c r="M95" s="17">
        <f>IF(OR(F95="",K95="",K95&lt;=0),"",F95/K95)</f>
        <v/>
      </c>
      <c r="N95" s="18" t="n">
        <v>2.0680144</v>
      </c>
      <c r="O95" s="19">
        <f>IF(OR(N95="",M95="",M95&lt;=0),"",N95/M95)</f>
        <v/>
      </c>
      <c r="P95" s="20" t="n">
        <v>0.11133</v>
      </c>
      <c r="Q95" s="20" t="n">
        <v>0.1471779214463593</v>
      </c>
      <c r="R95" s="20" t="n">
        <v>0.01225127753653764</v>
      </c>
      <c r="S95" s="21" t="n">
        <v>4</v>
      </c>
      <c r="T95" s="20" t="n"/>
      <c r="U95" s="20" t="n">
        <v>0.1290278474089604</v>
      </c>
      <c r="V95" s="20" t="n">
        <v>0.1447416192666102</v>
      </c>
      <c r="W95" s="20" t="n">
        <v>0.1523177123085534</v>
      </c>
      <c r="X95" s="20" t="n">
        <v>0.1626245068013134</v>
      </c>
      <c r="Y95" s="14" t="n">
        <v>6.88</v>
      </c>
      <c r="Z95" s="19">
        <f>IF(OR(Y95="",F95="",F95=0),"",Y95/F95)</f>
        <v/>
      </c>
      <c r="AA95" s="22" t="n">
        <v>68.953</v>
      </c>
      <c r="AB95" s="20" t="n">
        <v>0.014</v>
      </c>
      <c r="AC95" s="20" t="n">
        <v>0.02492404172253609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2026-10-16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Oracle</t>
        </is>
      </c>
      <c r="C96" s="12" t="inlineStr">
        <is>
          <t>ORCL</t>
        </is>
      </c>
      <c r="D96" s="11" t="inlineStr">
        <is>
          <t>Software / Cloud</t>
        </is>
      </c>
      <c r="E96" s="13" t="inlineStr">
        <is>
          <t>Tecnologia</t>
        </is>
      </c>
      <c r="F96" s="14" t="n">
        <v>129.48</v>
      </c>
      <c r="G96" s="15" t="inlineStr">
        <is>
          <t>USD</t>
        </is>
      </c>
      <c r="H96" s="14" t="n">
        <v>115.237200576186</v>
      </c>
      <c r="I96" s="16" t="n">
        <v>349341.6447467082</v>
      </c>
      <c r="J96" s="16" t="n">
        <v>392518.7</v>
      </c>
      <c r="K96" s="14" t="n">
        <v>6.38</v>
      </c>
      <c r="L96" s="14" t="n">
        <v>10.99155</v>
      </c>
      <c r="M96" s="17">
        <f>IF(OR(F96="",K96="",K96&lt;=0),"",F96/K96)</f>
        <v/>
      </c>
      <c r="N96" s="18" t="n">
        <v>6.334018</v>
      </c>
      <c r="O96" s="19">
        <f>IF(OR(N96="",M96="",M96&lt;=0),"",N96/M96)</f>
        <v/>
      </c>
      <c r="P96" s="20" t="n">
        <v>0.41192</v>
      </c>
      <c r="Q96" s="20" t="n">
        <v>2.534365642083217</v>
      </c>
      <c r="R96" s="20" t="n">
        <v>3.125849047166543</v>
      </c>
      <c r="S96" s="21" t="n">
        <v>4</v>
      </c>
      <c r="T96" s="20" t="n">
        <v>0.4019713936200245</v>
      </c>
      <c r="U96" s="20" t="n">
        <v>0.6084299056280866</v>
      </c>
      <c r="V96" s="20" t="n">
        <v>1.202550551470588</v>
      </c>
      <c r="W96" s="20" t="n">
        <v>7.924510717614166</v>
      </c>
      <c r="X96" s="20" t="n"/>
      <c r="Y96" s="14" t="n">
        <v>2</v>
      </c>
      <c r="Z96" s="19">
        <f>IF(OR(Y96="",F96="",F96=0),"",Y96/F96)</f>
        <v/>
      </c>
      <c r="AA96" s="22" t="n">
        <v>251.716</v>
      </c>
      <c r="AB96" s="20" t="n">
        <v>0.296</v>
      </c>
      <c r="AC96" s="20" t="n">
        <v>0.2781596719568865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2026-10-16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Micron Technology</t>
        </is>
      </c>
      <c r="C97" s="12" t="inlineStr">
        <is>
          <t>MU</t>
        </is>
      </c>
      <c r="D97" s="11" t="inlineStr">
        <is>
          <t>Semiconduttori / Memorie</t>
        </is>
      </c>
      <c r="E97" s="13" t="inlineStr">
        <is>
          <t>Tecnologia</t>
        </is>
      </c>
      <c r="F97" s="14" t="n">
        <v>890.9299999999999</v>
      </c>
      <c r="G97" s="15" t="inlineStr">
        <is>
          <t>USD</t>
        </is>
      </c>
      <c r="H97" s="14" t="n">
        <v>792.9277039646385</v>
      </c>
      <c r="I97" s="16" t="n">
        <v>897136.8254856842</v>
      </c>
      <c r="J97" s="16" t="n">
        <v>1008018.9</v>
      </c>
      <c r="K97" s="14" t="n">
        <v>74.33</v>
      </c>
      <c r="L97" s="14" t="n">
        <v>206.89381</v>
      </c>
      <c r="M97" s="17">
        <f>IF(OR(F97="",K97="",K97&lt;=0),"",F97/K97)</f>
        <v/>
      </c>
      <c r="N97" s="18" t="n">
        <v>7.2818146</v>
      </c>
      <c r="O97" s="19">
        <f>IF(OR(N97="",M97="",M97&lt;=0),"",N97/M97)</f>
        <v/>
      </c>
      <c r="P97" s="20" t="n">
        <v>0.8826000000000001</v>
      </c>
      <c r="Q97" s="20" t="n">
        <v>0.05418569393215231</v>
      </c>
      <c r="R97" s="20" t="n">
        <v>0.1236757150852483</v>
      </c>
      <c r="S97" s="21" t="n">
        <v>4</v>
      </c>
      <c r="T97" s="20" t="n"/>
      <c r="U97" s="20" t="n">
        <v>0.1576479276285424</v>
      </c>
      <c r="V97" s="20" t="n">
        <v>0.0172387051029226</v>
      </c>
      <c r="W97" s="20" t="n">
        <v>-0.132207615593835</v>
      </c>
      <c r="X97" s="20" t="n">
        <v>0.1740637585909792</v>
      </c>
      <c r="Y97" s="14" t="n">
        <v>0.6</v>
      </c>
      <c r="Z97" s="19">
        <f>IF(OR(Y97="",F97="",F97=0),"",Y97/F97)</f>
        <v/>
      </c>
      <c r="AA97" s="22" t="n">
        <v>3.743</v>
      </c>
      <c r="AB97" s="20" t="n">
        <v>3.793</v>
      </c>
      <c r="AC97" s="20" t="n">
        <v>2.273235509230028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2026-10-16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ServiceNow</t>
        </is>
      </c>
      <c r="C98" s="12" t="inlineStr">
        <is>
          <t>NOW</t>
        </is>
      </c>
      <c r="D98" s="11" t="inlineStr">
        <is>
          <t>Software</t>
        </is>
      </c>
      <c r="E98" s="13" t="inlineStr">
        <is>
          <t>Tecnologia</t>
        </is>
      </c>
      <c r="F98" s="14" t="n">
        <v>141.33</v>
      </c>
      <c r="G98" s="15" t="inlineStr">
        <is>
          <t>USD</t>
        </is>
      </c>
      <c r="H98" s="14" t="n">
        <v>125.7837006289185</v>
      </c>
      <c r="I98" s="16" t="n">
        <v>130042.9736502149</v>
      </c>
      <c r="J98" s="16" t="n">
        <v>146115.7</v>
      </c>
      <c r="K98" s="14" t="n">
        <v>1.6</v>
      </c>
      <c r="L98" s="14" t="n">
        <v>5.00666</v>
      </c>
      <c r="M98" s="17">
        <f>IF(OR(F98="",K98="",K98&lt;=0),"",F98/K98)</f>
        <v/>
      </c>
      <c r="N98" s="18" t="n">
        <v>11.6743765</v>
      </c>
      <c r="O98" s="19">
        <f>IF(OR(N98="",M98="",M98&lt;=0),"",N98/M98)</f>
        <v/>
      </c>
      <c r="P98" s="20" t="n">
        <v>0.14244</v>
      </c>
      <c r="Q98" s="20" t="n">
        <v>0.1436617884474269</v>
      </c>
      <c r="R98" s="20" t="n">
        <v>0.05763116433316788</v>
      </c>
      <c r="S98" s="21" t="n">
        <v>4</v>
      </c>
      <c r="T98" s="20" t="n"/>
      <c r="U98" s="20" t="n">
        <v>0.134834927491515</v>
      </c>
      <c r="V98" s="20" t="n">
        <v>0.1482984701842023</v>
      </c>
      <c r="W98" s="20" t="n">
        <v>0.2269271106449921</v>
      </c>
      <c r="X98" s="20" t="n">
        <v>0.06458664546899841</v>
      </c>
      <c r="Y98" s="14" t="n"/>
      <c r="Z98" s="19">
        <f>IF(OR(Y98="",F98="",F98=0),"",Y98/F98)</f>
        <v/>
      </c>
      <c r="AA98" s="22" t="n">
        <v>67.538</v>
      </c>
      <c r="AB98" s="20" t="n">
        <v>0.24</v>
      </c>
      <c r="AC98" s="20" t="n">
        <v>0.125771953607471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2026-10-16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UnitedHealth Group</t>
        </is>
      </c>
      <c r="C99" s="12" t="inlineStr">
        <is>
          <t>UNH</t>
        </is>
      </c>
      <c r="D99" s="11" t="inlineStr">
        <is>
          <t>Assicurazione sanitaria</t>
        </is>
      </c>
      <c r="E99" s="13" t="inlineStr">
        <is>
          <t>Salute</t>
        </is>
      </c>
      <c r="F99" s="14" t="n">
        <v>402.185</v>
      </c>
      <c r="G99" s="15" t="inlineStr">
        <is>
          <t>USD</t>
        </is>
      </c>
      <c r="H99" s="14" t="n">
        <v>357.9446517897233</v>
      </c>
      <c r="I99" s="16" t="n">
        <v>321289.2896064465</v>
      </c>
      <c r="J99" s="16" t="n">
        <v>360999.2</v>
      </c>
      <c r="K99" s="14" t="n">
        <v>15.55</v>
      </c>
      <c r="L99" s="14" t="n">
        <v>23.22918</v>
      </c>
      <c r="M99" s="17">
        <f>IF(OR(F99="",K99="",K99&lt;=0),"",F99/K99)</f>
        <v/>
      </c>
      <c r="N99" s="18" t="n">
        <v>3.4838707</v>
      </c>
      <c r="O99" s="19">
        <f>IF(OR(N99="",M99="",M99&lt;=0),"",N99/M99)</f>
        <v/>
      </c>
      <c r="P99" s="20" t="n">
        <v>0.15773</v>
      </c>
      <c r="Q99" s="20" t="n">
        <v>0.1986094387672269</v>
      </c>
      <c r="R99" s="20" t="n">
        <v>0.05768840645771321</v>
      </c>
      <c r="S99" s="21" t="n">
        <v>4</v>
      </c>
      <c r="T99" s="20" t="n"/>
      <c r="U99" s="20" t="n">
        <v>0.1281054085644459</v>
      </c>
      <c r="V99" s="20" t="n">
        <v>0.1554641801031751</v>
      </c>
      <c r="W99" s="20" t="n">
        <v>0.2521632340348822</v>
      </c>
      <c r="X99" s="20" t="n">
        <v>0.2587049323664043</v>
      </c>
      <c r="Y99" s="14" t="n">
        <v>9.279999999999999</v>
      </c>
      <c r="Z99" s="19">
        <f>IF(OR(Y99="",F99="",F99=0),"",Y99/F99)</f>
        <v/>
      </c>
      <c r="AA99" s="22" t="n">
        <v>70.426</v>
      </c>
      <c r="AB99" s="20" t="n">
        <v>-0.004</v>
      </c>
      <c r="AC99" s="20" t="n">
        <v>0.03548965910355321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2026-10-16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Home Depot</t>
        </is>
      </c>
      <c r="C100" s="12" t="inlineStr">
        <is>
          <t>HD</t>
        </is>
      </c>
      <c r="D100" s="11" t="inlineStr">
        <is>
          <t>Distribuzione specializzata</t>
        </is>
      </c>
      <c r="E100" s="13" t="inlineStr">
        <is>
          <t>Consumi</t>
        </is>
      </c>
      <c r="F100" s="14" t="n">
        <v>310.925</v>
      </c>
      <c r="G100" s="15" t="inlineStr">
        <is>
          <t>USD</t>
        </is>
      </c>
      <c r="H100" s="14" t="n">
        <v>276.7232513836163</v>
      </c>
      <c r="I100" s="16" t="n">
        <v>276083.8753804194</v>
      </c>
      <c r="J100" s="16" t="n">
        <v>310206.6</v>
      </c>
      <c r="K100" s="14" t="n">
        <v>14.29</v>
      </c>
      <c r="L100" s="14" t="n">
        <v>16.0248</v>
      </c>
      <c r="M100" s="17">
        <f>IF(OR(F100="",K100="",K100&lt;=0),"",F100/K100)</f>
        <v/>
      </c>
      <c r="N100" s="18" t="n">
        <v>18.674173</v>
      </c>
      <c r="O100" s="19">
        <f>IF(OR(N100="",M100="",M100&lt;=0),"",N100/M100)</f>
        <v/>
      </c>
      <c r="P100" s="20" t="n">
        <v>1.0429599</v>
      </c>
      <c r="Q100" s="20" t="n">
        <v>7.197532049082098</v>
      </c>
      <c r="R100" s="20" t="n">
        <v>5.685105003247476</v>
      </c>
      <c r="S100" s="21" t="n">
        <v>4</v>
      </c>
      <c r="T100" s="20" t="n">
        <v>1.104815421837197</v>
      </c>
      <c r="U100" s="20" t="n">
        <v>2.229819277108434</v>
      </c>
      <c r="V100" s="20" t="n">
        <v>14.50478927203065</v>
      </c>
      <c r="W100" s="20" t="n">
        <v>10.95070422535211</v>
      </c>
      <c r="X100" s="20" t="n"/>
      <c r="Y100" s="14" t="n">
        <v>9.32</v>
      </c>
      <c r="Z100" s="19">
        <f>IF(OR(Y100="",F100="",F100=0),"",Y100/F100)</f>
        <v/>
      </c>
      <c r="AA100" s="22" t="n">
        <v>380.261</v>
      </c>
      <c r="AB100" s="20" t="n">
        <v>0.057</v>
      </c>
      <c r="AC100" s="20" t="n">
        <v>0.086390218298185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2026-10-16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NextEra Energy</t>
        </is>
      </c>
      <c r="C101" s="12" t="inlineStr">
        <is>
          <t>NEE</t>
        </is>
      </c>
      <c r="D101" s="11" t="inlineStr">
        <is>
          <t>Utility / Rinnovabili</t>
        </is>
      </c>
      <c r="E101" s="13" t="inlineStr">
        <is>
          <t>Utility</t>
        </is>
      </c>
      <c r="F101" s="14" t="n">
        <v>79.79000000000001</v>
      </c>
      <c r="G101" s="15" t="inlineStr">
        <is>
          <t>USD</t>
        </is>
      </c>
      <c r="H101" s="14" t="n">
        <v>71.0131003550655</v>
      </c>
      <c r="I101" s="16" t="n">
        <v>148105.3457405267</v>
      </c>
      <c r="J101" s="16" t="n">
        <v>166410.5</v>
      </c>
      <c r="K101" s="14" t="n">
        <v>4.45</v>
      </c>
      <c r="L101" s="14" t="n">
        <v>4.37316</v>
      </c>
      <c r="M101" s="17">
        <f>IF(OR(F101="",K101="",K101&lt;=0),"",F101/K101)</f>
        <v/>
      </c>
      <c r="N101" s="18" t="n">
        <v>2.9133196</v>
      </c>
      <c r="O101" s="19">
        <f>IF(OR(N101="",M101="",M101&lt;=0),"",N101/M101)</f>
        <v/>
      </c>
      <c r="P101" s="20" t="n">
        <v>0.11677</v>
      </c>
      <c r="Q101" s="20" t="n">
        <v>0.11677</v>
      </c>
      <c r="R101" s="20" t="n"/>
      <c r="S101" s="21" t="n">
        <v>0</v>
      </c>
      <c r="T101" s="20" t="n"/>
      <c r="U101" s="20" t="n">
        <v>0.1251648110167008</v>
      </c>
      <c r="V101" s="20" t="n">
        <v>0.138639947306441</v>
      </c>
      <c r="W101" s="20" t="n">
        <v>0.1539984831886745</v>
      </c>
      <c r="X101" s="20" t="n">
        <v>0.1057126105687119</v>
      </c>
      <c r="Y101" s="14" t="n">
        <v>2.49</v>
      </c>
      <c r="Z101" s="19">
        <f>IF(OR(Y101="",F101="",F101=0),"",Y101/F101)</f>
        <v/>
      </c>
      <c r="AA101" s="22" t="n">
        <v>161.676</v>
      </c>
      <c r="AB101" s="20" t="n">
        <v>0.124</v>
      </c>
      <c r="AC101" s="20" t="n">
        <v>0.32401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2026-10-16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Emerson Electric</t>
        </is>
      </c>
      <c r="C102" s="12" t="inlineStr">
        <is>
          <t>EMR</t>
        </is>
      </c>
      <c r="D102" s="11" t="inlineStr">
        <is>
          <t>Automazione</t>
        </is>
      </c>
      <c r="E102" s="13" t="inlineStr">
        <is>
          <t>Industriale</t>
        </is>
      </c>
      <c r="F102" s="14" t="n">
        <v>160.61</v>
      </c>
      <c r="G102" s="15" t="inlineStr">
        <is>
          <t>USD</t>
        </is>
      </c>
      <c r="H102" s="14" t="n">
        <v>142.9429007147145</v>
      </c>
      <c r="I102" s="16" t="n">
        <v>80062.35340031177</v>
      </c>
      <c r="J102" s="16" t="n">
        <v>89957.7</v>
      </c>
      <c r="K102" s="14" t="n">
        <v>4.5</v>
      </c>
      <c r="L102" s="14" t="n">
        <v>7.26872</v>
      </c>
      <c r="M102" s="17">
        <f>IF(OR(F102="",K102="",K102&lt;=0),"",F102/K102)</f>
        <v/>
      </c>
      <c r="N102" s="18" t="n">
        <v>4.3960586</v>
      </c>
      <c r="O102" s="19">
        <f>IF(OR(N102="",M102="",M102&lt;=0),"",N102/M102)</f>
        <v/>
      </c>
      <c r="P102" s="20" t="n">
        <v>0.128</v>
      </c>
      <c r="Q102" s="20" t="n">
        <v>0.2886765522946696</v>
      </c>
      <c r="R102" s="20" t="n">
        <v>0.2197445121017647</v>
      </c>
      <c r="S102" s="21" t="n">
        <v>4</v>
      </c>
      <c r="T102" s="20" t="n"/>
      <c r="U102" s="20" t="n">
        <v>0.1130559116457943</v>
      </c>
      <c r="V102" s="20" t="n">
        <v>0.09095951192457016</v>
      </c>
      <c r="W102" s="20" t="n">
        <v>0.6389385663879357</v>
      </c>
      <c r="X102" s="20" t="n">
        <v>0.3117522192203782</v>
      </c>
      <c r="Y102" s="14" t="n">
        <v>2.22</v>
      </c>
      <c r="Z102" s="19">
        <f>IF(OR(Y102="",F102="",F102=0),"",Y102/F102)</f>
        <v/>
      </c>
      <c r="AA102" s="22" t="n">
        <v>67.67700000000001</v>
      </c>
      <c r="AB102" s="20" t="n">
        <v>0.07000000000000001</v>
      </c>
      <c r="AC102" s="20" t="n">
        <v>0.1429840142095915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2026-10-16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Berkshire Hathaway B</t>
        </is>
      </c>
      <c r="C103" s="12" t="inlineStr">
        <is>
          <t>BRK-B</t>
        </is>
      </c>
      <c r="D103" s="11" t="inlineStr">
        <is>
          <t>Conglomerata / Holding</t>
        </is>
      </c>
      <c r="E103" s="13" t="inlineStr">
        <is>
          <t>Finanziario</t>
        </is>
      </c>
      <c r="F103" s="14" t="n">
        <v>528.4</v>
      </c>
      <c r="G103" s="15" t="inlineStr">
        <is>
          <t>USD</t>
        </is>
      </c>
      <c r="H103" s="14" t="n">
        <v>470.27600235138</v>
      </c>
      <c r="I103" s="16" t="n">
        <v>1006724.484033623</v>
      </c>
      <c r="J103" s="16" t="n">
        <v>1131151.1</v>
      </c>
      <c r="K103" s="14" t="n">
        <v>39.76</v>
      </c>
      <c r="L103" s="14" t="n">
        <v>22.21587</v>
      </c>
      <c r="M103" s="17">
        <f>IF(OR(F103="",K103="",K103&lt;=0),"",F103/K103)</f>
        <v/>
      </c>
      <c r="N103" s="18" t="n">
        <v>0.0010118227</v>
      </c>
      <c r="O103" s="19">
        <f>IF(OR(N103="",M103="",M103&lt;=0),"",N103/M103)</f>
        <v/>
      </c>
      <c r="P103" s="20" t="n">
        <v>0.121199995</v>
      </c>
      <c r="Q103" s="20" t="n">
        <v>0.08843956355337573</v>
      </c>
      <c r="R103" s="20" t="n">
        <v>0.08353327161790873</v>
      </c>
      <c r="S103" s="21" t="n">
        <v>4</v>
      </c>
      <c r="T103" s="20" t="n"/>
      <c r="U103" s="20" t="n">
        <v>0.09334572962243821</v>
      </c>
      <c r="V103" s="20" t="n">
        <v>0.137048638060391</v>
      </c>
      <c r="W103" s="20" t="n">
        <v>0.1714370725119505</v>
      </c>
      <c r="X103" s="20" t="n">
        <v>-0.04807318598127683</v>
      </c>
      <c r="Y103" s="14" t="n"/>
      <c r="Z103" s="19">
        <f>IF(OR(Y103="",F103="",F103=0),"",Y103/F103)</f>
        <v/>
      </c>
      <c r="AA103" s="22" t="n">
        <v>17.142</v>
      </c>
      <c r="AB103" s="20" t="n">
        <v>0.1</v>
      </c>
      <c r="AC103" s="20" t="n">
        <v>0.208924256395516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2026-10-16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223.695</v>
      </c>
      <c r="G104" s="15" t="inlineStr">
        <is>
          <t>USD</t>
        </is>
      </c>
      <c r="H104" s="14" t="n">
        <v>199.0885509954427</v>
      </c>
      <c r="I104" s="16" t="n">
        <v>390532.802952664</v>
      </c>
      <c r="J104" s="16" t="n">
        <v>438800.9</v>
      </c>
      <c r="K104" s="14" t="n">
        <v>10.39</v>
      </c>
      <c r="L104" s="14" t="n">
        <v>15.23023</v>
      </c>
      <c r="M104" s="17">
        <f>IF(OR(F104="",K104="",K104&lt;=0),"",F104/K104)</f>
        <v/>
      </c>
      <c r="N104" s="18" t="n">
        <v>2.3108988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2026-10-16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General Dynamics</t>
        </is>
      </c>
      <c r="C105" s="12" t="inlineStr">
        <is>
          <t>GD</t>
        </is>
      </c>
      <c r="D105" s="11" t="inlineStr">
        <is>
          <t>Difesa</t>
        </is>
      </c>
      <c r="E105" s="13" t="inlineStr">
        <is>
          <t>Industriale</t>
        </is>
      </c>
      <c r="F105" s="14" t="n">
        <v>341.86</v>
      </c>
      <c r="G105" s="15" t="inlineStr">
        <is>
          <t>USD</t>
        </is>
      </c>
      <c r="H105" s="14" t="n">
        <v>304.255401521277</v>
      </c>
      <c r="I105" s="16" t="n">
        <v>82318.50341159252</v>
      </c>
      <c r="J105" s="16" t="n">
        <v>92492.7</v>
      </c>
      <c r="K105" s="14" t="n">
        <v>16.39</v>
      </c>
      <c r="L105" s="14" t="n">
        <v>18.6275</v>
      </c>
      <c r="M105" s="17">
        <f>IF(OR(F105="",K105="",K105&lt;=0),"",F105/K105)</f>
        <v/>
      </c>
      <c r="N105" s="18" t="n">
        <v>3.4426987</v>
      </c>
      <c r="O105" s="19">
        <f>IF(OR(N105="",M105="",M105&lt;=0),"",N105/M105)</f>
        <v/>
      </c>
      <c r="P105" s="20" t="n">
        <v>0.17803</v>
      </c>
      <c r="Q105" s="20" t="n">
        <v>0.17803</v>
      </c>
      <c r="R105" s="20" t="n"/>
      <c r="S105" s="21" t="n">
        <v>0</v>
      </c>
      <c r="T105" s="20" t="n"/>
      <c r="U105" s="20" t="n">
        <v>0.1643119194442276</v>
      </c>
      <c r="V105" s="20" t="n">
        <v>0.1714182114852921</v>
      </c>
      <c r="W105" s="20" t="n">
        <v>0.1556411099112635</v>
      </c>
      <c r="X105" s="20" t="n">
        <v>0.1825721671693236</v>
      </c>
      <c r="Y105" s="14" t="n">
        <v>6.36</v>
      </c>
      <c r="Z105" s="19">
        <f>IF(OR(Y105="",F105="",F105=0),"",Y105/F105)</f>
        <v/>
      </c>
      <c r="AA105" s="22" t="n">
        <v>35.335</v>
      </c>
      <c r="AB105" s="20" t="n">
        <v>0.081</v>
      </c>
      <c r="AC105" s="20" t="n">
        <v>0.08179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2026-10-16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104.665</v>
      </c>
      <c r="G106" s="15" t="inlineStr">
        <is>
          <t>USD</t>
        </is>
      </c>
      <c r="H106" s="14" t="n">
        <v>93.15185046575927</v>
      </c>
      <c r="I106" s="16" t="n">
        <v>162253.1418112657</v>
      </c>
      <c r="J106" s="16" t="n">
        <v>182306.9</v>
      </c>
      <c r="K106" s="14" t="n">
        <v>3.1</v>
      </c>
      <c r="L106" s="14" t="n">
        <v>6.06583</v>
      </c>
      <c r="M106" s="17">
        <f>IF(OR(F106="",K106="",K106&lt;=0),"",F106/K106)</f>
        <v/>
      </c>
      <c r="N106" s="18" t="n">
        <v>3.5435216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2026-10-16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147.03</v>
      </c>
      <c r="G107" s="15" t="inlineStr">
        <is>
          <t>USD</t>
        </is>
      </c>
      <c r="H107" s="14" t="n">
        <v>130.8567006542835</v>
      </c>
      <c r="I107" s="16" t="n">
        <v>322845.8996142295</v>
      </c>
      <c r="J107" s="16" t="n">
        <v>362748.2</v>
      </c>
      <c r="K107" s="14" t="n">
        <v>1.26</v>
      </c>
      <c r="L107" s="14" t="n">
        <v>9.3193</v>
      </c>
      <c r="M107" s="17">
        <f>IF(OR(F107="",K107="",K107&lt;=0),"",F107/K107)</f>
        <v/>
      </c>
      <c r="N107" s="18" t="n">
        <v>8.6559515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2026-10-16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MetLife</t>
        </is>
      </c>
      <c r="C108" s="12" t="inlineStr">
        <is>
          <t>MET</t>
        </is>
      </c>
      <c r="D108" s="11" t="inlineStr">
        <is>
          <t>Assicurazione vita</t>
        </is>
      </c>
      <c r="E108" s="13" t="inlineStr">
        <is>
          <t>Finanziario</t>
        </is>
      </c>
      <c r="F108" s="14" t="n">
        <v>101.38</v>
      </c>
      <c r="G108" s="15" t="inlineStr">
        <is>
          <t>USD</t>
        </is>
      </c>
      <c r="H108" s="14" t="n">
        <v>90.22820045114101</v>
      </c>
      <c r="I108" s="16" t="n">
        <v>57337.89428668947</v>
      </c>
      <c r="J108" s="16" t="n">
        <v>64424.6</v>
      </c>
      <c r="K108" s="14" t="n">
        <v>5.22</v>
      </c>
      <c r="L108" s="14" t="n">
        <v>11.15788</v>
      </c>
      <c r="M108" s="17">
        <f>IF(OR(F108="",K108="",K108&lt;=0),"",F108/K108)</f>
        <v/>
      </c>
      <c r="N108" s="18" t="n">
        <v>2.3561401</v>
      </c>
      <c r="O108" s="19">
        <f>IF(OR(N108="",M108="",M108&lt;=0),"",N108/M108)</f>
        <v/>
      </c>
      <c r="P108" s="20" t="n">
        <v>0.13094</v>
      </c>
      <c r="Q108" s="20" t="n">
        <v>0.1274159335614763</v>
      </c>
      <c r="R108" s="20" t="n">
        <v>0.04811596554463902</v>
      </c>
      <c r="S108" s="21" t="n">
        <v>4</v>
      </c>
      <c r="T108" s="20" t="n"/>
      <c r="U108" s="20" t="n">
        <v>0.1189872526234242</v>
      </c>
      <c r="V108" s="20" t="n">
        <v>0.1612679905265076</v>
      </c>
      <c r="W108" s="20" t="n">
        <v>0.05257371314342828</v>
      </c>
      <c r="X108" s="20" t="n">
        <v>0.1768347779525451</v>
      </c>
      <c r="Y108" s="14" t="n">
        <v>2.37</v>
      </c>
      <c r="Z108" s="19">
        <f>IF(OR(Y108="",F108="",F108=0),"",Y108/F108)</f>
        <v/>
      </c>
      <c r="AA108" s="22" t="n">
        <v>179.933</v>
      </c>
      <c r="AB108" s="20" t="n">
        <v>0.105</v>
      </c>
      <c r="AC108" s="20" t="n">
        <v>0.04548338403785656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2026-10-16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62.15</v>
      </c>
      <c r="G109" s="15" t="inlineStr">
        <is>
          <t>USD</t>
        </is>
      </c>
      <c r="H109" s="14" t="n">
        <v>55.3135002765675</v>
      </c>
      <c r="I109" s="16" t="n">
        <v>55293.47527646738</v>
      </c>
      <c r="J109" s="16" t="n">
        <v>62127.5</v>
      </c>
      <c r="K109" s="14" t="n">
        <v>3.52</v>
      </c>
      <c r="L109" s="14" t="n">
        <v>4.70861</v>
      </c>
      <c r="M109" s="17">
        <f>IF(OR(F109="",K109="",K109&lt;=0),"",F109/K109)</f>
        <v/>
      </c>
      <c r="N109" s="18" t="n">
        <v>1.8569422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2026-10-16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94.58499999999999</v>
      </c>
      <c r="G110" s="15" t="inlineStr">
        <is>
          <t>USD</t>
        </is>
      </c>
      <c r="H110" s="14" t="n">
        <v>84.18065042090325</v>
      </c>
      <c r="I110" s="16" t="n">
        <v>107678.6975383935</v>
      </c>
      <c r="J110" s="16" t="n">
        <v>120987.3</v>
      </c>
      <c r="K110" s="14" t="n">
        <v>4.07</v>
      </c>
      <c r="L110" s="14" t="n">
        <v>6.41145</v>
      </c>
      <c r="M110" s="17">
        <f>IF(OR(F110="",K110="",K110&lt;=0),"",F110/K110)</f>
        <v/>
      </c>
      <c r="N110" s="18" t="n">
        <v>2.4103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>
        <v>2.88</v>
      </c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2026-10-16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33.915</v>
      </c>
      <c r="G111" s="15" t="inlineStr">
        <is>
          <t>USD</t>
        </is>
      </c>
      <c r="H111" s="14" t="n">
        <v>30.18435015092175</v>
      </c>
      <c r="I111" s="16" t="n">
        <v>67154.95033577476</v>
      </c>
      <c r="J111" s="16" t="n">
        <v>75455</v>
      </c>
      <c r="K111" s="14" t="n">
        <v>1.55</v>
      </c>
      <c r="L111" s="14" t="n">
        <v>1.54664</v>
      </c>
      <c r="M111" s="17">
        <f>IF(OR(F111="",K111="",K111&lt;=0),"",F111/K111)</f>
        <v/>
      </c>
      <c r="N111" s="18" t="n">
        <v>2.3855245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2026-10-16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93.09999999999999</v>
      </c>
      <c r="G112" s="15" t="inlineStr">
        <is>
          <t>USD</t>
        </is>
      </c>
      <c r="H112" s="14" t="n">
        <v>82.859000414295</v>
      </c>
      <c r="I112" s="16" t="n">
        <v>66052.95233026477</v>
      </c>
      <c r="J112" s="16" t="n">
        <v>74216.8</v>
      </c>
      <c r="K112" s="14" t="n">
        <v>2.54</v>
      </c>
      <c r="L112" s="14" t="n">
        <v>4.0859</v>
      </c>
      <c r="M112" s="17">
        <f>IF(OR(F112="",K112="",K112&lt;=0),"",F112/K112)</f>
        <v/>
      </c>
      <c r="N112" s="18" t="n">
        <v>314.527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2026-10-16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342.735</v>
      </c>
      <c r="G113" s="15" t="inlineStr">
        <is>
          <t>USD</t>
        </is>
      </c>
      <c r="H113" s="14" t="n">
        <v>305.0341515251708</v>
      </c>
      <c r="I113" s="16" t="n">
        <v>249517.9092475896</v>
      </c>
      <c r="J113" s="16" t="n">
        <v>280357.2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10.160228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2026-10-16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427.46</v>
      </c>
      <c r="G114" s="15" t="inlineStr">
        <is>
          <t>USD</t>
        </is>
      </c>
      <c r="H114" s="14" t="n">
        <v>380.439401902197</v>
      </c>
      <c r="I114" s="16" t="n">
        <v>112153.5285607676</v>
      </c>
      <c r="J114" s="16" t="n">
        <v>126015.2</v>
      </c>
      <c r="K114" s="14" t="n">
        <v>16.37</v>
      </c>
      <c r="L114" s="14" t="n">
        <v>20.18223</v>
      </c>
      <c r="M114" s="17">
        <f>IF(OR(F114="",K114="",K114&lt;=0),"",F114/K114)</f>
        <v/>
      </c>
      <c r="N114" s="18" t="n">
        <v>4.0003743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2026-10-16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126.51</v>
      </c>
      <c r="G115" s="15" t="inlineStr">
        <is>
          <t>USD</t>
        </is>
      </c>
      <c r="H115" s="14" t="n">
        <v>112.5939005629695</v>
      </c>
      <c r="I115" s="16" t="n">
        <v>61295.81330647907</v>
      </c>
      <c r="J115" s="16" t="n">
        <v>68871.7</v>
      </c>
      <c r="K115" s="14" t="n">
        <v>5.77</v>
      </c>
      <c r="L115" s="14" t="n">
        <v>6.86621</v>
      </c>
      <c r="M115" s="17">
        <f>IF(OR(F115="",K115="",K115&lt;=0),"",F115/K115)</f>
        <v/>
      </c>
      <c r="N115" s="18" t="n">
        <v>2.1468208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2026-10-16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111.675</v>
      </c>
      <c r="G116" s="15" t="inlineStr">
        <is>
          <t>USD</t>
        </is>
      </c>
      <c r="H116" s="14" t="n">
        <v>99.39075049695376</v>
      </c>
      <c r="I116" s="16" t="n">
        <v>52315.80226157902</v>
      </c>
      <c r="J116" s="16" t="n">
        <v>58781.8</v>
      </c>
      <c r="K116" s="14" t="n">
        <v>4.75</v>
      </c>
      <c r="L116" s="14" t="n">
        <v>7.15963</v>
      </c>
      <c r="M116" s="17">
        <f>IF(OR(F116="",K116="",K116&lt;=0),"",F116/K116)</f>
        <v/>
      </c>
      <c r="N116" s="18" t="n">
        <v>2.8926103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2026-10-16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975.08</v>
      </c>
      <c r="G117" s="15" t="inlineStr">
        <is>
          <t>USD</t>
        </is>
      </c>
      <c r="H117" s="14" t="n">
        <v>867.8212043391061</v>
      </c>
      <c r="I117" s="16" t="n">
        <v>85629.39242814697</v>
      </c>
      <c r="J117" s="16" t="n">
        <v>96212.8</v>
      </c>
      <c r="K117" s="14" t="n">
        <v>15.54</v>
      </c>
      <c r="L117" s="14" t="n">
        <v>18.5275</v>
      </c>
      <c r="M117" s="17">
        <f>IF(OR(F117="",K117="",K117&lt;=0),"",F117/K117)</f>
        <v/>
      </c>
      <c r="N117" s="18" t="n">
        <v>6.6897645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2026-10-16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454.1413</v>
      </c>
      <c r="G118" s="15" t="inlineStr">
        <is>
          <t>USD</t>
        </is>
      </c>
      <c r="H118" s="14" t="n">
        <v>404.1857590209288</v>
      </c>
      <c r="I118" s="16" t="n">
        <v>77456.78938728395</v>
      </c>
      <c r="J118" s="16" t="n">
        <v>87030.10000000001</v>
      </c>
      <c r="K118" s="14" t="n">
        <v>5.66</v>
      </c>
      <c r="L118" s="14" t="n">
        <v>18.6684</v>
      </c>
      <c r="M118" s="17">
        <f>IF(OR(F118="",K118="",K118&lt;=0),"",F118/K118)</f>
        <v/>
      </c>
      <c r="N118" s="18" t="n">
        <v>2.79322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2026-10-16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90.715</v>
      </c>
      <c r="G119" s="15" t="inlineStr">
        <is>
          <t>USD</t>
        </is>
      </c>
      <c r="H119" s="14" t="n">
        <v>80.73635040368175</v>
      </c>
      <c r="I119" s="16" t="n">
        <v>92876.12846438064</v>
      </c>
      <c r="J119" s="16" t="n">
        <v>104355.2</v>
      </c>
      <c r="K119" s="14" t="n">
        <v>4.15</v>
      </c>
      <c r="L119" s="14" t="n">
        <v>4.92312</v>
      </c>
      <c r="M119" s="17">
        <f>IF(OR(F119="",K119="",K119&lt;=0),"",F119/K119)</f>
        <v/>
      </c>
      <c r="N119" s="18" t="n">
        <v>2.6372173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2026-10-16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Boston Scientific</t>
        </is>
      </c>
      <c r="C120" s="12" t="inlineStr">
        <is>
          <t>BSX</t>
        </is>
      </c>
      <c r="D120" s="11" t="inlineStr">
        <is>
          <t>Dispositivi medicali</t>
        </is>
      </c>
      <c r="E120" s="13" t="inlineStr">
        <is>
          <t>Salute</t>
        </is>
      </c>
      <c r="F120" s="14" t="n">
        <v>44.22</v>
      </c>
      <c r="G120" s="15" t="inlineStr">
        <is>
          <t>USD</t>
        </is>
      </c>
      <c r="H120" s="14" t="n">
        <v>39.355800196779</v>
      </c>
      <c r="I120" s="16" t="n">
        <v>57035.56128517781</v>
      </c>
      <c r="J120" s="16" t="n">
        <v>64084.9</v>
      </c>
      <c r="K120" s="14" t="n">
        <v>2.47</v>
      </c>
      <c r="L120" s="14" t="n">
        <v>3.37691</v>
      </c>
      <c r="M120" s="17">
        <f>IF(OR(F120="",K120="",K120&lt;=0),"",F120/K120)</f>
        <v/>
      </c>
      <c r="N120" s="18" t="n">
        <v>2.566156</v>
      </c>
      <c r="O120" s="19">
        <f>IF(OR(N120="",M120="",M120&lt;=0),"",N120/M120)</f>
        <v/>
      </c>
      <c r="P120" s="20" t="n">
        <v>0.15338999</v>
      </c>
      <c r="Q120" s="20" t="n">
        <v>0.08177373868964678</v>
      </c>
      <c r="R120" s="20" t="n">
        <v>0.02833405857448824</v>
      </c>
      <c r="S120" s="21" t="n">
        <v>4</v>
      </c>
      <c r="T120" s="20" t="n"/>
      <c r="U120" s="20" t="n">
        <v>0.1195939253879168</v>
      </c>
      <c r="V120" s="20" t="n">
        <v>0.08516306844281121</v>
      </c>
      <c r="W120" s="20" t="n">
        <v>0.08262019604792283</v>
      </c>
      <c r="X120" s="20" t="n">
        <v>0.03971776487993627</v>
      </c>
      <c r="Y120" s="14" t="n"/>
      <c r="Z120" s="19">
        <f>IF(OR(Y120="",F120="",F120=0),"",Y120/F120)</f>
        <v/>
      </c>
      <c r="AA120" s="22" t="n">
        <v>50.151</v>
      </c>
      <c r="AB120" s="20" t="n">
        <v>0.075</v>
      </c>
      <c r="AC120" s="20" t="n">
        <v>0.183022809205938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2026-10-16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RTX Corporation</t>
        </is>
      </c>
      <c r="C121" s="12" t="inlineStr">
        <is>
          <t>RTX</t>
        </is>
      </c>
      <c r="D121" s="11" t="inlineStr">
        <is>
          <t>Difesa / Aerospazio</t>
        </is>
      </c>
      <c r="E121" s="13" t="inlineStr">
        <is>
          <t>Industriale</t>
        </is>
      </c>
      <c r="F121" s="14" t="n">
        <v>192.77</v>
      </c>
      <c r="G121" s="15" t="inlineStr">
        <is>
          <t>USD</t>
        </is>
      </c>
      <c r="H121" s="14" t="n">
        <v>171.5653008578265</v>
      </c>
      <c r="I121" s="16" t="n">
        <v>231228.4981561425</v>
      </c>
      <c r="J121" s="16" t="n">
        <v>259807.3</v>
      </c>
      <c r="K121" s="14" t="n">
        <v>5.68</v>
      </c>
      <c r="L121" s="14" t="n">
        <v>7.87004</v>
      </c>
      <c r="M121" s="17">
        <f>IF(OR(F121="",K121="",K121&lt;=0),"",F121/K121)</f>
        <v/>
      </c>
      <c r="N121" s="18" t="n">
        <v>3.9141119</v>
      </c>
      <c r="O121" s="19">
        <f>IF(OR(N121="",M121="",M121&lt;=0),"",N121/M121)</f>
        <v/>
      </c>
      <c r="P121" s="20" t="n">
        <v>0.12274</v>
      </c>
      <c r="Q121" s="20" t="n">
        <v>0.07688075362298834</v>
      </c>
      <c r="R121" s="20" t="n">
        <v>0.01786161675583029</v>
      </c>
      <c r="S121" s="21" t="n">
        <v>4</v>
      </c>
      <c r="T121" s="20" t="n"/>
      <c r="U121" s="20" t="n">
        <v>0.1031803203310599</v>
      </c>
      <c r="V121" s="20" t="n">
        <v>0.07936032980916284</v>
      </c>
      <c r="W121" s="20" t="n">
        <v>0.05342988059801331</v>
      </c>
      <c r="X121" s="20" t="n">
        <v>0.07155248375371737</v>
      </c>
      <c r="Y121" s="14" t="n">
        <v>2.92</v>
      </c>
      <c r="Z121" s="19">
        <f>IF(OR(Y121="",F121="",F121=0),"",Y121/F121)</f>
        <v/>
      </c>
      <c r="AA121" s="22" t="n">
        <v>57.02</v>
      </c>
      <c r="AB121" s="20" t="n">
        <v>0.145</v>
      </c>
      <c r="AC121" s="20" t="n">
        <v>0.08733338455808494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2026-10-16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Mondelez International</t>
        </is>
      </c>
      <c r="C122" s="12" t="inlineStr">
        <is>
          <t>MDLZ</t>
        </is>
      </c>
      <c r="D122" s="11" t="inlineStr">
        <is>
          <t>Alimentare</t>
        </is>
      </c>
      <c r="E122" s="13" t="inlineStr">
        <is>
          <t>Consumi</t>
        </is>
      </c>
      <c r="F122" s="14" t="n">
        <v>63.92</v>
      </c>
      <c r="G122" s="15" t="inlineStr">
        <is>
          <t>USD</t>
        </is>
      </c>
      <c r="H122" s="14" t="n">
        <v>56.888800284444</v>
      </c>
      <c r="I122" s="16" t="n">
        <v>73025.30136512651</v>
      </c>
      <c r="J122" s="16" t="n">
        <v>82050.89999999999</v>
      </c>
      <c r="K122" s="14" t="n">
        <v>2.72</v>
      </c>
      <c r="L122" s="14" t="n">
        <v>3.36244</v>
      </c>
      <c r="M122" s="17">
        <f>IF(OR(F122="",K122="",K122&lt;=0),"",F122/K122)</f>
        <v/>
      </c>
      <c r="N122" s="18" t="n">
        <v>3.0726337</v>
      </c>
      <c r="O122" s="19">
        <f>IF(OR(N122="",M122="",M122&lt;=0),"",N122/M122)</f>
        <v/>
      </c>
      <c r="P122" s="20" t="n">
        <v>0.13340001</v>
      </c>
      <c r="Q122" s="20" t="n">
        <v>0.1355421523570761</v>
      </c>
      <c r="R122" s="20" t="n">
        <v>0.03766650206384878</v>
      </c>
      <c r="S122" s="21" t="n">
        <v>4</v>
      </c>
      <c r="T122" s="20" t="n"/>
      <c r="U122" s="20" t="n">
        <v>0.09486028330366128</v>
      </c>
      <c r="V122" s="20" t="n">
        <v>0.1712089707411258</v>
      </c>
      <c r="W122" s="20" t="n">
        <v>0.1750317662007624</v>
      </c>
      <c r="X122" s="20" t="n">
        <v>0.1010675891827549</v>
      </c>
      <c r="Y122" s="14" t="n">
        <v>2.08</v>
      </c>
      <c r="Z122" s="19">
        <f>IF(OR(Y122="",F122="",F122=0),"",Y122/F122)</f>
        <v/>
      </c>
      <c r="AA122" s="22" t="n">
        <v>82.643</v>
      </c>
      <c r="AB122" s="20" t="n">
        <v>0.041</v>
      </c>
      <c r="AC122" s="20" t="n">
        <v>0.09123699301969536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2026-10-16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500.84</v>
      </c>
      <c r="G123" s="15" t="inlineStr">
        <is>
          <t>USD</t>
        </is>
      </c>
      <c r="H123" s="14" t="n">
        <v>445.747602228738</v>
      </c>
      <c r="I123" s="16" t="n">
        <v>112907.8925645395</v>
      </c>
      <c r="J123" s="16" t="n">
        <v>126862.8</v>
      </c>
      <c r="K123" s="14" t="n">
        <v>17.17</v>
      </c>
      <c r="L123" s="14" t="n">
        <v>20.10614</v>
      </c>
      <c r="M123" s="17">
        <f>IF(OR(F123="",K123="",K123&lt;=0),"",F123/K123)</f>
        <v/>
      </c>
      <c r="N123" s="18" t="n">
        <v>6.2666883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2026-10-16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404.36</v>
      </c>
      <c r="G124" s="15" t="inlineStr">
        <is>
          <t>USD</t>
        </is>
      </c>
      <c r="H124" s="14" t="n">
        <v>359.880401799402</v>
      </c>
      <c r="I124" s="16" t="n">
        <v>174385.6218719281</v>
      </c>
      <c r="J124" s="16" t="n">
        <v>195938.9</v>
      </c>
      <c r="K124" s="14" t="n">
        <v>8.42</v>
      </c>
      <c r="L124" s="14" t="n">
        <v>16.43212</v>
      </c>
      <c r="M124" s="17">
        <f>IF(OR(F124="",K124="",K124&lt;=0),"",F124/K124)</f>
        <v/>
      </c>
      <c r="N124" s="18" t="n">
        <v>5.840061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2026-10-16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270.2101</v>
      </c>
      <c r="G125" s="15" t="inlineStr">
        <is>
          <t>USD</t>
        </is>
      </c>
      <c r="H125" s="14" t="n">
        <v>240.486990202435</v>
      </c>
      <c r="I125" s="16" t="n">
        <v>85206.28642603142</v>
      </c>
      <c r="J125" s="16" t="n">
        <v>95737.39999999999</v>
      </c>
      <c r="K125" s="14" t="n">
        <v>10.23</v>
      </c>
      <c r="L125" s="14" t="n">
        <v>13.29015</v>
      </c>
      <c r="M125" s="17">
        <f>IF(OR(F125="",K125="",K125&lt;=0),"",F125/K125)</f>
        <v/>
      </c>
      <c r="N125" s="18" t="n">
        <v>3.002368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2026-10-16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Bristol-Myers Squibb</t>
        </is>
      </c>
      <c r="C126" s="12" t="inlineStr">
        <is>
          <t>BMY</t>
        </is>
      </c>
      <c r="D126" s="11" t="inlineStr">
        <is>
          <t>Farmaceutica</t>
        </is>
      </c>
      <c r="E126" s="13" t="inlineStr">
        <is>
          <t>Salute</t>
        </is>
      </c>
      <c r="F126" s="14" t="n">
        <v>60.46</v>
      </c>
      <c r="G126" s="15" t="inlineStr">
        <is>
          <t>USD</t>
        </is>
      </c>
      <c r="H126" s="14" t="n">
        <v>53.809400269047</v>
      </c>
      <c r="I126" s="16" t="n">
        <v>109917.2255495861</v>
      </c>
      <c r="J126" s="16" t="n">
        <v>123502.5</v>
      </c>
      <c r="K126" s="14" t="n">
        <v>4.54</v>
      </c>
      <c r="L126" s="14" t="n">
        <v>6.62447</v>
      </c>
      <c r="M126" s="17">
        <f>IF(OR(F126="",K126="",K126&lt;=0),"",F126/K126)</f>
        <v/>
      </c>
      <c r="N126" s="18" t="n">
        <v>5.534096</v>
      </c>
      <c r="O126" s="19">
        <f>IF(OR(N126="",M126="",M126&lt;=0),"",N126/M126)</f>
        <v/>
      </c>
      <c r="P126" s="20" t="n">
        <v>0.46598998</v>
      </c>
      <c r="Q126" s="20" t="n">
        <v>0.07761266271412175</v>
      </c>
      <c r="R126" s="20" t="n">
        <v>0.3666158804610691</v>
      </c>
      <c r="S126" s="21" t="n">
        <v>4</v>
      </c>
      <c r="T126" s="20" t="n"/>
      <c r="U126" s="20" t="n">
        <v>0.3818545986033671</v>
      </c>
      <c r="V126" s="20" t="n">
        <v>-0.5477808386899296</v>
      </c>
      <c r="W126" s="20" t="n">
        <v>0.2726809378185525</v>
      </c>
      <c r="X126" s="20" t="n">
        <v>0.203695953124497</v>
      </c>
      <c r="Y126" s="14" t="n">
        <v>2.52</v>
      </c>
      <c r="Z126" s="19">
        <f>IF(OR(Y126="",F126="",F126=0),"",Y126/F126)</f>
        <v/>
      </c>
      <c r="AA126" s="22" t="n">
        <v>201.859</v>
      </c>
      <c r="AB126" s="20" t="n">
        <v>0.057</v>
      </c>
      <c r="AC126" s="20" t="n">
        <v>0.1925925899367154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2026-10-16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Amazon</t>
        </is>
      </c>
      <c r="C127" s="12" t="inlineStr">
        <is>
          <t>AMZN</t>
        </is>
      </c>
      <c r="D127" s="11" t="inlineStr">
        <is>
          <t>E-commerce / Cloud</t>
        </is>
      </c>
      <c r="E127" s="13" t="inlineStr">
        <is>
          <t>Tecnologia</t>
        </is>
      </c>
      <c r="F127" s="14" t="n">
        <v>250.095</v>
      </c>
      <c r="G127" s="15" t="inlineStr">
        <is>
          <t>USD</t>
        </is>
      </c>
      <c r="H127" s="14" t="n">
        <v>222.5845511129228</v>
      </c>
      <c r="I127" s="16" t="n">
        <v>2400914.831004574</v>
      </c>
      <c r="J127" s="16" t="n">
        <v>2697657.1</v>
      </c>
      <c r="K127" s="14" t="n">
        <v>12.43</v>
      </c>
      <c r="L127" s="14" t="n">
        <v>10.45377</v>
      </c>
      <c r="M127" s="17">
        <f>IF(OR(F127="",K127="",K127&lt;=0),"",F127/K127)</f>
        <v/>
      </c>
      <c r="N127" s="18" t="n">
        <v>4.8889675</v>
      </c>
      <c r="O127" s="19">
        <f>IF(OR(N127="",M127="",M127&lt;=0),"",N127/M127)</f>
        <v/>
      </c>
      <c r="P127" s="20" t="n">
        <v>0.30558002</v>
      </c>
      <c r="Q127" s="20" t="n">
        <v>0.1320511298823096</v>
      </c>
      <c r="R127" s="20" t="n">
        <v>0.08935541595787762</v>
      </c>
      <c r="S127" s="21" t="n">
        <v>4</v>
      </c>
      <c r="T127" s="20" t="n"/>
      <c r="U127" s="20" t="n">
        <v>0.1889482198679041</v>
      </c>
      <c r="V127" s="20" t="n">
        <v>0.2071825715984194</v>
      </c>
      <c r="W127" s="20" t="n">
        <v>0.1507120743034056</v>
      </c>
      <c r="X127" s="20" t="n">
        <v>-0.01863834624049081</v>
      </c>
      <c r="Y127" s="14" t="n"/>
      <c r="Z127" s="19">
        <f>IF(OR(Y127="",F127="",F127=0),"",Y127/F127)</f>
        <v/>
      </c>
      <c r="AA127" s="22" t="n">
        <v>45.617</v>
      </c>
      <c r="AB127" s="20" t="n">
        <v>0.196</v>
      </c>
      <c r="AC127" s="20" t="n">
        <v>0.1886964314878564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2026-10-16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Dominion Energy</t>
        </is>
      </c>
      <c r="C128" s="12" t="inlineStr">
        <is>
          <t>D</t>
        </is>
      </c>
      <c r="D128" s="11" t="inlineStr">
        <is>
          <t>Utility</t>
        </is>
      </c>
      <c r="E128" s="13" t="inlineStr">
        <is>
          <t>Utility</t>
        </is>
      </c>
      <c r="F128" s="14" t="n">
        <v>63.6</v>
      </c>
      <c r="G128" s="15" t="inlineStr">
        <is>
          <t>USD</t>
        </is>
      </c>
      <c r="H128" s="14" t="n">
        <v>56.60400028302001</v>
      </c>
      <c r="I128" s="16" t="n">
        <v>49784.64224892321</v>
      </c>
      <c r="J128" s="16" t="n">
        <v>55937.8</v>
      </c>
      <c r="K128" s="14" t="n">
        <v>2.89</v>
      </c>
      <c r="L128" s="14" t="n">
        <v>3.81622</v>
      </c>
      <c r="M128" s="17">
        <f>IF(OR(F128="",K128="",K128&lt;=0),"",F128/K128)</f>
        <v/>
      </c>
      <c r="N128" s="18" t="n">
        <v>2.0037806</v>
      </c>
      <c r="O128" s="19">
        <f>IF(OR(N128="",M128="",M128&lt;=0),"",N128/M128)</f>
        <v/>
      </c>
      <c r="P128" s="20" t="n">
        <v>0.08280999999999999</v>
      </c>
      <c r="Q128" s="20" t="n">
        <v>0.07325849609060171</v>
      </c>
      <c r="R128" s="20" t="n">
        <v>0.02128332004749445</v>
      </c>
      <c r="S128" s="21" t="n">
        <v>4</v>
      </c>
      <c r="T128" s="20" t="n"/>
      <c r="U128" s="20" t="n">
        <v>0.1030842760375477</v>
      </c>
      <c r="V128" s="20" t="n">
        <v>0.07571752968767449</v>
      </c>
      <c r="W128" s="20" t="n">
        <v>0.07117205354227882</v>
      </c>
      <c r="X128" s="20" t="n">
        <v>0.04306012509490582</v>
      </c>
      <c r="Y128" s="14" t="n">
        <v>2.67</v>
      </c>
      <c r="Z128" s="19">
        <f>IF(OR(Y128="",F128="",F128=0),"",Y128/F128)</f>
        <v/>
      </c>
      <c r="AA128" s="22" t="n">
        <v>160.459</v>
      </c>
      <c r="AB128" s="20" t="n">
        <v>0.176</v>
      </c>
      <c r="AC128" s="20" t="n">
        <v>0.1518235715497395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2026-10-16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Tesla</t>
        </is>
      </c>
      <c r="C129" s="12" t="inlineStr">
        <is>
          <t>TSLA</t>
        </is>
      </c>
      <c r="D129" s="11" t="inlineStr">
        <is>
          <t>Auto elettriche</t>
        </is>
      </c>
      <c r="E129" s="13" t="inlineStr">
        <is>
          <t>Consumi</t>
        </is>
      </c>
      <c r="F129" s="14" t="n">
        <v>353.92</v>
      </c>
      <c r="G129" s="15" t="inlineStr">
        <is>
          <t>USD</t>
        </is>
      </c>
      <c r="H129" s="14" t="n">
        <v>314.988801574944</v>
      </c>
      <c r="I129" s="16" t="n">
        <v>1244063.277220316</v>
      </c>
      <c r="J129" s="16" t="n">
        <v>1397823.9</v>
      </c>
      <c r="K129" s="14" t="n">
        <v>1.08</v>
      </c>
      <c r="L129" s="14" t="n">
        <v>2.16841</v>
      </c>
      <c r="M129" s="17">
        <f>IF(OR(F129="",K129="",K129&lt;=0),"",F129/K129)</f>
        <v/>
      </c>
      <c r="N129" s="18" t="n">
        <v>16.090929</v>
      </c>
      <c r="O129" s="19">
        <f>IF(OR(N129="",M129="",M129&lt;=0),"",N129/M129)</f>
        <v/>
      </c>
      <c r="P129" s="20" t="n">
        <v>0.046669997</v>
      </c>
      <c r="Q129" s="20" t="n">
        <v>0.1662307907254467</v>
      </c>
      <c r="R129" s="20" t="n">
        <v>0.09713259207574809</v>
      </c>
      <c r="S129" s="21" t="n">
        <v>4</v>
      </c>
      <c r="T129" s="20" t="n"/>
      <c r="U129" s="20" t="n">
        <v>0.04619111971462313</v>
      </c>
      <c r="V129" s="20" t="n">
        <v>0.09778777447094482</v>
      </c>
      <c r="W129" s="20" t="n">
        <v>0.2394705750870134</v>
      </c>
      <c r="X129" s="20" t="n">
        <v>0.2814736936292054</v>
      </c>
      <c r="Y129" s="14" t="n"/>
      <c r="Z129" s="19">
        <f>IF(OR(Y129="",F129="",F129=0),"",Y129/F129)</f>
        <v/>
      </c>
      <c r="AA129" s="22" t="n">
        <v>18.373</v>
      </c>
      <c r="AB129" s="20" t="n">
        <v>0.255</v>
      </c>
      <c r="AC129" s="20" t="n">
        <v>0.04013624946481487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2026-10-16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Uber Technologies</t>
        </is>
      </c>
      <c r="C130" s="12" t="inlineStr">
        <is>
          <t>UBER</t>
        </is>
      </c>
      <c r="D130" s="11" t="inlineStr">
        <is>
          <t>Piattaforme</t>
        </is>
      </c>
      <c r="E130" s="13" t="inlineStr">
        <is>
          <t>Tecnologia</t>
        </is>
      </c>
      <c r="F130" s="14" t="n">
        <v>70.26000000000001</v>
      </c>
      <c r="G130" s="15" t="inlineStr">
        <is>
          <t>USD</t>
        </is>
      </c>
      <c r="H130" s="14" t="n">
        <v>62.53140031265701</v>
      </c>
      <c r="I130" s="16" t="n">
        <v>127724.1676386208</v>
      </c>
      <c r="J130" s="16" t="n">
        <v>143510.3</v>
      </c>
      <c r="K130" s="14" t="n">
        <v>4.56</v>
      </c>
      <c r="L130" s="14" t="n">
        <v>4.41256</v>
      </c>
      <c r="M130" s="17">
        <f>IF(OR(F130="",K130="",K130&lt;=0),"",F130/K130)</f>
        <v/>
      </c>
      <c r="N130" s="18" t="n">
        <v>5.2471995</v>
      </c>
      <c r="O130" s="19">
        <f>IF(OR(N130="",M130="",M130&lt;=0),"",N130/M130)</f>
        <v/>
      </c>
      <c r="P130" s="20" t="n">
        <v>0.3716</v>
      </c>
      <c r="Q130" s="20" t="n">
        <v>-0.06216638498507329</v>
      </c>
      <c r="R130" s="20" t="n">
        <v>0.6911679096695134</v>
      </c>
      <c r="S130" s="21" t="n">
        <v>4</v>
      </c>
      <c r="T130" s="20" t="n"/>
      <c r="U130" s="20" t="n">
        <v>0.3717687955327096</v>
      </c>
      <c r="V130" s="20" t="n">
        <v>0.4571852676500603</v>
      </c>
      <c r="W130" s="20" t="n">
        <v>0.1677482442883812</v>
      </c>
      <c r="X130" s="20" t="n">
        <v>-1.245367847411444</v>
      </c>
      <c r="Y130" s="14" t="n"/>
      <c r="Z130" s="19">
        <f>IF(OR(Y130="",F130="",F130=0),"",Y130/F130)</f>
        <v/>
      </c>
      <c r="AA130" s="22" t="n">
        <v>51.872</v>
      </c>
      <c r="AB130" s="20" t="n">
        <v>0.122</v>
      </c>
      <c r="AC130" s="20" t="n">
        <v>0.1841513314493339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2026-10-16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69.715</v>
      </c>
      <c r="G131" s="15" t="inlineStr">
        <is>
          <t>USD</t>
        </is>
      </c>
      <c r="H131" s="14" t="n">
        <v>62.04635031023176</v>
      </c>
      <c r="I131" s="16" t="n">
        <v>89099.68044549841</v>
      </c>
      <c r="J131" s="16" t="n">
        <v>100112</v>
      </c>
      <c r="K131" s="14" t="n">
        <v>2.03</v>
      </c>
      <c r="L131" s="14" t="n">
        <v>4.32698</v>
      </c>
      <c r="M131" s="17">
        <f>IF(OR(F131="",K131="",K131&lt;=0),"",F131/K131)</f>
        <v/>
      </c>
      <c r="N131" s="18" t="n">
        <v>4.9785757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>
        <v>0.6</v>
      </c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2026-10-16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75.98999999999999</v>
      </c>
      <c r="G132" s="15" t="inlineStr">
        <is>
          <t>USD</t>
        </is>
      </c>
      <c r="H132" s="14" t="n">
        <v>67.63110033815551</v>
      </c>
      <c r="I132" s="16" t="n">
        <v>42244.7402112237</v>
      </c>
      <c r="J132" s="16" t="n">
        <v>47466</v>
      </c>
      <c r="K132" s="14" t="n">
        <v>3.69</v>
      </c>
      <c r="L132" s="14" t="n">
        <v>4.54034</v>
      </c>
      <c r="M132" s="17">
        <f>IF(OR(F132="",K132="",K132&lt;=0),"",F132/K132)</f>
        <v/>
      </c>
      <c r="N132" s="18" t="n">
        <v>1.9723318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2026-10-16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120.928</v>
      </c>
      <c r="G133" s="15" t="inlineStr">
        <is>
          <t>USD</t>
        </is>
      </c>
      <c r="H133" s="14" t="n">
        <v>107.6259205381296</v>
      </c>
      <c r="I133" s="16" t="n">
        <v>83916.14241958072</v>
      </c>
      <c r="J133" s="16" t="n">
        <v>94287.8</v>
      </c>
      <c r="K133" s="14" t="n">
        <v>6.64</v>
      </c>
      <c r="L133" s="14" t="n">
        <v>7.16785</v>
      </c>
      <c r="M133" s="17">
        <f>IF(OR(F133="",K133="",K133&lt;=0),"",F133/K133)</f>
        <v/>
      </c>
      <c r="N133" s="18" t="n">
        <v>1.7539524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2026-10-16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230.015</v>
      </c>
      <c r="G134" s="15" t="inlineStr">
        <is>
          <t>USD</t>
        </is>
      </c>
      <c r="H134" s="14" t="n">
        <v>204.7133510235668</v>
      </c>
      <c r="I134" s="16" t="n">
        <v>143910.597719553</v>
      </c>
      <c r="J134" s="16" t="n">
        <v>161697.3</v>
      </c>
      <c r="K134" s="14" t="n">
        <v>5.61</v>
      </c>
      <c r="L134" s="14" t="n">
        <v>9.29646</v>
      </c>
      <c r="M134" s="17">
        <f>IF(OR(F134="",K134="",K134&lt;=0),"",F134/K134)</f>
        <v/>
      </c>
      <c r="N134" s="18" t="n">
        <v>3.0748203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2026-10-16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Prologis</t>
        </is>
      </c>
      <c r="C135" s="12" t="inlineStr">
        <is>
          <t>PLD</t>
        </is>
      </c>
      <c r="D135" s="11" t="inlineStr">
        <is>
          <t>REIT / Logistica</t>
        </is>
      </c>
      <c r="E135" s="13" t="inlineStr">
        <is>
          <t>Immobiliare</t>
        </is>
      </c>
      <c r="F135" s="14" t="n">
        <v>126.25</v>
      </c>
      <c r="G135" s="15" t="inlineStr">
        <is>
          <t>USD</t>
        </is>
      </c>
      <c r="H135" s="14" t="n">
        <v>112.3625005618125</v>
      </c>
      <c r="I135" s="16" t="n">
        <v>109226.5855461329</v>
      </c>
      <c r="J135" s="16" t="n">
        <v>122726.5</v>
      </c>
      <c r="K135" s="14" t="n">
        <v>4.5</v>
      </c>
      <c r="L135" s="14" t="n">
        <v>3.345</v>
      </c>
      <c r="M135" s="17">
        <f>IF(OR(F135="",K135="",K135&lt;=0),"",F135/K135)</f>
        <v/>
      </c>
      <c r="N135" s="18" t="n">
        <v>2.1870182</v>
      </c>
      <c r="O135" s="19">
        <f>IF(OR(N135="",M135="",M135&lt;=0),"",N135/M135)</f>
        <v/>
      </c>
      <c r="P135" s="20" t="n">
        <v>0.07709000000000001</v>
      </c>
      <c r="Q135" s="20" t="n">
        <v>0.06311608942280056</v>
      </c>
      <c r="R135" s="20" t="n">
        <v>0.004128986030073493</v>
      </c>
      <c r="S135" s="21" t="n">
        <v>4</v>
      </c>
      <c r="T135" s="20" t="n"/>
      <c r="U135" s="20" t="n">
        <v>0.06256875646722969</v>
      </c>
      <c r="V135" s="20" t="n">
        <v>0.06916693768350168</v>
      </c>
      <c r="W135" s="20" t="n">
        <v>0.05752378392246178</v>
      </c>
      <c r="X135" s="20" t="n">
        <v>0.06320487961800905</v>
      </c>
      <c r="Y135" s="14" t="n">
        <v>4.28</v>
      </c>
      <c r="Z135" s="19">
        <f>IF(OR(Y135="",F135="",F135=0),"",Y135/F135)</f>
        <v/>
      </c>
      <c r="AA135" s="22" t="n">
        <v>61.04</v>
      </c>
      <c r="AB135" s="20" t="n">
        <v>0.035</v>
      </c>
      <c r="AC135" s="20" t="n">
        <v>0.4840977719662071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2026-10-16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80.01000000000001</v>
      </c>
      <c r="G136" s="15" t="inlineStr">
        <is>
          <t>USD</t>
        </is>
      </c>
      <c r="H136" s="14" t="n">
        <v>71.20890035604451</v>
      </c>
      <c r="I136" s="16" t="n">
        <v>37234.66318617331</v>
      </c>
      <c r="J136" s="16" t="n">
        <v>41836.7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1.0339079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2026-10-16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174.52</v>
      </c>
      <c r="G137" s="15" t="inlineStr">
        <is>
          <t>USD</t>
        </is>
      </c>
      <c r="H137" s="14" t="n">
        <v>155.322800776614</v>
      </c>
      <c r="I137" s="16" t="n">
        <v>58659.81129329906</v>
      </c>
      <c r="J137" s="16" t="n">
        <v>65909.89999999999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2.4182465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2026-10-16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56.045</v>
      </c>
      <c r="G138" s="15" t="inlineStr">
        <is>
          <t>USD</t>
        </is>
      </c>
      <c r="H138" s="14" t="n">
        <v>49.88005024940026</v>
      </c>
      <c r="I138" s="16" t="n">
        <v>47197.41223598707</v>
      </c>
      <c r="J138" s="16" t="n">
        <v>53030.8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1.3408536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2026-10-16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83.31</v>
      </c>
      <c r="G139" s="15" t="inlineStr">
        <is>
          <t>USD</t>
        </is>
      </c>
      <c r="H139" s="14" t="n">
        <v>74.14590037072951</v>
      </c>
      <c r="I139" s="16" t="n">
        <v>48483.99624241998</v>
      </c>
      <c r="J139" s="16" t="n">
        <v>54476.4</v>
      </c>
      <c r="K139" s="14" t="n">
        <v>3.46</v>
      </c>
      <c r="L139" s="14" t="n">
        <v>5.54016</v>
      </c>
      <c r="M139" s="17">
        <f>IF(OR(F139="",K139="",K139&lt;=0),"",F139/K139)</f>
        <v/>
      </c>
      <c r="N139" s="18" t="n">
        <v>1.6663333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2026-10-16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164.08</v>
      </c>
      <c r="G140" s="15" t="inlineStr">
        <is>
          <t>USD</t>
        </is>
      </c>
      <c r="H140" s="14" t="n">
        <v>146.031200730156</v>
      </c>
      <c r="I140" s="16" t="n">
        <v>75311.53337655767</v>
      </c>
      <c r="J140" s="16" t="n">
        <v>84619.7</v>
      </c>
      <c r="K140" s="14" t="n">
        <v>5.63</v>
      </c>
      <c r="L140" s="14" t="n">
        <v>9.81981</v>
      </c>
      <c r="M140" s="17">
        <f>IF(OR(F140="",K140="",K140&lt;=0),"",F140/K140)</f>
        <v/>
      </c>
      <c r="N140" s="18" t="n">
        <v>28.66527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2026-10-16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239.24</v>
      </c>
      <c r="G141" s="15" t="inlineStr">
        <is>
          <t>USD</t>
        </is>
      </c>
      <c r="H141" s="14" t="n">
        <v>212.923601064618</v>
      </c>
      <c r="I141" s="16" t="n">
        <v>175236.1058761805</v>
      </c>
      <c r="J141" s="16" t="n">
        <v>196894.5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5.1303825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2026-10-16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92.33</v>
      </c>
      <c r="G142" s="15" t="inlineStr">
        <is>
          <t>USD</t>
        </is>
      </c>
      <c r="H142" s="14" t="n">
        <v>82.17370041086851</v>
      </c>
      <c r="I142" s="16" t="n">
        <v>105097.6975254885</v>
      </c>
      <c r="J142" s="16" t="n">
        <v>118087.3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1.4804778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2026-10-16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154.12</v>
      </c>
      <c r="G143" s="15" t="inlineStr">
        <is>
          <t>USD</t>
        </is>
      </c>
      <c r="H143" s="14" t="n">
        <v>137.166800685834</v>
      </c>
      <c r="I143" s="16" t="n">
        <v>46038.00923019004</v>
      </c>
      <c r="J143" s="16" t="n">
        <v>51728.1</v>
      </c>
      <c r="K143" s="14" t="n">
        <v>5.93</v>
      </c>
      <c r="L143" s="14" t="n">
        <v>10.37115</v>
      </c>
      <c r="M143" s="17">
        <f>IF(OR(F143="",K143="",K143&lt;=0),"",F143/K143)</f>
        <v/>
      </c>
      <c r="N143" s="18" t="n">
        <v>17.225885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2026-10-16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537.9974999999999</v>
      </c>
      <c r="G144" s="15" t="inlineStr">
        <is>
          <t>USD</t>
        </is>
      </c>
      <c r="H144" s="14" t="n">
        <v>478.8177773940889</v>
      </c>
      <c r="I144" s="16" t="n">
        <v>781658.0789082904</v>
      </c>
      <c r="J144" s="16" t="n">
        <v>878267.5</v>
      </c>
      <c r="K144" s="14" t="n">
        <v>3.92</v>
      </c>
      <c r="L144" s="14" t="n">
        <v>15.75529</v>
      </c>
      <c r="M144" s="17">
        <f>IF(OR(F144="",K144="",K144&lt;=0),"",F144/K144)</f>
        <v/>
      </c>
      <c r="N144" s="18" t="n">
        <v>13.061045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2026-10-16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226.1124</v>
      </c>
      <c r="G145" s="15" t="inlineStr">
        <is>
          <t>USD</t>
        </is>
      </c>
      <c r="H145" s="14" t="n">
        <v>201.2400370062002</v>
      </c>
      <c r="I145" s="16" t="n">
        <v>206200.2740310014</v>
      </c>
      <c r="J145" s="16" t="n">
        <v>231685.7</v>
      </c>
      <c r="K145" s="14" t="n">
        <v>0.06</v>
      </c>
      <c r="L145" s="14" t="n">
        <v>1.61123</v>
      </c>
      <c r="M145" s="17">
        <f>IF(OR(F145="",K145="",K145&lt;=0),"",F145/K145)</f>
        <v/>
      </c>
      <c r="N145" s="18" t="n">
        <v>45.40839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2026-10-16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84.14</v>
      </c>
      <c r="G146" s="15" t="inlineStr">
        <is>
          <t>USD</t>
        </is>
      </c>
      <c r="H146" s="14" t="n">
        <v>74.884600374423</v>
      </c>
      <c r="I146" s="16" t="n">
        <v>65707.63232853817</v>
      </c>
      <c r="J146" s="16" t="n">
        <v>73828.8</v>
      </c>
      <c r="K146" s="14" t="n">
        <v>2.23</v>
      </c>
      <c r="L146" s="14" t="n">
        <v>15.113</v>
      </c>
      <c r="M146" s="17">
        <f>IF(OR(F146="",K146="",K146&lt;=0),"",F146/K146)</f>
        <v/>
      </c>
      <c r="N146" s="18" t="n">
        <v>1.1901664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2026-10-16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86.91</v>
      </c>
      <c r="G147" s="15" t="inlineStr">
        <is>
          <t>USD</t>
        </is>
      </c>
      <c r="H147" s="14" t="n">
        <v>77.3499003867495</v>
      </c>
      <c r="I147" s="16" t="n">
        <v>71439.67735719839</v>
      </c>
      <c r="J147" s="16" t="n">
        <v>80269.3</v>
      </c>
      <c r="K147" s="14" t="n">
        <v>3.13</v>
      </c>
      <c r="L147" s="14" t="n">
        <v>7.41495</v>
      </c>
      <c r="M147" s="17">
        <f>IF(OR(F147="",K147="",K147&lt;=0),"",F147/K147)</f>
        <v/>
      </c>
      <c r="N147" s="18" t="n">
        <v>2.737323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2026-10-16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930.5700000000001</v>
      </c>
      <c r="G148" s="15" t="inlineStr">
        <is>
          <t>USD</t>
        </is>
      </c>
      <c r="H148" s="14" t="n">
        <v>828.2073041410366</v>
      </c>
      <c r="I148" s="16" t="n">
        <v>220579.3811028969</v>
      </c>
      <c r="J148" s="16" t="n">
        <v>247842</v>
      </c>
      <c r="K148" s="14" t="n">
        <v>32.72</v>
      </c>
      <c r="L148" s="14" t="n">
        <v>25.2703</v>
      </c>
      <c r="M148" s="17">
        <f>IF(OR(F148="",K148="",K148&lt;=0),"",F148/K148)</f>
        <v/>
      </c>
      <c r="N148" s="18" t="n">
        <v>20.727697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2026-10-16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234.28</v>
      </c>
      <c r="G149" s="15" t="inlineStr">
        <is>
          <t>USD</t>
        </is>
      </c>
      <c r="H149" s="14" t="n">
        <v>208.509201042546</v>
      </c>
      <c r="I149" s="16" t="n">
        <v>30808.06215404032</v>
      </c>
      <c r="J149" s="16" t="n">
        <v>34615.8</v>
      </c>
      <c r="K149" s="14" t="n">
        <v>5.63</v>
      </c>
      <c r="L149" s="14" t="n">
        <v>16.5293</v>
      </c>
      <c r="M149" s="17">
        <f>IF(OR(F149="",K149="",K149&lt;=0),"",F149/K149)</f>
        <v/>
      </c>
      <c r="N149" s="18" t="n">
        <v>1.8359063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2026-10-16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110.6001</v>
      </c>
      <c r="G150" s="15" t="inlineStr">
        <is>
          <t>USD</t>
        </is>
      </c>
      <c r="H150" s="14" t="n">
        <v>98.43408949217044</v>
      </c>
      <c r="I150" s="16" t="n">
        <v>169964.8138498241</v>
      </c>
      <c r="J150" s="16" t="n">
        <v>190971.7</v>
      </c>
      <c r="K150" s="14" t="n">
        <v>4.85</v>
      </c>
      <c r="L150" s="14" t="n">
        <v>7.48984</v>
      </c>
      <c r="M150" s="17">
        <f>IF(OR(F150="",K150="",K150&lt;=0),"",F150/K150)</f>
        <v/>
      </c>
      <c r="N150" s="18" t="n">
        <v>1.7389405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2026-10-16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186.615</v>
      </c>
      <c r="G151" s="15" t="inlineStr">
        <is>
          <t>USD</t>
        </is>
      </c>
      <c r="H151" s="14" t="n">
        <v>166.0873508304368</v>
      </c>
      <c r="I151" s="16" t="n">
        <v>399117.6539955882</v>
      </c>
      <c r="J151" s="16" t="n">
        <v>448446.8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45.873898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2026-10-16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29.5299</v>
      </c>
      <c r="G152" s="15" t="inlineStr">
        <is>
          <t>USD</t>
        </is>
      </c>
      <c r="H152" s="14" t="n">
        <v>26.28161113140806</v>
      </c>
      <c r="I152" s="16" t="n">
        <v>149796.6127489831</v>
      </c>
      <c r="J152" s="16" t="n">
        <v>168310.8</v>
      </c>
      <c r="K152" s="14" t="n">
        <v>0.76</v>
      </c>
      <c r="L152" s="14" t="n">
        <v>2.9036</v>
      </c>
      <c r="M152" s="17">
        <f>IF(OR(F152="",K152="",K152&lt;=0),"",F152/K152)</f>
        <v/>
      </c>
      <c r="N152" s="18" t="n">
        <v>1.9755085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2026-10-16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231.06</v>
      </c>
      <c r="G153" s="15" t="inlineStr">
        <is>
          <t>USD</t>
        </is>
      </c>
      <c r="H153" s="14" t="n">
        <v>205.643401028217</v>
      </c>
      <c r="I153" s="16" t="n">
        <v>184812.6839240634</v>
      </c>
      <c r="J153" s="16" t="n">
        <v>207654.7</v>
      </c>
      <c r="K153" s="14" t="n">
        <v>3.15</v>
      </c>
      <c r="L153" s="14" t="n">
        <v>7.28277</v>
      </c>
      <c r="M153" s="17">
        <f>IF(OR(F153="",K153="",K153&lt;=0),"",F153/K153)</f>
        <v/>
      </c>
      <c r="N153" s="18" t="n">
        <v>10.932576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2026-10-16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105.545</v>
      </c>
      <c r="G154" s="15" t="inlineStr">
        <is>
          <t>USD</t>
        </is>
      </c>
      <c r="H154" s="14" t="n">
        <v>93.93505046967526</v>
      </c>
      <c r="I154" s="16" t="n">
        <v>34034.84617017423</v>
      </c>
      <c r="J154" s="16" t="n">
        <v>38241.4</v>
      </c>
      <c r="K154" s="14" t="n">
        <v>0.5</v>
      </c>
      <c r="L154" s="14" t="n">
        <v>3.92997</v>
      </c>
      <c r="M154" s="17">
        <f>IF(OR(F154="",K154="",K154&lt;=0),"",F154/K154)</f>
        <v/>
      </c>
      <c r="N154" s="18" t="n">
        <v>10.032794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2026-10-16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296.7</v>
      </c>
      <c r="G155" s="15" t="inlineStr">
        <is>
          <t>USD</t>
        </is>
      </c>
      <c r="H155" s="14" t="n">
        <v>264.063001320315</v>
      </c>
      <c r="I155" s="16" t="n">
        <v>58803.01229401507</v>
      </c>
      <c r="J155" s="16" t="n">
        <v>66070.8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4.7588496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2026-10-16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74.845</v>
      </c>
      <c r="G156" s="15" t="inlineStr">
        <is>
          <t>USD</t>
        </is>
      </c>
      <c r="H156" s="14" t="n">
        <v>66.61205033306025</v>
      </c>
      <c r="I156" s="16" t="n">
        <v>111225.0805561254</v>
      </c>
      <c r="J156" s="16" t="n">
        <v>124972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-46.83667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2026-10-16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457.1</v>
      </c>
      <c r="G157" s="15" t="inlineStr">
        <is>
          <t>USD</t>
        </is>
      </c>
      <c r="H157" s="14" t="n">
        <v>406.819002034095</v>
      </c>
      <c r="I157" s="16" t="n">
        <v>258660.7012933035</v>
      </c>
      <c r="J157" s="16" t="n">
        <v>290630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-204.97758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2026-10-16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29.82</v>
      </c>
      <c r="G158" s="15" t="inlineStr">
        <is>
          <t>USD</t>
        </is>
      </c>
      <c r="H158" s="14" t="n">
        <v>26.539800132699</v>
      </c>
      <c r="I158" s="16" t="n">
        <v>19170.77809585389</v>
      </c>
      <c r="J158" s="16" t="n">
        <v>21540.2</v>
      </c>
      <c r="K158" s="14" t="n">
        <v>-1.84</v>
      </c>
      <c r="L158" s="14" t="n">
        <v>1.72134</v>
      </c>
      <c r="M158" s="17">
        <f>IF(OR(F158="",K158="",K158&lt;=0),"",F158/K158)</f>
        <v/>
      </c>
      <c r="N158" s="18" t="n">
        <v>1.3581709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2026-10-16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12.535</v>
      </c>
      <c r="G159" s="15" t="inlineStr">
        <is>
          <t>USD</t>
        </is>
      </c>
      <c r="H159" s="14" t="n">
        <v>11.15615005578075</v>
      </c>
      <c r="I159" s="16" t="n">
        <v>44486.20522243102</v>
      </c>
      <c r="J159" s="16" t="n">
        <v>49984.5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1.3993078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2026-10-16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156.405</v>
      </c>
      <c r="G160" s="15" t="inlineStr">
        <is>
          <t>USD</t>
        </is>
      </c>
      <c r="H160" s="14" t="n">
        <v>139.2004506960023</v>
      </c>
      <c r="I160" s="16" t="n">
        <v>172602.3288630117</v>
      </c>
      <c r="J160" s="16" t="n">
        <v>193935.2</v>
      </c>
      <c r="K160" s="14" t="n">
        <v>-2.65</v>
      </c>
      <c r="L160" s="14" t="n">
        <v>9.943070000000001</v>
      </c>
      <c r="M160" s="17">
        <f>IF(OR(F160="",K160="",K160&lt;=0),"",F160/K160)</f>
        <v/>
      </c>
      <c r="N160" s="18" t="n">
        <v>16.408415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2026-10-16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90.685</v>
      </c>
      <c r="G161" s="15" t="inlineStr">
        <is>
          <t>USD</t>
        </is>
      </c>
      <c r="H161" s="14" t="n">
        <v>80.70965040354825</v>
      </c>
      <c r="I161" s="16" t="n">
        <v>426639.6581331983</v>
      </c>
      <c r="J161" s="16" t="n">
        <v>479370.4</v>
      </c>
      <c r="K161" s="14" t="n">
        <v>-2.12</v>
      </c>
      <c r="L161" s="14" t="n">
        <v>2.10491</v>
      </c>
      <c r="M161" s="17">
        <f>IF(OR(F161="",K161="",K161&lt;=0),"",F161/K161)</f>
        <v/>
      </c>
      <c r="N161" s="18" t="n">
        <v>5.2240915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2026-10-16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196.9902</v>
      </c>
      <c r="G162" s="15" t="inlineStr">
        <is>
          <t>USD</t>
        </is>
      </c>
      <c r="H162" s="14" t="n">
        <v>175.3212788766064</v>
      </c>
      <c r="I162" s="16" t="n">
        <v>98364.66949182336</v>
      </c>
      <c r="J162" s="16" t="n">
        <v>110522.1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-14.859335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2026-10-16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242.67</v>
      </c>
      <c r="G163" s="15" t="inlineStr">
        <is>
          <t>USD</t>
        </is>
      </c>
      <c r="H163" s="14" t="n">
        <v>215.9763010798815</v>
      </c>
      <c r="I163" s="16" t="n">
        <v>152833.8267641691</v>
      </c>
      <c r="J163" s="16" t="n">
        <v>171723.4</v>
      </c>
      <c r="K163" s="14" t="n">
        <v>12.31</v>
      </c>
      <c r="L163" s="14" t="n">
        <v>13.76211</v>
      </c>
      <c r="M163" s="17">
        <f>IF(OR(F163="",K163="",K163&lt;=0),"",F163/K163)</f>
        <v/>
      </c>
      <c r="N163" s="18" t="n">
        <v>-167.82158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2026-10-16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1001.09</v>
      </c>
      <c r="G164" s="15" t="inlineStr">
        <is>
          <t>USD</t>
        </is>
      </c>
      <c r="H164" s="14" t="n">
        <v>890.9701044548506</v>
      </c>
      <c r="I164" s="16" t="n">
        <v>103878.4865193924</v>
      </c>
      <c r="J164" s="16" t="n">
        <v>116717.4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-27.388107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2026-10-16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213.88</v>
      </c>
      <c r="G165" s="15" t="inlineStr">
        <is>
          <t>USD</t>
        </is>
      </c>
      <c r="H165" s="14" t="n">
        <v>190.353200951766</v>
      </c>
      <c r="I165" s="16" t="n">
        <v>75995.85437997928</v>
      </c>
      <c r="J165" s="16" t="n">
        <v>85388.60000000001</v>
      </c>
      <c r="K165" s="14" t="n">
        <v>-7.98</v>
      </c>
      <c r="L165" s="14" t="n">
        <v>-4.43761</v>
      </c>
      <c r="M165" s="17">
        <f>IF(OR(F165="",K165="",K165&lt;=0),"",F165/K165)</f>
        <v/>
      </c>
      <c r="N165" s="18" t="n">
        <v>12.622013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2026-10-16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204.425</v>
      </c>
      <c r="G166" s="15" t="inlineStr">
        <is>
          <t>USD</t>
        </is>
      </c>
      <c r="H166" s="14" t="n">
        <v>181.9382509096913</v>
      </c>
      <c r="I166" s="16" t="n">
        <v>283571.3564178568</v>
      </c>
      <c r="J166" s="16" t="n">
        <v>318619.5</v>
      </c>
      <c r="K166" s="14" t="n">
        <v>6.96</v>
      </c>
      <c r="L166" s="14" t="n">
        <v>9.18905</v>
      </c>
      <c r="M166" s="17">
        <f>IF(OR(F166="",K166="",K166&lt;=0),"",F166/K166)</f>
        <v/>
      </c>
      <c r="N166" s="18" t="n">
        <v>-37.120937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2026-10-16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96.875</v>
      </c>
      <c r="G167" s="15" t="inlineStr">
        <is>
          <t>USD</t>
        </is>
      </c>
      <c r="H167" s="14" t="n">
        <v>86.21875043109375</v>
      </c>
      <c r="I167" s="16" t="n">
        <v>98289.37549144687</v>
      </c>
      <c r="J167" s="16" t="n">
        <v>110437.5</v>
      </c>
      <c r="K167" s="14" t="n">
        <v>1.73</v>
      </c>
      <c r="L167" s="14" t="n">
        <v>3.12853</v>
      </c>
      <c r="M167" s="17">
        <f>IF(OR(F167="",K167="",K167&lt;=0),"",F167/K167)</f>
        <v/>
      </c>
      <c r="N167" s="18" t="n">
        <v>-14.388089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2026-10-16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2026-10-16T17:42:59Z</dcterms:created>
  <dcterms:modified xsi:type="dcterms:W3CDTF">2026-10-16T17:43:00Z</dcterms:modified>
</cp:coreProperties>
</file>
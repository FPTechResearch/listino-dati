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I" sheetId="1" state="visible" r:id="rId1"/>
    <sheet name="LISTINO" sheetId="2" state="visible" r:id="rId2"/>
    <sheet name="SINTESI" sheetId="3" state="visible" r:id="rId3"/>
  </sheets>
  <definedNames>
    <definedName name="_xlnm._FilterDatabase" localSheetId="1" hidden="1">'LISTINO'!$A$1:$AH$233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#,##0.0000"/>
    <numFmt numFmtId="167" formatCode="#,##0.0"/>
  </numFmts>
  <fonts count="9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color rgb="000000FF"/>
      <sz val="10"/>
    </font>
    <font>
      <name val="Arial"/>
      <i val="1"/>
      <sz val="9"/>
    </font>
    <font>
      <name val="Arial"/>
      <b val="1"/>
      <color rgb="00FFFFFF"/>
      <sz val="9"/>
    </font>
    <font>
      <name val="Arial"/>
      <i val="1"/>
      <color rgb="00808080"/>
      <sz val="8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5" fillId="3" borderId="0" pivotButton="0" quotePrefix="0" xfId="0"/>
    <xf numFmtId="0" fontId="2" fillId="0" borderId="0" pivotButton="0" quotePrefix="0" xfId="0"/>
    <xf numFmtId="164" fontId="3" fillId="2" borderId="0" pivotButton="0" quotePrefix="0" xfId="0"/>
    <xf numFmtId="0" fontId="4" fillId="0" borderId="0" pivotButton="0" quotePrefix="0" xfId="0"/>
    <xf numFmtId="165" fontId="3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66" fontId="3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pivotButton="0" quotePrefix="0" xfId="0"/>
    <xf numFmtId="165" fontId="2" fillId="0" borderId="1" pivotButton="0" quotePrefix="0" xfId="0"/>
    <xf numFmtId="2" fontId="3" fillId="0" borderId="1" pivotButton="0" quotePrefix="0" xfId="0"/>
    <xf numFmtId="164" fontId="2" fillId="0" borderId="1" pivotButton="0" quotePrefix="0" xfId="0"/>
    <xf numFmtId="164" fontId="3" fillId="0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6" fillId="0" borderId="1" pivotButton="0" quotePrefix="0" xfId="0"/>
    <xf numFmtId="0" fontId="7" fillId="0" borderId="0" pivotButton="0" quotePrefix="0" xfId="0"/>
    <xf numFmtId="0" fontId="8" fillId="0" borderId="0" pivotButton="0" quotePrefix="0" xfId="0"/>
    <xf numFmtId="164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006100"/>
        <sz val="10"/>
      </font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58" customWidth="1" min="3" max="3"/>
  </cols>
  <sheetData>
    <row r="1">
      <c r="A1" s="1" t="inlineStr">
        <is>
          <t>PARAMETRI DI SCREENING</t>
        </is>
      </c>
    </row>
    <row r="3">
      <c r="A3" s="2" t="inlineStr">
        <is>
          <t>Parametro</t>
        </is>
      </c>
      <c r="B3" s="2" t="inlineStr">
        <is>
          <t>Valore</t>
        </is>
      </c>
      <c r="C3" s="2" t="inlineStr">
        <is>
          <t>A cosa serve</t>
        </is>
      </c>
    </row>
    <row r="4">
      <c r="A4" s="3" t="inlineStr">
        <is>
          <t>ROE minimo (1 anno e 5 anni)</t>
        </is>
      </c>
      <c r="B4" s="4" t="n">
        <v>0.15</v>
      </c>
      <c r="C4" s="5" t="inlineStr">
        <is>
          <t>Il titolo deve superarla su entrambi gli orizzonti</t>
        </is>
      </c>
    </row>
    <row r="5">
      <c r="A5" s="3" t="inlineStr">
        <is>
          <t>P/E massimo</t>
        </is>
      </c>
      <c r="B5" s="6" t="n">
        <v>20</v>
      </c>
      <c r="C5" s="5" t="inlineStr">
        <is>
          <t>Sopra questa soglia il titolo viene scartato</t>
        </is>
      </c>
    </row>
    <row r="6">
      <c r="A6" s="3" t="inlineStr">
        <is>
          <t>P/E soglia ottimo</t>
        </is>
      </c>
      <c r="B6" s="6" t="n">
        <v>15</v>
      </c>
      <c r="C6" s="5" t="inlineStr">
        <is>
          <t>Sotto questa soglia il giudizio si rafforza</t>
        </is>
      </c>
    </row>
    <row r="9">
      <c r="A9" s="5" t="inlineStr">
        <is>
          <t>Cambia le celle gialle: la colonna GIUDIZIO del listino si ricalcola da sola.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23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1" customWidth="1" min="3" max="3"/>
    <col width="9" customWidth="1" min="4" max="4"/>
    <col width="22" customWidth="1" min="5" max="5"/>
    <col width="12" customWidth="1" min="6" max="6"/>
    <col width="10" customWidth="1" min="7" max="7"/>
    <col width="6" customWidth="1" min="8" max="8"/>
    <col width="11" customWidth="1" min="9" max="9"/>
    <col width="10" customWidth="1" min="10" max="10"/>
    <col width="10" customWidth="1" min="11" max="11"/>
    <col width="8" customWidth="1" min="12" max="12"/>
    <col width="8" customWidth="1" min="13" max="13"/>
    <col width="10" customWidth="1" min="14" max="14"/>
    <col width="9" customWidth="1" min="15" max="15"/>
    <col width="9" customWidth="1" min="16" max="16"/>
    <col width="9" customWidth="1" min="17" max="17"/>
    <col width="6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9" customWidth="1" min="24" max="24"/>
    <col width="9" customWidth="1" min="25" max="25"/>
    <col width="10" customWidth="1" min="26" max="26"/>
    <col width="9" customWidth="1" min="27" max="27"/>
    <col width="9" customWidth="1" min="28" max="28"/>
    <col width="10" customWidth="1" min="29" max="29"/>
    <col width="10" customWidth="1" min="30" max="30"/>
    <col width="14" customWidth="1" min="31" max="31"/>
    <col width="12" customWidth="1" min="32" max="32"/>
    <col width="8" customWidth="1" min="33" max="33"/>
    <col width="44" customWidth="1" min="34" max="34"/>
  </cols>
  <sheetData>
    <row r="1" ht="30" customHeight="1">
      <c r="A1" s="7" t="inlineStr">
        <is>
          <t>N.</t>
        </is>
      </c>
      <c r="B1" s="7" t="inlineStr">
        <is>
          <t>TITOLO</t>
        </is>
      </c>
      <c r="C1" s="7" t="inlineStr">
        <is>
          <t>TICKER</t>
        </is>
      </c>
      <c r="D1" s="7" t="inlineStr">
        <is>
          <t>MERCATO</t>
        </is>
      </c>
      <c r="E1" s="7" t="inlineStr">
        <is>
          <t>SETTORE</t>
        </is>
      </c>
      <c r="F1" s="7" t="inlineStr">
        <is>
          <t>CLASSE</t>
        </is>
      </c>
      <c r="G1" s="7" t="inlineStr">
        <is>
          <t>PREZZO</t>
        </is>
      </c>
      <c r="H1" s="7" t="inlineStr">
        <is>
          <t>VAL.</t>
        </is>
      </c>
      <c r="I1" s="7" t="inlineStr">
        <is>
          <t>CAP. MLN</t>
        </is>
      </c>
      <c r="J1" s="7" t="inlineStr">
        <is>
          <t>EPS TTM</t>
        </is>
      </c>
      <c r="K1" s="7" t="inlineStr">
        <is>
          <t>EPS 2026E</t>
        </is>
      </c>
      <c r="L1" s="7" t="inlineStr">
        <is>
          <t>P/E</t>
        </is>
      </c>
      <c r="M1" s="7" t="inlineStr">
        <is>
          <t>P/B</t>
        </is>
      </c>
      <c r="N1" s="7" t="inlineStr">
        <is>
          <t>ROE IMPL.</t>
        </is>
      </c>
      <c r="O1" s="7" t="inlineStr">
        <is>
          <t>ROE 1a</t>
        </is>
      </c>
      <c r="P1" s="7" t="inlineStr">
        <is>
          <t>ROE 5a</t>
        </is>
      </c>
      <c r="Q1" s="7" t="inlineStr">
        <is>
          <t>VARIAB.
ROE</t>
        </is>
      </c>
      <c r="R1" s="7" t="inlineStr">
        <is>
          <t>ANNI</t>
        </is>
      </c>
      <c r="S1" s="7" t="inlineStr">
        <is>
          <t>2026</t>
        </is>
      </c>
      <c r="T1" s="7" t="inlineStr">
        <is>
          <t>2025</t>
        </is>
      </c>
      <c r="U1" s="7" t="inlineStr">
        <is>
          <t>2024</t>
        </is>
      </c>
      <c r="V1" s="7" t="inlineStr">
        <is>
          <t>2023</t>
        </is>
      </c>
      <c r="W1" s="7" t="inlineStr">
        <is>
          <t>2022</t>
        </is>
      </c>
      <c r="X1" s="7" t="inlineStr">
        <is>
          <t>DIVID.</t>
        </is>
      </c>
      <c r="Y1" s="7" t="inlineStr">
        <is>
          <t>RENDIM.</t>
        </is>
      </c>
      <c r="Z1" s="7" t="inlineStr">
        <is>
          <t>DEBITO/MP</t>
        </is>
      </c>
      <c r="AA1" s="7" t="inlineStr">
        <is>
          <t>CRESC.
RICAVI</t>
        </is>
      </c>
      <c r="AB1" s="7" t="inlineStr">
        <is>
          <t>MARGINE</t>
        </is>
      </c>
      <c r="AC1" s="7" t="inlineStr">
        <is>
          <t>ESITO ROE</t>
        </is>
      </c>
      <c r="AD1" s="7" t="inlineStr">
        <is>
          <t>ESITO P/E</t>
        </is>
      </c>
      <c r="AE1" s="7" t="inlineStr">
        <is>
          <t>GIUDIZIO</t>
        </is>
      </c>
      <c r="AF1" s="7" t="inlineStr">
        <is>
          <t>RILEVATO</t>
        </is>
      </c>
      <c r="AG1" s="7" t="inlineStr">
        <is>
          <t>FONTE</t>
        </is>
      </c>
      <c r="AH1" s="7" t="inlineStr">
        <is>
          <t>NOTE</t>
        </is>
      </c>
    </row>
    <row r="2">
      <c r="A2" s="8" t="n">
        <v>1</v>
      </c>
      <c r="B2" s="8" t="inlineStr">
        <is>
          <t>3M</t>
        </is>
      </c>
      <c r="C2" s="8" t="inlineStr">
        <is>
          <t>MMM</t>
        </is>
      </c>
      <c r="D2" s="9" t="inlineStr">
        <is>
          <t>USA</t>
        </is>
      </c>
      <c r="E2" s="8" t="inlineStr">
        <is>
          <t>Conglomerata industriale</t>
        </is>
      </c>
      <c r="F2" s="9" t="inlineStr">
        <is>
          <t>Industriale</t>
        </is>
      </c>
      <c r="G2" s="10" t="n">
        <v>177.23</v>
      </c>
      <c r="H2" s="11" t="inlineStr">
        <is>
          <t>USD</t>
        </is>
      </c>
      <c r="I2" s="12" t="n">
        <v>91401.5</v>
      </c>
      <c r="J2" s="10" t="n">
        <v>5.62</v>
      </c>
      <c r="K2" s="10" t="n">
        <v>9.69641</v>
      </c>
      <c r="L2" s="13">
        <f>IF(OR(G2="",J2="",J2&lt;=0),"",G2/J2)</f>
        <v/>
      </c>
      <c r="M2" s="14" t="n">
        <v>28.329603</v>
      </c>
      <c r="N2" s="15">
        <f>IF(OR(M2="",L2="",L2&lt;=0),"",M2/L2)</f>
        <v/>
      </c>
      <c r="O2" s="16" t="n">
        <v>0.81891996</v>
      </c>
      <c r="P2" s="16" t="n">
        <v>0.1786461650131368</v>
      </c>
      <c r="Q2" s="16" t="n">
        <v>0.9748490004280096</v>
      </c>
      <c r="R2" s="17" t="n">
        <v>4</v>
      </c>
      <c r="S2" s="16" t="n"/>
      <c r="T2" s="16" t="n">
        <v>0.6911952360697575</v>
      </c>
      <c r="U2" s="16" t="n">
        <v>1.086153045288912</v>
      </c>
      <c r="V2" s="16" t="n">
        <v>-1.455169544414396</v>
      </c>
      <c r="W2" s="16" t="n">
        <v>0.3924059231082733</v>
      </c>
      <c r="X2" s="10" t="n">
        <v>3.12</v>
      </c>
      <c r="Y2" s="15">
        <f>IF(OR(X2="",G2="",G2=0),"",X2/G2)</f>
        <v/>
      </c>
      <c r="Z2" s="18" t="n">
        <v>437.937</v>
      </c>
      <c r="AA2" s="16" t="n">
        <v>0.025</v>
      </c>
      <c r="AB2" s="16" t="n">
        <v>0.1201298675645342</v>
      </c>
      <c r="AC2" s="9">
        <f>IF(AND(O2="",P2=""),"DATI MANCANTI",IF(AND(N(O2)&gt;=PARAMETRI!$B$4,N(P2)&gt;=PARAMETRI!$B$4),"OK","NO"))</f>
        <v/>
      </c>
      <c r="AD2" s="9">
        <f>IF(L2="","N/D",IF(L2&lt;PARAMETRI!$B$6,"OTTIMO",IF(L2&lt;PARAMETRI!$B$5,"OK","NO")))</f>
        <v/>
      </c>
      <c r="AE2" s="9">
        <f>IF(OR(AC2="DATI MANCANTI",AD2="N/D"),"DA COMPLETARE",IF(AND(AC2="OK",AD2="OTTIMO"),"PASSA FORTE",IF(AND(AC2="OK",AD2="OK"),"PASSA","SCARTA")))</f>
        <v/>
      </c>
      <c r="AF2" s="8" t="inlineStr">
        <is>
          <t>2026-08-04</t>
        </is>
      </c>
      <c r="AG2" s="8" t="inlineStr">
        <is>
          <t>yahoo</t>
        </is>
      </c>
      <c r="AH2" s="19" t="inlineStr"/>
    </row>
    <row r="3">
      <c r="A3" s="8" t="n">
        <v>2</v>
      </c>
      <c r="B3" s="8" t="inlineStr">
        <is>
          <t>A2A</t>
        </is>
      </c>
      <c r="C3" s="8" t="inlineStr">
        <is>
          <t>A2A.MI</t>
        </is>
      </c>
      <c r="D3" s="9" t="inlineStr">
        <is>
          <t>Italia</t>
        </is>
      </c>
      <c r="E3" s="8" t="inlineStr">
        <is>
          <t>Utility</t>
        </is>
      </c>
      <c r="F3" s="9" t="inlineStr">
        <is>
          <t>Utility</t>
        </is>
      </c>
      <c r="G3" s="10" t="n">
        <v>2.331</v>
      </c>
      <c r="H3" s="11" t="inlineStr">
        <is>
          <t>EUR</t>
        </is>
      </c>
      <c r="I3" s="12" t="n">
        <v>7292.4</v>
      </c>
      <c r="J3" s="10" t="n">
        <v>0.22</v>
      </c>
      <c r="K3" s="10" t="n">
        <v>0.21079</v>
      </c>
      <c r="L3" s="13">
        <f>IF(OR(G3="",J3="",J3&lt;=0),"",G3/J3)</f>
        <v/>
      </c>
      <c r="M3" s="14" t="n">
        <v>1.4093108</v>
      </c>
      <c r="N3" s="15">
        <f>IF(OR(M3="",L3="",L3&lt;=0),"",M3/L3)</f>
        <v/>
      </c>
      <c r="O3" s="16" t="n">
        <v>0.11337</v>
      </c>
      <c r="P3" s="16" t="n">
        <v>0.1352876506101037</v>
      </c>
      <c r="Q3" s="16" t="n">
        <v>0.02216391989798138</v>
      </c>
      <c r="R3" s="17" t="n">
        <v>4</v>
      </c>
      <c r="S3" s="16" t="n"/>
      <c r="T3" s="16" t="n">
        <v>0.1267534223424032</v>
      </c>
      <c r="U3" s="16" t="n">
        <v>0.1561257679797615</v>
      </c>
      <c r="V3" s="16" t="n">
        <v>0.1554245283018868</v>
      </c>
      <c r="W3" s="16" t="n">
        <v>0.1028468838163632</v>
      </c>
      <c r="X3" s="10" t="n">
        <v>0.1</v>
      </c>
      <c r="Y3" s="15">
        <f>IF(OR(X3="",G3="",G3=0),"",X3/G3)</f>
        <v/>
      </c>
      <c r="Z3" s="18" t="n">
        <v>113.764</v>
      </c>
      <c r="AA3" s="16" t="n">
        <v>0.373</v>
      </c>
      <c r="AB3" s="16" t="n">
        <v>0.05000363927505641</v>
      </c>
      <c r="AC3" s="9">
        <f>IF(AND(O3="",P3=""),"DATI MANCANTI",IF(AND(N(O3)&gt;=PARAMETRI!$B$4,N(P3)&gt;=PARAMETRI!$B$4),"OK","NO"))</f>
        <v/>
      </c>
      <c r="AD3" s="9">
        <f>IF(L3="","N/D",IF(L3&lt;PARAMETRI!$B$6,"OTTIMO",IF(L3&lt;PARAMETRI!$B$5,"OK","NO")))</f>
        <v/>
      </c>
      <c r="AE3" s="9">
        <f>IF(OR(AC3="DATI MANCANTI",AD3="N/D"),"DA COMPLETARE",IF(AND(AC3="OK",AD3="OTTIMO"),"PASSA FORTE",IF(AND(AC3="OK",AD3="OK"),"PASSA","SCARTA")))</f>
        <v/>
      </c>
      <c r="AF3" s="8" t="inlineStr">
        <is>
          <t>2026-08-04</t>
        </is>
      </c>
      <c r="AG3" s="8" t="inlineStr">
        <is>
          <t>yahoo</t>
        </is>
      </c>
      <c r="AH3" s="19" t="inlineStr"/>
    </row>
    <row r="4">
      <c r="A4" s="8" t="n">
        <v>3</v>
      </c>
      <c r="B4" s="8" t="inlineStr">
        <is>
          <t>AbbVie</t>
        </is>
      </c>
      <c r="C4" s="8" t="inlineStr">
        <is>
          <t>ABBV</t>
        </is>
      </c>
      <c r="D4" s="9" t="inlineStr">
        <is>
          <t>USA</t>
        </is>
      </c>
      <c r="E4" s="8" t="inlineStr">
        <is>
          <t>Farmaceutica</t>
        </is>
      </c>
      <c r="F4" s="9" t="inlineStr">
        <is>
          <t>Salute</t>
        </is>
      </c>
      <c r="G4" s="10" t="n">
        <v>245.1</v>
      </c>
      <c r="H4" s="11" t="inlineStr">
        <is>
          <t>USD</t>
        </is>
      </c>
      <c r="I4" s="12" t="n">
        <v>433120.5</v>
      </c>
      <c r="J4" s="10" t="n">
        <v>3.54</v>
      </c>
      <c r="K4" s="10" t="n">
        <v>16.334</v>
      </c>
      <c r="L4" s="13">
        <f>IF(OR(G4="",J4="",J4&lt;=0),"",G4/J4)</f>
        <v/>
      </c>
      <c r="M4" s="14" t="n">
        <v>-65.06504</v>
      </c>
      <c r="N4" s="15">
        <f>IF(OR(M4="",L4="",L4&lt;=0),"",M4/L4)</f>
        <v/>
      </c>
      <c r="O4" s="16" t="n">
        <v>1.286616541353383</v>
      </c>
      <c r="P4" s="16" t="n">
        <v>0.8140013147022048</v>
      </c>
      <c r="Q4" s="16" t="n">
        <v>0.3456887382306248</v>
      </c>
      <c r="R4" s="17" t="n">
        <v>3</v>
      </c>
      <c r="S4" s="16" t="n"/>
      <c r="T4" s="16" t="n"/>
      <c r="U4" s="16" t="n">
        <v>1.286616541353383</v>
      </c>
      <c r="V4" s="16" t="n">
        <v>0.4694015444015444</v>
      </c>
      <c r="W4" s="16" t="n">
        <v>0.6859858583516866</v>
      </c>
      <c r="X4" s="10" t="n">
        <v>6.92</v>
      </c>
      <c r="Y4" s="15">
        <f>IF(OR(X4="",G4="",G4=0),"",X4/G4)</f>
        <v/>
      </c>
      <c r="Z4" s="18" t="n"/>
      <c r="AA4" s="16" t="n">
        <v>0.102</v>
      </c>
      <c r="AB4" s="16" t="n">
        <v>0.1025179877043819</v>
      </c>
      <c r="AC4" s="9">
        <f>IF(AND(O4="",P4=""),"DATI MANCANTI",IF(AND(N(O4)&gt;=PARAMETRI!$B$4,N(P4)&gt;=PARAMETRI!$B$4),"OK","NO"))</f>
        <v/>
      </c>
      <c r="AD4" s="9">
        <f>IF(L4="","N/D",IF(L4&lt;PARAMETRI!$B$6,"OTTIMO",IF(L4&lt;PARAMETRI!$B$5,"OK","NO")))</f>
        <v/>
      </c>
      <c r="AE4" s="9">
        <f>IF(OR(AC4="DATI MANCANTI",AD4="N/D"),"DA COMPLETARE",IF(AND(AC4="OK",AD4="OTTIMO"),"PASSA FORTE",IF(AND(AC4="OK",AD4="OK"),"PASSA","SCARTA")))</f>
        <v/>
      </c>
      <c r="AF4" s="8" t="inlineStr">
        <is>
          <t>2026-08-04</t>
        </is>
      </c>
      <c r="AG4" s="8" t="inlineStr">
        <is>
          <t>yahoo</t>
        </is>
      </c>
      <c r="AH4" s="19" t="inlineStr"/>
    </row>
    <row r="5">
      <c r="A5" s="8" t="n">
        <v>4</v>
      </c>
      <c r="B5" s="8" t="inlineStr">
        <is>
          <t>Abbott Laboratories</t>
        </is>
      </c>
      <c r="C5" s="8" t="inlineStr">
        <is>
          <t>ABT</t>
        </is>
      </c>
      <c r="D5" s="9" t="inlineStr">
        <is>
          <t>USA</t>
        </is>
      </c>
      <c r="E5" s="8" t="inlineStr">
        <is>
          <t>Dispositivi medicali</t>
        </is>
      </c>
      <c r="F5" s="9" t="inlineStr">
        <is>
          <t>Salute</t>
        </is>
      </c>
      <c r="G5" s="10" t="n">
        <v>107.12</v>
      </c>
      <c r="H5" s="11" t="inlineStr">
        <is>
          <t>USD</t>
        </is>
      </c>
      <c r="I5" s="12" t="n">
        <v>186583</v>
      </c>
      <c r="J5" s="10" t="n">
        <v>3.09</v>
      </c>
      <c r="K5" s="10" t="n">
        <v>6.06253</v>
      </c>
      <c r="L5" s="13">
        <f>IF(OR(G5="",J5="",J5&lt;=0),"",G5/J5)</f>
        <v/>
      </c>
      <c r="M5" s="14" t="n">
        <v>3.6266377</v>
      </c>
      <c r="N5" s="15">
        <f>IF(OR(M5="",L5="",L5&lt;=0),"",M5/L5)</f>
        <v/>
      </c>
      <c r="O5" s="16" t="n">
        <v>0.10576</v>
      </c>
      <c r="P5" s="16" t="n">
        <v>0.1858900339052967</v>
      </c>
      <c r="Q5" s="16" t="n">
        <v>0.05957173353356353</v>
      </c>
      <c r="R5" s="17" t="n">
        <v>4</v>
      </c>
      <c r="S5" s="16" t="n"/>
      <c r="T5" s="16" t="n">
        <v>0.1251486667945521</v>
      </c>
      <c r="U5" s="16" t="n">
        <v>0.2811765693185633</v>
      </c>
      <c r="V5" s="16" t="n">
        <v>0.1482527264720359</v>
      </c>
      <c r="W5" s="16" t="n">
        <v>0.1889821730360355</v>
      </c>
      <c r="X5" s="10" t="n">
        <v>2.52</v>
      </c>
      <c r="Y5" s="15">
        <f>IF(OR(X5="",G5="",G5=0),"",X5/G5)</f>
        <v/>
      </c>
      <c r="Z5" s="18" t="n">
        <v>63.212</v>
      </c>
      <c r="AA5" s="16" t="n">
        <v>0.13</v>
      </c>
      <c r="AB5" s="16" t="n">
        <v>0.1218417238765566</v>
      </c>
      <c r="AC5" s="9">
        <f>IF(AND(O5="",P5=""),"DATI MANCANTI",IF(AND(N(O5)&gt;=PARAMETRI!$B$4,N(P5)&gt;=PARAMETRI!$B$4),"OK","NO"))</f>
        <v/>
      </c>
      <c r="AD5" s="9">
        <f>IF(L5="","N/D",IF(L5&lt;PARAMETRI!$B$6,"OTTIMO",IF(L5&lt;PARAMETRI!$B$5,"OK","NO")))</f>
        <v/>
      </c>
      <c r="AE5" s="9">
        <f>IF(OR(AC5="DATI MANCANTI",AD5="N/D"),"DA COMPLETARE",IF(AND(AC5="OK",AD5="OTTIMO"),"PASSA FORTE",IF(AND(AC5="OK",AD5="OK"),"PASSA","SCARTA")))</f>
        <v/>
      </c>
      <c r="AF5" s="8" t="inlineStr">
        <is>
          <t>2026-08-04</t>
        </is>
      </c>
      <c r="AG5" s="8" t="inlineStr">
        <is>
          <t>yahoo</t>
        </is>
      </c>
      <c r="AH5" s="19" t="inlineStr"/>
    </row>
    <row r="6">
      <c r="A6" s="8" t="n">
        <v>5</v>
      </c>
      <c r="B6" s="8" t="inlineStr">
        <is>
          <t>Accenture</t>
        </is>
      </c>
      <c r="C6" s="8" t="inlineStr">
        <is>
          <t>ACN</t>
        </is>
      </c>
      <c r="D6" s="9" t="inlineStr">
        <is>
          <t>USA</t>
        </is>
      </c>
      <c r="E6" s="8" t="inlineStr">
        <is>
          <t>Consulenza IT</t>
        </is>
      </c>
      <c r="F6" s="9" t="inlineStr">
        <is>
          <t>Tecnologia</t>
        </is>
      </c>
      <c r="G6" s="10" t="n">
        <v>165.76</v>
      </c>
      <c r="H6" s="11" t="inlineStr">
        <is>
          <t>USD</t>
        </is>
      </c>
      <c r="I6" s="12" t="n">
        <v>101435.5</v>
      </c>
      <c r="J6" s="10" t="n">
        <v>12.53</v>
      </c>
      <c r="K6" s="10" t="n">
        <v>14.68338</v>
      </c>
      <c r="L6" s="13">
        <f>IF(OR(G6="",J6="",J6&lt;=0),"",G6/J6)</f>
        <v/>
      </c>
      <c r="M6" s="14" t="n">
        <v>3.180292</v>
      </c>
      <c r="N6" s="15">
        <f>IF(OR(M6="",L6="",L6&lt;=0),"",M6/L6)</f>
        <v/>
      </c>
      <c r="O6" s="16" t="n">
        <v>0.24406</v>
      </c>
      <c r="P6" s="16" t="n">
        <v>0.2703743517719677</v>
      </c>
      <c r="Q6" s="16" t="n">
        <v>0.02468970483462087</v>
      </c>
      <c r="R6" s="17" t="n">
        <v>4</v>
      </c>
      <c r="S6" s="16" t="n"/>
      <c r="T6" s="16" t="n">
        <v>0.2461395487020766</v>
      </c>
      <c r="U6" s="16" t="n">
        <v>0.2568092866657528</v>
      </c>
      <c r="V6" s="16" t="n">
        <v>0.2674502806015326</v>
      </c>
      <c r="W6" s="16" t="n">
        <v>0.3110982911185091</v>
      </c>
      <c r="X6" s="10" t="n">
        <v>6.52</v>
      </c>
      <c r="Y6" s="15">
        <f>IF(OR(X6="",G6="",G6=0),"",X6/G6)</f>
        <v/>
      </c>
      <c r="Z6" s="18" t="n">
        <v>25.035</v>
      </c>
      <c r="AA6" s="16" t="n">
        <v>0.056</v>
      </c>
      <c r="AB6" s="16" t="n">
        <v>0.1118044921203812</v>
      </c>
      <c r="AC6" s="9">
        <f>IF(AND(O6="",P6=""),"DATI MANCANTI",IF(AND(N(O6)&gt;=PARAMETRI!$B$4,N(P6)&gt;=PARAMETRI!$B$4),"OK","NO"))</f>
        <v/>
      </c>
      <c r="AD6" s="9">
        <f>IF(L6="","N/D",IF(L6&lt;PARAMETRI!$B$6,"OTTIMO",IF(L6&lt;PARAMETRI!$B$5,"OK","NO")))</f>
        <v/>
      </c>
      <c r="AE6" s="9">
        <f>IF(OR(AC6="DATI MANCANTI",AD6="N/D"),"DA COMPLETARE",IF(AND(AC6="OK",AD6="OTTIMO"),"PASSA FORTE",IF(AND(AC6="OK",AD6="OK"),"PASSA","SCARTA")))</f>
        <v/>
      </c>
      <c r="AF6" s="8" t="inlineStr">
        <is>
          <t>2026-08-04</t>
        </is>
      </c>
      <c r="AG6" s="8" t="inlineStr">
        <is>
          <t>yahoo</t>
        </is>
      </c>
      <c r="AH6" s="19" t="inlineStr"/>
    </row>
    <row r="7">
      <c r="A7" s="8" t="n">
        <v>6</v>
      </c>
      <c r="B7" s="8" t="inlineStr">
        <is>
          <t>Acea</t>
        </is>
      </c>
      <c r="C7" s="8" t="inlineStr">
        <is>
          <t>ACE.MI</t>
        </is>
      </c>
      <c r="D7" s="9" t="inlineStr">
        <is>
          <t>Italia</t>
        </is>
      </c>
      <c r="E7" s="8" t="inlineStr">
        <is>
          <t>Utility</t>
        </is>
      </c>
      <c r="F7" s="9" t="inlineStr">
        <is>
          <t>Utility</t>
        </is>
      </c>
      <c r="G7" s="10" t="n">
        <v>21.36</v>
      </c>
      <c r="H7" s="11" t="inlineStr">
        <is>
          <t>EUR</t>
        </is>
      </c>
      <c r="I7" s="12" t="n">
        <v>4540</v>
      </c>
      <c r="J7" s="10" t="n">
        <v>2.93</v>
      </c>
      <c r="K7" s="10" t="n">
        <v>1.58913</v>
      </c>
      <c r="L7" s="13">
        <f>IF(OR(G7="",J7="",J7&lt;=0),"",G7/J7)</f>
        <v/>
      </c>
      <c r="M7" s="14" t="n">
        <v>1.6326531</v>
      </c>
      <c r="N7" s="15">
        <f>IF(OR(M7="",L7="",L7&lt;=0),"",M7/L7)</f>
        <v/>
      </c>
      <c r="O7" s="16" t="n">
        <v>0.20725</v>
      </c>
      <c r="P7" s="16" t="n">
        <v>0.1377274020186562</v>
      </c>
      <c r="Q7" s="16" t="n">
        <v>0.02063562538189108</v>
      </c>
      <c r="R7" s="17" t="n">
        <v>4</v>
      </c>
      <c r="S7" s="16" t="n"/>
      <c r="T7" s="16" t="n">
        <v>0.172816869044327</v>
      </c>
      <c r="U7" s="16" t="n">
        <v>0.1323776847677043</v>
      </c>
      <c r="V7" s="16" t="n">
        <v>0.1236319980683815</v>
      </c>
      <c r="W7" s="16" t="n">
        <v>0.1220830561942121</v>
      </c>
      <c r="X7" s="10" t="n">
        <v>0.95</v>
      </c>
      <c r="Y7" s="15">
        <f>IF(OR(X7="",G7="",G7=0),"",X7/G7)</f>
        <v/>
      </c>
      <c r="Z7" s="18" t="n">
        <v>169.549</v>
      </c>
      <c r="AA7" s="16" t="n"/>
      <c r="AB7" s="16" t="n">
        <v>0.2261544738465162</v>
      </c>
      <c r="AC7" s="9">
        <f>IF(AND(O7="",P7=""),"DATI MANCANTI",IF(AND(N(O7)&gt;=PARAMETRI!$B$4,N(P7)&gt;=PARAMETRI!$B$4),"OK","NO"))</f>
        <v/>
      </c>
      <c r="AD7" s="9">
        <f>IF(L7="","N/D",IF(L7&lt;PARAMETRI!$B$6,"OTTIMO",IF(L7&lt;PARAMETRI!$B$5,"OK","NO")))</f>
        <v/>
      </c>
      <c r="AE7" s="9">
        <f>IF(OR(AC7="DATI MANCANTI",AD7="N/D"),"DA COMPLETARE",IF(AND(AC7="OK",AD7="OTTIMO"),"PASSA FORTE",IF(AND(AC7="OK",AD7="OK"),"PASSA","SCARTA")))</f>
        <v/>
      </c>
      <c r="AF7" s="8" t="inlineStr">
        <is>
          <t>2026-08-04</t>
        </is>
      </c>
      <c r="AG7" s="8" t="inlineStr">
        <is>
          <t>yahoo</t>
        </is>
      </c>
      <c r="AH7" s="19" t="inlineStr"/>
    </row>
    <row r="8">
      <c r="A8" s="8" t="n">
        <v>7</v>
      </c>
      <c r="B8" s="8" t="inlineStr">
        <is>
          <t>Adobe</t>
        </is>
      </c>
      <c r="C8" s="8" t="inlineStr">
        <is>
          <t>ADBE</t>
        </is>
      </c>
      <c r="D8" s="9" t="inlineStr">
        <is>
          <t>USA</t>
        </is>
      </c>
      <c r="E8" s="8" t="inlineStr">
        <is>
          <t>Software</t>
        </is>
      </c>
      <c r="F8" s="9" t="inlineStr">
        <is>
          <t>Tecnologia</t>
        </is>
      </c>
      <c r="G8" s="10" t="n">
        <v>251.34</v>
      </c>
      <c r="H8" s="11" t="inlineStr">
        <is>
          <t>USD</t>
        </is>
      </c>
      <c r="I8" s="12" t="n">
        <v>99907.60000000001</v>
      </c>
      <c r="J8" s="10" t="n">
        <v>17.48</v>
      </c>
      <c r="K8" s="10" t="n">
        <v>27.48687</v>
      </c>
      <c r="L8" s="13">
        <f>IF(OR(G8="",J8="",J8&lt;=0),"",G8/J8)</f>
        <v/>
      </c>
      <c r="M8" s="14" t="n">
        <v>8.706827000000001</v>
      </c>
      <c r="N8" s="15">
        <f>IF(OR(M8="",L8="",L8&lt;=0),"",M8/L8)</f>
        <v/>
      </c>
      <c r="O8" s="16" t="n">
        <v>0.6295399699999999</v>
      </c>
      <c r="P8" s="16" t="n">
        <v>0.4186794472009294</v>
      </c>
      <c r="Q8" s="16" t="n">
        <v>0.1151902535453331</v>
      </c>
      <c r="R8" s="17" t="n">
        <v>4</v>
      </c>
      <c r="S8" s="16" t="n"/>
      <c r="T8" s="16" t="n">
        <v>0.6134388712036479</v>
      </c>
      <c r="U8" s="16" t="n">
        <v>0.3941864587025877</v>
      </c>
      <c r="V8" s="16" t="n">
        <v>0.3286112120111394</v>
      </c>
      <c r="W8" s="16" t="n">
        <v>0.3384812468863426</v>
      </c>
      <c r="X8" s="10" t="n"/>
      <c r="Y8" s="15">
        <f>IF(OR(X8="",G8="",G8=0),"",X8/G8)</f>
        <v/>
      </c>
      <c r="Z8" s="18" t="n">
        <v>61.443</v>
      </c>
      <c r="AA8" s="16" t="n">
        <v>0.127</v>
      </c>
      <c r="AB8" s="16" t="n">
        <v>0.3041356469350835</v>
      </c>
      <c r="AC8" s="9">
        <f>IF(AND(O8="",P8=""),"DATI MANCANTI",IF(AND(N(O8)&gt;=PARAMETRI!$B$4,N(P8)&gt;=PARAMETRI!$B$4),"OK","NO"))</f>
        <v/>
      </c>
      <c r="AD8" s="9">
        <f>IF(L8="","N/D",IF(L8&lt;PARAMETRI!$B$6,"OTTIMO",IF(L8&lt;PARAMETRI!$B$5,"OK","NO")))</f>
        <v/>
      </c>
      <c r="AE8" s="9">
        <f>IF(OR(AC8="DATI MANCANTI",AD8="N/D"),"DA COMPLETARE",IF(AND(AC8="OK",AD8="OTTIMO"),"PASSA FORTE",IF(AND(AC8="OK",AD8="OK"),"PASSA","SCARTA")))</f>
        <v/>
      </c>
      <c r="AF8" s="8" t="inlineStr">
        <is>
          <t>2026-08-04</t>
        </is>
      </c>
      <c r="AG8" s="8" t="inlineStr">
        <is>
          <t>yahoo</t>
        </is>
      </c>
      <c r="AH8" s="19" t="inlineStr"/>
    </row>
    <row r="9">
      <c r="A9" s="8" t="n">
        <v>8</v>
      </c>
      <c r="B9" s="8" t="inlineStr">
        <is>
          <t>Advanced Micro Devices</t>
        </is>
      </c>
      <c r="C9" s="8" t="inlineStr">
        <is>
          <t>AMD</t>
        </is>
      </c>
      <c r="D9" s="9" t="inlineStr">
        <is>
          <t>USA</t>
        </is>
      </c>
      <c r="E9" s="8" t="inlineStr">
        <is>
          <t>Semiconduttori</t>
        </is>
      </c>
      <c r="F9" s="9" t="inlineStr">
        <is>
          <t>Tecnologia</t>
        </is>
      </c>
      <c r="G9" s="10" t="n">
        <v>484.64</v>
      </c>
      <c r="H9" s="11" t="inlineStr">
        <is>
          <t>USD</t>
        </is>
      </c>
      <c r="I9" s="12" t="n">
        <v>790254.3</v>
      </c>
      <c r="J9" s="10" t="n">
        <v>3</v>
      </c>
      <c r="K9" s="10" t="n">
        <v>13.91754</v>
      </c>
      <c r="L9" s="13">
        <f>IF(OR(G9="",J9="",J9&lt;=0),"",G9/J9)</f>
        <v/>
      </c>
      <c r="M9" s="14" t="n">
        <v>12.254786</v>
      </c>
      <c r="N9" s="15">
        <f>IF(OR(M9="",L9="",L9&lt;=0),"",M9/L9)</f>
        <v/>
      </c>
      <c r="O9" s="16" t="n">
        <v>0.08062999999999999</v>
      </c>
      <c r="P9" s="16" t="n">
        <v>0.03417627307619231</v>
      </c>
      <c r="Q9" s="16" t="n">
        <v>0.02055555689875465</v>
      </c>
      <c r="R9" s="17" t="n">
        <v>4</v>
      </c>
      <c r="S9" s="16" t="n"/>
      <c r="T9" s="16" t="n">
        <v>0.06881061604152447</v>
      </c>
      <c r="U9" s="16" t="n">
        <v>0.02850541967759867</v>
      </c>
      <c r="V9" s="16" t="n">
        <v>0.0152794675445502</v>
      </c>
      <c r="W9" s="16" t="n">
        <v>0.02410958904109589</v>
      </c>
      <c r="X9" s="10" t="n"/>
      <c r="Y9" s="15">
        <f>IF(OR(X9="",G9="",G9=0),"",X9/G9)</f>
        <v/>
      </c>
      <c r="Z9" s="18" t="n">
        <v>6.005</v>
      </c>
      <c r="AA9" s="16" t="n">
        <v>0.378</v>
      </c>
      <c r="AB9" s="16" t="n">
        <v>0.1423828558561159</v>
      </c>
      <c r="AC9" s="9">
        <f>IF(AND(O9="",P9=""),"DATI MANCANTI",IF(AND(N(O9)&gt;=PARAMETRI!$B$4,N(P9)&gt;=PARAMETRI!$B$4),"OK","NO"))</f>
        <v/>
      </c>
      <c r="AD9" s="9">
        <f>IF(L9="","N/D",IF(L9&lt;PARAMETRI!$B$6,"OTTIMO",IF(L9&lt;PARAMETRI!$B$5,"OK","NO")))</f>
        <v/>
      </c>
      <c r="AE9" s="9">
        <f>IF(OR(AC9="DATI MANCANTI",AD9="N/D"),"DA COMPLETARE",IF(AND(AC9="OK",AD9="OTTIMO"),"PASSA FORTE",IF(AND(AC9="OK",AD9="OK"),"PASSA","SCARTA")))</f>
        <v/>
      </c>
      <c r="AF9" s="8" t="inlineStr">
        <is>
          <t>2026-08-04</t>
        </is>
      </c>
      <c r="AG9" s="8" t="inlineStr">
        <is>
          <t>yahoo</t>
        </is>
      </c>
      <c r="AH9" s="19" t="inlineStr"/>
    </row>
    <row r="10">
      <c r="A10" s="8" t="n">
        <v>9</v>
      </c>
      <c r="B10" s="8" t="inlineStr">
        <is>
          <t>Air Products</t>
        </is>
      </c>
      <c r="C10" s="8" t="inlineStr">
        <is>
          <t>APD</t>
        </is>
      </c>
      <c r="D10" s="9" t="inlineStr">
        <is>
          <t>USA</t>
        </is>
      </c>
      <c r="E10" s="8" t="inlineStr">
        <is>
          <t>Gas industriali</t>
        </is>
      </c>
      <c r="F10" s="9" t="inlineStr">
        <is>
          <t>Materiali</t>
        </is>
      </c>
      <c r="G10" s="10" t="n">
        <v>292.94</v>
      </c>
      <c r="H10" s="11" t="inlineStr">
        <is>
          <t>USD</t>
        </is>
      </c>
      <c r="I10" s="12" t="n">
        <v>65233.5</v>
      </c>
      <c r="J10" s="10" t="n">
        <v>-0.21</v>
      </c>
      <c r="K10" s="10" t="n">
        <v>14.44291</v>
      </c>
      <c r="L10" s="13">
        <f>IF(OR(G10="",J10="",J10&lt;=0),"",G10/J10)</f>
        <v/>
      </c>
      <c r="M10" s="14" t="n">
        <v>4.3397875</v>
      </c>
      <c r="N10" s="15">
        <f>IF(OR(M10="",L10="",L10&lt;=0),"",M10/L10)</f>
        <v/>
      </c>
      <c r="O10" s="16" t="n">
        <v>0.00023</v>
      </c>
      <c r="P10" s="16" t="n">
        <v>0.1327005984334797</v>
      </c>
      <c r="Q10" s="16" t="n">
        <v>0.0949122813335927</v>
      </c>
      <c r="R10" s="17" t="n">
        <v>4</v>
      </c>
      <c r="S10" s="16" t="n"/>
      <c r="T10" s="16" t="n">
        <v>-0.02625641435217539</v>
      </c>
      <c r="U10" s="16" t="n">
        <v>0.2247057787691134</v>
      </c>
      <c r="V10" s="16" t="n">
        <v>0.1607081723480217</v>
      </c>
      <c r="W10" s="16" t="n">
        <v>0.1716448569689592</v>
      </c>
      <c r="X10" s="10" t="n">
        <v>7.24</v>
      </c>
      <c r="Y10" s="15">
        <f>IF(OR(X10="",G10="",G10=0),"",X10/G10)</f>
        <v/>
      </c>
      <c r="Z10" s="18" t="n">
        <v>110.091</v>
      </c>
      <c r="AA10" s="16" t="n">
        <v>0.046</v>
      </c>
      <c r="AB10" s="16" t="n">
        <v>-0.003929452618112035</v>
      </c>
      <c r="AC10" s="9">
        <f>IF(AND(O10="",P10=""),"DATI MANCANTI",IF(AND(N(O10)&gt;=PARAMETRI!$B$4,N(P10)&gt;=PARAMETRI!$B$4),"OK","NO"))</f>
        <v/>
      </c>
      <c r="AD10" s="9">
        <f>IF(L10="","N/D",IF(L10&lt;PARAMETRI!$B$6,"OTTIMO",IF(L10&lt;PARAMETRI!$B$5,"OK","NO")))</f>
        <v/>
      </c>
      <c r="AE10" s="9">
        <f>IF(OR(AC10="DATI MANCANTI",AD10="N/D"),"DA COMPLETARE",IF(AND(AC10="OK",AD10="OTTIMO"),"PASSA FORTE",IF(AND(AC10="OK",AD10="OK"),"PASSA","SCARTA")))</f>
        <v/>
      </c>
      <c r="AF10" s="8" t="inlineStr">
        <is>
          <t>2026-08-04</t>
        </is>
      </c>
      <c r="AG10" s="8" t="inlineStr">
        <is>
          <t>yahoo</t>
        </is>
      </c>
      <c r="AH10" s="19" t="inlineStr"/>
    </row>
    <row r="11">
      <c r="A11" s="8" t="n">
        <v>10</v>
      </c>
      <c r="B11" s="8" t="inlineStr">
        <is>
          <t>Airbnb</t>
        </is>
      </c>
      <c r="C11" s="8" t="inlineStr">
        <is>
          <t>ABNB</t>
        </is>
      </c>
      <c r="D11" s="9" t="inlineStr">
        <is>
          <t>USA</t>
        </is>
      </c>
      <c r="E11" s="8" t="inlineStr">
        <is>
          <t>Viaggi / Piattaforme</t>
        </is>
      </c>
      <c r="F11" s="9" t="inlineStr">
        <is>
          <t>Consumi</t>
        </is>
      </c>
      <c r="G11" s="10" t="n">
        <v>150.64</v>
      </c>
      <c r="H11" s="11" t="inlineStr">
        <is>
          <t>USD</t>
        </is>
      </c>
      <c r="I11" s="12" t="n">
        <v>89405.60000000001</v>
      </c>
      <c r="J11" s="10" t="n">
        <v>4.05</v>
      </c>
      <c r="K11" s="10" t="n">
        <v>5.99539</v>
      </c>
      <c r="L11" s="13">
        <f>IF(OR(G11="",J11="",J11&lt;=0),"",G11/J11)</f>
        <v/>
      </c>
      <c r="M11" s="14" t="n">
        <v>11.737573</v>
      </c>
      <c r="N11" s="15">
        <f>IF(OR(M11="",L11="",L11&lt;=0),"",M11/L11)</f>
        <v/>
      </c>
      <c r="O11" s="16" t="n">
        <v>0.32325</v>
      </c>
      <c r="P11" s="16" t="n">
        <v>0.3871020421928419</v>
      </c>
      <c r="Q11" s="16" t="n">
        <v>0.1160358943905926</v>
      </c>
      <c r="R11" s="17" t="n">
        <v>4</v>
      </c>
      <c r="S11" s="16" t="n"/>
      <c r="T11" s="16" t="n">
        <v>0.3062568605927552</v>
      </c>
      <c r="U11" s="16" t="n">
        <v>0.3147883975273419</v>
      </c>
      <c r="V11" s="16" t="n">
        <v>0.5868952847519902</v>
      </c>
      <c r="W11" s="16" t="n">
        <v>0.3404676258992806</v>
      </c>
      <c r="X11" s="10" t="n"/>
      <c r="Y11" s="15">
        <f>IF(OR(X11="",G11="",G11=0),"",X11/G11)</f>
        <v/>
      </c>
      <c r="Z11" s="18" t="n">
        <v>33.185</v>
      </c>
      <c r="AA11" s="16" t="n">
        <v>0.179</v>
      </c>
      <c r="AB11" s="16" t="n">
        <v>0.2056204506167797</v>
      </c>
      <c r="AC11" s="9">
        <f>IF(AND(O11="",P11=""),"DATI MANCANTI",IF(AND(N(O11)&gt;=PARAMETRI!$B$4,N(P11)&gt;=PARAMETRI!$B$4),"OK","NO"))</f>
        <v/>
      </c>
      <c r="AD11" s="9">
        <f>IF(L11="","N/D",IF(L11&lt;PARAMETRI!$B$6,"OTTIMO",IF(L11&lt;PARAMETRI!$B$5,"OK","NO")))</f>
        <v/>
      </c>
      <c r="AE11" s="9">
        <f>IF(OR(AC11="DATI MANCANTI",AD11="N/D"),"DA COMPLETARE",IF(AND(AC11="OK",AD11="OTTIMO"),"PASSA FORTE",IF(AND(AC11="OK",AD11="OK"),"PASSA","SCARTA")))</f>
        <v/>
      </c>
      <c r="AF11" s="8" t="inlineStr">
        <is>
          <t>2026-08-04</t>
        </is>
      </c>
      <c r="AG11" s="8" t="inlineStr">
        <is>
          <t>yahoo</t>
        </is>
      </c>
      <c r="AH11" s="19" t="inlineStr"/>
    </row>
    <row r="12">
      <c r="A12" s="8" t="n">
        <v>11</v>
      </c>
      <c r="B12" s="8" t="inlineStr">
        <is>
          <t>Alphabet</t>
        </is>
      </c>
      <c r="C12" s="8" t="inlineStr">
        <is>
          <t>GOOGL</t>
        </is>
      </c>
      <c r="D12" s="9" t="inlineStr">
        <is>
          <t>USA</t>
        </is>
      </c>
      <c r="E12" s="8" t="inlineStr">
        <is>
          <t>Internet / Cloud</t>
        </is>
      </c>
      <c r="F12" s="9" t="inlineStr">
        <is>
          <t>Tecnologia</t>
        </is>
      </c>
      <c r="G12" s="10" t="n">
        <v>373.51</v>
      </c>
      <c r="H12" s="11" t="inlineStr">
        <is>
          <t>USD</t>
        </is>
      </c>
      <c r="I12" s="12" t="n">
        <v>4568003.4</v>
      </c>
      <c r="J12" s="10" t="n">
        <v>19.94</v>
      </c>
      <c r="K12" s="10" t="n">
        <v>14.73443</v>
      </c>
      <c r="L12" s="13">
        <f>IF(OR(G12="",J12="",J12&lt;=0),"",G12/J12)</f>
        <v/>
      </c>
      <c r="M12" s="14" t="n">
        <v>7.3386908</v>
      </c>
      <c r="N12" s="15">
        <f>IF(OR(M12="",L12="",L12&lt;=0),"",M12/L12)</f>
        <v/>
      </c>
      <c r="O12" s="16" t="n">
        <v>0.48676</v>
      </c>
      <c r="P12" s="16" t="n">
        <v>0.280199841988681</v>
      </c>
      <c r="Q12" s="16" t="n">
        <v>0.03440628523217517</v>
      </c>
      <c r="R12" s="17" t="n">
        <v>4</v>
      </c>
      <c r="S12" s="16" t="n"/>
      <c r="T12" s="16" t="n">
        <v>0.3182786895115167</v>
      </c>
      <c r="U12" s="16" t="n">
        <v>0.3079757847202569</v>
      </c>
      <c r="V12" s="16" t="n">
        <v>0.2604109690555758</v>
      </c>
      <c r="W12" s="16" t="n">
        <v>0.2341339246673746</v>
      </c>
      <c r="X12" s="10" t="n">
        <v>0.88</v>
      </c>
      <c r="Y12" s="15">
        <f>IF(OR(X12="",G12="",G12=0),"",X12/G12)</f>
        <v/>
      </c>
      <c r="Z12" s="18" t="n">
        <v>18.859</v>
      </c>
      <c r="AA12" s="16" t="n">
        <v>0.242</v>
      </c>
      <c r="AB12" s="16" t="n">
        <v>0.6060009406905044</v>
      </c>
      <c r="AC12" s="9">
        <f>IF(AND(O12="",P12=""),"DATI MANCANTI",IF(AND(N(O12)&gt;=PARAMETRI!$B$4,N(P12)&gt;=PARAMETRI!$B$4),"OK","NO"))</f>
        <v/>
      </c>
      <c r="AD12" s="9">
        <f>IF(L12="","N/D",IF(L12&lt;PARAMETRI!$B$6,"OTTIMO",IF(L12&lt;PARAMETRI!$B$5,"OK","NO")))</f>
        <v/>
      </c>
      <c r="AE12" s="9">
        <f>IF(OR(AC12="DATI MANCANTI",AD12="N/D"),"DA COMPLETARE",IF(AND(AC12="OK",AD12="OTTIMO"),"PASSA FORTE",IF(AND(AC12="OK",AD12="OK"),"PASSA","SCARTA")))</f>
        <v/>
      </c>
      <c r="AF12" s="8" t="inlineStr">
        <is>
          <t>2026-08-04</t>
        </is>
      </c>
      <c r="AG12" s="8" t="inlineStr">
        <is>
          <t>yahoo</t>
        </is>
      </c>
      <c r="AH12" s="19" t="inlineStr"/>
    </row>
    <row r="13">
      <c r="A13" s="8" t="n">
        <v>12</v>
      </c>
      <c r="B13" s="8" t="inlineStr">
        <is>
          <t>Altria Group</t>
        </is>
      </c>
      <c r="C13" s="8" t="inlineStr">
        <is>
          <t>MO</t>
        </is>
      </c>
      <c r="D13" s="9" t="inlineStr">
        <is>
          <t>USA</t>
        </is>
      </c>
      <c r="E13" s="8" t="inlineStr">
        <is>
          <t>Tabacco</t>
        </is>
      </c>
      <c r="F13" s="9" t="inlineStr">
        <is>
          <t>Consumi</t>
        </is>
      </c>
      <c r="G13" s="10" t="n">
        <v>68.26000000000001</v>
      </c>
      <c r="H13" s="11" t="inlineStr">
        <is>
          <t>USD</t>
        </is>
      </c>
      <c r="I13" s="12" t="n">
        <v>113976.7</v>
      </c>
      <c r="J13" s="10" t="n">
        <v>4.75</v>
      </c>
      <c r="K13" s="10" t="n">
        <v>5.86711</v>
      </c>
      <c r="L13" s="13">
        <f>IF(OR(G13="",J13="",J13&lt;=0),"",G13/J13)</f>
        <v/>
      </c>
      <c r="M13" s="14" t="n">
        <v>-35.515087</v>
      </c>
      <c r="N13" s="15">
        <f>IF(OR(M13="",L13="",L13&lt;=0),"",M13/L13)</f>
        <v/>
      </c>
      <c r="O13" s="16" t="n"/>
      <c r="P13" s="16" t="n"/>
      <c r="Q13" s="16" t="n"/>
      <c r="R13" s="17" t="n">
        <v>0</v>
      </c>
      <c r="S13" s="16" t="n"/>
      <c r="T13" s="16" t="n"/>
      <c r="U13" s="16" t="n"/>
      <c r="V13" s="16" t="n"/>
      <c r="W13" s="16" t="n"/>
      <c r="X13" s="10" t="n">
        <v>4.24</v>
      </c>
      <c r="Y13" s="15">
        <f>IF(OR(X13="",G13="",G13=0),"",X13/G13)</f>
        <v/>
      </c>
      <c r="Z13" s="18" t="n"/>
      <c r="AA13" s="16" t="n">
        <v>0.012</v>
      </c>
      <c r="AB13" s="16" t="n">
        <v>0.3948557525199861</v>
      </c>
      <c r="AC13" s="9">
        <f>IF(AND(O13="",P13=""),"DATI MANCANTI",IF(AND(N(O13)&gt;=PARAMETRI!$B$4,N(P13)&gt;=PARAMETRI!$B$4),"OK","NO"))</f>
        <v/>
      </c>
      <c r="AD13" s="9">
        <f>IF(L13="","N/D",IF(L13&lt;PARAMETRI!$B$6,"OTTIMO",IF(L13&lt;PARAMETRI!$B$5,"OK","NO")))</f>
        <v/>
      </c>
      <c r="AE13" s="9">
        <f>IF(OR(AC13="DATI MANCANTI",AD13="N/D"),"DA COMPLETARE",IF(AND(AC13="OK",AD13="OTTIMO"),"PASSA FORTE",IF(AND(AC13="OK",AD13="OK"),"PASSA","SCARTA")))</f>
        <v/>
      </c>
      <c r="AF13" s="8" t="inlineStr">
        <is>
          <t>2026-08-04</t>
        </is>
      </c>
      <c r="AG13" s="8" t="inlineStr">
        <is>
          <t>yahoo</t>
        </is>
      </c>
      <c r="AH13" s="19" t="inlineStr"/>
    </row>
    <row r="14">
      <c r="A14" s="8" t="n">
        <v>13</v>
      </c>
      <c r="B14" s="8" t="inlineStr">
        <is>
          <t>Amazon</t>
        </is>
      </c>
      <c r="C14" s="8" t="inlineStr">
        <is>
          <t>AMZN</t>
        </is>
      </c>
      <c r="D14" s="9" t="inlineStr">
        <is>
          <t>USA</t>
        </is>
      </c>
      <c r="E14" s="8" t="inlineStr">
        <is>
          <t>E-commerce / Cloud</t>
        </is>
      </c>
      <c r="F14" s="9" t="inlineStr">
        <is>
          <t>Tecnologia</t>
        </is>
      </c>
      <c r="G14" s="10" t="n">
        <v>284.02</v>
      </c>
      <c r="H14" s="11" t="inlineStr">
        <is>
          <t>USD</t>
        </is>
      </c>
      <c r="I14" s="12" t="n">
        <v>3063528.6</v>
      </c>
      <c r="J14" s="10" t="n">
        <v>12.44</v>
      </c>
      <c r="K14" s="10" t="n">
        <v>10.31743</v>
      </c>
      <c r="L14" s="13">
        <f>IF(OR(G14="",J14="",J14&lt;=0),"",G14/J14)</f>
        <v/>
      </c>
      <c r="M14" s="14" t="n">
        <v>5.552037</v>
      </c>
      <c r="N14" s="15">
        <f>IF(OR(M14="",L14="",L14&lt;=0),"",M14/L14)</f>
        <v/>
      </c>
      <c r="O14" s="16" t="n">
        <v>0.30558002</v>
      </c>
      <c r="P14" s="16" t="n">
        <v>0.1320511298823096</v>
      </c>
      <c r="Q14" s="16" t="n">
        <v>0.08935541595787762</v>
      </c>
      <c r="R14" s="17" t="n">
        <v>4</v>
      </c>
      <c r="S14" s="16" t="n"/>
      <c r="T14" s="16" t="n">
        <v>0.1889482198679041</v>
      </c>
      <c r="U14" s="16" t="n">
        <v>0.2071825715984194</v>
      </c>
      <c r="V14" s="16" t="n">
        <v>0.1507120743034056</v>
      </c>
      <c r="W14" s="16" t="n">
        <v>-0.01863834624049081</v>
      </c>
      <c r="X14" s="10" t="n"/>
      <c r="Y14" s="15">
        <f>IF(OR(X14="",G14="",G14=0),"",X14/G14)</f>
        <v/>
      </c>
      <c r="Z14" s="18" t="n">
        <v>45.617</v>
      </c>
      <c r="AA14" s="16" t="n">
        <v>0.196</v>
      </c>
      <c r="AB14" s="16" t="n">
        <v>0.1886964314878564</v>
      </c>
      <c r="AC14" s="9">
        <f>IF(AND(O14="",P14=""),"DATI MANCANTI",IF(AND(N(O14)&gt;=PARAMETRI!$B$4,N(P14)&gt;=PARAMETRI!$B$4),"OK","NO"))</f>
        <v/>
      </c>
      <c r="AD14" s="9">
        <f>IF(L14="","N/D",IF(L14&lt;PARAMETRI!$B$6,"OTTIMO",IF(L14&lt;PARAMETRI!$B$5,"OK","NO")))</f>
        <v/>
      </c>
      <c r="AE14" s="9">
        <f>IF(OR(AC14="DATI MANCANTI",AD14="N/D"),"DA COMPLETARE",IF(AND(AC14="OK",AD14="OTTIMO"),"PASSA FORTE",IF(AND(AC14="OK",AD14="OK"),"PASSA","SCARTA")))</f>
        <v/>
      </c>
      <c r="AF14" s="8" t="inlineStr">
        <is>
          <t>2026-08-04</t>
        </is>
      </c>
      <c r="AG14" s="8" t="inlineStr">
        <is>
          <t>yahoo</t>
        </is>
      </c>
      <c r="AH14" s="19" t="inlineStr"/>
    </row>
    <row r="15">
      <c r="A15" s="8" t="n">
        <v>14</v>
      </c>
      <c r="B15" s="8" t="inlineStr">
        <is>
          <t>American Electric Power</t>
        </is>
      </c>
      <c r="C15" s="8" t="inlineStr">
        <is>
          <t>AEP</t>
        </is>
      </c>
      <c r="D15" s="9" t="inlineStr">
        <is>
          <t>USA</t>
        </is>
      </c>
      <c r="E15" s="8" t="inlineStr">
        <is>
          <t>Utility</t>
        </is>
      </c>
      <c r="F15" s="9" t="inlineStr">
        <is>
          <t>Utility</t>
        </is>
      </c>
      <c r="G15" s="10" t="n">
        <v>128.32</v>
      </c>
      <c r="H15" s="11" t="inlineStr">
        <is>
          <t>USD</t>
        </is>
      </c>
      <c r="I15" s="12" t="n">
        <v>69857.10000000001</v>
      </c>
      <c r="J15" s="10" t="n">
        <v>5.77</v>
      </c>
      <c r="K15" s="10" t="n">
        <v>6.85472</v>
      </c>
      <c r="L15" s="13">
        <f>IF(OR(G15="",J15="",J15&lt;=0),"",G15/J15)</f>
        <v/>
      </c>
      <c r="M15" s="14" t="n">
        <v>2.1775358</v>
      </c>
      <c r="N15" s="15">
        <f>IF(OR(M15="",L15="",L15&lt;=0),"",M15/L15)</f>
        <v/>
      </c>
      <c r="O15" s="16" t="n">
        <v>0.10130999</v>
      </c>
      <c r="P15" s="16" t="n">
        <v>0.1022771363241528</v>
      </c>
      <c r="Q15" s="16" t="n">
        <v>0.01089640173381587</v>
      </c>
      <c r="R15" s="17" t="n">
        <v>4</v>
      </c>
      <c r="S15" s="16" t="n"/>
      <c r="T15" s="16" t="n">
        <v>0.1149720598625474</v>
      </c>
      <c r="U15" s="16" t="n">
        <v>0.1101172802850356</v>
      </c>
      <c r="V15" s="16" t="n">
        <v>0.08745697457489493</v>
      </c>
      <c r="W15" s="16" t="n">
        <v>0.09656223057413345</v>
      </c>
      <c r="X15" s="10" t="n">
        <v>3.8</v>
      </c>
      <c r="Y15" s="15">
        <f>IF(OR(X15="",G15="",G15=0),"",X15/G15)</f>
        <v/>
      </c>
      <c r="Z15" s="18" t="n">
        <v>160.789</v>
      </c>
      <c r="AA15" s="16" t="n">
        <v>0.07000000000000001</v>
      </c>
      <c r="AB15" s="16" t="n">
        <v>0.1435820047540684</v>
      </c>
      <c r="AC15" s="9">
        <f>IF(AND(O15="",P15=""),"DATI MANCANTI",IF(AND(N(O15)&gt;=PARAMETRI!$B$4,N(P15)&gt;=PARAMETRI!$B$4),"OK","NO"))</f>
        <v/>
      </c>
      <c r="AD15" s="9">
        <f>IF(L15="","N/D",IF(L15&lt;PARAMETRI!$B$6,"OTTIMO",IF(L15&lt;PARAMETRI!$B$5,"OK","NO")))</f>
        <v/>
      </c>
      <c r="AE15" s="9">
        <f>IF(OR(AC15="DATI MANCANTI",AD15="N/D"),"DA COMPLETARE",IF(AND(AC15="OK",AD15="OTTIMO"),"PASSA FORTE",IF(AND(AC15="OK",AD15="OK"),"PASSA","SCARTA")))</f>
        <v/>
      </c>
      <c r="AF15" s="8" t="inlineStr">
        <is>
          <t>2026-08-04</t>
        </is>
      </c>
      <c r="AG15" s="8" t="inlineStr">
        <is>
          <t>yahoo</t>
        </is>
      </c>
      <c r="AH15" s="19" t="inlineStr"/>
    </row>
    <row r="16">
      <c r="A16" s="8" t="n">
        <v>15</v>
      </c>
      <c r="B16" s="8" t="inlineStr">
        <is>
          <t>American Express</t>
        </is>
      </c>
      <c r="C16" s="8" t="inlineStr">
        <is>
          <t>AXP</t>
        </is>
      </c>
      <c r="D16" s="9" t="inlineStr">
        <is>
          <t>USA</t>
        </is>
      </c>
      <c r="E16" s="8" t="inlineStr">
        <is>
          <t>Pagamenti / Credito</t>
        </is>
      </c>
      <c r="F16" s="9" t="inlineStr">
        <is>
          <t>Finanziario</t>
        </is>
      </c>
      <c r="G16" s="10" t="n">
        <v>344.72</v>
      </c>
      <c r="H16" s="11" t="inlineStr">
        <is>
          <t>USD</t>
        </is>
      </c>
      <c r="I16" s="12" t="n">
        <v>232792.8</v>
      </c>
      <c r="J16" s="10" t="n">
        <v>16.48</v>
      </c>
      <c r="K16" s="10" t="n">
        <v>20.11417</v>
      </c>
      <c r="L16" s="13">
        <f>IF(OR(G16="",J16="",J16&lt;=0),"",G16/J16)</f>
        <v/>
      </c>
      <c r="M16" s="14" t="n">
        <v>6.7878313</v>
      </c>
      <c r="N16" s="15">
        <f>IF(OR(M16="",L16="",L16&lt;=0),"",M16/L16)</f>
        <v/>
      </c>
      <c r="O16" s="16" t="n">
        <v>0.34377</v>
      </c>
      <c r="P16" s="16" t="n">
        <v>0.3152128333482085</v>
      </c>
      <c r="Q16" s="16" t="n">
        <v>0.01461690524528727</v>
      </c>
      <c r="R16" s="17" t="n">
        <v>4</v>
      </c>
      <c r="S16" s="16" t="n"/>
      <c r="T16" s="16" t="n">
        <v>0.3236243054310808</v>
      </c>
      <c r="U16" s="16" t="n">
        <v>0.3346880782447793</v>
      </c>
      <c r="V16" s="16" t="n">
        <v>0.2984638414655879</v>
      </c>
      <c r="W16" s="16" t="n">
        <v>0.304075108251386</v>
      </c>
      <c r="X16" s="10" t="n">
        <v>3.8</v>
      </c>
      <c r="Y16" s="15">
        <f>IF(OR(X16="",G16="",G16=0),"",X16/G16)</f>
        <v/>
      </c>
      <c r="Z16" s="18" t="n">
        <v>172.38</v>
      </c>
      <c r="AA16" s="16" t="n">
        <v>0.128</v>
      </c>
      <c r="AB16" s="16" t="n">
        <v>0.1565969756610827</v>
      </c>
      <c r="AC16" s="9">
        <f>IF(AND(O16="",P16=""),"DATI MANCANTI",IF(AND(N(O16)&gt;=PARAMETRI!$B$4,N(P16)&gt;=PARAMETRI!$B$4),"OK","NO"))</f>
        <v/>
      </c>
      <c r="AD16" s="9">
        <f>IF(L16="","N/D",IF(L16&lt;PARAMETRI!$B$6,"OTTIMO",IF(L16&lt;PARAMETRI!$B$5,"OK","NO")))</f>
        <v/>
      </c>
      <c r="AE16" s="9">
        <f>IF(OR(AC16="DATI MANCANTI",AD16="N/D"),"DA COMPLETARE",IF(AND(AC16="OK",AD16="OTTIMO"),"PASSA FORTE",IF(AND(AC16="OK",AD16="OK"),"PASSA","SCARTA")))</f>
        <v/>
      </c>
      <c r="AF16" s="8" t="inlineStr">
        <is>
          <t>2026-08-04</t>
        </is>
      </c>
      <c r="AG16" s="8" t="inlineStr">
        <is>
          <t>yahoo</t>
        </is>
      </c>
      <c r="AH16" s="19" t="inlineStr"/>
    </row>
    <row r="17">
      <c r="A17" s="8" t="n">
        <v>16</v>
      </c>
      <c r="B17" s="8" t="inlineStr">
        <is>
          <t>American International Group</t>
        </is>
      </c>
      <c r="C17" s="8" t="inlineStr">
        <is>
          <t>AIG</t>
        </is>
      </c>
      <c r="D17" s="9" t="inlineStr">
        <is>
          <t>USA</t>
        </is>
      </c>
      <c r="E17" s="8" t="inlineStr">
        <is>
          <t>Assicurazione</t>
        </is>
      </c>
      <c r="F17" s="9" t="inlineStr">
        <is>
          <t>Finanziario</t>
        </is>
      </c>
      <c r="G17" s="10" t="n">
        <v>78.79000000000001</v>
      </c>
      <c r="H17" s="11" t="inlineStr">
        <is>
          <t>USD</t>
        </is>
      </c>
      <c r="I17" s="12" t="n">
        <v>41774.9</v>
      </c>
      <c r="J17" s="10" t="n">
        <v>5.68</v>
      </c>
      <c r="K17" s="10" t="n">
        <v>8.83737</v>
      </c>
      <c r="L17" s="13">
        <f>IF(OR(G17="",J17="",J17&lt;=0),"",G17/J17)</f>
        <v/>
      </c>
      <c r="M17" s="14" t="n">
        <v>1.0391717</v>
      </c>
      <c r="N17" s="15">
        <f>IF(OR(M17="",L17="",L17&lt;=0),"",M17/L17)</f>
        <v/>
      </c>
      <c r="O17" s="16" t="n">
        <v>0.07722999999999999</v>
      </c>
      <c r="P17" s="16" t="n">
        <v>0.09304718508131808</v>
      </c>
      <c r="Q17" s="16" t="n">
        <v>0.1011020395574324</v>
      </c>
      <c r="R17" s="17" t="n">
        <v>4</v>
      </c>
      <c r="S17" s="16" t="n"/>
      <c r="T17" s="16" t="n">
        <v>0.07525705534893896</v>
      </c>
      <c r="U17" s="16" t="n">
        <v>-0.0330189788575057</v>
      </c>
      <c r="V17" s="16" t="n">
        <v>0.08032898943793963</v>
      </c>
      <c r="W17" s="16" t="n">
        <v>0.2496216743958994</v>
      </c>
      <c r="X17" s="10" t="n">
        <v>2</v>
      </c>
      <c r="Y17" s="15">
        <f>IF(OR(X17="",G17="",G17=0),"",X17/G17)</f>
        <v/>
      </c>
      <c r="Z17" s="18" t="n">
        <v>22.647</v>
      </c>
      <c r="AA17" s="16" t="n">
        <v>0.014</v>
      </c>
      <c r="AB17" s="16" t="n">
        <v>0.118062296855158</v>
      </c>
      <c r="AC17" s="9">
        <f>IF(AND(O17="",P17=""),"DATI MANCANTI",IF(AND(N(O17)&gt;=PARAMETRI!$B$4,N(P17)&gt;=PARAMETRI!$B$4),"OK","NO"))</f>
        <v/>
      </c>
      <c r="AD17" s="9">
        <f>IF(L17="","N/D",IF(L17&lt;PARAMETRI!$B$6,"OTTIMO",IF(L17&lt;PARAMETRI!$B$5,"OK","NO")))</f>
        <v/>
      </c>
      <c r="AE17" s="9">
        <f>IF(OR(AC17="DATI MANCANTI",AD17="N/D"),"DA COMPLETARE",IF(AND(AC17="OK",AD17="OTTIMO"),"PASSA FORTE",IF(AND(AC17="OK",AD17="OK"),"PASSA","SCARTA")))</f>
        <v/>
      </c>
      <c r="AF17" s="8" t="inlineStr">
        <is>
          <t>2026-08-04</t>
        </is>
      </c>
      <c r="AG17" s="8" t="inlineStr">
        <is>
          <t>yahoo</t>
        </is>
      </c>
      <c r="AH17" s="19" t="inlineStr"/>
    </row>
    <row r="18">
      <c r="A18" s="8" t="n">
        <v>17</v>
      </c>
      <c r="B18" s="8" t="inlineStr">
        <is>
          <t>American Tower</t>
        </is>
      </c>
      <c r="C18" s="8" t="inlineStr">
        <is>
          <t>AMT</t>
        </is>
      </c>
      <c r="D18" s="9" t="inlineStr">
        <is>
          <t>USA</t>
        </is>
      </c>
      <c r="E18" s="8" t="inlineStr">
        <is>
          <t>REIT / Torri</t>
        </is>
      </c>
      <c r="F18" s="9" t="inlineStr">
        <is>
          <t>Immobiliare</t>
        </is>
      </c>
      <c r="G18" s="10" t="n">
        <v>173</v>
      </c>
      <c r="H18" s="11" t="inlineStr">
        <is>
          <t>USD</t>
        </is>
      </c>
      <c r="I18" s="12" t="n">
        <v>80611.10000000001</v>
      </c>
      <c r="J18" s="10" t="n">
        <v>6.21</v>
      </c>
      <c r="K18" s="10" t="n">
        <v>7.00103</v>
      </c>
      <c r="L18" s="13">
        <f>IF(OR(G18="",J18="",J18&lt;=0),"",G18/J18)</f>
        <v/>
      </c>
      <c r="M18" s="14" t="n">
        <v>21.671051</v>
      </c>
      <c r="N18" s="15">
        <f>IF(OR(M18="",L18="",L18&lt;=0),"",M18/L18)</f>
        <v/>
      </c>
      <c r="O18" s="16" t="n">
        <v>0.33914003</v>
      </c>
      <c r="P18" s="16" t="n">
        <v>0.5073666137979995</v>
      </c>
      <c r="Q18" s="16" t="n">
        <v>0.172987839167374</v>
      </c>
      <c r="R18" s="17" t="n">
        <v>4</v>
      </c>
      <c r="S18" s="16" t="n"/>
      <c r="T18" s="16" t="n">
        <v>0.692539356605065</v>
      </c>
      <c r="U18" s="16" t="n">
        <v>0.6667257997752942</v>
      </c>
      <c r="V18" s="16" t="n">
        <v>0.353318088704683</v>
      </c>
      <c r="W18" s="16" t="n">
        <v>0.3168832101069557</v>
      </c>
      <c r="X18" s="10" t="n">
        <v>6.98</v>
      </c>
      <c r="Y18" s="15">
        <f>IF(OR(X18="",G18="",G18=0),"",X18/G18)</f>
        <v/>
      </c>
      <c r="Z18" s="18" t="n">
        <v>438.721</v>
      </c>
      <c r="AA18" s="16" t="n">
        <v>0.047</v>
      </c>
      <c r="AB18" s="16" t="n">
        <v>0.3195047193882344</v>
      </c>
      <c r="AC18" s="9">
        <f>IF(AND(O18="",P18=""),"DATI MANCANTI",IF(AND(N(O18)&gt;=PARAMETRI!$B$4,N(P18)&gt;=PARAMETRI!$B$4),"OK","NO"))</f>
        <v/>
      </c>
      <c r="AD18" s="9">
        <f>IF(L18="","N/D",IF(L18&lt;PARAMETRI!$B$6,"OTTIMO",IF(L18&lt;PARAMETRI!$B$5,"OK","NO")))</f>
        <v/>
      </c>
      <c r="AE18" s="9">
        <f>IF(OR(AC18="DATI MANCANTI",AD18="N/D"),"DA COMPLETARE",IF(AND(AC18="OK",AD18="OTTIMO"),"PASSA FORTE",IF(AND(AC18="OK",AD18="OK"),"PASSA","SCARTA")))</f>
        <v/>
      </c>
      <c r="AF18" s="8" t="inlineStr">
        <is>
          <t>2026-08-04</t>
        </is>
      </c>
      <c r="AG18" s="8" t="inlineStr">
        <is>
          <t>yahoo</t>
        </is>
      </c>
      <c r="AH18" s="19" t="inlineStr"/>
    </row>
    <row r="19">
      <c r="A19" s="8" t="n">
        <v>18</v>
      </c>
      <c r="B19" s="8" t="inlineStr">
        <is>
          <t>Amgen</t>
        </is>
      </c>
      <c r="C19" s="8" t="inlineStr">
        <is>
          <t>AMGN</t>
        </is>
      </c>
      <c r="D19" s="9" t="inlineStr">
        <is>
          <t>USA</t>
        </is>
      </c>
      <c r="E19" s="8" t="inlineStr">
        <is>
          <t>Biotecnologie</t>
        </is>
      </c>
      <c r="F19" s="9" t="inlineStr">
        <is>
          <t>Salute</t>
        </is>
      </c>
      <c r="G19" s="10" t="n">
        <v>378.87</v>
      </c>
      <c r="H19" s="11" t="inlineStr">
        <is>
          <t>USD</t>
        </is>
      </c>
      <c r="I19" s="12" t="n">
        <v>204479.3</v>
      </c>
      <c r="J19" s="10" t="n">
        <v>14.37</v>
      </c>
      <c r="K19" s="10" t="n">
        <v>23.43866</v>
      </c>
      <c r="L19" s="13">
        <f>IF(OR(G19="",J19="",J19&lt;=0),"",G19/J19)</f>
        <v/>
      </c>
      <c r="M19" s="14" t="n">
        <v>22.249825</v>
      </c>
      <c r="N19" s="15">
        <f>IF(OR(M19="",L19="",L19&lt;=0),"",M19/L19)</f>
        <v/>
      </c>
      <c r="O19" s="16" t="n">
        <v>1.01318</v>
      </c>
      <c r="P19" s="16" t="n">
        <v>1.113513443906775</v>
      </c>
      <c r="Q19" s="16" t="n">
        <v>0.4130744959321571</v>
      </c>
      <c r="R19" s="17" t="n">
        <v>4</v>
      </c>
      <c r="S19" s="16" t="n"/>
      <c r="T19" s="16" t="n">
        <v>0.8906213906213907</v>
      </c>
      <c r="U19" s="16" t="n">
        <v>0.6959332993023651</v>
      </c>
      <c r="V19" s="16" t="n">
        <v>1.077824133504493</v>
      </c>
      <c r="W19" s="16" t="n">
        <v>1.789674952198853</v>
      </c>
      <c r="X19" s="10" t="n">
        <v>10.08</v>
      </c>
      <c r="Y19" s="15">
        <f>IF(OR(X19="",G19="",G19=0),"",X19/G19)</f>
        <v/>
      </c>
      <c r="Z19" s="18" t="n">
        <v>623.754</v>
      </c>
      <c r="AA19" s="16" t="n">
        <v>0.058</v>
      </c>
      <c r="AB19" s="16" t="n">
        <v>0.2122391227449593</v>
      </c>
      <c r="AC19" s="9">
        <f>IF(AND(O19="",P19=""),"DATI MANCANTI",IF(AND(N(O19)&gt;=PARAMETRI!$B$4,N(P19)&gt;=PARAMETRI!$B$4),"OK","NO"))</f>
        <v/>
      </c>
      <c r="AD19" s="9">
        <f>IF(L19="","N/D",IF(L19&lt;PARAMETRI!$B$6,"OTTIMO",IF(L19&lt;PARAMETRI!$B$5,"OK","NO")))</f>
        <v/>
      </c>
      <c r="AE19" s="9">
        <f>IF(OR(AC19="DATI MANCANTI",AD19="N/D"),"DA COMPLETARE",IF(AND(AC19="OK",AD19="OTTIMO"),"PASSA FORTE",IF(AND(AC19="OK",AD19="OK"),"PASSA","SCARTA")))</f>
        <v/>
      </c>
      <c r="AF19" s="8" t="inlineStr">
        <is>
          <t>2026-08-04</t>
        </is>
      </c>
      <c r="AG19" s="8" t="inlineStr">
        <is>
          <t>yahoo</t>
        </is>
      </c>
      <c r="AH19" s="19" t="inlineStr"/>
    </row>
    <row r="20">
      <c r="A20" s="8" t="n">
        <v>19</v>
      </c>
      <c r="B20" s="8" t="inlineStr">
        <is>
          <t>Amplifon</t>
        </is>
      </c>
      <c r="C20" s="8" t="inlineStr">
        <is>
          <t>AMP.MI</t>
        </is>
      </c>
      <c r="D20" s="9" t="inlineStr">
        <is>
          <t>Italia</t>
        </is>
      </c>
      <c r="E20" s="8" t="inlineStr">
        <is>
          <t>Dispositivi medicali</t>
        </is>
      </c>
      <c r="F20" s="9" t="inlineStr">
        <is>
          <t>Salute</t>
        </is>
      </c>
      <c r="G20" s="10" t="n">
        <v>11.88</v>
      </c>
      <c r="H20" s="11" t="inlineStr">
        <is>
          <t>EUR</t>
        </is>
      </c>
      <c r="I20" s="12" t="n">
        <v>3151.2</v>
      </c>
      <c r="J20" s="10" t="n">
        <v>0.31</v>
      </c>
      <c r="K20" s="10" t="n">
        <v>0.87396</v>
      </c>
      <c r="L20" s="13">
        <f>IF(OR(G20="",J20="",J20&lt;=0),"",G20/J20)</f>
        <v/>
      </c>
      <c r="M20" s="14" t="n">
        <v>2.427462</v>
      </c>
      <c r="N20" s="15">
        <f>IF(OR(M20="",L20="",L20&lt;=0),"",M20/L20)</f>
        <v/>
      </c>
      <c r="O20" s="16" t="n">
        <v>0.0914974143820864</v>
      </c>
      <c r="P20" s="16" t="n">
        <v>0.1326830497258543</v>
      </c>
      <c r="Q20" s="16" t="n">
        <v>0.02890399099608494</v>
      </c>
      <c r="R20" s="17" t="n">
        <v>4</v>
      </c>
      <c r="S20" s="16" t="n"/>
      <c r="T20" s="16" t="n">
        <v>0.0914974143820864</v>
      </c>
      <c r="U20" s="16" t="n">
        <v>0.1264119540661668</v>
      </c>
      <c r="V20" s="16" t="n">
        <v>0.140917724192243</v>
      </c>
      <c r="W20" s="16" t="n">
        <v>0.1719051062629212</v>
      </c>
      <c r="X20" s="10" t="n">
        <v>0.29</v>
      </c>
      <c r="Y20" s="15">
        <f>IF(OR(X20="",G20="",G20=0),"",X20/G20)</f>
        <v/>
      </c>
      <c r="Z20" s="18" t="n">
        <v>166.757</v>
      </c>
      <c r="AA20" s="16" t="n">
        <v>0.022</v>
      </c>
      <c r="AB20" s="16" t="n">
        <v>0.03019319991401279</v>
      </c>
      <c r="AC20" s="9">
        <f>IF(AND(O20="",P20=""),"DATI MANCANTI",IF(AND(N(O20)&gt;=PARAMETRI!$B$4,N(P20)&gt;=PARAMETRI!$B$4),"OK","NO"))</f>
        <v/>
      </c>
      <c r="AD20" s="9">
        <f>IF(L20="","N/D",IF(L20&lt;PARAMETRI!$B$6,"OTTIMO",IF(L20&lt;PARAMETRI!$B$5,"OK","NO")))</f>
        <v/>
      </c>
      <c r="AE20" s="9">
        <f>IF(OR(AC20="DATI MANCANTI",AD20="N/D"),"DA COMPLETARE",IF(AND(AC20="OK",AD20="OTTIMO"),"PASSA FORTE",IF(AND(AC20="OK",AD20="OK"),"PASSA","SCARTA")))</f>
        <v/>
      </c>
      <c r="AF20" s="8" t="inlineStr">
        <is>
          <t>2026-08-04</t>
        </is>
      </c>
      <c r="AG20" s="8" t="inlineStr">
        <is>
          <t>yahoo</t>
        </is>
      </c>
      <c r="AH20" s="19" t="inlineStr"/>
    </row>
    <row r="21">
      <c r="A21" s="8" t="n">
        <v>20</v>
      </c>
      <c r="B21" s="8" t="inlineStr">
        <is>
          <t>Analog Devices</t>
        </is>
      </c>
      <c r="C21" s="8" t="inlineStr">
        <is>
          <t>ADI</t>
        </is>
      </c>
      <c r="D21" s="9" t="inlineStr">
        <is>
          <t>USA</t>
        </is>
      </c>
      <c r="E21" s="8" t="inlineStr">
        <is>
          <t>Semiconduttori</t>
        </is>
      </c>
      <c r="F21" s="9" t="inlineStr">
        <is>
          <t>Tecnologia</t>
        </is>
      </c>
      <c r="G21" s="10" t="n">
        <v>361.88</v>
      </c>
      <c r="H21" s="11" t="inlineStr">
        <is>
          <t>USD</t>
        </is>
      </c>
      <c r="I21" s="12" t="n">
        <v>176267.1</v>
      </c>
      <c r="J21" s="10" t="n">
        <v>6.72</v>
      </c>
      <c r="K21" s="10" t="n">
        <v>15.06237</v>
      </c>
      <c r="L21" s="13">
        <f>IF(OR(G21="",J21="",J21&lt;=0),"",G21/J21)</f>
        <v/>
      </c>
      <c r="M21" s="14" t="n">
        <v>5.223969</v>
      </c>
      <c r="N21" s="15">
        <f>IF(OR(M21="",L21="",L21&lt;=0),"",M21/L21)</f>
        <v/>
      </c>
      <c r="O21" s="16" t="n">
        <v>0.09639</v>
      </c>
      <c r="P21" s="16" t="n">
        <v>0.0705274694515223</v>
      </c>
      <c r="Q21" s="16" t="n">
        <v>0.01678852536801986</v>
      </c>
      <c r="R21" s="17" t="n">
        <v>4</v>
      </c>
      <c r="S21" s="16" t="n"/>
      <c r="T21" s="16" t="n">
        <v>0.06704987068897324</v>
      </c>
      <c r="U21" s="16" t="n">
        <v>0.04648789695635276</v>
      </c>
      <c r="V21" s="16" t="n">
        <v>0.09319745901616758</v>
      </c>
      <c r="W21" s="16" t="n">
        <v>0.07537465114459564</v>
      </c>
      <c r="X21" s="10" t="n">
        <v>4.4</v>
      </c>
      <c r="Y21" s="15">
        <f>IF(OR(X21="",G21="",G21=0),"",X21/G21)</f>
        <v/>
      </c>
      <c r="Z21" s="18" t="n">
        <v>25.81</v>
      </c>
      <c r="AA21" s="16" t="n">
        <v>0.372</v>
      </c>
      <c r="AB21" s="16" t="n">
        <v>0.3006824105214413</v>
      </c>
      <c r="AC21" s="9">
        <f>IF(AND(O21="",P21=""),"DATI MANCANTI",IF(AND(N(O21)&gt;=PARAMETRI!$B$4,N(P21)&gt;=PARAMETRI!$B$4),"OK","NO"))</f>
        <v/>
      </c>
      <c r="AD21" s="9">
        <f>IF(L21="","N/D",IF(L21&lt;PARAMETRI!$B$6,"OTTIMO",IF(L21&lt;PARAMETRI!$B$5,"OK","NO")))</f>
        <v/>
      </c>
      <c r="AE21" s="9">
        <f>IF(OR(AC21="DATI MANCANTI",AD21="N/D"),"DA COMPLETARE",IF(AND(AC21="OK",AD21="OTTIMO"),"PASSA FORTE",IF(AND(AC21="OK",AD21="OK"),"PASSA","SCARTA")))</f>
        <v/>
      </c>
      <c r="AF21" s="8" t="inlineStr">
        <is>
          <t>2026-08-04</t>
        </is>
      </c>
      <c r="AG21" s="8" t="inlineStr">
        <is>
          <t>yahoo</t>
        </is>
      </c>
      <c r="AH21" s="19" t="inlineStr"/>
    </row>
    <row r="22">
      <c r="A22" s="8" t="n">
        <v>21</v>
      </c>
      <c r="B22" s="8" t="inlineStr">
        <is>
          <t>Apple</t>
        </is>
      </c>
      <c r="C22" s="8" t="inlineStr">
        <is>
          <t>AAPL</t>
        </is>
      </c>
      <c r="D22" s="9" t="inlineStr">
        <is>
          <t>USA</t>
        </is>
      </c>
      <c r="E22" s="8" t="inlineStr">
        <is>
          <t>Hardware / Consumer tech</t>
        </is>
      </c>
      <c r="F22" s="9" t="inlineStr">
        <is>
          <t>Tecnologia</t>
        </is>
      </c>
      <c r="G22" s="10" t="n">
        <v>303.42</v>
      </c>
      <c r="H22" s="11" t="inlineStr">
        <is>
          <t>USD</t>
        </is>
      </c>
      <c r="I22" s="12" t="n">
        <v>4428166.3</v>
      </c>
      <c r="J22" s="10" t="n">
        <v>8.710000000000001</v>
      </c>
      <c r="K22" s="10" t="n">
        <v>9.513070000000001</v>
      </c>
      <c r="L22" s="13">
        <f>IF(OR(G22="",J22="",J22&lt;=0),"",G22/J22)</f>
        <v/>
      </c>
      <c r="M22" s="14" t="n">
        <v>41.225544</v>
      </c>
      <c r="N22" s="15">
        <f>IF(OR(M22="",L22="",L22&lt;=0),"",M22/L22)</f>
        <v/>
      </c>
      <c r="O22" s="16" t="n">
        <v>1.4875101</v>
      </c>
      <c r="P22" s="16" t="n">
        <v>1.673853434253124</v>
      </c>
      <c r="Q22" s="16" t="n">
        <v>0.1767542683955699</v>
      </c>
      <c r="R22" s="17" t="n">
        <v>4</v>
      </c>
      <c r="S22" s="16" t="n"/>
      <c r="T22" s="16" t="n">
        <v>1.519129833317511</v>
      </c>
      <c r="U22" s="16" t="n">
        <v>1.64593503072871</v>
      </c>
      <c r="V22" s="16" t="n">
        <v>1.560760145463908</v>
      </c>
      <c r="W22" s="16" t="n">
        <v>1.969588727502368</v>
      </c>
      <c r="X22" s="10" t="n">
        <v>1.08</v>
      </c>
      <c r="Y22" s="15">
        <f>IF(OR(X22="",G22="",G22=0),"",X22/G22)</f>
        <v/>
      </c>
      <c r="Z22" s="18" t="n">
        <v>78.44499999999999</v>
      </c>
      <c r="AA22" s="16" t="n">
        <v>0.164</v>
      </c>
      <c r="AB22" s="16" t="n">
        <v>0.3098079752787983</v>
      </c>
      <c r="AC22" s="9">
        <f>IF(AND(O22="",P22=""),"DATI MANCANTI",IF(AND(N(O22)&gt;=PARAMETRI!$B$4,N(P22)&gt;=PARAMETRI!$B$4),"OK","NO"))</f>
        <v/>
      </c>
      <c r="AD22" s="9">
        <f>IF(L22="","N/D",IF(L22&lt;PARAMETRI!$B$6,"OTTIMO",IF(L22&lt;PARAMETRI!$B$5,"OK","NO")))</f>
        <v/>
      </c>
      <c r="AE22" s="9">
        <f>IF(OR(AC22="DATI MANCANTI",AD22="N/D"),"DA COMPLETARE",IF(AND(AC22="OK",AD22="OTTIMO"),"PASSA FORTE",IF(AND(AC22="OK",AD22="OK"),"PASSA","SCARTA")))</f>
        <v/>
      </c>
      <c r="AF22" s="8" t="inlineStr">
        <is>
          <t>2026-08-04</t>
        </is>
      </c>
      <c r="AG22" s="8" t="inlineStr">
        <is>
          <t>yahoo</t>
        </is>
      </c>
      <c r="AH22" s="19" t="inlineStr"/>
    </row>
    <row r="23">
      <c r="A23" s="8" t="n">
        <v>22</v>
      </c>
      <c r="B23" s="8" t="inlineStr">
        <is>
          <t>Applied Materials</t>
        </is>
      </c>
      <c r="C23" s="8" t="inlineStr">
        <is>
          <t>AMAT</t>
        </is>
      </c>
      <c r="D23" s="9" t="inlineStr">
        <is>
          <t>USA</t>
        </is>
      </c>
      <c r="E23" s="8" t="inlineStr">
        <is>
          <t>Apparecchiature semicond.</t>
        </is>
      </c>
      <c r="F23" s="9" t="inlineStr">
        <is>
          <t>Tecnologia</t>
        </is>
      </c>
      <c r="G23" s="10" t="n">
        <v>518.21</v>
      </c>
      <c r="H23" s="11" t="inlineStr">
        <is>
          <t>USD</t>
        </is>
      </c>
      <c r="I23" s="12" t="n">
        <v>411437.7</v>
      </c>
      <c r="J23" s="10" t="n">
        <v>10.61</v>
      </c>
      <c r="K23" s="10" t="n">
        <v>17.00044</v>
      </c>
      <c r="L23" s="13">
        <f>IF(OR(G23="",J23="",J23&lt;=0),"",G23/J23)</f>
        <v/>
      </c>
      <c r="M23" s="14" t="n">
        <v>17.208275</v>
      </c>
      <c r="N23" s="15">
        <f>IF(OR(M23="",L23="",L23&lt;=0),"",M23/L23)</f>
        <v/>
      </c>
      <c r="O23" s="16" t="n">
        <v>0.39692003</v>
      </c>
      <c r="P23" s="16" t="n">
        <v>0.4187390558280515</v>
      </c>
      <c r="Q23" s="16" t="n">
        <v>0.07244233633790677</v>
      </c>
      <c r="R23" s="17" t="n">
        <v>4</v>
      </c>
      <c r="S23" s="16" t="n"/>
      <c r="T23" s="16" t="n">
        <v>0.3427871662992897</v>
      </c>
      <c r="U23" s="16" t="n">
        <v>0.377716962265144</v>
      </c>
      <c r="V23" s="16" t="n">
        <v>0.4193528656186923</v>
      </c>
      <c r="W23" s="16" t="n">
        <v>0.5350992291290799</v>
      </c>
      <c r="X23" s="10" t="n">
        <v>2.12</v>
      </c>
      <c r="Y23" s="15">
        <f>IF(OR(X23="",G23="",G23=0),"",X23/G23)</f>
        <v/>
      </c>
      <c r="Z23" s="18" t="n">
        <v>30.399</v>
      </c>
      <c r="AA23" s="16" t="n">
        <v>0.114</v>
      </c>
      <c r="AB23" s="16" t="n">
        <v>0.2999154066553864</v>
      </c>
      <c r="AC23" s="9">
        <f>IF(AND(O23="",P23=""),"DATI MANCANTI",IF(AND(N(O23)&gt;=PARAMETRI!$B$4,N(P23)&gt;=PARAMETRI!$B$4),"OK","NO"))</f>
        <v/>
      </c>
      <c r="AD23" s="9">
        <f>IF(L23="","N/D",IF(L23&lt;PARAMETRI!$B$6,"OTTIMO",IF(L23&lt;PARAMETRI!$B$5,"OK","NO")))</f>
        <v/>
      </c>
      <c r="AE23" s="9">
        <f>IF(OR(AC23="DATI MANCANTI",AD23="N/D"),"DA COMPLETARE",IF(AND(AC23="OK",AD23="OTTIMO"),"PASSA FORTE",IF(AND(AC23="OK",AD23="OK"),"PASSA","SCARTA")))</f>
        <v/>
      </c>
      <c r="AF23" s="8" t="inlineStr">
        <is>
          <t>2026-08-04</t>
        </is>
      </c>
      <c r="AG23" s="8" t="inlineStr">
        <is>
          <t>yahoo</t>
        </is>
      </c>
      <c r="AH23" s="19" t="inlineStr"/>
    </row>
    <row r="24">
      <c r="A24" s="8" t="n">
        <v>23</v>
      </c>
      <c r="B24" s="8" t="inlineStr">
        <is>
          <t>Arista Networks</t>
        </is>
      </c>
      <c r="C24" s="8" t="inlineStr">
        <is>
          <t>ANET</t>
        </is>
      </c>
      <c r="D24" s="9" t="inlineStr">
        <is>
          <t>USA</t>
        </is>
      </c>
      <c r="E24" s="8" t="inlineStr">
        <is>
          <t>Reti</t>
        </is>
      </c>
      <c r="F24" s="9" t="inlineStr">
        <is>
          <t>Tecnologia</t>
        </is>
      </c>
      <c r="G24" s="10" t="n">
        <v>184.89</v>
      </c>
      <c r="H24" s="11" t="inlineStr">
        <is>
          <t>USD</t>
        </is>
      </c>
      <c r="I24" s="12" t="n">
        <v>232807.8</v>
      </c>
      <c r="J24" s="10" t="n">
        <v>2.9</v>
      </c>
      <c r="K24" s="10" t="n">
        <v>4.46749</v>
      </c>
      <c r="L24" s="13">
        <f>IF(OR(G24="",J24="",J24&lt;=0),"",G24/J24)</f>
        <v/>
      </c>
      <c r="M24" s="14" t="n">
        <v>17.261692</v>
      </c>
      <c r="N24" s="15">
        <f>IF(OR(M24="",L24="",L24&lt;=0),"",M24/L24)</f>
        <v/>
      </c>
      <c r="O24" s="16" t="n">
        <v>0.31520998</v>
      </c>
      <c r="P24" s="16" t="n">
        <v>0.283789737682183</v>
      </c>
      <c r="Q24" s="16" t="n">
        <v>0.00446577937764146</v>
      </c>
      <c r="R24" s="17" t="n">
        <v>4</v>
      </c>
      <c r="S24" s="16" t="n"/>
      <c r="T24" s="16" t="n">
        <v>0.2838527141182652</v>
      </c>
      <c r="U24" s="16" t="n">
        <v>0.2853583863609077</v>
      </c>
      <c r="V24" s="16" t="n">
        <v>0.2891374069667529</v>
      </c>
      <c r="W24" s="16" t="n">
        <v>0.2768104432828062</v>
      </c>
      <c r="X24" s="10" t="n"/>
      <c r="Y24" s="15">
        <f>IF(OR(X24="",G24="",G24=0),"",X24/G24)</f>
        <v/>
      </c>
      <c r="Z24" s="18" t="n"/>
      <c r="AA24" s="16" t="n">
        <v>0.351</v>
      </c>
      <c r="AB24" s="16" t="n">
        <v>0.4131272380825477</v>
      </c>
      <c r="AC24" s="9">
        <f>IF(AND(O24="",P24=""),"DATI MANCANTI",IF(AND(N(O24)&gt;=PARAMETRI!$B$4,N(P24)&gt;=PARAMETRI!$B$4),"OK","NO"))</f>
        <v/>
      </c>
      <c r="AD24" s="9">
        <f>IF(L24="","N/D",IF(L24&lt;PARAMETRI!$B$6,"OTTIMO",IF(L24&lt;PARAMETRI!$B$5,"OK","NO")))</f>
        <v/>
      </c>
      <c r="AE24" s="9">
        <f>IF(OR(AC24="DATI MANCANTI",AD24="N/D"),"DA COMPLETARE",IF(AND(AC24="OK",AD24="OTTIMO"),"PASSA FORTE",IF(AND(AC24="OK",AD24="OK"),"PASSA","SCARTA")))</f>
        <v/>
      </c>
      <c r="AF24" s="8" t="inlineStr">
        <is>
          <t>2026-08-04</t>
        </is>
      </c>
      <c r="AG24" s="8" t="inlineStr">
        <is>
          <t>yahoo</t>
        </is>
      </c>
      <c r="AH24" s="19" t="inlineStr"/>
    </row>
    <row r="25">
      <c r="A25" s="8" t="n">
        <v>24</v>
      </c>
      <c r="B25" s="8" t="inlineStr">
        <is>
          <t>Assicurazioni Generali</t>
        </is>
      </c>
      <c r="C25" s="8" t="inlineStr">
        <is>
          <t>G.MI</t>
        </is>
      </c>
      <c r="D25" s="9" t="inlineStr">
        <is>
          <t>Italia</t>
        </is>
      </c>
      <c r="E25" s="8" t="inlineStr">
        <is>
          <t>Assicurazione</t>
        </is>
      </c>
      <c r="F25" s="9" t="inlineStr">
        <is>
          <t>Finanziario</t>
        </is>
      </c>
      <c r="G25" s="10" t="n">
        <v>44.46</v>
      </c>
      <c r="H25" s="11" t="inlineStr">
        <is>
          <t>EUR</t>
        </is>
      </c>
      <c r="I25" s="12" t="n">
        <v>66511.2</v>
      </c>
      <c r="J25" s="10" t="n">
        <v>2.69</v>
      </c>
      <c r="K25" s="10" t="n">
        <v>3.44254</v>
      </c>
      <c r="L25" s="13">
        <f>IF(OR(G25="",J25="",J25&lt;=0),"",G25/J25)</f>
        <v/>
      </c>
      <c r="M25" s="14" t="n">
        <v>2.0849748</v>
      </c>
      <c r="N25" s="15">
        <f>IF(OR(M25="",L25="",L25&lt;=0),"",M25/L25)</f>
        <v/>
      </c>
      <c r="O25" s="16" t="n">
        <v>0.13688</v>
      </c>
      <c r="P25" s="16" t="n">
        <v>0.1164672974509258</v>
      </c>
      <c r="Q25" s="16" t="n">
        <v>0.01905215662104418</v>
      </c>
      <c r="R25" s="17" t="n">
        <v>4</v>
      </c>
      <c r="S25" s="16" t="n"/>
      <c r="T25" s="16" t="n">
        <v>0.1301147704590818</v>
      </c>
      <c r="U25" s="16" t="n">
        <v>0.1225443417025898</v>
      </c>
      <c r="V25" s="16" t="n">
        <v>0.1293451620697988</v>
      </c>
      <c r="W25" s="16" t="n">
        <v>0.08386491557223265</v>
      </c>
      <c r="X25" s="10" t="n">
        <v>1.64</v>
      </c>
      <c r="Y25" s="15">
        <f>IF(OR(X25="",G25="",G25=0),"",X25/G25)</f>
        <v/>
      </c>
      <c r="Z25" s="18" t="n">
        <v>113.746</v>
      </c>
      <c r="AA25" s="16" t="n"/>
      <c r="AB25" s="16" t="n">
        <v>0.05598046926469993</v>
      </c>
      <c r="AC25" s="9">
        <f>IF(AND(O25="",P25=""),"DATI MANCANTI",IF(AND(N(O25)&gt;=PARAMETRI!$B$4,N(P25)&gt;=PARAMETRI!$B$4),"OK","NO"))</f>
        <v/>
      </c>
      <c r="AD25" s="9">
        <f>IF(L25="","N/D",IF(L25&lt;PARAMETRI!$B$6,"OTTIMO",IF(L25&lt;PARAMETRI!$B$5,"OK","NO")))</f>
        <v/>
      </c>
      <c r="AE25" s="9">
        <f>IF(OR(AC25="DATI MANCANTI",AD25="N/D"),"DA COMPLETARE",IF(AND(AC25="OK",AD25="OTTIMO"),"PASSA FORTE",IF(AND(AC25="OK",AD25="OK"),"PASSA","SCARTA")))</f>
        <v/>
      </c>
      <c r="AF25" s="8" t="inlineStr">
        <is>
          <t>2026-08-04</t>
        </is>
      </c>
      <c r="AG25" s="8" t="inlineStr">
        <is>
          <t>yahoo</t>
        </is>
      </c>
      <c r="AH25" s="19" t="inlineStr"/>
    </row>
    <row r="26">
      <c r="A26" s="8" t="n">
        <v>25</v>
      </c>
      <c r="B26" s="8" t="inlineStr">
        <is>
          <t>Azimut Holding</t>
        </is>
      </c>
      <c r="C26" s="8" t="inlineStr">
        <is>
          <t>AZM.MI</t>
        </is>
      </c>
      <c r="D26" s="9" t="inlineStr">
        <is>
          <t>Italia</t>
        </is>
      </c>
      <c r="E26" s="8" t="inlineStr">
        <is>
          <t>Risparmio gestito</t>
        </is>
      </c>
      <c r="F26" s="9" t="inlineStr">
        <is>
          <t>Finanziario</t>
        </is>
      </c>
      <c r="G26" s="10" t="n">
        <v>37.54</v>
      </c>
      <c r="H26" s="11" t="inlineStr">
        <is>
          <t>EUR</t>
        </is>
      </c>
      <c r="I26" s="12" t="n">
        <v>5323.9</v>
      </c>
      <c r="J26" s="10" t="n">
        <v>3.72</v>
      </c>
      <c r="K26" s="10" t="n">
        <v>3.64518</v>
      </c>
      <c r="L26" s="13">
        <f>IF(OR(G26="",J26="",J26&lt;=0),"",G26/J26)</f>
        <v/>
      </c>
      <c r="M26" s="14" t="n">
        <v>2.679706</v>
      </c>
      <c r="N26" s="15">
        <f>IF(OR(M26="",L26="",L26&lt;=0),"",M26/L26)</f>
        <v/>
      </c>
      <c r="O26" s="16" t="n">
        <v>0.29348</v>
      </c>
      <c r="P26" s="16" t="n">
        <v>0.2809648123616741</v>
      </c>
      <c r="Q26" s="16" t="n">
        <v>0.01535346990982674</v>
      </c>
      <c r="R26" s="17" t="n">
        <v>4</v>
      </c>
      <c r="S26" s="16" t="n"/>
      <c r="T26" s="16" t="n">
        <v>0.2572535562453722</v>
      </c>
      <c r="U26" s="16" t="n">
        <v>0.299582732129626</v>
      </c>
      <c r="V26" s="16" t="n">
        <v>0.2802638265818115</v>
      </c>
      <c r="W26" s="16" t="n">
        <v>0.2867591344898866</v>
      </c>
      <c r="X26" s="10" t="n">
        <v>2</v>
      </c>
      <c r="Y26" s="15">
        <f>IF(OR(X26="",G26="",G26=0),"",X26/G26)</f>
        <v/>
      </c>
      <c r="Z26" s="18" t="n">
        <v>4.261</v>
      </c>
      <c r="AA26" s="16" t="n">
        <v>0.17</v>
      </c>
      <c r="AB26" s="16" t="n">
        <v>0.3749142073513007</v>
      </c>
      <c r="AC26" s="9">
        <f>IF(AND(O26="",P26=""),"DATI MANCANTI",IF(AND(N(O26)&gt;=PARAMETRI!$B$4,N(P26)&gt;=PARAMETRI!$B$4),"OK","NO"))</f>
        <v/>
      </c>
      <c r="AD26" s="9">
        <f>IF(L26="","N/D",IF(L26&lt;PARAMETRI!$B$6,"OTTIMO",IF(L26&lt;PARAMETRI!$B$5,"OK","NO")))</f>
        <v/>
      </c>
      <c r="AE26" s="9">
        <f>IF(OR(AC26="DATI MANCANTI",AD26="N/D"),"DA COMPLETARE",IF(AND(AC26="OK",AD26="OTTIMO"),"PASSA FORTE",IF(AND(AC26="OK",AD26="OK"),"PASSA","SCARTA")))</f>
        <v/>
      </c>
      <c r="AF26" s="8" t="inlineStr">
        <is>
          <t>2026-08-04</t>
        </is>
      </c>
      <c r="AG26" s="8" t="inlineStr">
        <is>
          <t>yahoo</t>
        </is>
      </c>
      <c r="AH26" s="19" t="inlineStr"/>
    </row>
    <row r="27">
      <c r="A27" s="8" t="n">
        <v>26</v>
      </c>
      <c r="B27" s="8" t="inlineStr">
        <is>
          <t>BB Biotech</t>
        </is>
      </c>
      <c r="C27" s="8" t="inlineStr">
        <is>
          <t>BION.SW</t>
        </is>
      </c>
      <c r="D27" s="9" t="inlineStr">
        <is>
          <t>Italia</t>
        </is>
      </c>
      <c r="E27" s="8" t="inlineStr">
        <is>
          <t>Veicolo biotech</t>
        </is>
      </c>
      <c r="F27" s="9" t="inlineStr">
        <is>
          <t>Veicolo</t>
        </is>
      </c>
      <c r="G27" s="10" t="n">
        <v>50.7</v>
      </c>
      <c r="H27" s="11" t="inlineStr">
        <is>
          <t>CHF</t>
        </is>
      </c>
      <c r="I27" s="12" t="n">
        <v>2796.1</v>
      </c>
      <c r="J27" s="10" t="n">
        <v>24.57</v>
      </c>
      <c r="K27" s="10" t="n">
        <v>-0.65777</v>
      </c>
      <c r="L27" s="13">
        <f>IF(OR(G27="",J27="",J27&lt;=0),"",G27/J27)</f>
        <v/>
      </c>
      <c r="M27" s="14" t="n">
        <v>0.90658754</v>
      </c>
      <c r="N27" s="15">
        <f>IF(OR(M27="",L27="",L27&lt;=0),"",M27/L27)</f>
        <v/>
      </c>
      <c r="O27" s="16" t="n">
        <v>0.54764</v>
      </c>
      <c r="P27" s="16" t="n">
        <v>0.004777857685230683</v>
      </c>
      <c r="Q27" s="16" t="n">
        <v>0.1322398198407014</v>
      </c>
      <c r="R27" s="17" t="n">
        <v>4</v>
      </c>
      <c r="S27" s="16" t="n"/>
      <c r="T27" s="16" t="n">
        <v>0.2080524401851888</v>
      </c>
      <c r="U27" s="16" t="n">
        <v>0.033197421851627</v>
      </c>
      <c r="V27" s="16" t="n">
        <v>-0.08893142569118598</v>
      </c>
      <c r="W27" s="16" t="n">
        <v>-0.1332070056047071</v>
      </c>
      <c r="X27" s="10" t="n">
        <v>2.25</v>
      </c>
      <c r="Y27" s="15">
        <f>IF(OR(X27="",G27="",G27=0),"",X27/G27)</f>
        <v/>
      </c>
      <c r="Z27" s="18" t="n"/>
      <c r="AA27" s="16" t="n"/>
      <c r="AB27" s="16" t="n">
        <v>2.29826056588763</v>
      </c>
      <c r="AC27" s="9">
        <f>IF(AND(O27="",P27=""),"DATI MANCANTI",IF(AND(N(O27)&gt;=PARAMETRI!$B$4,N(P27)&gt;=PARAMETRI!$B$4),"OK","NO"))</f>
        <v/>
      </c>
      <c r="AD27" s="9">
        <f>IF(L27="","N/D",IF(L27&lt;PARAMETRI!$B$6,"OTTIMO",IF(L27&lt;PARAMETRI!$B$5,"OK","NO")))</f>
        <v/>
      </c>
      <c r="AE27" s="9">
        <f>IF(OR(AC27="DATI MANCANTI",AD27="N/D"),"DA COMPLETARE",IF(AND(AC27="OK",AD27="OTTIMO"),"PASSA FORTE",IF(AND(AC27="OK",AD27="OK"),"PASSA","SCARTA")))</f>
        <v/>
      </c>
      <c r="AF27" s="8" t="inlineStr">
        <is>
          <t>2026-08-04</t>
        </is>
      </c>
      <c r="AG27" s="8" t="inlineStr">
        <is>
          <t>yahoo</t>
        </is>
      </c>
      <c r="AH27" s="19" t="inlineStr">
        <is>
          <t>Quotata Zurigo/Xetra, NAV-driven: ROE poco significativo</t>
        </is>
      </c>
    </row>
    <row r="28">
      <c r="A28" s="8" t="n">
        <v>27</v>
      </c>
      <c r="B28" s="8" t="inlineStr">
        <is>
          <t>BPER Banca</t>
        </is>
      </c>
      <c r="C28" s="8" t="inlineStr">
        <is>
          <t>BPE.MI</t>
        </is>
      </c>
      <c r="D28" s="9" t="inlineStr">
        <is>
          <t>Italia</t>
        </is>
      </c>
      <c r="E28" s="8" t="inlineStr">
        <is>
          <t>Banca</t>
        </is>
      </c>
      <c r="F28" s="9" t="inlineStr">
        <is>
          <t>Finanziario</t>
        </is>
      </c>
      <c r="G28" s="10" t="n">
        <v>14.87</v>
      </c>
      <c r="H28" s="11" t="inlineStr">
        <is>
          <t>EUR</t>
        </is>
      </c>
      <c r="I28" s="12" t="n">
        <v>30990.7</v>
      </c>
      <c r="J28" s="10" t="n">
        <v>1.05</v>
      </c>
      <c r="K28" s="10" t="n">
        <v>1.27856</v>
      </c>
      <c r="L28" s="13">
        <f>IF(OR(G28="",J28="",J28&lt;=0),"",G28/J28)</f>
        <v/>
      </c>
      <c r="M28" s="14" t="n">
        <v>1.7153403</v>
      </c>
      <c r="N28" s="15">
        <f>IF(OR(M28="",L28="",L28&lt;=0),"",M28/L28)</f>
        <v/>
      </c>
      <c r="O28" s="16" t="n">
        <v>0.13133</v>
      </c>
      <c r="P28" s="16" t="n">
        <v>0.1445086984556243</v>
      </c>
      <c r="Q28" s="16" t="n">
        <v>0.02916558394996791</v>
      </c>
      <c r="R28" s="17" t="n">
        <v>4</v>
      </c>
      <c r="S28" s="16" t="n"/>
      <c r="T28" s="16" t="n">
        <v>0.1097761581692051</v>
      </c>
      <c r="U28" s="16" t="n">
        <v>0.1235393192469138</v>
      </c>
      <c r="V28" s="16" t="n">
        <v>0.1622327383431547</v>
      </c>
      <c r="W28" s="16" t="n">
        <v>0.1824865780632235</v>
      </c>
      <c r="X28" s="10" t="n">
        <v>1.26</v>
      </c>
      <c r="Y28" s="15">
        <f>IF(OR(X28="",G28="",G28=0),"",X28/G28)</f>
        <v/>
      </c>
      <c r="Z28" s="18" t="n"/>
      <c r="AA28" s="16" t="n">
        <v>0.241</v>
      </c>
      <c r="AB28" s="16" t="n">
        <v>0.2715994784439413</v>
      </c>
      <c r="AC28" s="9">
        <f>IF(AND(O28="",P28=""),"DATI MANCANTI",IF(AND(N(O28)&gt;=PARAMETRI!$B$4,N(P28)&gt;=PARAMETRI!$B$4),"OK","NO"))</f>
        <v/>
      </c>
      <c r="AD28" s="9">
        <f>IF(L28="","N/D",IF(L28&lt;PARAMETRI!$B$6,"OTTIMO",IF(L28&lt;PARAMETRI!$B$5,"OK","NO")))</f>
        <v/>
      </c>
      <c r="AE28" s="9">
        <f>IF(OR(AC28="DATI MANCANTI",AD28="N/D"),"DA COMPLETARE",IF(AND(AC28="OK",AD28="OTTIMO"),"PASSA FORTE",IF(AND(AC28="OK",AD28="OK"),"PASSA","SCARTA")))</f>
        <v/>
      </c>
      <c r="AF28" s="8" t="inlineStr">
        <is>
          <t>2026-08-04</t>
        </is>
      </c>
      <c r="AG28" s="8" t="inlineStr">
        <is>
          <t>yahoo</t>
        </is>
      </c>
      <c r="AH28" s="19" t="inlineStr"/>
    </row>
    <row r="29">
      <c r="A29" s="8" t="n">
        <v>28</v>
      </c>
      <c r="B29" s="8" t="inlineStr">
        <is>
          <t>Banca Generali</t>
        </is>
      </c>
      <c r="C29" s="8" t="inlineStr">
        <is>
          <t>BGN.MI</t>
        </is>
      </c>
      <c r="D29" s="9" t="inlineStr">
        <is>
          <t>Italia</t>
        </is>
      </c>
      <c r="E29" s="8" t="inlineStr">
        <is>
          <t>Risparmio gestito</t>
        </is>
      </c>
      <c r="F29" s="9" t="inlineStr">
        <is>
          <t>Finanziario</t>
        </is>
      </c>
      <c r="G29" s="10" t="n">
        <v>66.5</v>
      </c>
      <c r="H29" s="11" t="inlineStr">
        <is>
          <t>EUR</t>
        </is>
      </c>
      <c r="I29" s="12" t="n">
        <v>7575</v>
      </c>
      <c r="J29" s="10" t="n">
        <v>4.61</v>
      </c>
      <c r="K29" s="10" t="n">
        <v>3.87342</v>
      </c>
      <c r="L29" s="13">
        <f>IF(OR(G29="",J29="",J29&lt;=0),"",G29/J29)</f>
        <v/>
      </c>
      <c r="M29" s="14" t="n">
        <v>4.790376</v>
      </c>
      <c r="N29" s="15">
        <f>IF(OR(M29="",L29="",L29&lt;=0),"",M29/L29)</f>
        <v/>
      </c>
      <c r="O29" s="16" t="n">
        <v>0.36486998</v>
      </c>
      <c r="P29" s="16" t="n">
        <v>0.2618840820075273</v>
      </c>
      <c r="Q29" s="16" t="n">
        <v>0.03724667157956014</v>
      </c>
      <c r="R29" s="17" t="n">
        <v>4</v>
      </c>
      <c r="S29" s="16" t="n"/>
      <c r="T29" s="16" t="n">
        <v>0.2838222375004775</v>
      </c>
      <c r="U29" s="16" t="n">
        <v>0.2953751670464812</v>
      </c>
      <c r="V29" s="16" t="n">
        <v>0.2688834530025302</v>
      </c>
      <c r="W29" s="16" t="n">
        <v>0.1994554704806203</v>
      </c>
      <c r="X29" s="10" t="n">
        <v>2.9</v>
      </c>
      <c r="Y29" s="15">
        <f>IF(OR(X29="",G29="",G29=0),"",X29/G29)</f>
        <v/>
      </c>
      <c r="Z29" s="18" t="n"/>
      <c r="AA29" s="16" t="n">
        <v>0.434</v>
      </c>
      <c r="AB29" s="16" t="n">
        <v>0.4479705012430691</v>
      </c>
      <c r="AC29" s="9">
        <f>IF(AND(O29="",P29=""),"DATI MANCANTI",IF(AND(N(O29)&gt;=PARAMETRI!$B$4,N(P29)&gt;=PARAMETRI!$B$4),"OK","NO"))</f>
        <v/>
      </c>
      <c r="AD29" s="9">
        <f>IF(L29="","N/D",IF(L29&lt;PARAMETRI!$B$6,"OTTIMO",IF(L29&lt;PARAMETRI!$B$5,"OK","NO")))</f>
        <v/>
      </c>
      <c r="AE29" s="9">
        <f>IF(OR(AC29="DATI MANCANTI",AD29="N/D"),"DA COMPLETARE",IF(AND(AC29="OK",AD29="OTTIMO"),"PASSA FORTE",IF(AND(AC29="OK",AD29="OK"),"PASSA","SCARTA")))</f>
        <v/>
      </c>
      <c r="AF29" s="8" t="inlineStr">
        <is>
          <t>2026-08-04</t>
        </is>
      </c>
      <c r="AG29" s="8" t="inlineStr">
        <is>
          <t>yahoo</t>
        </is>
      </c>
      <c r="AH29" s="19" t="inlineStr"/>
    </row>
    <row r="30">
      <c r="A30" s="8" t="n">
        <v>29</v>
      </c>
      <c r="B30" s="8" t="inlineStr">
        <is>
          <t>Banca Ifis</t>
        </is>
      </c>
      <c r="C30" s="8" t="inlineStr">
        <is>
          <t>IF.MI</t>
        </is>
      </c>
      <c r="D30" s="9" t="inlineStr">
        <is>
          <t>Italia</t>
        </is>
      </c>
      <c r="E30" s="8" t="inlineStr">
        <is>
          <t>Banca</t>
        </is>
      </c>
      <c r="F30" s="9" t="inlineStr">
        <is>
          <t>Finanziario</t>
        </is>
      </c>
      <c r="G30" s="10" t="n">
        <v>14.93</v>
      </c>
      <c r="H30" s="11" t="inlineStr">
        <is>
          <t>EUR</t>
        </is>
      </c>
      <c r="I30" s="12" t="n">
        <v>911.9</v>
      </c>
      <c r="J30" s="10" t="n">
        <v>5.33</v>
      </c>
      <c r="K30" s="10" t="n">
        <v>2.06056</v>
      </c>
      <c r="L30" s="13">
        <f>IF(OR(G30="",J30="",J30&lt;=0),"",G30/J30)</f>
        <v/>
      </c>
      <c r="M30" s="14" t="n">
        <v>0.43019736</v>
      </c>
      <c r="N30" s="15">
        <f>IF(OR(M30="",L30="",L30&lt;=0),"",M30/L30)</f>
        <v/>
      </c>
      <c r="O30" s="16" t="n">
        <v>0.15787</v>
      </c>
      <c r="P30" s="16" t="n">
        <v>0.1080837120556844</v>
      </c>
      <c r="Q30" s="16" t="n">
        <v>0.02703035448321747</v>
      </c>
      <c r="R30" s="17" t="n">
        <v>4</v>
      </c>
      <c r="S30" s="16" t="n"/>
      <c r="T30" s="16" t="n">
        <v>0.1547337791733341</v>
      </c>
      <c r="U30" s="16" t="n">
        <v>0.09327314395229491</v>
      </c>
      <c r="V30" s="16" t="n">
        <v>0.09533427133380451</v>
      </c>
      <c r="W30" s="16" t="n">
        <v>0.08899365376330386</v>
      </c>
      <c r="X30" s="10" t="n">
        <v>2.12</v>
      </c>
      <c r="Y30" s="15">
        <f>IF(OR(X30="",G30="",G30=0),"",X30/G30)</f>
        <v/>
      </c>
      <c r="Z30" s="18" t="n"/>
      <c r="AA30" s="16" t="n">
        <v>0.204</v>
      </c>
      <c r="AB30" s="16" t="n">
        <v>0.4350236780862317</v>
      </c>
      <c r="AC30" s="9">
        <f>IF(AND(O30="",P30=""),"DATI MANCANTI",IF(AND(N(O30)&gt;=PARAMETRI!$B$4,N(P30)&gt;=PARAMETRI!$B$4),"OK","NO"))</f>
        <v/>
      </c>
      <c r="AD30" s="9">
        <f>IF(L30="","N/D",IF(L30&lt;PARAMETRI!$B$6,"OTTIMO",IF(L30&lt;PARAMETRI!$B$5,"OK","NO")))</f>
        <v/>
      </c>
      <c r="AE30" s="9">
        <f>IF(OR(AC30="DATI MANCANTI",AD30="N/D"),"DA COMPLETARE",IF(AND(AC30="OK",AD30="OTTIMO"),"PASSA FORTE",IF(AND(AC30="OK",AD30="OK"),"PASSA","SCARTA")))</f>
        <v/>
      </c>
      <c r="AF30" s="8" t="inlineStr">
        <is>
          <t>2026-08-04</t>
        </is>
      </c>
      <c r="AG30" s="8" t="inlineStr">
        <is>
          <t>yahoo</t>
        </is>
      </c>
      <c r="AH30" s="19" t="inlineStr"/>
    </row>
    <row r="31">
      <c r="A31" s="8" t="n">
        <v>30</v>
      </c>
      <c r="B31" s="8" t="inlineStr">
        <is>
          <t>Banca Mediolanum</t>
        </is>
      </c>
      <c r="C31" s="8" t="inlineStr">
        <is>
          <t>BMED.MI</t>
        </is>
      </c>
      <c r="D31" s="9" t="inlineStr">
        <is>
          <t>Italia</t>
        </is>
      </c>
      <c r="E31" s="8" t="inlineStr">
        <is>
          <t>Banca</t>
        </is>
      </c>
      <c r="F31" s="9" t="inlineStr">
        <is>
          <t>Finanziario</t>
        </is>
      </c>
      <c r="G31" s="10" t="n">
        <v>23.73</v>
      </c>
      <c r="H31" s="11" t="inlineStr">
        <is>
          <t>EUR</t>
        </is>
      </c>
      <c r="I31" s="12" t="n">
        <v>17543.9</v>
      </c>
      <c r="J31" s="10" t="n">
        <v>1.56</v>
      </c>
      <c r="K31" s="10" t="n">
        <v>1.55913</v>
      </c>
      <c r="L31" s="13">
        <f>IF(OR(G31="",J31="",J31&lt;=0),"",G31/J31)</f>
        <v/>
      </c>
      <c r="M31" s="14" t="n">
        <v>3.9029605</v>
      </c>
      <c r="N31" s="15">
        <f>IF(OR(M31="",L31="",L31&lt;=0),"",M31/L31)</f>
        <v/>
      </c>
      <c r="O31" s="16" t="n">
        <v>0.2754358183510404</v>
      </c>
      <c r="P31" s="16" t="n">
        <v>0.2408436712214453</v>
      </c>
      <c r="Q31" s="16" t="n">
        <v>0.04285069479521749</v>
      </c>
      <c r="R31" s="17" t="n">
        <v>4</v>
      </c>
      <c r="S31" s="16" t="n"/>
      <c r="T31" s="16" t="n">
        <v>0.2754358183510404</v>
      </c>
      <c r="U31" s="16" t="n">
        <v>0.2781189451824767</v>
      </c>
      <c r="V31" s="16" t="n">
        <v>0.2378963395219322</v>
      </c>
      <c r="W31" s="16" t="n">
        <v>0.1719235818303319</v>
      </c>
      <c r="X31" s="10" t="n">
        <v>1.3</v>
      </c>
      <c r="Y31" s="15">
        <f>IF(OR(X31="",G31="",G31=0),"",X31/G31)</f>
        <v/>
      </c>
      <c r="Z31" s="18" t="n"/>
      <c r="AA31" s="16" t="n">
        <v>0.111</v>
      </c>
      <c r="AB31" s="16" t="n">
        <v>0.5392820074067336</v>
      </c>
      <c r="AC31" s="9">
        <f>IF(AND(O31="",P31=""),"DATI MANCANTI",IF(AND(N(O31)&gt;=PARAMETRI!$B$4,N(P31)&gt;=PARAMETRI!$B$4),"OK","NO"))</f>
        <v/>
      </c>
      <c r="AD31" s="9">
        <f>IF(L31="","N/D",IF(L31&lt;PARAMETRI!$B$6,"OTTIMO",IF(L31&lt;PARAMETRI!$B$5,"OK","NO")))</f>
        <v/>
      </c>
      <c r="AE31" s="9">
        <f>IF(OR(AC31="DATI MANCANTI",AD31="N/D"),"DA COMPLETARE",IF(AND(AC31="OK",AD31="OTTIMO"),"PASSA FORTE",IF(AND(AC31="OK",AD31="OK"),"PASSA","SCARTA")))</f>
        <v/>
      </c>
      <c r="AF31" s="8" t="inlineStr">
        <is>
          <t>2026-08-04</t>
        </is>
      </c>
      <c r="AG31" s="8" t="inlineStr">
        <is>
          <t>yahoo</t>
        </is>
      </c>
      <c r="AH31" s="19" t="inlineStr"/>
    </row>
    <row r="32">
      <c r="A32" s="8" t="n">
        <v>31</v>
      </c>
      <c r="B32" s="8" t="inlineStr">
        <is>
          <t>Banca Monte dei Paschi</t>
        </is>
      </c>
      <c r="C32" s="8" t="inlineStr">
        <is>
          <t>BMPS.MI</t>
        </is>
      </c>
      <c r="D32" s="9" t="inlineStr">
        <is>
          <t>Italia</t>
        </is>
      </c>
      <c r="E32" s="8" t="inlineStr">
        <is>
          <t>Banca</t>
        </is>
      </c>
      <c r="F32" s="9" t="inlineStr">
        <is>
          <t>Finanziario</t>
        </is>
      </c>
      <c r="G32" s="10" t="n">
        <v>11.712</v>
      </c>
      <c r="H32" s="11" t="inlineStr">
        <is>
          <t>EUR</t>
        </is>
      </c>
      <c r="I32" s="12" t="n">
        <v>35586</v>
      </c>
      <c r="J32" s="10" t="n">
        <v>1.38</v>
      </c>
      <c r="K32" s="10" t="n">
        <v>0.89069</v>
      </c>
      <c r="L32" s="13">
        <f>IF(OR(G32="",J32="",J32&lt;=0),"",G32/J32)</f>
        <v/>
      </c>
      <c r="M32" s="14" t="n">
        <v>1.251817</v>
      </c>
      <c r="N32" s="15">
        <f>IF(OR(M32="",L32="",L32&lt;=0),"",M32/L32)</f>
        <v/>
      </c>
      <c r="O32" s="16" t="n">
        <v>0.13343</v>
      </c>
      <c r="P32" s="16" t="n">
        <v>0.1118793043818977</v>
      </c>
      <c r="Q32" s="16" t="n">
        <v>0.08689710531060152</v>
      </c>
      <c r="R32" s="17" t="n">
        <v>4</v>
      </c>
      <c r="S32" s="16" t="n"/>
      <c r="T32" s="16" t="n">
        <v>0.09712411852409344</v>
      </c>
      <c r="U32" s="16" t="n">
        <v>0.1674643066481196</v>
      </c>
      <c r="V32" s="16" t="n">
        <v>0.2056210488634617</v>
      </c>
      <c r="W32" s="16" t="n">
        <v>-0.02269225650808385</v>
      </c>
      <c r="X32" s="10" t="n">
        <v>0.86</v>
      </c>
      <c r="Y32" s="15">
        <f>IF(OR(X32="",G32="",G32=0),"",X32/G32)</f>
        <v/>
      </c>
      <c r="Z32" s="18" t="n"/>
      <c r="AA32" s="16" t="n">
        <v>0.959</v>
      </c>
      <c r="AB32" s="16" t="n">
        <v>0.5645294258421514</v>
      </c>
      <c r="AC32" s="9">
        <f>IF(AND(O32="",P32=""),"DATI MANCANTI",IF(AND(N(O32)&gt;=PARAMETRI!$B$4,N(P32)&gt;=PARAMETRI!$B$4),"OK","NO"))</f>
        <v/>
      </c>
      <c r="AD32" s="9">
        <f>IF(L32="","N/D",IF(L32&lt;PARAMETRI!$B$6,"OTTIMO",IF(L32&lt;PARAMETRI!$B$5,"OK","NO")))</f>
        <v/>
      </c>
      <c r="AE32" s="9">
        <f>IF(OR(AC32="DATI MANCANTI",AD32="N/D"),"DA COMPLETARE",IF(AND(AC32="OK",AD32="OTTIMO"),"PASSA FORTE",IF(AND(AC32="OK",AD32="OK"),"PASSA","SCARTA")))</f>
        <v/>
      </c>
      <c r="AF32" s="8" t="inlineStr">
        <is>
          <t>2026-08-04</t>
        </is>
      </c>
      <c r="AG32" s="8" t="inlineStr">
        <is>
          <t>yahoo</t>
        </is>
      </c>
      <c r="AH32" s="19" t="inlineStr"/>
    </row>
    <row r="33">
      <c r="A33" s="8" t="n">
        <v>32</v>
      </c>
      <c r="B33" s="8" t="inlineStr">
        <is>
          <t>Banca Profilo</t>
        </is>
      </c>
      <c r="C33" s="8" t="inlineStr">
        <is>
          <t>PRO.MI</t>
        </is>
      </c>
      <c r="D33" s="9" t="inlineStr">
        <is>
          <t>Italia</t>
        </is>
      </c>
      <c r="E33" s="8" t="inlineStr">
        <is>
          <t>Banca</t>
        </is>
      </c>
      <c r="F33" s="9" t="inlineStr">
        <is>
          <t>Finanziario</t>
        </is>
      </c>
      <c r="G33" s="10" t="n">
        <v>1.6538</v>
      </c>
      <c r="H33" s="11" t="inlineStr">
        <is>
          <t>EUR</t>
        </is>
      </c>
      <c r="I33" s="12" t="n">
        <v>109.3</v>
      </c>
      <c r="J33" s="10" t="n">
        <v>0.12</v>
      </c>
      <c r="K33" s="10" t="n">
        <v>0.16</v>
      </c>
      <c r="L33" s="13">
        <f>IF(OR(G33="",J33="",J33&lt;=0),"",G33/J33)</f>
        <v/>
      </c>
      <c r="M33" s="14" t="n">
        <v>0.65940994</v>
      </c>
      <c r="N33" s="15">
        <f>IF(OR(M33="",L33="",L33&lt;=0),"",M33/L33)</f>
        <v/>
      </c>
      <c r="O33" s="16" t="n">
        <v>0.049450003</v>
      </c>
      <c r="P33" s="16" t="n">
        <v>0.06503077574268615</v>
      </c>
      <c r="Q33" s="16" t="n">
        <v>0.006357036968247848</v>
      </c>
      <c r="R33" s="17" t="n">
        <v>4</v>
      </c>
      <c r="S33" s="16" t="n"/>
      <c r="T33" s="16" t="n">
        <v>0.060088543950598</v>
      </c>
      <c r="U33" s="16" t="n">
        <v>0.05765696403735347</v>
      </c>
      <c r="V33" s="16" t="n">
        <v>0.07306048899843912</v>
      </c>
      <c r="W33" s="16" t="n">
        <v>0.06931710598435398</v>
      </c>
      <c r="X33" s="10" t="n">
        <v>0.07000000000000001</v>
      </c>
      <c r="Y33" s="15">
        <f>IF(OR(X33="",G33="",G33=0),"",X33/G33)</f>
        <v/>
      </c>
      <c r="Z33" s="18" t="n"/>
      <c r="AA33" s="16" t="n">
        <v>-0.366</v>
      </c>
      <c r="AB33" s="16" t="n">
        <v>0.1203926489039781</v>
      </c>
      <c r="AC33" s="9">
        <f>IF(AND(O33="",P33=""),"DATI MANCANTI",IF(AND(N(O33)&gt;=PARAMETRI!$B$4,N(P33)&gt;=PARAMETRI!$B$4),"OK","NO"))</f>
        <v/>
      </c>
      <c r="AD33" s="9">
        <f>IF(L33="","N/D",IF(L33&lt;PARAMETRI!$B$6,"OTTIMO",IF(L33&lt;PARAMETRI!$B$5,"OK","NO")))</f>
        <v/>
      </c>
      <c r="AE33" s="9">
        <f>IF(OR(AC33="DATI MANCANTI",AD33="N/D"),"DA COMPLETARE",IF(AND(AC33="OK",AD33="OTTIMO"),"PASSA FORTE",IF(AND(AC33="OK",AD33="OK"),"PASSA","SCARTA")))</f>
        <v/>
      </c>
      <c r="AF33" s="8" t="inlineStr">
        <is>
          <t>2026-08-04</t>
        </is>
      </c>
      <c r="AG33" s="8" t="inlineStr">
        <is>
          <t>yahoo</t>
        </is>
      </c>
      <c r="AH33" s="19" t="inlineStr"/>
    </row>
    <row r="34">
      <c r="A34" s="8" t="n">
        <v>33</v>
      </c>
      <c r="B34" s="8" t="inlineStr">
        <is>
          <t>Banco BPM</t>
        </is>
      </c>
      <c r="C34" s="8" t="inlineStr">
        <is>
          <t>BAMI.MI</t>
        </is>
      </c>
      <c r="D34" s="9" t="inlineStr">
        <is>
          <t>Italia</t>
        </is>
      </c>
      <c r="E34" s="8" t="inlineStr">
        <is>
          <t>Banca</t>
        </is>
      </c>
      <c r="F34" s="9" t="inlineStr">
        <is>
          <t>Finanziario</t>
        </is>
      </c>
      <c r="G34" s="10" t="n">
        <v>16.295</v>
      </c>
      <c r="H34" s="11" t="inlineStr">
        <is>
          <t>EUR</t>
        </is>
      </c>
      <c r="I34" s="12" t="n">
        <v>24525</v>
      </c>
      <c r="J34" s="10" t="n">
        <v>1.38</v>
      </c>
      <c r="K34" s="10" t="n">
        <v>1.36754</v>
      </c>
      <c r="L34" s="13">
        <f>IF(OR(G34="",J34="",J34&lt;=0),"",G34/J34)</f>
        <v/>
      </c>
      <c r="M34" s="14" t="n">
        <v>1.5967664</v>
      </c>
      <c r="N34" s="15">
        <f>IF(OR(M34="",L34="",L34&lt;=0),"",M34/L34)</f>
        <v/>
      </c>
      <c r="O34" s="16" t="n">
        <v>0.13722</v>
      </c>
      <c r="P34" s="16" t="n">
        <v>0.1021211334100729</v>
      </c>
      <c r="Q34" s="16" t="n">
        <v>0.03350975211730548</v>
      </c>
      <c r="R34" s="17" t="n">
        <v>4</v>
      </c>
      <c r="S34" s="16" t="n"/>
      <c r="T34" s="16" t="n">
        <v>0.1342812323198498</v>
      </c>
      <c r="U34" s="16" t="n">
        <v>0.1314982535880892</v>
      </c>
      <c r="V34" s="16" t="n">
        <v>0.09007299567491081</v>
      </c>
      <c r="W34" s="16" t="n">
        <v>0.05263205205744168</v>
      </c>
      <c r="X34" s="10" t="n">
        <v>1</v>
      </c>
      <c r="Y34" s="15">
        <f>IF(OR(X34="",G34="",G34=0),"",X34/G34)</f>
        <v/>
      </c>
      <c r="Z34" s="18" t="n"/>
      <c r="AA34" s="16" t="n">
        <v>0.029</v>
      </c>
      <c r="AB34" s="16" t="n">
        <v>0.3089127903158856</v>
      </c>
      <c r="AC34" s="9">
        <f>IF(AND(O34="",P34=""),"DATI MANCANTI",IF(AND(N(O34)&gt;=PARAMETRI!$B$4,N(P34)&gt;=PARAMETRI!$B$4),"OK","NO"))</f>
        <v/>
      </c>
      <c r="AD34" s="9">
        <f>IF(L34="","N/D",IF(L34&lt;PARAMETRI!$B$6,"OTTIMO",IF(L34&lt;PARAMETRI!$B$5,"OK","NO")))</f>
        <v/>
      </c>
      <c r="AE34" s="9">
        <f>IF(OR(AC34="DATI MANCANTI",AD34="N/D"),"DA COMPLETARE",IF(AND(AC34="OK",AD34="OTTIMO"),"PASSA FORTE",IF(AND(AC34="OK",AD34="OK"),"PASSA","SCARTA")))</f>
        <v/>
      </c>
      <c r="AF34" s="8" t="inlineStr">
        <is>
          <t>2026-08-04</t>
        </is>
      </c>
      <c r="AG34" s="8" t="inlineStr">
        <is>
          <t>yahoo</t>
        </is>
      </c>
      <c r="AH34" s="19" t="inlineStr"/>
    </row>
    <row r="35">
      <c r="A35" s="8" t="n">
        <v>34</v>
      </c>
      <c r="B35" s="8" t="inlineStr">
        <is>
          <t>Banco Desio e Brianza</t>
        </is>
      </c>
      <c r="C35" s="8" t="inlineStr">
        <is>
          <t>BDB.MI</t>
        </is>
      </c>
      <c r="D35" s="9" t="inlineStr">
        <is>
          <t>Italia</t>
        </is>
      </c>
      <c r="E35" s="8" t="inlineStr">
        <is>
          <t>Banca</t>
        </is>
      </c>
      <c r="F35" s="9" t="inlineStr">
        <is>
          <t>Finanziario</t>
        </is>
      </c>
      <c r="G35" s="10" t="n">
        <v>18.6</v>
      </c>
      <c r="H35" s="11" t="inlineStr">
        <is>
          <t>EUR</t>
        </is>
      </c>
      <c r="I35" s="12" t="n">
        <v>2445.4</v>
      </c>
      <c r="J35" s="10" t="n">
        <v>1.02</v>
      </c>
      <c r="K35" s="10" t="n"/>
      <c r="L35" s="13">
        <f>IF(OR(G35="",J35="",J35&lt;=0),"",G35/J35)</f>
        <v/>
      </c>
      <c r="M35" s="14" t="n">
        <v>1.6406457</v>
      </c>
      <c r="N35" s="15">
        <f>IF(OR(M35="",L35="",L35&lt;=0),"",M35/L35)</f>
        <v/>
      </c>
      <c r="O35" s="16" t="n">
        <v>0.09042</v>
      </c>
      <c r="P35" s="16" t="n">
        <v>0.1057732555853402</v>
      </c>
      <c r="Q35" s="16" t="n">
        <v>0.04181671720819548</v>
      </c>
      <c r="R35" s="17" t="n">
        <v>4</v>
      </c>
      <c r="S35" s="16" t="n"/>
      <c r="T35" s="16" t="n">
        <v>0.08541270271503291</v>
      </c>
      <c r="U35" s="16" t="n">
        <v>0.08758728118881172</v>
      </c>
      <c r="V35" s="16" t="n">
        <v>0.1775172357765608</v>
      </c>
      <c r="W35" s="16" t="n">
        <v>0.07257580266095537</v>
      </c>
      <c r="X35" s="10" t="n">
        <v>0.51</v>
      </c>
      <c r="Y35" s="15">
        <f>IF(OR(X35="",G35="",G35=0),"",X35/G35)</f>
        <v/>
      </c>
      <c r="Z35" s="18" t="n"/>
      <c r="AA35" s="16" t="n">
        <v>0.099</v>
      </c>
      <c r="AB35" s="16" t="n">
        <v>0.2061490474278459</v>
      </c>
      <c r="AC35" s="9">
        <f>IF(AND(O35="",P35=""),"DATI MANCANTI",IF(AND(N(O35)&gt;=PARAMETRI!$B$4,N(P35)&gt;=PARAMETRI!$B$4),"OK","NO"))</f>
        <v/>
      </c>
      <c r="AD35" s="9">
        <f>IF(L35="","N/D",IF(L35&lt;PARAMETRI!$B$6,"OTTIMO",IF(L35&lt;PARAMETRI!$B$5,"OK","NO")))</f>
        <v/>
      </c>
      <c r="AE35" s="9">
        <f>IF(OR(AC35="DATI MANCANTI",AD35="N/D"),"DA COMPLETARE",IF(AND(AC35="OK",AD35="OTTIMO"),"PASSA FORTE",IF(AND(AC35="OK",AD35="OK"),"PASSA","SCARTA")))</f>
        <v/>
      </c>
      <c r="AF35" s="8" t="inlineStr">
        <is>
          <t>2026-08-04</t>
        </is>
      </c>
      <c r="AG35" s="8" t="inlineStr">
        <is>
          <t>yahoo</t>
        </is>
      </c>
      <c r="AH35" s="19" t="inlineStr"/>
    </row>
    <row r="36">
      <c r="A36" s="8" t="n">
        <v>35</v>
      </c>
      <c r="B36" s="8" t="inlineStr">
        <is>
          <t>Bank of America</t>
        </is>
      </c>
      <c r="C36" s="8" t="inlineStr">
        <is>
          <t>BAC</t>
        </is>
      </c>
      <c r="D36" s="9" t="inlineStr">
        <is>
          <t>USA</t>
        </is>
      </c>
      <c r="E36" s="8" t="inlineStr">
        <is>
          <t>Banca</t>
        </is>
      </c>
      <c r="F36" s="9" t="inlineStr">
        <is>
          <t>Finanziario</t>
        </is>
      </c>
      <c r="G36" s="10" t="n">
        <v>62.48</v>
      </c>
      <c r="H36" s="11" t="inlineStr">
        <is>
          <t>USD</t>
        </is>
      </c>
      <c r="I36" s="12" t="n">
        <v>436906.9</v>
      </c>
      <c r="J36" s="10" t="n">
        <v>4.33</v>
      </c>
      <c r="K36" s="10" t="n">
        <v>5.2883</v>
      </c>
      <c r="L36" s="13">
        <f>IF(OR(G36="",J36="",J36&lt;=0),"",G36/J36)</f>
        <v/>
      </c>
      <c r="M36" s="14" t="n">
        <v>1.5881246</v>
      </c>
      <c r="N36" s="15">
        <f>IF(OR(M36="",L36="",L36&lt;=0),"",M36/L36)</f>
        <v/>
      </c>
      <c r="O36" s="16" t="n">
        <v>0.111990005</v>
      </c>
      <c r="P36" s="16" t="n">
        <v>0.09583073596940467</v>
      </c>
      <c r="Q36" s="16" t="n">
        <v>0.004886619979617854</v>
      </c>
      <c r="R36" s="17" t="n">
        <v>4</v>
      </c>
      <c r="S36" s="16" t="n"/>
      <c r="T36" s="16" t="n">
        <v>0.1006090824850038</v>
      </c>
      <c r="U36" s="16" t="n">
        <v>0.09175644553906444</v>
      </c>
      <c r="V36" s="16" t="n">
        <v>0.0901949623859062</v>
      </c>
      <c r="W36" s="16" t="n">
        <v>0.1007624534676442</v>
      </c>
      <c r="X36" s="10" t="n">
        <v>1.28</v>
      </c>
      <c r="Y36" s="15">
        <f>IF(OR(X36="",G36="",G36=0),"",X36/G36)</f>
        <v/>
      </c>
      <c r="Z36" s="18" t="n"/>
      <c r="AA36" s="16" t="n">
        <v>0.168</v>
      </c>
      <c r="AB36" s="16" t="n">
        <v>0.2840482035774601</v>
      </c>
      <c r="AC36" s="9">
        <f>IF(AND(O36="",P36=""),"DATI MANCANTI",IF(AND(N(O36)&gt;=PARAMETRI!$B$4,N(P36)&gt;=PARAMETRI!$B$4),"OK","NO"))</f>
        <v/>
      </c>
      <c r="AD36" s="9">
        <f>IF(L36="","N/D",IF(L36&lt;PARAMETRI!$B$6,"OTTIMO",IF(L36&lt;PARAMETRI!$B$5,"OK","NO")))</f>
        <v/>
      </c>
      <c r="AE36" s="9">
        <f>IF(OR(AC36="DATI MANCANTI",AD36="N/D"),"DA COMPLETARE",IF(AND(AC36="OK",AD36="OTTIMO"),"PASSA FORTE",IF(AND(AC36="OK",AD36="OK"),"PASSA","SCARTA")))</f>
        <v/>
      </c>
      <c r="AF36" s="8" t="inlineStr">
        <is>
          <t>2026-08-04</t>
        </is>
      </c>
      <c r="AG36" s="8" t="inlineStr">
        <is>
          <t>yahoo</t>
        </is>
      </c>
      <c r="AH36" s="19" t="inlineStr"/>
    </row>
    <row r="37">
      <c r="A37" s="8" t="n">
        <v>36</v>
      </c>
      <c r="B37" s="8" t="inlineStr">
        <is>
          <t>Berkshire Hathaway B</t>
        </is>
      </c>
      <c r="C37" s="8" t="inlineStr">
        <is>
          <t>BRK-B</t>
        </is>
      </c>
      <c r="D37" s="9" t="inlineStr">
        <is>
          <t>USA</t>
        </is>
      </c>
      <c r="E37" s="8" t="inlineStr">
        <is>
          <t>Conglomerata / Holding</t>
        </is>
      </c>
      <c r="F37" s="9" t="inlineStr">
        <is>
          <t>Finanziario</t>
        </is>
      </c>
      <c r="G37" s="10" t="n">
        <v>513.14</v>
      </c>
      <c r="H37" s="11" t="inlineStr">
        <is>
          <t>USD</t>
        </is>
      </c>
      <c r="I37" s="12" t="n">
        <v>1106767.9</v>
      </c>
      <c r="J37" s="10" t="n">
        <v>33.61</v>
      </c>
      <c r="K37" s="10" t="n">
        <v>21.57153</v>
      </c>
      <c r="L37" s="13">
        <f>IF(OR(G37="",J37="",J37&lt;=0),"",G37/J37)</f>
        <v/>
      </c>
      <c r="M37" s="14" t="n">
        <v>0.0010149945</v>
      </c>
      <c r="N37" s="15">
        <f>IF(OR(M37="",L37="",L37&lt;=0),"",M37/L37)</f>
        <v/>
      </c>
      <c r="O37" s="16" t="n">
        <v>0.10499</v>
      </c>
      <c r="P37" s="16" t="n">
        <v>0.08843956355337573</v>
      </c>
      <c r="Q37" s="16" t="n">
        <v>0.08353327161790873</v>
      </c>
      <c r="R37" s="17" t="n">
        <v>4</v>
      </c>
      <c r="S37" s="16" t="n"/>
      <c r="T37" s="16" t="n">
        <v>0.09334572962243821</v>
      </c>
      <c r="U37" s="16" t="n">
        <v>0.137048638060391</v>
      </c>
      <c r="V37" s="16" t="n">
        <v>0.1714370725119505</v>
      </c>
      <c r="W37" s="16" t="n">
        <v>-0.04807318598127683</v>
      </c>
      <c r="X37" s="10" t="n"/>
      <c r="Y37" s="15">
        <f>IF(OR(X37="",G37="",G37=0),"",X37/G37)</f>
        <v/>
      </c>
      <c r="Z37" s="18" t="n">
        <v>17.669</v>
      </c>
      <c r="AA37" s="16" t="n">
        <v>0.044</v>
      </c>
      <c r="AB37" s="16" t="n">
        <v>0.1765337865839103</v>
      </c>
      <c r="AC37" s="9">
        <f>IF(AND(O37="",P37=""),"DATI MANCANTI",IF(AND(N(O37)&gt;=PARAMETRI!$B$4,N(P37)&gt;=PARAMETRI!$B$4),"OK","NO"))</f>
        <v/>
      </c>
      <c r="AD37" s="9">
        <f>IF(L37="","N/D",IF(L37&lt;PARAMETRI!$B$6,"OTTIMO",IF(L37&lt;PARAMETRI!$B$5,"OK","NO")))</f>
        <v/>
      </c>
      <c r="AE37" s="9">
        <f>IF(OR(AC37="DATI MANCANTI",AD37="N/D"),"DA COMPLETARE",IF(AND(AC37="OK",AD37="OTTIMO"),"PASSA FORTE",IF(AND(AC37="OK",AD37="OK"),"PASSA","SCARTA")))</f>
        <v/>
      </c>
      <c r="AF37" s="8" t="inlineStr">
        <is>
          <t>2026-08-04</t>
        </is>
      </c>
      <c r="AG37" s="8" t="inlineStr">
        <is>
          <t>yahoo</t>
        </is>
      </c>
      <c r="AH37" s="19" t="inlineStr"/>
    </row>
    <row r="38">
      <c r="A38" s="8" t="n">
        <v>37</v>
      </c>
      <c r="B38" s="8" t="inlineStr">
        <is>
          <t>Biogen</t>
        </is>
      </c>
      <c r="C38" s="8" t="inlineStr">
        <is>
          <t>BIIB</t>
        </is>
      </c>
      <c r="D38" s="9" t="inlineStr">
        <is>
          <t>USA</t>
        </is>
      </c>
      <c r="E38" s="8" t="inlineStr">
        <is>
          <t>Biotecnologie / CNS</t>
        </is>
      </c>
      <c r="F38" s="9" t="inlineStr">
        <is>
          <t>Salute</t>
        </is>
      </c>
      <c r="G38" s="10" t="n">
        <v>201.82</v>
      </c>
      <c r="H38" s="11" t="inlineStr">
        <is>
          <t>USD</t>
        </is>
      </c>
      <c r="I38" s="12" t="n">
        <v>29819.7</v>
      </c>
      <c r="J38" s="10" t="n">
        <v>5.62</v>
      </c>
      <c r="K38" s="10" t="n">
        <v>16.5904</v>
      </c>
      <c r="L38" s="13">
        <f>IF(OR(G38="",J38="",J38&lt;=0),"",G38/J38)</f>
        <v/>
      </c>
      <c r="M38" s="14" t="n">
        <v>1.5815376</v>
      </c>
      <c r="N38" s="15">
        <f>IF(OR(M38="",L38="",L38&lt;=0),"",M38/L38)</f>
        <v/>
      </c>
      <c r="O38" s="16" t="n">
        <v>0.04575</v>
      </c>
      <c r="P38" s="16" t="n">
        <v>0.1185831364623125</v>
      </c>
      <c r="Q38" s="16" t="n">
        <v>0.06359027321197776</v>
      </c>
      <c r="R38" s="17" t="n">
        <v>4</v>
      </c>
      <c r="S38" s="16" t="n"/>
      <c r="T38" s="16" t="n">
        <v>0.0708174488409798</v>
      </c>
      <c r="U38" s="16" t="n">
        <v>0.09764297678870543</v>
      </c>
      <c r="V38" s="16" t="n">
        <v>0.07845588334662217</v>
      </c>
      <c r="W38" s="16" t="n">
        <v>0.2274162368729428</v>
      </c>
      <c r="X38" s="10" t="n"/>
      <c r="Y38" s="15">
        <f>IF(OR(X38="",G38="",G38=0),"",X38/G38)</f>
        <v/>
      </c>
      <c r="Z38" s="18" t="n">
        <v>44.329</v>
      </c>
      <c r="AA38" s="16" t="n">
        <v>0.034</v>
      </c>
      <c r="AB38" s="16" t="n">
        <v>0.08438315167937234</v>
      </c>
      <c r="AC38" s="9">
        <f>IF(AND(O38="",P38=""),"DATI MANCANTI",IF(AND(N(O38)&gt;=PARAMETRI!$B$4,N(P38)&gt;=PARAMETRI!$B$4),"OK","NO"))</f>
        <v/>
      </c>
      <c r="AD38" s="9">
        <f>IF(L38="","N/D",IF(L38&lt;PARAMETRI!$B$6,"OTTIMO",IF(L38&lt;PARAMETRI!$B$5,"OK","NO")))</f>
        <v/>
      </c>
      <c r="AE38" s="9">
        <f>IF(OR(AC38="DATI MANCANTI",AD38="N/D"),"DA COMPLETARE",IF(AND(AC38="OK",AD38="OTTIMO"),"PASSA FORTE",IF(AND(AC38="OK",AD38="OK"),"PASSA","SCARTA")))</f>
        <v/>
      </c>
      <c r="AF38" s="8" t="inlineStr">
        <is>
          <t>2026-08-04</t>
        </is>
      </c>
      <c r="AG38" s="8" t="inlineStr">
        <is>
          <t>yahoo</t>
        </is>
      </c>
      <c r="AH38" s="19" t="inlineStr"/>
    </row>
    <row r="39">
      <c r="A39" s="8" t="n">
        <v>38</v>
      </c>
      <c r="B39" s="8" t="inlineStr">
        <is>
          <t>BlackRock</t>
        </is>
      </c>
      <c r="C39" s="8" t="inlineStr">
        <is>
          <t>BLK</t>
        </is>
      </c>
      <c r="D39" s="9" t="inlineStr">
        <is>
          <t>USA</t>
        </is>
      </c>
      <c r="E39" s="8" t="inlineStr">
        <is>
          <t>Risparmio gestito</t>
        </is>
      </c>
      <c r="F39" s="9" t="inlineStr">
        <is>
          <t>Finanziario</t>
        </is>
      </c>
      <c r="G39" s="10" t="n">
        <v>1126.63</v>
      </c>
      <c r="H39" s="11" t="inlineStr">
        <is>
          <t>USD</t>
        </is>
      </c>
      <c r="I39" s="12" t="n">
        <v>183192.6</v>
      </c>
      <c r="J39" s="10" t="n">
        <v>41.76</v>
      </c>
      <c r="K39" s="10" t="n">
        <v>64.11224</v>
      </c>
      <c r="L39" s="13">
        <f>IF(OR(G39="",J39="",J39&lt;=0),"",G39/J39)</f>
        <v/>
      </c>
      <c r="M39" s="14" t="n">
        <v>3.0877573</v>
      </c>
      <c r="N39" s="15">
        <f>IF(OR(M39="",L39="",L39&lt;=0),"",M39/L39)</f>
        <v/>
      </c>
      <c r="O39" s="16" t="n">
        <v>0.09935943315201833</v>
      </c>
      <c r="P39" s="16" t="n">
        <v>0.1276194741974955</v>
      </c>
      <c r="Q39" s="16" t="n">
        <v>0.01644167432772636</v>
      </c>
      <c r="R39" s="17" t="n">
        <v>4</v>
      </c>
      <c r="S39" s="16" t="n"/>
      <c r="T39" s="16" t="n">
        <v>0.09935943315201833</v>
      </c>
      <c r="U39" s="16" t="n">
        <v>0.1340983261395936</v>
      </c>
      <c r="V39" s="16" t="n">
        <v>0.1398327699697563</v>
      </c>
      <c r="W39" s="16" t="n">
        <v>0.1371873675286138</v>
      </c>
      <c r="X39" s="10" t="n">
        <v>22.92</v>
      </c>
      <c r="Y39" s="15">
        <f>IF(OR(X39="",G39="",G39=0),"",X39/G39)</f>
        <v/>
      </c>
      <c r="Z39" s="18" t="n">
        <v>23.635</v>
      </c>
      <c r="AA39" s="16" t="n">
        <v>0.306</v>
      </c>
      <c r="AB39" s="16" t="n">
        <v>0.2715559960356789</v>
      </c>
      <c r="AC39" s="9">
        <f>IF(AND(O39="",P39=""),"DATI MANCANTI",IF(AND(N(O39)&gt;=PARAMETRI!$B$4,N(P39)&gt;=PARAMETRI!$B$4),"OK","NO"))</f>
        <v/>
      </c>
      <c r="AD39" s="9">
        <f>IF(L39="","N/D",IF(L39&lt;PARAMETRI!$B$6,"OTTIMO",IF(L39&lt;PARAMETRI!$B$5,"OK","NO")))</f>
        <v/>
      </c>
      <c r="AE39" s="9">
        <f>IF(OR(AC39="DATI MANCANTI",AD39="N/D"),"DA COMPLETARE",IF(AND(AC39="OK",AD39="OTTIMO"),"PASSA FORTE",IF(AND(AC39="OK",AD39="OK"),"PASSA","SCARTA")))</f>
        <v/>
      </c>
      <c r="AF39" s="8" t="inlineStr">
        <is>
          <t>2026-08-04</t>
        </is>
      </c>
      <c r="AG39" s="8" t="inlineStr">
        <is>
          <t>yahoo</t>
        </is>
      </c>
      <c r="AH39" s="19" t="inlineStr"/>
    </row>
    <row r="40">
      <c r="A40" s="8" t="n">
        <v>39</v>
      </c>
      <c r="B40" s="8" t="inlineStr">
        <is>
          <t>Blackstone</t>
        </is>
      </c>
      <c r="C40" s="8" t="inlineStr">
        <is>
          <t>BX</t>
        </is>
      </c>
      <c r="D40" s="9" t="inlineStr">
        <is>
          <t>USA</t>
        </is>
      </c>
      <c r="E40" s="8" t="inlineStr">
        <is>
          <t>Private equity</t>
        </is>
      </c>
      <c r="F40" s="9" t="inlineStr">
        <is>
          <t>Finanziario</t>
        </is>
      </c>
      <c r="G40" s="10" t="n">
        <v>134.68</v>
      </c>
      <c r="H40" s="11" t="inlineStr">
        <is>
          <t>USD</t>
        </is>
      </c>
      <c r="I40" s="12" t="n">
        <v>167623.7</v>
      </c>
      <c r="J40" s="10" t="n">
        <v>4.47</v>
      </c>
      <c r="K40" s="10" t="n">
        <v>7.48803</v>
      </c>
      <c r="L40" s="13">
        <f>IF(OR(G40="",J40="",J40&lt;=0),"",G40/J40)</f>
        <v/>
      </c>
      <c r="M40" s="14" t="n">
        <v>11.95137</v>
      </c>
      <c r="N40" s="15">
        <f>IF(OR(M40="",L40="",L40&lt;=0),"",M40/L40)</f>
        <v/>
      </c>
      <c r="O40" s="16" t="n">
        <v>0.31374002</v>
      </c>
      <c r="P40" s="16" t="n">
        <v>0.2797041245748269</v>
      </c>
      <c r="Q40" s="16" t="n">
        <v>0.06422837139830108</v>
      </c>
      <c r="R40" s="17" t="n">
        <v>4</v>
      </c>
      <c r="S40" s="16" t="n"/>
      <c r="T40" s="16" t="n">
        <v>0.3484167031522379</v>
      </c>
      <c r="U40" s="16" t="n">
        <v>0.3380905349413399</v>
      </c>
      <c r="V40" s="16" t="n">
        <v>0.2040371447122241</v>
      </c>
      <c r="W40" s="16" t="n">
        <v>0.2282721154935056</v>
      </c>
      <c r="X40" s="10" t="n">
        <v>5.23</v>
      </c>
      <c r="Y40" s="15">
        <f>IF(OR(X40="",G40="",G40=0),"",X40/G40)</f>
        <v/>
      </c>
      <c r="Z40" s="18" t="n">
        <v>62.529</v>
      </c>
      <c r="AA40" s="16" t="n">
        <v>0.286</v>
      </c>
      <c r="AB40" s="16" t="n">
        <v>0.2835642627903986</v>
      </c>
      <c r="AC40" s="9">
        <f>IF(AND(O40="",P40=""),"DATI MANCANTI",IF(AND(N(O40)&gt;=PARAMETRI!$B$4,N(P40)&gt;=PARAMETRI!$B$4),"OK","NO"))</f>
        <v/>
      </c>
      <c r="AD40" s="9">
        <f>IF(L40="","N/D",IF(L40&lt;PARAMETRI!$B$6,"OTTIMO",IF(L40&lt;PARAMETRI!$B$5,"OK","NO")))</f>
        <v/>
      </c>
      <c r="AE40" s="9">
        <f>IF(OR(AC40="DATI MANCANTI",AD40="N/D"),"DA COMPLETARE",IF(AND(AC40="OK",AD40="OTTIMO"),"PASSA FORTE",IF(AND(AC40="OK",AD40="OK"),"PASSA","SCARTA")))</f>
        <v/>
      </c>
      <c r="AF40" s="8" t="inlineStr">
        <is>
          <t>2026-08-04</t>
        </is>
      </c>
      <c r="AG40" s="8" t="inlineStr">
        <is>
          <t>yahoo</t>
        </is>
      </c>
      <c r="AH40" s="19" t="inlineStr"/>
    </row>
    <row r="41">
      <c r="A41" s="8" t="n">
        <v>40</v>
      </c>
      <c r="B41" s="8" t="inlineStr">
        <is>
          <t>Boeing</t>
        </is>
      </c>
      <c r="C41" s="8" t="inlineStr">
        <is>
          <t>BA</t>
        </is>
      </c>
      <c r="D41" s="9" t="inlineStr">
        <is>
          <t>USA</t>
        </is>
      </c>
      <c r="E41" s="8" t="inlineStr">
        <is>
          <t>Aerospazio</t>
        </is>
      </c>
      <c r="F41" s="9" t="inlineStr">
        <is>
          <t>Industriale</t>
        </is>
      </c>
      <c r="G41" s="10" t="n">
        <v>233.49</v>
      </c>
      <c r="H41" s="11" t="inlineStr">
        <is>
          <t>USD</t>
        </is>
      </c>
      <c r="I41" s="12" t="n">
        <v>184408.7</v>
      </c>
      <c r="J41" s="10" t="n">
        <v>2.79</v>
      </c>
      <c r="K41" s="10" t="n">
        <v>4.20416</v>
      </c>
      <c r="L41" s="13">
        <f>IF(OR(G41="",J41="",J41&lt;=0),"",G41/J41)</f>
        <v/>
      </c>
      <c r="M41" s="14" t="n">
        <v>30.260498</v>
      </c>
      <c r="N41" s="15">
        <f>IF(OR(M41="",L41="",L41&lt;=0),"",M41/L41)</f>
        <v/>
      </c>
      <c r="O41" s="16" t="n">
        <v>1.73537</v>
      </c>
      <c r="P41" s="16" t="n">
        <v>0.4097909790979098</v>
      </c>
      <c r="Q41" s="16" t="n"/>
      <c r="R41" s="17" t="n">
        <v>1</v>
      </c>
      <c r="S41" s="16" t="n"/>
      <c r="T41" s="16" t="n">
        <v>0.4097909790979098</v>
      </c>
      <c r="U41" s="16" t="n"/>
      <c r="V41" s="16" t="n"/>
      <c r="W41" s="16" t="n"/>
      <c r="X41" s="10" t="n"/>
      <c r="Y41" s="15">
        <f>IF(OR(X41="",G41="",G41=0),"",X41/G41)</f>
        <v/>
      </c>
      <c r="Z41" s="18" t="n">
        <v>790.875</v>
      </c>
      <c r="AA41" s="16" t="n">
        <v>0.08</v>
      </c>
      <c r="AB41" s="16" t="n">
        <v>0.02335043466013883</v>
      </c>
      <c r="AC41" s="9">
        <f>IF(AND(O41="",P41=""),"DATI MANCANTI",IF(AND(N(O41)&gt;=PARAMETRI!$B$4,N(P41)&gt;=PARAMETRI!$B$4),"OK","NO"))</f>
        <v/>
      </c>
      <c r="AD41" s="9">
        <f>IF(L41="","N/D",IF(L41&lt;PARAMETRI!$B$6,"OTTIMO",IF(L41&lt;PARAMETRI!$B$5,"OK","NO")))</f>
        <v/>
      </c>
      <c r="AE41" s="9">
        <f>IF(OR(AC41="DATI MANCANTI",AD41="N/D"),"DA COMPLETARE",IF(AND(AC41="OK",AD41="OTTIMO"),"PASSA FORTE",IF(AND(AC41="OK",AD41="OK"),"PASSA","SCARTA")))</f>
        <v/>
      </c>
      <c r="AF41" s="8" t="inlineStr">
        <is>
          <t>2026-08-04</t>
        </is>
      </c>
      <c r="AG41" s="8" t="inlineStr">
        <is>
          <t>yahoo</t>
        </is>
      </c>
      <c r="AH41" s="19" t="inlineStr"/>
    </row>
    <row r="42">
      <c r="A42" s="8" t="n">
        <v>41</v>
      </c>
      <c r="B42" s="8" t="inlineStr">
        <is>
          <t>Booking Holdings</t>
        </is>
      </c>
      <c r="C42" s="8" t="inlineStr">
        <is>
          <t>BKNG</t>
        </is>
      </c>
      <c r="D42" s="9" t="inlineStr">
        <is>
          <t>USA</t>
        </is>
      </c>
      <c r="E42" s="8" t="inlineStr">
        <is>
          <t>Viaggi</t>
        </is>
      </c>
      <c r="F42" s="9" t="inlineStr">
        <is>
          <t>Consumi</t>
        </is>
      </c>
      <c r="G42" s="10" t="n">
        <v>192.71</v>
      </c>
      <c r="H42" s="11" t="inlineStr">
        <is>
          <t>USD</t>
        </is>
      </c>
      <c r="I42" s="12" t="n">
        <v>149326.8</v>
      </c>
      <c r="J42" s="10" t="n">
        <v>7.58</v>
      </c>
      <c r="K42" s="10" t="n">
        <v>12.30196</v>
      </c>
      <c r="L42" s="13">
        <f>IF(OR(G42="",J42="",J42&lt;=0),"",G42/J42)</f>
        <v/>
      </c>
      <c r="M42" s="14" t="n">
        <v>-17.229324</v>
      </c>
      <c r="N42" s="15">
        <f>IF(OR(M42="",L42="",L42&lt;=0),"",M42/L42)</f>
        <v/>
      </c>
      <c r="O42" s="16" t="n">
        <v>1.09920920201294</v>
      </c>
      <c r="P42" s="16" t="n">
        <v>1.09920920201294</v>
      </c>
      <c r="Q42" s="16" t="n"/>
      <c r="R42" s="17" t="n">
        <v>1</v>
      </c>
      <c r="S42" s="16" t="n"/>
      <c r="T42" s="16" t="n"/>
      <c r="U42" s="16" t="n"/>
      <c r="V42" s="16" t="n"/>
      <c r="W42" s="16" t="n">
        <v>1.09920920201294</v>
      </c>
      <c r="X42" s="10" t="n">
        <v>1.61</v>
      </c>
      <c r="Y42" s="15">
        <f>IF(OR(X42="",G42="",G42=0),"",X42/G42)</f>
        <v/>
      </c>
      <c r="Z42" s="18" t="n"/>
      <c r="AA42" s="16" t="n">
        <v>0.162</v>
      </c>
      <c r="AB42" s="16" t="n">
        <v>0.2286287428762492</v>
      </c>
      <c r="AC42" s="9">
        <f>IF(AND(O42="",P42=""),"DATI MANCANTI",IF(AND(N(O42)&gt;=PARAMETRI!$B$4,N(P42)&gt;=PARAMETRI!$B$4),"OK","NO"))</f>
        <v/>
      </c>
      <c r="AD42" s="9">
        <f>IF(L42="","N/D",IF(L42&lt;PARAMETRI!$B$6,"OTTIMO",IF(L42&lt;PARAMETRI!$B$5,"OK","NO")))</f>
        <v/>
      </c>
      <c r="AE42" s="9">
        <f>IF(OR(AC42="DATI MANCANTI",AD42="N/D"),"DA COMPLETARE",IF(AND(AC42="OK",AD42="OTTIMO"),"PASSA FORTE",IF(AND(AC42="OK",AD42="OK"),"PASSA","SCARTA")))</f>
        <v/>
      </c>
      <c r="AF42" s="8" t="inlineStr">
        <is>
          <t>2026-08-04</t>
        </is>
      </c>
      <c r="AG42" s="8" t="inlineStr">
        <is>
          <t>yahoo</t>
        </is>
      </c>
      <c r="AH42" s="19" t="inlineStr"/>
    </row>
    <row r="43">
      <c r="A43" s="8" t="n">
        <v>42</v>
      </c>
      <c r="B43" s="8" t="inlineStr">
        <is>
          <t>Boston Scientific</t>
        </is>
      </c>
      <c r="C43" s="8" t="inlineStr">
        <is>
          <t>BSX</t>
        </is>
      </c>
      <c r="D43" s="9" t="inlineStr">
        <is>
          <t>USA</t>
        </is>
      </c>
      <c r="E43" s="8" t="inlineStr">
        <is>
          <t>Dispositivi medicali</t>
        </is>
      </c>
      <c r="F43" s="9" t="inlineStr">
        <is>
          <t>Salute</t>
        </is>
      </c>
      <c r="G43" s="10" t="n">
        <v>48.43</v>
      </c>
      <c r="H43" s="11" t="inlineStr">
        <is>
          <t>USD</t>
        </is>
      </c>
      <c r="I43" s="12" t="n">
        <v>70186.2</v>
      </c>
      <c r="J43" s="10" t="n">
        <v>2.47</v>
      </c>
      <c r="K43" s="10" t="n">
        <v>3.43852</v>
      </c>
      <c r="L43" s="13">
        <f>IF(OR(G43="",J43="",J43&lt;=0),"",G43/J43)</f>
        <v/>
      </c>
      <c r="M43" s="14" t="n">
        <v>2.7830133</v>
      </c>
      <c r="N43" s="15">
        <f>IF(OR(M43="",L43="",L43&lt;=0),"",M43/L43)</f>
        <v/>
      </c>
      <c r="O43" s="16" t="n">
        <v>0.1195939253879168</v>
      </c>
      <c r="P43" s="16" t="n">
        <v>0.08177373868964678</v>
      </c>
      <c r="Q43" s="16" t="n">
        <v>0.02833405857448824</v>
      </c>
      <c r="R43" s="17" t="n">
        <v>4</v>
      </c>
      <c r="S43" s="16" t="n"/>
      <c r="T43" s="16" t="n">
        <v>0.1195939253879168</v>
      </c>
      <c r="U43" s="16" t="n">
        <v>0.08516306844281121</v>
      </c>
      <c r="V43" s="16" t="n">
        <v>0.08262019604792283</v>
      </c>
      <c r="W43" s="16" t="n">
        <v>0.03971776487993627</v>
      </c>
      <c r="X43" s="10" t="n"/>
      <c r="Y43" s="15">
        <f>IF(OR(X43="",G43="",G43=0),"",X43/G43)</f>
        <v/>
      </c>
      <c r="Z43" s="18" t="n">
        <v>42.25</v>
      </c>
      <c r="AA43" s="16" t="n">
        <v>0.075</v>
      </c>
      <c r="AB43" s="16" t="n">
        <v>0.183022809205938</v>
      </c>
      <c r="AC43" s="9">
        <f>IF(AND(O43="",P43=""),"DATI MANCANTI",IF(AND(N(O43)&gt;=PARAMETRI!$B$4,N(P43)&gt;=PARAMETRI!$B$4),"OK","NO"))</f>
        <v/>
      </c>
      <c r="AD43" s="9">
        <f>IF(L43="","N/D",IF(L43&lt;PARAMETRI!$B$6,"OTTIMO",IF(L43&lt;PARAMETRI!$B$5,"OK","NO")))</f>
        <v/>
      </c>
      <c r="AE43" s="9">
        <f>IF(OR(AC43="DATI MANCANTI",AD43="N/D"),"DA COMPLETARE",IF(AND(AC43="OK",AD43="OTTIMO"),"PASSA FORTE",IF(AND(AC43="OK",AD43="OK"),"PASSA","SCARTA")))</f>
        <v/>
      </c>
      <c r="AF43" s="8" t="inlineStr">
        <is>
          <t>2026-08-04</t>
        </is>
      </c>
      <c r="AG43" s="8" t="inlineStr">
        <is>
          <t>yahoo</t>
        </is>
      </c>
      <c r="AH43" s="19" t="inlineStr"/>
    </row>
    <row r="44">
      <c r="A44" s="8" t="n">
        <v>43</v>
      </c>
      <c r="B44" s="8" t="inlineStr">
        <is>
          <t>Brembo</t>
        </is>
      </c>
      <c r="C44" s="8" t="inlineStr">
        <is>
          <t>BRE.MI</t>
        </is>
      </c>
      <c r="D44" s="9" t="inlineStr">
        <is>
          <t>Italia</t>
        </is>
      </c>
      <c r="E44" s="8" t="inlineStr">
        <is>
          <t>Componentistica auto</t>
        </is>
      </c>
      <c r="F44" s="9" t="inlineStr">
        <is>
          <t>Industriale</t>
        </is>
      </c>
      <c r="G44" s="10" t="n">
        <v>10.64</v>
      </c>
      <c r="H44" s="11" t="inlineStr">
        <is>
          <t>EUR</t>
        </is>
      </c>
      <c r="I44" s="12" t="n">
        <v>3384.7</v>
      </c>
      <c r="J44" s="10" t="n">
        <v>0.68</v>
      </c>
      <c r="K44" s="10" t="n">
        <v>0.84656</v>
      </c>
      <c r="L44" s="13">
        <f>IF(OR(G44="",J44="",J44&lt;=0),"",G44/J44)</f>
        <v/>
      </c>
      <c r="M44" s="14" t="n">
        <v>1.451371</v>
      </c>
      <c r="N44" s="15">
        <f>IF(OR(M44="",L44="",L44&lt;=0),"",M44/L44)</f>
        <v/>
      </c>
      <c r="O44" s="16" t="n">
        <v>0.101330005</v>
      </c>
      <c r="P44" s="16" t="n">
        <v>0.1265656568780933</v>
      </c>
      <c r="Q44" s="16" t="n">
        <v>0.02514618444892005</v>
      </c>
      <c r="R44" s="17" t="n">
        <v>4</v>
      </c>
      <c r="S44" s="16" t="n"/>
      <c r="T44" s="16" t="n">
        <v>0.09128864491291784</v>
      </c>
      <c r="U44" s="16" t="n">
        <v>0.1144501964284625</v>
      </c>
      <c r="V44" s="16" t="n">
        <v>0.1475189755270711</v>
      </c>
      <c r="W44" s="16" t="n">
        <v>0.153004810643922</v>
      </c>
      <c r="X44" s="10" t="n">
        <v>0.3</v>
      </c>
      <c r="Y44" s="15">
        <f>IF(OR(X44="",G44="",G44=0),"",X44/G44)</f>
        <v/>
      </c>
      <c r="Z44" s="18" t="n">
        <v>58.738</v>
      </c>
      <c r="AA44" s="16" t="n">
        <v>0.075</v>
      </c>
      <c r="AB44" s="16" t="n">
        <v>0.06153502074835945</v>
      </c>
      <c r="AC44" s="9">
        <f>IF(AND(O44="",P44=""),"DATI MANCANTI",IF(AND(N(O44)&gt;=PARAMETRI!$B$4,N(P44)&gt;=PARAMETRI!$B$4),"OK","NO"))</f>
        <v/>
      </c>
      <c r="AD44" s="9">
        <f>IF(L44="","N/D",IF(L44&lt;PARAMETRI!$B$6,"OTTIMO",IF(L44&lt;PARAMETRI!$B$5,"OK","NO")))</f>
        <v/>
      </c>
      <c r="AE44" s="9">
        <f>IF(OR(AC44="DATI MANCANTI",AD44="N/D"),"DA COMPLETARE",IF(AND(AC44="OK",AD44="OTTIMO"),"PASSA FORTE",IF(AND(AC44="OK",AD44="OK"),"PASSA","SCARTA")))</f>
        <v/>
      </c>
      <c r="AF44" s="8" t="inlineStr">
        <is>
          <t>2026-08-04</t>
        </is>
      </c>
      <c r="AG44" s="8" t="inlineStr">
        <is>
          <t>yahoo</t>
        </is>
      </c>
      <c r="AH44" s="19" t="inlineStr"/>
    </row>
    <row r="45">
      <c r="A45" s="8" t="n">
        <v>44</v>
      </c>
      <c r="B45" s="8" t="inlineStr">
        <is>
          <t>Bristol-Myers Squibb</t>
        </is>
      </c>
      <c r="C45" s="8" t="inlineStr">
        <is>
          <t>BMY</t>
        </is>
      </c>
      <c r="D45" s="9" t="inlineStr">
        <is>
          <t>USA</t>
        </is>
      </c>
      <c r="E45" s="8" t="inlineStr">
        <is>
          <t>Farmaceutica</t>
        </is>
      </c>
      <c r="F45" s="9" t="inlineStr">
        <is>
          <t>Salute</t>
        </is>
      </c>
      <c r="G45" s="10" t="n">
        <v>65.47</v>
      </c>
      <c r="H45" s="11" t="inlineStr">
        <is>
          <t>USD</t>
        </is>
      </c>
      <c r="I45" s="12" t="n">
        <v>133736.5</v>
      </c>
      <c r="J45" s="10" t="n">
        <v>4.54</v>
      </c>
      <c r="K45" s="10" t="n">
        <v>6.52497</v>
      </c>
      <c r="L45" s="13">
        <f>IF(OR(G45="",J45="",J45&lt;=0),"",G45/J45)</f>
        <v/>
      </c>
      <c r="M45" s="14" t="n">
        <v>5.992677</v>
      </c>
      <c r="N45" s="15">
        <f>IF(OR(M45="",L45="",L45&lt;=0),"",M45/L45)</f>
        <v/>
      </c>
      <c r="O45" s="16" t="n">
        <v>0.46598998</v>
      </c>
      <c r="P45" s="16" t="n">
        <v>0.07761266271412175</v>
      </c>
      <c r="Q45" s="16" t="n">
        <v>0.3666158804610691</v>
      </c>
      <c r="R45" s="17" t="n">
        <v>4</v>
      </c>
      <c r="S45" s="16" t="n"/>
      <c r="T45" s="16" t="n">
        <v>0.3818545986033671</v>
      </c>
      <c r="U45" s="16" t="n">
        <v>-0.5477808386899296</v>
      </c>
      <c r="V45" s="16" t="n">
        <v>0.2726809378185525</v>
      </c>
      <c r="W45" s="16" t="n">
        <v>0.203695953124497</v>
      </c>
      <c r="X45" s="10" t="n">
        <v>2.52</v>
      </c>
      <c r="Y45" s="15">
        <f>IF(OR(X45="",G45="",G45=0),"",X45/G45)</f>
        <v/>
      </c>
      <c r="Z45" s="18" t="n">
        <v>201.859</v>
      </c>
      <c r="AA45" s="16" t="n">
        <v>0.057</v>
      </c>
      <c r="AB45" s="16" t="n">
        <v>0.1925925899367154</v>
      </c>
      <c r="AC45" s="9">
        <f>IF(AND(O45="",P45=""),"DATI MANCANTI",IF(AND(N(O45)&gt;=PARAMETRI!$B$4,N(P45)&gt;=PARAMETRI!$B$4),"OK","NO"))</f>
        <v/>
      </c>
      <c r="AD45" s="9">
        <f>IF(L45="","N/D",IF(L45&lt;PARAMETRI!$B$6,"OTTIMO",IF(L45&lt;PARAMETRI!$B$5,"OK","NO")))</f>
        <v/>
      </c>
      <c r="AE45" s="9">
        <f>IF(OR(AC45="DATI MANCANTI",AD45="N/D"),"DA COMPLETARE",IF(AND(AC45="OK",AD45="OTTIMO"),"PASSA FORTE",IF(AND(AC45="OK",AD45="OK"),"PASSA","SCARTA")))</f>
        <v/>
      </c>
      <c r="AF45" s="8" t="inlineStr">
        <is>
          <t>2026-08-04</t>
        </is>
      </c>
      <c r="AG45" s="8" t="inlineStr">
        <is>
          <t>yahoo</t>
        </is>
      </c>
      <c r="AH45" s="19" t="inlineStr"/>
    </row>
    <row r="46">
      <c r="A46" s="8" t="n">
        <v>45</v>
      </c>
      <c r="B46" s="8" t="inlineStr">
        <is>
          <t>Broadcom</t>
        </is>
      </c>
      <c r="C46" s="8" t="inlineStr">
        <is>
          <t>AVGO</t>
        </is>
      </c>
      <c r="D46" s="9" t="inlineStr">
        <is>
          <t>USA</t>
        </is>
      </c>
      <c r="E46" s="8" t="inlineStr">
        <is>
          <t>Semiconduttori</t>
        </is>
      </c>
      <c r="F46" s="9" t="inlineStr">
        <is>
          <t>Tecnologia</t>
        </is>
      </c>
      <c r="G46" s="10" t="n">
        <v>392.23</v>
      </c>
      <c r="H46" s="11" t="inlineStr">
        <is>
          <t>USD</t>
        </is>
      </c>
      <c r="I46" s="12" t="n">
        <v>1866065.8</v>
      </c>
      <c r="J46" s="10" t="n">
        <v>5.99</v>
      </c>
      <c r="K46" s="10" t="n">
        <v>19.49196</v>
      </c>
      <c r="L46" s="13">
        <f>IF(OR(G46="",J46="",J46&lt;=0),"",G46/J46)</f>
        <v/>
      </c>
      <c r="M46" s="14" t="n">
        <v>21.282148</v>
      </c>
      <c r="N46" s="15">
        <f>IF(OR(M46="",L46="",L46&lt;=0),"",M46/L46)</f>
        <v/>
      </c>
      <c r="O46" s="16" t="n">
        <v>0.37280998</v>
      </c>
      <c r="P46" s="16" t="n">
        <v>0.3662036929009307</v>
      </c>
      <c r="Q46" s="16" t="n">
        <v>0.1955383898306939</v>
      </c>
      <c r="R46" s="17" t="n">
        <v>4</v>
      </c>
      <c r="S46" s="16" t="n"/>
      <c r="T46" s="16" t="n">
        <v>0.2844806377011268</v>
      </c>
      <c r="U46" s="16" t="n">
        <v>0.08710363781435622</v>
      </c>
      <c r="V46" s="16" t="n">
        <v>0.5870435217608805</v>
      </c>
      <c r="W46" s="16" t="n">
        <v>0.5061869743273592</v>
      </c>
      <c r="X46" s="10" t="n">
        <v>2.6</v>
      </c>
      <c r="Y46" s="15">
        <f>IF(OR(X46="",G46="",G46=0),"",X46/G46)</f>
        <v/>
      </c>
      <c r="Z46" s="18" t="n">
        <v>74.018</v>
      </c>
      <c r="AA46" s="16" t="n">
        <v>0.479</v>
      </c>
      <c r="AB46" s="16" t="n">
        <v>0.4588883367195204</v>
      </c>
      <c r="AC46" s="9">
        <f>IF(AND(O46="",P46=""),"DATI MANCANTI",IF(AND(N(O46)&gt;=PARAMETRI!$B$4,N(P46)&gt;=PARAMETRI!$B$4),"OK","NO"))</f>
        <v/>
      </c>
      <c r="AD46" s="9">
        <f>IF(L46="","N/D",IF(L46&lt;PARAMETRI!$B$6,"OTTIMO",IF(L46&lt;PARAMETRI!$B$5,"OK","NO")))</f>
        <v/>
      </c>
      <c r="AE46" s="9">
        <f>IF(OR(AC46="DATI MANCANTI",AD46="N/D"),"DA COMPLETARE",IF(AND(AC46="OK",AD46="OTTIMO"),"PASSA FORTE",IF(AND(AC46="OK",AD46="OK"),"PASSA","SCARTA")))</f>
        <v/>
      </c>
      <c r="AF46" s="8" t="inlineStr">
        <is>
          <t>2026-08-04</t>
        </is>
      </c>
      <c r="AG46" s="8" t="inlineStr">
        <is>
          <t>yahoo</t>
        </is>
      </c>
      <c r="AH46" s="19" t="inlineStr"/>
    </row>
    <row r="47">
      <c r="A47" s="8" t="n">
        <v>46</v>
      </c>
      <c r="B47" s="8" t="inlineStr">
        <is>
          <t>Brunello Cucinelli</t>
        </is>
      </c>
      <c r="C47" s="8" t="inlineStr">
        <is>
          <t>BC.MI</t>
        </is>
      </c>
      <c r="D47" s="9" t="inlineStr">
        <is>
          <t>Italia</t>
        </is>
      </c>
      <c r="E47" s="8" t="inlineStr">
        <is>
          <t>Lusso</t>
        </is>
      </c>
      <c r="F47" s="9" t="inlineStr">
        <is>
          <t>Consumi</t>
        </is>
      </c>
      <c r="G47" s="10" t="n">
        <v>91.31999999999999</v>
      </c>
      <c r="H47" s="11" t="inlineStr">
        <is>
          <t>EUR</t>
        </is>
      </c>
      <c r="I47" s="12" t="n">
        <v>6209.8</v>
      </c>
      <c r="J47" s="10" t="n">
        <v>1.99</v>
      </c>
      <c r="K47" s="10" t="n">
        <v>2.61984</v>
      </c>
      <c r="L47" s="13">
        <f>IF(OR(G47="",J47="",J47&lt;=0),"",G47/J47)</f>
        <v/>
      </c>
      <c r="M47" s="14" t="n">
        <v>11.332837</v>
      </c>
      <c r="N47" s="15">
        <f>IF(OR(M47="",L47="",L47&lt;=0),"",M47/L47)</f>
        <v/>
      </c>
      <c r="O47" s="16" t="n">
        <v>0.26791</v>
      </c>
      <c r="P47" s="16" t="n">
        <v>0.2403248193952109</v>
      </c>
      <c r="Q47" s="16" t="n">
        <v>0.01805965959882995</v>
      </c>
      <c r="R47" s="17" t="n">
        <v>4</v>
      </c>
      <c r="S47" s="16" t="n"/>
      <c r="T47" s="16" t="n">
        <v>0.2473059594886634</v>
      </c>
      <c r="U47" s="16" t="n">
        <v>0.2438635092603554</v>
      </c>
      <c r="V47" s="16" t="n">
        <v>0.2594371546726846</v>
      </c>
      <c r="W47" s="16" t="n">
        <v>0.2106926541591403</v>
      </c>
      <c r="X47" s="10" t="n">
        <v>1.04</v>
      </c>
      <c r="Y47" s="15">
        <f>IF(OR(X47="",G47="",G47=0),"",X47/G47)</f>
        <v/>
      </c>
      <c r="Z47" s="18" t="n">
        <v>217.133</v>
      </c>
      <c r="AA47" s="16" t="n">
        <v>0.095</v>
      </c>
      <c r="AB47" s="16" t="n">
        <v>0.09793877201692389</v>
      </c>
      <c r="AC47" s="9">
        <f>IF(AND(O47="",P47=""),"DATI MANCANTI",IF(AND(N(O47)&gt;=PARAMETRI!$B$4,N(P47)&gt;=PARAMETRI!$B$4),"OK","NO"))</f>
        <v/>
      </c>
      <c r="AD47" s="9">
        <f>IF(L47="","N/D",IF(L47&lt;PARAMETRI!$B$6,"OTTIMO",IF(L47&lt;PARAMETRI!$B$5,"OK","NO")))</f>
        <v/>
      </c>
      <c r="AE47" s="9">
        <f>IF(OR(AC47="DATI MANCANTI",AD47="N/D"),"DA COMPLETARE",IF(AND(AC47="OK",AD47="OTTIMO"),"PASSA FORTE",IF(AND(AC47="OK",AD47="OK"),"PASSA","SCARTA")))</f>
        <v/>
      </c>
      <c r="AF47" s="8" t="inlineStr">
        <is>
          <t>2026-08-04</t>
        </is>
      </c>
      <c r="AG47" s="8" t="inlineStr">
        <is>
          <t>yahoo</t>
        </is>
      </c>
      <c r="AH47" s="19" t="inlineStr"/>
    </row>
    <row r="48">
      <c r="A48" s="8" t="n">
        <v>47</v>
      </c>
      <c r="B48" s="8" t="inlineStr">
        <is>
          <t>Buzzi</t>
        </is>
      </c>
      <c r="C48" s="8" t="inlineStr">
        <is>
          <t>BZU.MI</t>
        </is>
      </c>
      <c r="D48" s="9" t="inlineStr">
        <is>
          <t>Italia</t>
        </is>
      </c>
      <c r="E48" s="8" t="inlineStr">
        <is>
          <t>Materiali / Cemento</t>
        </is>
      </c>
      <c r="F48" s="9" t="inlineStr">
        <is>
          <t>Materiali</t>
        </is>
      </c>
      <c r="G48" s="10" t="n">
        <v>42.17</v>
      </c>
      <c r="H48" s="11" t="inlineStr">
        <is>
          <t>EUR</t>
        </is>
      </c>
      <c r="I48" s="12" t="n">
        <v>7443.5</v>
      </c>
      <c r="J48" s="10" t="n">
        <v>5.09</v>
      </c>
      <c r="K48" s="10" t="n">
        <v>5.0767</v>
      </c>
      <c r="L48" s="13">
        <f>IF(OR(G48="",J48="",J48&lt;=0),"",G48/J48)</f>
        <v/>
      </c>
      <c r="M48" s="14" t="n">
        <v>1.0771667</v>
      </c>
      <c r="N48" s="15">
        <f>IF(OR(M48="",L48="",L48&lt;=0),"",M48/L48)</f>
        <v/>
      </c>
      <c r="O48" s="16" t="n">
        <v>0.13445</v>
      </c>
      <c r="P48" s="16" t="n">
        <v>0.1345063151175203</v>
      </c>
      <c r="Q48" s="16" t="n">
        <v>0.02809718446027663</v>
      </c>
      <c r="R48" s="17" t="n">
        <v>4</v>
      </c>
      <c r="S48" s="16" t="n"/>
      <c r="T48" s="16" t="n">
        <v>0.1300000564412122</v>
      </c>
      <c r="U48" s="16" t="n">
        <v>0.1427187127514725</v>
      </c>
      <c r="V48" s="16" t="n">
        <v>0.1717888401993831</v>
      </c>
      <c r="W48" s="16" t="n">
        <v>0.09351765107801338</v>
      </c>
      <c r="X48" s="10" t="n">
        <v>0.7</v>
      </c>
      <c r="Y48" s="15">
        <f>IF(OR(X48="",G48="",G48=0),"",X48/G48)</f>
        <v/>
      </c>
      <c r="Z48" s="18" t="n">
        <v>6.178</v>
      </c>
      <c r="AA48" s="16" t="n">
        <v>0.029</v>
      </c>
      <c r="AB48" s="16" t="n">
        <v>0.2038853911642946</v>
      </c>
      <c r="AC48" s="9">
        <f>IF(AND(O48="",P48=""),"DATI MANCANTI",IF(AND(N(O48)&gt;=PARAMETRI!$B$4,N(P48)&gt;=PARAMETRI!$B$4),"OK","NO"))</f>
        <v/>
      </c>
      <c r="AD48" s="9">
        <f>IF(L48="","N/D",IF(L48&lt;PARAMETRI!$B$6,"OTTIMO",IF(L48&lt;PARAMETRI!$B$5,"OK","NO")))</f>
        <v/>
      </c>
      <c r="AE48" s="9">
        <f>IF(OR(AC48="DATI MANCANTI",AD48="N/D"),"DA COMPLETARE",IF(AND(AC48="OK",AD48="OTTIMO"),"PASSA FORTE",IF(AND(AC48="OK",AD48="OK"),"PASSA","SCARTA")))</f>
        <v/>
      </c>
      <c r="AF48" s="8" t="inlineStr">
        <is>
          <t>2026-08-04</t>
        </is>
      </c>
      <c r="AG48" s="8" t="inlineStr">
        <is>
          <t>yahoo</t>
        </is>
      </c>
      <c r="AH48" s="19" t="inlineStr"/>
    </row>
    <row r="49">
      <c r="A49" s="8" t="n">
        <v>48</v>
      </c>
      <c r="B49" s="8" t="inlineStr">
        <is>
          <t>CNH Industrial</t>
        </is>
      </c>
      <c r="C49" s="8" t="inlineStr">
        <is>
          <t>CNH</t>
        </is>
      </c>
      <c r="D49" s="9" t="inlineStr">
        <is>
          <t>Italia</t>
        </is>
      </c>
      <c r="E49" s="8" t="inlineStr">
        <is>
          <t>Industria pesante</t>
        </is>
      </c>
      <c r="F49" s="9" t="inlineStr">
        <is>
          <t>Industriale</t>
        </is>
      </c>
      <c r="G49" s="10" t="n">
        <v>10.8</v>
      </c>
      <c r="H49" s="11" t="inlineStr">
        <is>
          <t>USD</t>
        </is>
      </c>
      <c r="I49" s="12" t="n">
        <v>13391.5</v>
      </c>
      <c r="J49" s="10" t="n">
        <v>0.32</v>
      </c>
      <c r="K49" s="10" t="n">
        <v>0.73193</v>
      </c>
      <c r="L49" s="13">
        <f>IF(OR(G49="",J49="",J49&lt;=0),"",G49/J49)</f>
        <v/>
      </c>
      <c r="M49" s="14" t="n">
        <v>1.7230376</v>
      </c>
      <c r="N49" s="15">
        <f>IF(OR(M49="",L49="",L49&lt;=0),"",M49/L49)</f>
        <v/>
      </c>
      <c r="O49" s="16" t="n">
        <v>0.0484</v>
      </c>
      <c r="P49" s="16" t="n">
        <v>0.2012639037953489</v>
      </c>
      <c r="Q49" s="16" t="n">
        <v>0.09342005211694962</v>
      </c>
      <c r="R49" s="17" t="n">
        <v>4</v>
      </c>
      <c r="S49" s="16" t="n"/>
      <c r="T49" s="16" t="n">
        <v>0.06597671410090557</v>
      </c>
      <c r="U49" s="16" t="n">
        <v>0.1628545288197621</v>
      </c>
      <c r="V49" s="16" t="n">
        <v>0.2833125778331258</v>
      </c>
      <c r="W49" s="16" t="n">
        <v>0.2929117944276021</v>
      </c>
      <c r="X49" s="10" t="n">
        <v>0.1</v>
      </c>
      <c r="Y49" s="15">
        <f>IF(OR(X49="",G49="",G49=0),"",X49/G49)</f>
        <v/>
      </c>
      <c r="Z49" s="18" t="n">
        <v>333.719</v>
      </c>
      <c r="AA49" s="16" t="n">
        <v>-0.001</v>
      </c>
      <c r="AB49" s="16" t="n">
        <v>0.02133185962973197</v>
      </c>
      <c r="AC49" s="9">
        <f>IF(AND(O49="",P49=""),"DATI MANCANTI",IF(AND(N(O49)&gt;=PARAMETRI!$B$4,N(P49)&gt;=PARAMETRI!$B$4),"OK","NO"))</f>
        <v/>
      </c>
      <c r="AD49" s="9">
        <f>IF(L49="","N/D",IF(L49&lt;PARAMETRI!$B$6,"OTTIMO",IF(L49&lt;PARAMETRI!$B$5,"OK","NO")))</f>
        <v/>
      </c>
      <c r="AE49" s="9">
        <f>IF(OR(AC49="DATI MANCANTI",AD49="N/D"),"DA COMPLETARE",IF(AND(AC49="OK",AD49="OTTIMO"),"PASSA FORTE",IF(AND(AC49="OK",AD49="OK"),"PASSA","SCARTA")))</f>
        <v/>
      </c>
      <c r="AF49" s="8" t="inlineStr">
        <is>
          <t>2026-08-04</t>
        </is>
      </c>
      <c r="AG49" s="8" t="inlineStr">
        <is>
          <t>yahoo</t>
        </is>
      </c>
      <c r="AH49" s="19" t="inlineStr">
        <is>
          <t>Delistata da Milano (gen-2024), quota solo NYSE in USD</t>
        </is>
      </c>
    </row>
    <row r="50">
      <c r="A50" s="8" t="n">
        <v>49</v>
      </c>
      <c r="B50" s="8" t="inlineStr">
        <is>
          <t>CSX Corporation</t>
        </is>
      </c>
      <c r="C50" s="8" t="inlineStr">
        <is>
          <t>CSX</t>
        </is>
      </c>
      <c r="D50" s="9" t="inlineStr">
        <is>
          <t>USA</t>
        </is>
      </c>
      <c r="E50" s="8" t="inlineStr">
        <is>
          <t>Ferrovie</t>
        </is>
      </c>
      <c r="F50" s="9" t="inlineStr">
        <is>
          <t>Industriale</t>
        </is>
      </c>
      <c r="G50" s="10" t="n">
        <v>49.83</v>
      </c>
      <c r="H50" s="11" t="inlineStr">
        <is>
          <t>USD</t>
        </is>
      </c>
      <c r="I50" s="12" t="n">
        <v>92308.8</v>
      </c>
      <c r="J50" s="10" t="n">
        <v>1.72</v>
      </c>
      <c r="K50" s="10" t="n">
        <v>2.26751</v>
      </c>
      <c r="L50" s="13">
        <f>IF(OR(G50="",J50="",J50&lt;=0),"",G50/J50)</f>
        <v/>
      </c>
      <c r="M50" s="14" t="n">
        <v>6.554854</v>
      </c>
      <c r="N50" s="15">
        <f>IF(OR(M50="",L50="",L50&lt;=0),"",M50/L50)</f>
        <v/>
      </c>
      <c r="O50" s="16" t="n">
        <v>0.24357</v>
      </c>
      <c r="P50" s="16" t="n">
        <v>0.2823661415471586</v>
      </c>
      <c r="Q50" s="16" t="n">
        <v>0.04013263354129347</v>
      </c>
      <c r="R50" s="17" t="n">
        <v>4</v>
      </c>
      <c r="S50" s="16" t="n"/>
      <c r="T50" s="16" t="n">
        <v>0.219612314709236</v>
      </c>
      <c r="U50" s="16" t="n">
        <v>0.2775555911054231</v>
      </c>
      <c r="V50" s="16" t="n">
        <v>0.3061769616026711</v>
      </c>
      <c r="W50" s="16" t="n">
        <v>0.326119698771304</v>
      </c>
      <c r="X50" s="10" t="n">
        <v>0.5600000000000001</v>
      </c>
      <c r="Y50" s="15">
        <f>IF(OR(X50="",G50="",G50=0),"",X50/G50)</f>
        <v/>
      </c>
      <c r="Z50" s="18" t="n">
        <v>138.068</v>
      </c>
      <c r="AA50" s="16" t="n">
        <v>0.101</v>
      </c>
      <c r="AB50" s="16" t="n">
        <v>0.2287113301163781</v>
      </c>
      <c r="AC50" s="9">
        <f>IF(AND(O50="",P50=""),"DATI MANCANTI",IF(AND(N(O50)&gt;=PARAMETRI!$B$4,N(P50)&gt;=PARAMETRI!$B$4),"OK","NO"))</f>
        <v/>
      </c>
      <c r="AD50" s="9">
        <f>IF(L50="","N/D",IF(L50&lt;PARAMETRI!$B$6,"OTTIMO",IF(L50&lt;PARAMETRI!$B$5,"OK","NO")))</f>
        <v/>
      </c>
      <c r="AE50" s="9">
        <f>IF(OR(AC50="DATI MANCANTI",AD50="N/D"),"DA COMPLETARE",IF(AND(AC50="OK",AD50="OTTIMO"),"PASSA FORTE",IF(AND(AC50="OK",AD50="OK"),"PASSA","SCARTA")))</f>
        <v/>
      </c>
      <c r="AF50" s="8" t="inlineStr">
        <is>
          <t>2026-08-04</t>
        </is>
      </c>
      <c r="AG50" s="8" t="inlineStr">
        <is>
          <t>yahoo</t>
        </is>
      </c>
      <c r="AH50" s="19" t="inlineStr"/>
    </row>
    <row r="51">
      <c r="A51" s="8" t="n">
        <v>50</v>
      </c>
      <c r="B51" s="8" t="inlineStr">
        <is>
          <t>CVS Health</t>
        </is>
      </c>
      <c r="C51" s="8" t="inlineStr">
        <is>
          <t>CVS</t>
        </is>
      </c>
      <c r="D51" s="9" t="inlineStr">
        <is>
          <t>USA</t>
        </is>
      </c>
      <c r="E51" s="8" t="inlineStr">
        <is>
          <t>Distribuzione farmaceutica</t>
        </is>
      </c>
      <c r="F51" s="9" t="inlineStr">
        <is>
          <t>Salute</t>
        </is>
      </c>
      <c r="G51" s="10" t="n">
        <v>105.37</v>
      </c>
      <c r="H51" s="11" t="inlineStr">
        <is>
          <t>USD</t>
        </is>
      </c>
      <c r="I51" s="12" t="n">
        <v>134444.5</v>
      </c>
      <c r="J51" s="10" t="n">
        <v>2.28</v>
      </c>
      <c r="K51" s="10" t="n">
        <v>8.42042</v>
      </c>
      <c r="L51" s="13">
        <f>IF(OR(G51="",J51="",J51&lt;=0),"",G51/J51)</f>
        <v/>
      </c>
      <c r="M51" s="14" t="n">
        <v>1.7317774</v>
      </c>
      <c r="N51" s="15">
        <f>IF(OR(M51="",L51="",L51&lt;=0),"",M51/L51)</f>
        <v/>
      </c>
      <c r="O51" s="16" t="n">
        <v>0.037520003</v>
      </c>
      <c r="P51" s="16" t="n">
        <v>0.06350442630364242</v>
      </c>
      <c r="Q51" s="16" t="n">
        <v>0.03040319688724718</v>
      </c>
      <c r="R51" s="17" t="n">
        <v>4</v>
      </c>
      <c r="S51" s="16" t="n"/>
      <c r="T51" s="16" t="n">
        <v>0.02350626213204988</v>
      </c>
      <c r="U51" s="16" t="n">
        <v>0.06106405505558497</v>
      </c>
      <c r="V51" s="16" t="n">
        <v>0.1091275290671061</v>
      </c>
      <c r="W51" s="16" t="n">
        <v>0.06031985895982873</v>
      </c>
      <c r="X51" s="10" t="n">
        <v>2.66</v>
      </c>
      <c r="Y51" s="15">
        <f>IF(OR(X51="",G51="",G51=0),"",X51/G51)</f>
        <v/>
      </c>
      <c r="Z51" s="18" t="n">
        <v>100.912</v>
      </c>
      <c r="AA51" s="16" t="n">
        <v>0.061</v>
      </c>
      <c r="AB51" s="16" t="n">
        <v>0.007292316952149766</v>
      </c>
      <c r="AC51" s="9">
        <f>IF(AND(O51="",P51=""),"DATI MANCANTI",IF(AND(N(O51)&gt;=PARAMETRI!$B$4,N(P51)&gt;=PARAMETRI!$B$4),"OK","NO"))</f>
        <v/>
      </c>
      <c r="AD51" s="9">
        <f>IF(L51="","N/D",IF(L51&lt;PARAMETRI!$B$6,"OTTIMO",IF(L51&lt;PARAMETRI!$B$5,"OK","NO")))</f>
        <v/>
      </c>
      <c r="AE51" s="9">
        <f>IF(OR(AC51="DATI MANCANTI",AD51="N/D"),"DA COMPLETARE",IF(AND(AC51="OK",AD51="OTTIMO"),"PASSA FORTE",IF(AND(AC51="OK",AD51="OK"),"PASSA","SCARTA")))</f>
        <v/>
      </c>
      <c r="AF51" s="8" t="inlineStr">
        <is>
          <t>2026-08-04</t>
        </is>
      </c>
      <c r="AG51" s="8" t="inlineStr">
        <is>
          <t>yahoo</t>
        </is>
      </c>
      <c r="AH51" s="19" t="inlineStr"/>
    </row>
    <row r="52">
      <c r="A52" s="8" t="n">
        <v>51</v>
      </c>
      <c r="B52" s="8" t="inlineStr">
        <is>
          <t>Cadence Design</t>
        </is>
      </c>
      <c r="C52" s="8" t="inlineStr">
        <is>
          <t>CDNS</t>
        </is>
      </c>
      <c r="D52" s="9" t="inlineStr">
        <is>
          <t>USA</t>
        </is>
      </c>
      <c r="E52" s="8" t="inlineStr">
        <is>
          <t>Software EDA</t>
        </is>
      </c>
      <c r="F52" s="9" t="inlineStr">
        <is>
          <t>Tecnologia</t>
        </is>
      </c>
      <c r="G52" s="10" t="n">
        <v>336.15</v>
      </c>
      <c r="H52" s="11" t="inlineStr">
        <is>
          <t>USD</t>
        </is>
      </c>
      <c r="I52" s="12" t="n">
        <v>92715.5</v>
      </c>
      <c r="J52" s="10" t="n">
        <v>5.03</v>
      </c>
      <c r="K52" s="10" t="n">
        <v>9.53711</v>
      </c>
      <c r="L52" s="13">
        <f>IF(OR(G52="",J52="",J52&lt;=0),"",G52/J52)</f>
        <v/>
      </c>
      <c r="M52" s="14" t="n">
        <v>13.498916</v>
      </c>
      <c r="N52" s="15">
        <f>IF(OR(M52="",L52="",L52&lt;=0),"",M52/L52)</f>
        <v/>
      </c>
      <c r="O52" s="16" t="n">
        <v>0.23229</v>
      </c>
      <c r="P52" s="16" t="n">
        <v>0.2608754092791846</v>
      </c>
      <c r="Q52" s="16" t="n">
        <v>0.04740689685132777</v>
      </c>
      <c r="R52" s="17" t="n">
        <v>4</v>
      </c>
      <c r="S52" s="16" t="n"/>
      <c r="T52" s="16" t="n">
        <v>0.2025669227963051</v>
      </c>
      <c r="U52" s="16" t="n">
        <v>0.2258406728206954</v>
      </c>
      <c r="V52" s="16" t="n">
        <v>0.3058346412491837</v>
      </c>
      <c r="W52" s="16" t="n">
        <v>0.3092594002505544</v>
      </c>
      <c r="X52" s="10" t="n"/>
      <c r="Y52" s="15">
        <f>IF(OR(X52="",G52="",G52=0),"",X52/G52)</f>
        <v/>
      </c>
      <c r="Z52" s="18" t="n">
        <v>38.661</v>
      </c>
      <c r="AA52" s="16" t="n">
        <v>0.242</v>
      </c>
      <c r="AB52" s="16" t="n">
        <v>0.2601579539488204</v>
      </c>
      <c r="AC52" s="9">
        <f>IF(AND(O52="",P52=""),"DATI MANCANTI",IF(AND(N(O52)&gt;=PARAMETRI!$B$4,N(P52)&gt;=PARAMETRI!$B$4),"OK","NO"))</f>
        <v/>
      </c>
      <c r="AD52" s="9">
        <f>IF(L52="","N/D",IF(L52&lt;PARAMETRI!$B$6,"OTTIMO",IF(L52&lt;PARAMETRI!$B$5,"OK","NO")))</f>
        <v/>
      </c>
      <c r="AE52" s="9">
        <f>IF(OR(AC52="DATI MANCANTI",AD52="N/D"),"DA COMPLETARE",IF(AND(AC52="OK",AD52="OTTIMO"),"PASSA FORTE",IF(AND(AC52="OK",AD52="OK"),"PASSA","SCARTA")))</f>
        <v/>
      </c>
      <c r="AF52" s="8" t="inlineStr">
        <is>
          <t>2026-08-04</t>
        </is>
      </c>
      <c r="AG52" s="8" t="inlineStr">
        <is>
          <t>yahoo</t>
        </is>
      </c>
      <c r="AH52" s="19" t="inlineStr"/>
    </row>
    <row r="53">
      <c r="A53" s="8" t="n">
        <v>52</v>
      </c>
      <c r="B53" s="8" t="inlineStr">
        <is>
          <t>Caterpillar</t>
        </is>
      </c>
      <c r="C53" s="8" t="inlineStr">
        <is>
          <t>CAT</t>
        </is>
      </c>
      <c r="D53" s="9" t="inlineStr">
        <is>
          <t>USA</t>
        </is>
      </c>
      <c r="E53" s="8" t="inlineStr">
        <is>
          <t>Macchine movimento terra</t>
        </is>
      </c>
      <c r="F53" s="9" t="inlineStr">
        <is>
          <t>Industriale</t>
        </is>
      </c>
      <c r="G53" s="10" t="n">
        <v>830.03</v>
      </c>
      <c r="H53" s="11" t="inlineStr">
        <is>
          <t>USD</t>
        </is>
      </c>
      <c r="I53" s="12" t="n">
        <v>382305.2</v>
      </c>
      <c r="J53" s="10" t="n">
        <v>20.04</v>
      </c>
      <c r="K53" s="10" t="n">
        <v>30.45142</v>
      </c>
      <c r="L53" s="13">
        <f>IF(OR(G53="",J53="",J53&lt;=0),"",G53/J53)</f>
        <v/>
      </c>
      <c r="M53" s="14" t="n">
        <v>20.489002</v>
      </c>
      <c r="N53" s="15">
        <f>IF(OR(M53="",L53="",L53&lt;=0),"",M53/L53)</f>
        <v/>
      </c>
      <c r="O53" s="16" t="n">
        <v>0.51331</v>
      </c>
      <c r="P53" s="16" t="n">
        <v>0.4807783755577582</v>
      </c>
      <c r="Q53" s="16" t="n">
        <v>0.06174601377681064</v>
      </c>
      <c r="R53" s="17" t="n">
        <v>4</v>
      </c>
      <c r="S53" s="16" t="n"/>
      <c r="T53" s="16" t="n">
        <v>0.4167370297401257</v>
      </c>
      <c r="U53" s="16" t="n">
        <v>0.5536914473346672</v>
      </c>
      <c r="V53" s="16" t="n">
        <v>0.5301631271160357</v>
      </c>
      <c r="W53" s="16" t="n">
        <v>0.4225218980402042</v>
      </c>
      <c r="X53" s="10" t="n">
        <v>6.52</v>
      </c>
      <c r="Y53" s="15">
        <f>IF(OR(X53="",G53="",G53=0),"",X53/G53)</f>
        <v/>
      </c>
      <c r="Z53" s="18" t="n">
        <v>230.793</v>
      </c>
      <c r="AA53" s="16" t="n">
        <v>0.222</v>
      </c>
      <c r="AB53" s="16" t="n">
        <v>0.1395197386556984</v>
      </c>
      <c r="AC53" s="9">
        <f>IF(AND(O53="",P53=""),"DATI MANCANTI",IF(AND(N(O53)&gt;=PARAMETRI!$B$4,N(P53)&gt;=PARAMETRI!$B$4),"OK","NO"))</f>
        <v/>
      </c>
      <c r="AD53" s="9">
        <f>IF(L53="","N/D",IF(L53&lt;PARAMETRI!$B$6,"OTTIMO",IF(L53&lt;PARAMETRI!$B$5,"OK","NO")))</f>
        <v/>
      </c>
      <c r="AE53" s="9">
        <f>IF(OR(AC53="DATI MANCANTI",AD53="N/D"),"DA COMPLETARE",IF(AND(AC53="OK",AD53="OTTIMO"),"PASSA FORTE",IF(AND(AC53="OK",AD53="OK"),"PASSA","SCARTA")))</f>
        <v/>
      </c>
      <c r="AF53" s="8" t="inlineStr">
        <is>
          <t>2026-08-04</t>
        </is>
      </c>
      <c r="AG53" s="8" t="inlineStr">
        <is>
          <t>yahoo</t>
        </is>
      </c>
      <c r="AH53" s="19" t="inlineStr"/>
    </row>
    <row r="54">
      <c r="A54" s="8" t="n">
        <v>53</v>
      </c>
      <c r="B54" s="8" t="inlineStr">
        <is>
          <t>Charles Schwab</t>
        </is>
      </c>
      <c r="C54" s="8" t="inlineStr">
        <is>
          <t>SCHW</t>
        </is>
      </c>
      <c r="D54" s="9" t="inlineStr">
        <is>
          <t>USA</t>
        </is>
      </c>
      <c r="E54" s="8" t="inlineStr">
        <is>
          <t>Intermediazione</t>
        </is>
      </c>
      <c r="F54" s="9" t="inlineStr">
        <is>
          <t>Finanziario</t>
        </is>
      </c>
      <c r="G54" s="10" t="n">
        <v>105.87</v>
      </c>
      <c r="H54" s="11" t="inlineStr">
        <is>
          <t>USD</t>
        </is>
      </c>
      <c r="I54" s="12" t="n">
        <v>184122.3</v>
      </c>
      <c r="J54" s="10" t="n">
        <v>5.49</v>
      </c>
      <c r="K54" s="10" t="n">
        <v>7.80276</v>
      </c>
      <c r="L54" s="13">
        <f>IF(OR(G54="",J54="",J54&lt;=0),"",G54/J54)</f>
        <v/>
      </c>
      <c r="M54" s="14" t="n">
        <v>3.6663668</v>
      </c>
      <c r="N54" s="15">
        <f>IF(OR(M54="",L54="",L54&lt;=0),"",M54/L54)</f>
        <v/>
      </c>
      <c r="O54" s="16" t="n">
        <v>0.20283002</v>
      </c>
      <c r="P54" s="16" t="n">
        <v>0.1554644312241724</v>
      </c>
      <c r="Q54" s="16" t="n">
        <v>0.03275755535947185</v>
      </c>
      <c r="R54" s="17" t="n">
        <v>4</v>
      </c>
      <c r="S54" s="16" t="n"/>
      <c r="T54" s="16" t="n">
        <v>0.179099645928174</v>
      </c>
      <c r="U54" s="16" t="n">
        <v>0.1228320413436692</v>
      </c>
      <c r="V54" s="16" t="n">
        <v>0.1237120953171542</v>
      </c>
      <c r="W54" s="16" t="n">
        <v>0.1962139423076923</v>
      </c>
      <c r="X54" s="10" t="n">
        <v>1.28</v>
      </c>
      <c r="Y54" s="15">
        <f>IF(OR(X54="",G54="",G54=0),"",X54/G54)</f>
        <v/>
      </c>
      <c r="Z54" s="18" t="n">
        <v>74.05200000000001</v>
      </c>
      <c r="AA54" s="16" t="n">
        <v>0.209</v>
      </c>
      <c r="AB54" s="16" t="n">
        <v>0.4064420423895322</v>
      </c>
      <c r="AC54" s="9">
        <f>IF(AND(O54="",P54=""),"DATI MANCANTI",IF(AND(N(O54)&gt;=PARAMETRI!$B$4,N(P54)&gt;=PARAMETRI!$B$4),"OK","NO"))</f>
        <v/>
      </c>
      <c r="AD54" s="9">
        <f>IF(L54="","N/D",IF(L54&lt;PARAMETRI!$B$6,"OTTIMO",IF(L54&lt;PARAMETRI!$B$5,"OK","NO")))</f>
        <v/>
      </c>
      <c r="AE54" s="9">
        <f>IF(OR(AC54="DATI MANCANTI",AD54="N/D"),"DA COMPLETARE",IF(AND(AC54="OK",AD54="OTTIMO"),"PASSA FORTE",IF(AND(AC54="OK",AD54="OK"),"PASSA","SCARTA")))</f>
        <v/>
      </c>
      <c r="AF54" s="8" t="inlineStr">
        <is>
          <t>2026-08-04</t>
        </is>
      </c>
      <c r="AG54" s="8" t="inlineStr">
        <is>
          <t>yahoo</t>
        </is>
      </c>
      <c r="AH54" s="19" t="inlineStr"/>
    </row>
    <row r="55">
      <c r="A55" s="8" t="n">
        <v>54</v>
      </c>
      <c r="B55" s="8" t="inlineStr">
        <is>
          <t>Chevron</t>
        </is>
      </c>
      <c r="C55" s="8" t="inlineStr">
        <is>
          <t>CVX</t>
        </is>
      </c>
      <c r="D55" s="9" t="inlineStr">
        <is>
          <t>USA</t>
        </is>
      </c>
      <c r="E55" s="8" t="inlineStr">
        <is>
          <t>Petrolio integrato</t>
        </is>
      </c>
      <c r="F55" s="9" t="inlineStr">
        <is>
          <t>Energia</t>
        </is>
      </c>
      <c r="G55" s="10" t="n">
        <v>193.18</v>
      </c>
      <c r="H55" s="11" t="inlineStr">
        <is>
          <t>USD</t>
        </is>
      </c>
      <c r="I55" s="12" t="n">
        <v>384736.8</v>
      </c>
      <c r="J55" s="10" t="n">
        <v>10.39</v>
      </c>
      <c r="K55" s="10" t="n">
        <v>12.95529</v>
      </c>
      <c r="L55" s="13">
        <f>IF(OR(G55="",J55="",J55&lt;=0),"",G55/J55)</f>
        <v/>
      </c>
      <c r="M55" s="14" t="n">
        <v>2.079306</v>
      </c>
      <c r="N55" s="15">
        <f>IF(OR(M55="",L55="",L55&lt;=0),"",M55/L55)</f>
        <v/>
      </c>
      <c r="O55" s="16" t="n">
        <v>0.06596406543309198</v>
      </c>
      <c r="P55" s="16" t="n">
        <v>0.1343324653779517</v>
      </c>
      <c r="Q55" s="16" t="n">
        <v>0.05660306595463921</v>
      </c>
      <c r="R55" s="17" t="n">
        <v>4</v>
      </c>
      <c r="S55" s="16" t="n"/>
      <c r="T55" s="16" t="n">
        <v>0.06596406543309198</v>
      </c>
      <c r="U55" s="16" t="n">
        <v>0.1159482136057459</v>
      </c>
      <c r="V55" s="16" t="n">
        <v>0.1327621662928608</v>
      </c>
      <c r="W55" s="16" t="n">
        <v>0.2226554161801082</v>
      </c>
      <c r="X55" s="10" t="n">
        <v>7.12</v>
      </c>
      <c r="Y55" s="15">
        <f>IF(OR(X55="",G55="",G55=0),"",X55/G55)</f>
        <v/>
      </c>
      <c r="Z55" s="18" t="n">
        <v>23.989</v>
      </c>
      <c r="AA55" s="16" t="n">
        <v>0.526</v>
      </c>
      <c r="AB55" s="16" t="n">
        <v>0.1116454820855383</v>
      </c>
      <c r="AC55" s="9">
        <f>IF(AND(O55="",P55=""),"DATI MANCANTI",IF(AND(N(O55)&gt;=PARAMETRI!$B$4,N(P55)&gt;=PARAMETRI!$B$4),"OK","NO"))</f>
        <v/>
      </c>
      <c r="AD55" s="9">
        <f>IF(L55="","N/D",IF(L55&lt;PARAMETRI!$B$6,"OTTIMO",IF(L55&lt;PARAMETRI!$B$5,"OK","NO")))</f>
        <v/>
      </c>
      <c r="AE55" s="9">
        <f>IF(OR(AC55="DATI MANCANTI",AD55="N/D"),"DA COMPLETARE",IF(AND(AC55="OK",AD55="OTTIMO"),"PASSA FORTE",IF(AND(AC55="OK",AD55="OK"),"PASSA","SCARTA")))</f>
        <v/>
      </c>
      <c r="AF55" s="8" t="inlineStr">
        <is>
          <t>2026-08-04</t>
        </is>
      </c>
      <c r="AG55" s="8" t="inlineStr">
        <is>
          <t>yahoo</t>
        </is>
      </c>
      <c r="AH55" s="19" t="inlineStr"/>
    </row>
    <row r="56">
      <c r="A56" s="8" t="n">
        <v>55</v>
      </c>
      <c r="B56" s="8" t="inlineStr">
        <is>
          <t>Chipotle Mexican Grill</t>
        </is>
      </c>
      <c r="C56" s="8" t="inlineStr">
        <is>
          <t>CMG</t>
        </is>
      </c>
      <c r="D56" s="9" t="inlineStr">
        <is>
          <t>USA</t>
        </is>
      </c>
      <c r="E56" s="8" t="inlineStr">
        <is>
          <t>Ristorazione</t>
        </is>
      </c>
      <c r="F56" s="9" t="inlineStr">
        <is>
          <t>Consumi</t>
        </is>
      </c>
      <c r="G56" s="10" t="n">
        <v>37.46</v>
      </c>
      <c r="H56" s="11" t="inlineStr">
        <is>
          <t>USD</t>
        </is>
      </c>
      <c r="I56" s="12" t="n">
        <v>47402.6</v>
      </c>
      <c r="J56" s="10" t="n">
        <v>1.08</v>
      </c>
      <c r="K56" s="10" t="n">
        <v>1.36691</v>
      </c>
      <c r="L56" s="13">
        <f>IF(OR(G56="",J56="",J56&lt;=0),"",G56/J56)</f>
        <v/>
      </c>
      <c r="M56" s="14" t="n">
        <v>21.590776</v>
      </c>
      <c r="N56" s="15">
        <f>IF(OR(M56="",L56="",L56&lt;=0),"",M56/L56)</f>
        <v/>
      </c>
      <c r="O56" s="16" t="n">
        <v>0.49560001</v>
      </c>
      <c r="P56" s="16" t="n">
        <v>0.4357911689420391</v>
      </c>
      <c r="Q56" s="16" t="n">
        <v>0.06324374116647129</v>
      </c>
      <c r="R56" s="17" t="n">
        <v>4</v>
      </c>
      <c r="S56" s="16" t="n"/>
      <c r="T56" s="16" t="n">
        <v>0.5425553600340846</v>
      </c>
      <c r="U56" s="16" t="n">
        <v>0.4196664465445107</v>
      </c>
      <c r="V56" s="16" t="n">
        <v>0.4012586347036631</v>
      </c>
      <c r="W56" s="16" t="n">
        <v>0.3796842344858982</v>
      </c>
      <c r="X56" s="10" t="n"/>
      <c r="Y56" s="15">
        <f>IF(OR(X56="",G56="",G56=0),"",X56/G56)</f>
        <v/>
      </c>
      <c r="Z56" s="18" t="n">
        <v>246.35</v>
      </c>
      <c r="AA56" s="16" t="n">
        <v>0.093</v>
      </c>
      <c r="AB56" s="16" t="n">
        <v>0.1190217542914609</v>
      </c>
      <c r="AC56" s="9">
        <f>IF(AND(O56="",P56=""),"DATI MANCANTI",IF(AND(N(O56)&gt;=PARAMETRI!$B$4,N(P56)&gt;=PARAMETRI!$B$4),"OK","NO"))</f>
        <v/>
      </c>
      <c r="AD56" s="9">
        <f>IF(L56="","N/D",IF(L56&lt;PARAMETRI!$B$6,"OTTIMO",IF(L56&lt;PARAMETRI!$B$5,"OK","NO")))</f>
        <v/>
      </c>
      <c r="AE56" s="9">
        <f>IF(OR(AC56="DATI MANCANTI",AD56="N/D"),"DA COMPLETARE",IF(AND(AC56="OK",AD56="OTTIMO"),"PASSA FORTE",IF(AND(AC56="OK",AD56="OK"),"PASSA","SCARTA")))</f>
        <v/>
      </c>
      <c r="AF56" s="8" t="inlineStr">
        <is>
          <t>2026-08-04</t>
        </is>
      </c>
      <c r="AG56" s="8" t="inlineStr">
        <is>
          <t>yahoo</t>
        </is>
      </c>
      <c r="AH56" s="19" t="inlineStr"/>
    </row>
    <row r="57">
      <c r="A57" s="8" t="n">
        <v>56</v>
      </c>
      <c r="B57" s="8" t="inlineStr">
        <is>
          <t>Chubb</t>
        </is>
      </c>
      <c r="C57" s="8" t="inlineStr">
        <is>
          <t>CB</t>
        </is>
      </c>
      <c r="D57" s="9" t="inlineStr">
        <is>
          <t>USA</t>
        </is>
      </c>
      <c r="E57" s="8" t="inlineStr">
        <is>
          <t>Assicurazione</t>
        </is>
      </c>
      <c r="F57" s="9" t="inlineStr">
        <is>
          <t>Finanziario</t>
        </is>
      </c>
      <c r="G57" s="10" t="n">
        <v>348.23</v>
      </c>
      <c r="H57" s="11" t="inlineStr">
        <is>
          <t>USD</t>
        </is>
      </c>
      <c r="I57" s="12" t="n">
        <v>134347.1</v>
      </c>
      <c r="J57" s="10" t="n">
        <v>28.23</v>
      </c>
      <c r="K57" s="10" t="n">
        <v>29.14121</v>
      </c>
      <c r="L57" s="13">
        <f>IF(OR(G57="",J57="",J57&lt;=0),"",G57/J57)</f>
        <v/>
      </c>
      <c r="M57" s="14" t="n">
        <v>1.7816833</v>
      </c>
      <c r="N57" s="15">
        <f>IF(OR(M57="",L57="",L57&lt;=0),"",M57/L57)</f>
        <v/>
      </c>
      <c r="O57" s="16" t="n">
        <v>0.14822</v>
      </c>
      <c r="P57" s="16" t="n">
        <v>0.1350415459271134</v>
      </c>
      <c r="Q57" s="16" t="n">
        <v>0.0185040460098504</v>
      </c>
      <c r="R57" s="17" t="n">
        <v>4</v>
      </c>
      <c r="S57" s="16" t="n"/>
      <c r="T57" s="16" t="n">
        <v>0.1397833425979907</v>
      </c>
      <c r="U57" s="16" t="n">
        <v>0.1448274784836226</v>
      </c>
      <c r="V57" s="16" t="n">
        <v>0.1517132438200548</v>
      </c>
      <c r="W57" s="16" t="n">
        <v>0.1038421188067856</v>
      </c>
      <c r="X57" s="10" t="n">
        <v>4.08</v>
      </c>
      <c r="Y57" s="15">
        <f>IF(OR(X57="",G57="",G57=0),"",X57/G57)</f>
        <v/>
      </c>
      <c r="Z57" s="18" t="n">
        <v>30.941</v>
      </c>
      <c r="AA57" s="16" t="n">
        <v>0.061</v>
      </c>
      <c r="AB57" s="16" t="n">
        <v>0.1870933283374872</v>
      </c>
      <c r="AC57" s="9">
        <f>IF(AND(O57="",P57=""),"DATI MANCANTI",IF(AND(N(O57)&gt;=PARAMETRI!$B$4,N(P57)&gt;=PARAMETRI!$B$4),"OK","NO"))</f>
        <v/>
      </c>
      <c r="AD57" s="9">
        <f>IF(L57="","N/D",IF(L57&lt;PARAMETRI!$B$6,"OTTIMO",IF(L57&lt;PARAMETRI!$B$5,"OK","NO")))</f>
        <v/>
      </c>
      <c r="AE57" s="9">
        <f>IF(OR(AC57="DATI MANCANTI",AD57="N/D"),"DA COMPLETARE",IF(AND(AC57="OK",AD57="OTTIMO"),"PASSA FORTE",IF(AND(AC57="OK",AD57="OK"),"PASSA","SCARTA")))</f>
        <v/>
      </c>
      <c r="AF57" s="8" t="inlineStr">
        <is>
          <t>2026-08-04</t>
        </is>
      </c>
      <c r="AG57" s="8" t="inlineStr">
        <is>
          <t>yahoo</t>
        </is>
      </c>
      <c r="AH57" s="19" t="inlineStr"/>
    </row>
    <row r="58">
      <c r="A58" s="8" t="n">
        <v>57</v>
      </c>
      <c r="B58" s="8" t="inlineStr">
        <is>
          <t>Cigna Group</t>
        </is>
      </c>
      <c r="C58" s="8" t="inlineStr">
        <is>
          <t>CI</t>
        </is>
      </c>
      <c r="D58" s="9" t="inlineStr">
        <is>
          <t>USA</t>
        </is>
      </c>
      <c r="E58" s="8" t="inlineStr">
        <is>
          <t>Assicurazione sanitaria</t>
        </is>
      </c>
      <c r="F58" s="9" t="inlineStr">
        <is>
          <t>Salute</t>
        </is>
      </c>
      <c r="G58" s="10" t="n">
        <v>282.06</v>
      </c>
      <c r="H58" s="11" t="inlineStr">
        <is>
          <t>USD</t>
        </is>
      </c>
      <c r="I58" s="12" t="n">
        <v>74531.7</v>
      </c>
      <c r="J58" s="10" t="n">
        <v>24.19</v>
      </c>
      <c r="K58" s="10" t="n">
        <v>33.49243</v>
      </c>
      <c r="L58" s="13">
        <f>IF(OR(G58="",J58="",J58&lt;=0),"",G58/J58)</f>
        <v/>
      </c>
      <c r="M58" s="14" t="n">
        <v>1.7681352</v>
      </c>
      <c r="N58" s="15">
        <f>IF(OR(M58="",L58="",L58&lt;=0),"",M58/L58)</f>
        <v/>
      </c>
      <c r="O58" s="16" t="n">
        <v>0.16758</v>
      </c>
      <c r="P58" s="16" t="n">
        <v>0.1220696910352129</v>
      </c>
      <c r="Q58" s="16" t="n">
        <v>0.02642867866442709</v>
      </c>
      <c r="R58" s="17" t="n">
        <v>4</v>
      </c>
      <c r="S58" s="16" t="n"/>
      <c r="T58" s="16" t="n">
        <v>0.1428091961738547</v>
      </c>
      <c r="U58" s="16" t="n">
        <v>0.0836887383325616</v>
      </c>
      <c r="V58" s="16" t="n">
        <v>0.1117192739545248</v>
      </c>
      <c r="W58" s="16" t="n">
        <v>0.1500615556799105</v>
      </c>
      <c r="X58" s="10" t="n">
        <v>6.24</v>
      </c>
      <c r="Y58" s="15">
        <f>IF(OR(X58="",G58="",G58=0),"",X58/G58)</f>
        <v/>
      </c>
      <c r="Z58" s="18" t="n">
        <v>74.29000000000001</v>
      </c>
      <c r="AA58" s="16" t="n">
        <v>0.067</v>
      </c>
      <c r="AB58" s="16" t="n">
        <v>0.02342854221592527</v>
      </c>
      <c r="AC58" s="9">
        <f>IF(AND(O58="",P58=""),"DATI MANCANTI",IF(AND(N(O58)&gt;=PARAMETRI!$B$4,N(P58)&gt;=PARAMETRI!$B$4),"OK","NO"))</f>
        <v/>
      </c>
      <c r="AD58" s="9">
        <f>IF(L58="","N/D",IF(L58&lt;PARAMETRI!$B$6,"OTTIMO",IF(L58&lt;PARAMETRI!$B$5,"OK","NO")))</f>
        <v/>
      </c>
      <c r="AE58" s="9">
        <f>IF(OR(AC58="DATI MANCANTI",AD58="N/D"),"DA COMPLETARE",IF(AND(AC58="OK",AD58="OTTIMO"),"PASSA FORTE",IF(AND(AC58="OK",AD58="OK"),"PASSA","SCARTA")))</f>
        <v/>
      </c>
      <c r="AF58" s="8" t="inlineStr">
        <is>
          <t>2026-08-04</t>
        </is>
      </c>
      <c r="AG58" s="8" t="inlineStr">
        <is>
          <t>yahoo</t>
        </is>
      </c>
      <c r="AH58" s="19" t="inlineStr"/>
    </row>
    <row r="59">
      <c r="A59" s="8" t="n">
        <v>58</v>
      </c>
      <c r="B59" s="8" t="inlineStr">
        <is>
          <t>Cisco Systems</t>
        </is>
      </c>
      <c r="C59" s="8" t="inlineStr">
        <is>
          <t>CSCO</t>
        </is>
      </c>
      <c r="D59" s="9" t="inlineStr">
        <is>
          <t>USA</t>
        </is>
      </c>
      <c r="E59" s="8" t="inlineStr">
        <is>
          <t>Reti</t>
        </is>
      </c>
      <c r="F59" s="9" t="inlineStr">
        <is>
          <t>Tecnologia</t>
        </is>
      </c>
      <c r="G59" s="10" t="n">
        <v>115.86</v>
      </c>
      <c r="H59" s="11" t="inlineStr">
        <is>
          <t>USD</t>
        </is>
      </c>
      <c r="I59" s="12" t="n">
        <v>456654.6</v>
      </c>
      <c r="J59" s="10" t="n">
        <v>3</v>
      </c>
      <c r="K59" s="10" t="n">
        <v>4.79081</v>
      </c>
      <c r="L59" s="13">
        <f>IF(OR(G59="",J59="",J59&lt;=0),"",G59/J59)</f>
        <v/>
      </c>
      <c r="M59" s="14" t="n">
        <v>9.342795000000001</v>
      </c>
      <c r="N59" s="15">
        <f>IF(OR(M59="",L59="",L59&lt;=0),"",M59/L59)</f>
        <v/>
      </c>
      <c r="O59" s="16" t="n">
        <v>0.25229</v>
      </c>
      <c r="P59" s="16" t="n">
        <v>0.2564281077841425</v>
      </c>
      <c r="Q59" s="16" t="n">
        <v>0.03471224998412185</v>
      </c>
      <c r="R59" s="17" t="n">
        <v>4</v>
      </c>
      <c r="S59" s="16" t="n"/>
      <c r="T59" s="16" t="n">
        <v>0.2173216916081378</v>
      </c>
      <c r="U59" s="16" t="n">
        <v>0.2270277405020129</v>
      </c>
      <c r="V59" s="16" t="n">
        <v>0.2843776069262507</v>
      </c>
      <c r="W59" s="16" t="n">
        <v>0.2969853921001684</v>
      </c>
      <c r="X59" s="10" t="n">
        <v>1.68</v>
      </c>
      <c r="Y59" s="15">
        <f>IF(OR(X59="",G59="",G59=0),"",X59/G59)</f>
        <v/>
      </c>
      <c r="Z59" s="18" t="n">
        <v>67.541</v>
      </c>
      <c r="AA59" s="16" t="n">
        <v>0.12</v>
      </c>
      <c r="AB59" s="16" t="n">
        <v>0.211070703145409</v>
      </c>
      <c r="AC59" s="9">
        <f>IF(AND(O59="",P59=""),"DATI MANCANTI",IF(AND(N(O59)&gt;=PARAMETRI!$B$4,N(P59)&gt;=PARAMETRI!$B$4),"OK","NO"))</f>
        <v/>
      </c>
      <c r="AD59" s="9">
        <f>IF(L59="","N/D",IF(L59&lt;PARAMETRI!$B$6,"OTTIMO",IF(L59&lt;PARAMETRI!$B$5,"OK","NO")))</f>
        <v/>
      </c>
      <c r="AE59" s="9">
        <f>IF(OR(AC59="DATI MANCANTI",AD59="N/D"),"DA COMPLETARE",IF(AND(AC59="OK",AD59="OTTIMO"),"PASSA FORTE",IF(AND(AC59="OK",AD59="OK"),"PASSA","SCARTA")))</f>
        <v/>
      </c>
      <c r="AF59" s="8" t="inlineStr">
        <is>
          <t>2026-08-04</t>
        </is>
      </c>
      <c r="AG59" s="8" t="inlineStr">
        <is>
          <t>yahoo</t>
        </is>
      </c>
      <c r="AH59" s="19" t="inlineStr"/>
    </row>
    <row r="60">
      <c r="A60" s="8" t="n">
        <v>59</v>
      </c>
      <c r="B60" s="8" t="inlineStr">
        <is>
          <t>Citigroup</t>
        </is>
      </c>
      <c r="C60" s="8" t="inlineStr">
        <is>
          <t>C</t>
        </is>
      </c>
      <c r="D60" s="9" t="inlineStr">
        <is>
          <t>USA</t>
        </is>
      </c>
      <c r="E60" s="8" t="inlineStr">
        <is>
          <t>Banca</t>
        </is>
      </c>
      <c r="F60" s="9" t="inlineStr">
        <is>
          <t>Finanziario</t>
        </is>
      </c>
      <c r="G60" s="10" t="n">
        <v>133.57</v>
      </c>
      <c r="H60" s="11" t="inlineStr">
        <is>
          <t>USD</t>
        </is>
      </c>
      <c r="I60" s="12" t="n">
        <v>224050.3</v>
      </c>
      <c r="J60" s="10" t="n">
        <v>9.279999999999999</v>
      </c>
      <c r="K60" s="10" t="n">
        <v>12.88329</v>
      </c>
      <c r="L60" s="13">
        <f>IF(OR(G60="",J60="",J60&lt;=0),"",G60/J60)</f>
        <v/>
      </c>
      <c r="M60" s="14" t="n">
        <v>1.1641103</v>
      </c>
      <c r="N60" s="15">
        <f>IF(OR(M60="",L60="",L60&lt;=0),"",M60/L60)</f>
        <v/>
      </c>
      <c r="O60" s="16" t="n">
        <v>0.08529</v>
      </c>
      <c r="P60" s="16" t="n">
        <v>0.06172167956388333</v>
      </c>
      <c r="Q60" s="16" t="n">
        <v>0.01073520173144264</v>
      </c>
      <c r="R60" s="17" t="n">
        <v>4</v>
      </c>
      <c r="S60" s="16" t="n"/>
      <c r="T60" s="16" t="n">
        <v>0.06738863164241536</v>
      </c>
      <c r="U60" s="16" t="n">
        <v>0.06079636429879481</v>
      </c>
      <c r="V60" s="16" t="n">
        <v>0.04491538210685656</v>
      </c>
      <c r="W60" s="16" t="n">
        <v>0.07378634020746661</v>
      </c>
      <c r="X60" s="10" t="n">
        <v>2.68</v>
      </c>
      <c r="Y60" s="15">
        <f>IF(OR(X60="",G60="",G60=0),"",X60/G60)</f>
        <v/>
      </c>
      <c r="Z60" s="18" t="n"/>
      <c r="AA60" s="16" t="n">
        <v>0.145</v>
      </c>
      <c r="AB60" s="16" t="n">
        <v>0.193163018037154</v>
      </c>
      <c r="AC60" s="9">
        <f>IF(AND(O60="",P60=""),"DATI MANCANTI",IF(AND(N(O60)&gt;=PARAMETRI!$B$4,N(P60)&gt;=PARAMETRI!$B$4),"OK","NO"))</f>
        <v/>
      </c>
      <c r="AD60" s="9">
        <f>IF(L60="","N/D",IF(L60&lt;PARAMETRI!$B$6,"OTTIMO",IF(L60&lt;PARAMETRI!$B$5,"OK","NO")))</f>
        <v/>
      </c>
      <c r="AE60" s="9">
        <f>IF(OR(AC60="DATI MANCANTI",AD60="N/D"),"DA COMPLETARE",IF(AND(AC60="OK",AD60="OTTIMO"),"PASSA FORTE",IF(AND(AC60="OK",AD60="OK"),"PASSA","SCARTA")))</f>
        <v/>
      </c>
      <c r="AF60" s="8" t="inlineStr">
        <is>
          <t>2026-08-04</t>
        </is>
      </c>
      <c r="AG60" s="8" t="inlineStr">
        <is>
          <t>yahoo</t>
        </is>
      </c>
      <c r="AH60" s="19" t="inlineStr"/>
    </row>
    <row r="61">
      <c r="A61" s="8" t="n">
        <v>60</v>
      </c>
      <c r="B61" s="8" t="inlineStr">
        <is>
          <t>Coca-Cola</t>
        </is>
      </c>
      <c r="C61" s="8" t="inlineStr">
        <is>
          <t>KO</t>
        </is>
      </c>
      <c r="D61" s="9" t="inlineStr">
        <is>
          <t>USA</t>
        </is>
      </c>
      <c r="E61" s="8" t="inlineStr">
        <is>
          <t>Bevande</t>
        </is>
      </c>
      <c r="F61" s="9" t="inlineStr">
        <is>
          <t>Consumi</t>
        </is>
      </c>
      <c r="G61" s="10" t="n">
        <v>86.86</v>
      </c>
      <c r="H61" s="11" t="inlineStr">
        <is>
          <t>USD</t>
        </is>
      </c>
      <c r="I61" s="12" t="n">
        <v>373719.4</v>
      </c>
      <c r="J61" s="10" t="n">
        <v>3.33</v>
      </c>
      <c r="K61" s="10" t="n">
        <v>3.52642</v>
      </c>
      <c r="L61" s="13">
        <f>IF(OR(G61="",J61="",J61&lt;=0),"",G61/J61)</f>
        <v/>
      </c>
      <c r="M61" s="14" t="n">
        <v>10.339246</v>
      </c>
      <c r="N61" s="15">
        <f>IF(OR(M61="",L61="",L61&lt;=0),"",M61/L61)</f>
        <v/>
      </c>
      <c r="O61" s="16" t="n">
        <v>0.42054</v>
      </c>
      <c r="P61" s="16" t="n">
        <v>0.4110027875944097</v>
      </c>
      <c r="Q61" s="16" t="n">
        <v>0.01145865829768229</v>
      </c>
      <c r="R61" s="17" t="n">
        <v>4</v>
      </c>
      <c r="S61" s="16" t="n"/>
      <c r="T61" s="16" t="n">
        <v>0.4074419472162641</v>
      </c>
      <c r="U61" s="16" t="n">
        <v>0.4277035725780496</v>
      </c>
      <c r="V61" s="16" t="n">
        <v>0.4130141474885317</v>
      </c>
      <c r="W61" s="16" t="n">
        <v>0.3958514830947936</v>
      </c>
      <c r="X61" s="10" t="n">
        <v>2.12</v>
      </c>
      <c r="Y61" s="15">
        <f>IF(OR(X61="",G61="",G61=0),"",X61/G61)</f>
        <v/>
      </c>
      <c r="Z61" s="18" t="n">
        <v>115.519</v>
      </c>
      <c r="AA61" s="16" t="n">
        <v>0.067</v>
      </c>
      <c r="AB61" s="16" t="n">
        <v>0.2986170554640079</v>
      </c>
      <c r="AC61" s="9">
        <f>IF(AND(O61="",P61=""),"DATI MANCANTI",IF(AND(N(O61)&gt;=PARAMETRI!$B$4,N(P61)&gt;=PARAMETRI!$B$4),"OK","NO"))</f>
        <v/>
      </c>
      <c r="AD61" s="9">
        <f>IF(L61="","N/D",IF(L61&lt;PARAMETRI!$B$6,"OTTIMO",IF(L61&lt;PARAMETRI!$B$5,"OK","NO")))</f>
        <v/>
      </c>
      <c r="AE61" s="9">
        <f>IF(OR(AC61="DATI MANCANTI",AD61="N/D"),"DA COMPLETARE",IF(AND(AC61="OK",AD61="OTTIMO"),"PASSA FORTE",IF(AND(AC61="OK",AD61="OK"),"PASSA","SCARTA")))</f>
        <v/>
      </c>
      <c r="AF61" s="8" t="inlineStr">
        <is>
          <t>2026-08-04</t>
        </is>
      </c>
      <c r="AG61" s="8" t="inlineStr">
        <is>
          <t>yahoo</t>
        </is>
      </c>
      <c r="AH61" s="19" t="inlineStr"/>
    </row>
    <row r="62">
      <c r="A62" s="8" t="n">
        <v>61</v>
      </c>
      <c r="B62" s="8" t="inlineStr">
        <is>
          <t>Colgate-Palmolive</t>
        </is>
      </c>
      <c r="C62" s="8" t="inlineStr">
        <is>
          <t>CL</t>
        </is>
      </c>
      <c r="D62" s="9" t="inlineStr">
        <is>
          <t>USA</t>
        </is>
      </c>
      <c r="E62" s="8" t="inlineStr">
        <is>
          <t>Cura della persona</t>
        </is>
      </c>
      <c r="F62" s="9" t="inlineStr">
        <is>
          <t>Consumi</t>
        </is>
      </c>
      <c r="G62" s="10" t="n">
        <v>89.88</v>
      </c>
      <c r="H62" s="11" t="inlineStr">
        <is>
          <t>USD</t>
        </is>
      </c>
      <c r="I62" s="12" t="n">
        <v>71649.89999999999</v>
      </c>
      <c r="J62" s="10" t="n">
        <v>2.54</v>
      </c>
      <c r="K62" s="10" t="n">
        <v>4.10002</v>
      </c>
      <c r="L62" s="13">
        <f>IF(OR(G62="",J62="",J62&lt;=0),"",G62/J62)</f>
        <v/>
      </c>
      <c r="M62" s="14" t="n">
        <v>303.64862</v>
      </c>
      <c r="N62" s="15">
        <f>IF(OR(M62="",L62="",L62&lt;=0),"",M62/L62)</f>
        <v/>
      </c>
      <c r="O62" s="16" t="n">
        <v>2.67367</v>
      </c>
      <c r="P62" s="16" t="n">
        <v>15.33422365753694</v>
      </c>
      <c r="Q62" s="16" t="n">
        <v>14.47425872617575</v>
      </c>
      <c r="R62" s="17" t="n">
        <v>4</v>
      </c>
      <c r="S62" s="16" t="n"/>
      <c r="T62" s="16" t="n">
        <v>39.48148148148148</v>
      </c>
      <c r="U62" s="16" t="n">
        <v>13.62735849056604</v>
      </c>
      <c r="V62" s="16" t="n">
        <v>3.776683087027914</v>
      </c>
      <c r="W62" s="16" t="n">
        <v>4.451371571072319</v>
      </c>
      <c r="X62" s="10" t="n">
        <v>2.12</v>
      </c>
      <c r="Y62" s="15">
        <f>IF(OR(X62="",G62="",G62=0),"",X62/G62)</f>
        <v/>
      </c>
      <c r="Z62" s="18" t="n">
        <v>1388.163</v>
      </c>
      <c r="AA62" s="16" t="n">
        <v>0.049</v>
      </c>
      <c r="AB62" s="16" t="n">
        <v>0.09999018742027278</v>
      </c>
      <c r="AC62" s="9">
        <f>IF(AND(O62="",P62=""),"DATI MANCANTI",IF(AND(N(O62)&gt;=PARAMETRI!$B$4,N(P62)&gt;=PARAMETRI!$B$4),"OK","NO"))</f>
        <v/>
      </c>
      <c r="AD62" s="9">
        <f>IF(L62="","N/D",IF(L62&lt;PARAMETRI!$B$6,"OTTIMO",IF(L62&lt;PARAMETRI!$B$5,"OK","NO")))</f>
        <v/>
      </c>
      <c r="AE62" s="9">
        <f>IF(OR(AC62="DATI MANCANTI",AD62="N/D"),"DA COMPLETARE",IF(AND(AC62="OK",AD62="OTTIMO"),"PASSA FORTE",IF(AND(AC62="OK",AD62="OK"),"PASSA","SCARTA")))</f>
        <v/>
      </c>
      <c r="AF62" s="8" t="inlineStr">
        <is>
          <t>2026-08-04</t>
        </is>
      </c>
      <c r="AG62" s="8" t="inlineStr">
        <is>
          <t>yahoo</t>
        </is>
      </c>
      <c r="AH62" s="19" t="inlineStr"/>
    </row>
    <row r="63">
      <c r="A63" s="8" t="n">
        <v>62</v>
      </c>
      <c r="B63" s="8" t="inlineStr">
        <is>
          <t>ConocoPhillips</t>
        </is>
      </c>
      <c r="C63" s="8" t="inlineStr">
        <is>
          <t>COP</t>
        </is>
      </c>
      <c r="D63" s="9" t="inlineStr">
        <is>
          <t>USA</t>
        </is>
      </c>
      <c r="E63" s="8" t="inlineStr">
        <is>
          <t>Esplorazione e produzione</t>
        </is>
      </c>
      <c r="F63" s="9" t="inlineStr">
        <is>
          <t>Energia</t>
        </is>
      </c>
      <c r="G63" s="10" t="n">
        <v>119.16</v>
      </c>
      <c r="H63" s="11" t="inlineStr">
        <is>
          <t>USD</t>
        </is>
      </c>
      <c r="I63" s="12" t="n">
        <v>145171.9</v>
      </c>
      <c r="J63" s="10" t="n">
        <v>5.9</v>
      </c>
      <c r="K63" s="10" t="n">
        <v>9.06273</v>
      </c>
      <c r="L63" s="13">
        <f>IF(OR(G63="",J63="",J63&lt;=0),"",G63/J63)</f>
        <v/>
      </c>
      <c r="M63" s="14" t="n">
        <v>2.249278</v>
      </c>
      <c r="N63" s="15">
        <f>IF(OR(M63="",L63="",L63&lt;=0),"",M63/L63)</f>
        <v/>
      </c>
      <c r="O63" s="16" t="n">
        <v>0.112840004</v>
      </c>
      <c r="P63" s="16" t="n">
        <v>0.2195092664055975</v>
      </c>
      <c r="Q63" s="16" t="n">
        <v>0.1046819831646029</v>
      </c>
      <c r="R63" s="17" t="n">
        <v>4</v>
      </c>
      <c r="S63" s="16" t="n"/>
      <c r="T63" s="16" t="n">
        <v>0.1238699272721634</v>
      </c>
      <c r="U63" s="16" t="n">
        <v>0.1426785604049633</v>
      </c>
      <c r="V63" s="16" t="n">
        <v>0.222346232675176</v>
      </c>
      <c r="W63" s="16" t="n">
        <v>0.3891423452700873</v>
      </c>
      <c r="X63" s="10" t="n">
        <v>3.36</v>
      </c>
      <c r="Y63" s="15">
        <f>IF(OR(X63="",G63="",G63=0),"",X63/G63)</f>
        <v/>
      </c>
      <c r="Z63" s="18" t="n">
        <v>36.143</v>
      </c>
      <c r="AA63" s="16" t="n">
        <v>-0.053</v>
      </c>
      <c r="AB63" s="16" t="n">
        <v>0.1238124299674267</v>
      </c>
      <c r="AC63" s="9">
        <f>IF(AND(O63="",P63=""),"DATI MANCANTI",IF(AND(N(O63)&gt;=PARAMETRI!$B$4,N(P63)&gt;=PARAMETRI!$B$4),"OK","NO"))</f>
        <v/>
      </c>
      <c r="AD63" s="9">
        <f>IF(L63="","N/D",IF(L63&lt;PARAMETRI!$B$6,"OTTIMO",IF(L63&lt;PARAMETRI!$B$5,"OK","NO")))</f>
        <v/>
      </c>
      <c r="AE63" s="9">
        <f>IF(OR(AC63="DATI MANCANTI",AD63="N/D"),"DA COMPLETARE",IF(AND(AC63="OK",AD63="OTTIMO"),"PASSA FORTE",IF(AND(AC63="OK",AD63="OK"),"PASSA","SCARTA")))</f>
        <v/>
      </c>
      <c r="AF63" s="8" t="inlineStr">
        <is>
          <t>2026-08-04</t>
        </is>
      </c>
      <c r="AG63" s="8" t="inlineStr">
        <is>
          <t>yahoo</t>
        </is>
      </c>
      <c r="AH63" s="19" t="inlineStr"/>
    </row>
    <row r="64">
      <c r="A64" s="8" t="n">
        <v>63</v>
      </c>
      <c r="B64" s="8" t="inlineStr">
        <is>
          <t>Constellation Energy</t>
        </is>
      </c>
      <c r="C64" s="8" t="inlineStr">
        <is>
          <t>CEG</t>
        </is>
      </c>
      <c r="D64" s="9" t="inlineStr">
        <is>
          <t>USA</t>
        </is>
      </c>
      <c r="E64" s="8" t="inlineStr">
        <is>
          <t>Utility / Nucleare</t>
        </is>
      </c>
      <c r="F64" s="9" t="inlineStr">
        <is>
          <t>Utility</t>
        </is>
      </c>
      <c r="G64" s="10" t="n">
        <v>273.71</v>
      </c>
      <c r="H64" s="11" t="inlineStr">
        <is>
          <t>USD</t>
        </is>
      </c>
      <c r="I64" s="12" t="n">
        <v>97742.39999999999</v>
      </c>
      <c r="J64" s="10" t="n">
        <v>11.51</v>
      </c>
      <c r="K64" s="10" t="n">
        <v>13.32674</v>
      </c>
      <c r="L64" s="13">
        <f>IF(OR(G64="",J64="",J64&lt;=0),"",G64/J64)</f>
        <v/>
      </c>
      <c r="M64" s="14" t="n">
        <v>2.9621332</v>
      </c>
      <c r="N64" s="15">
        <f>IF(OR(M64="",L64="",L64&lt;=0),"",M64/L64)</f>
        <v/>
      </c>
      <c r="O64" s="16" t="n">
        <v>0.16104999</v>
      </c>
      <c r="P64" s="16" t="n">
        <v>0.1446322510499069</v>
      </c>
      <c r="Q64" s="16" t="n">
        <v>0.1063089118500449</v>
      </c>
      <c r="R64" s="17" t="n">
        <v>4</v>
      </c>
      <c r="S64" s="16" t="n"/>
      <c r="T64" s="16" t="n">
        <v>0.1597437487084108</v>
      </c>
      <c r="U64" s="16" t="n">
        <v>0.2847485948655628</v>
      </c>
      <c r="V64" s="16" t="n">
        <v>0.148558352402746</v>
      </c>
      <c r="W64" s="16" t="n">
        <v>-0.01452169177709203</v>
      </c>
      <c r="X64" s="10" t="n">
        <v>1.71</v>
      </c>
      <c r="Y64" s="15">
        <f>IF(OR(X64="",G64="",G64=0),"",X64/G64)</f>
        <v/>
      </c>
      <c r="Z64" s="18" t="n">
        <v>66.428</v>
      </c>
      <c r="AA64" s="16" t="n">
        <v>0.638</v>
      </c>
      <c r="AB64" s="16" t="n">
        <v>0.1484745256726589</v>
      </c>
      <c r="AC64" s="9">
        <f>IF(AND(O64="",P64=""),"DATI MANCANTI",IF(AND(N(O64)&gt;=PARAMETRI!$B$4,N(P64)&gt;=PARAMETRI!$B$4),"OK","NO"))</f>
        <v/>
      </c>
      <c r="AD64" s="9">
        <f>IF(L64="","N/D",IF(L64&lt;PARAMETRI!$B$6,"OTTIMO",IF(L64&lt;PARAMETRI!$B$5,"OK","NO")))</f>
        <v/>
      </c>
      <c r="AE64" s="9">
        <f>IF(OR(AC64="DATI MANCANTI",AD64="N/D"),"DA COMPLETARE",IF(AND(AC64="OK",AD64="OTTIMO"),"PASSA FORTE",IF(AND(AC64="OK",AD64="OK"),"PASSA","SCARTA")))</f>
        <v/>
      </c>
      <c r="AF64" s="8" t="inlineStr">
        <is>
          <t>2026-08-04</t>
        </is>
      </c>
      <c r="AG64" s="8" t="inlineStr">
        <is>
          <t>yahoo</t>
        </is>
      </c>
      <c r="AH64" s="19" t="inlineStr"/>
    </row>
    <row r="65">
      <c r="A65" s="8" t="n">
        <v>64</v>
      </c>
      <c r="B65" s="8" t="inlineStr">
        <is>
          <t>Costco Wholesale</t>
        </is>
      </c>
      <c r="C65" s="8" t="inlineStr">
        <is>
          <t>COST</t>
        </is>
      </c>
      <c r="D65" s="9" t="inlineStr">
        <is>
          <t>USA</t>
        </is>
      </c>
      <c r="E65" s="8" t="inlineStr">
        <is>
          <t>Grande distribuzione</t>
        </is>
      </c>
      <c r="F65" s="9" t="inlineStr">
        <is>
          <t>Consumi</t>
        </is>
      </c>
      <c r="G65" s="10" t="n">
        <v>954.08</v>
      </c>
      <c r="H65" s="11" t="inlineStr">
        <is>
          <t>USD</t>
        </is>
      </c>
      <c r="I65" s="12" t="n">
        <v>423114.3</v>
      </c>
      <c r="J65" s="10" t="n">
        <v>19.89</v>
      </c>
      <c r="K65" s="10" t="n">
        <v>22.64764</v>
      </c>
      <c r="L65" s="13">
        <f>IF(OR(G65="",J65="",J65&lt;=0),"",G65/J65)</f>
        <v/>
      </c>
      <c r="M65" s="14" t="n">
        <v>25.593649</v>
      </c>
      <c r="N65" s="15">
        <f>IF(OR(M65="",L65="",L65&lt;=0),"",M65/L65)</f>
        <v/>
      </c>
      <c r="O65" s="16" t="n">
        <v>0.29152</v>
      </c>
      <c r="P65" s="16" t="n">
        <v>0.2809463090154591</v>
      </c>
      <c r="Q65" s="16" t="n">
        <v>0.02157800377927351</v>
      </c>
      <c r="R65" s="17" t="n">
        <v>4</v>
      </c>
      <c r="S65" s="16" t="n"/>
      <c r="T65" s="16" t="n">
        <v>0.2777053902071047</v>
      </c>
      <c r="U65" s="16" t="n">
        <v>0.3118702904072475</v>
      </c>
      <c r="V65" s="16" t="n">
        <v>0.2510974539069359</v>
      </c>
      <c r="W65" s="16" t="n">
        <v>0.2831121015405484</v>
      </c>
      <c r="X65" s="10" t="n">
        <v>5.88</v>
      </c>
      <c r="Y65" s="15">
        <f>IF(OR(X65="",G65="",G65=0),"",X65/G65)</f>
        <v/>
      </c>
      <c r="Z65" s="18" t="n">
        <v>60.257</v>
      </c>
      <c r="AA65" s="16" t="n">
        <v>0.215</v>
      </c>
      <c r="AB65" s="16" t="n">
        <v>0.03211074033462314</v>
      </c>
      <c r="AC65" s="9">
        <f>IF(AND(O65="",P65=""),"DATI MANCANTI",IF(AND(N(O65)&gt;=PARAMETRI!$B$4,N(P65)&gt;=PARAMETRI!$B$4),"OK","NO"))</f>
        <v/>
      </c>
      <c r="AD65" s="9">
        <f>IF(L65="","N/D",IF(L65&lt;PARAMETRI!$B$6,"OTTIMO",IF(L65&lt;PARAMETRI!$B$5,"OK","NO")))</f>
        <v/>
      </c>
      <c r="AE65" s="9">
        <f>IF(OR(AC65="DATI MANCANTI",AD65="N/D"),"DA COMPLETARE",IF(AND(AC65="OK",AD65="OTTIMO"),"PASSA FORTE",IF(AND(AC65="OK",AD65="OK"),"PASSA","SCARTA")))</f>
        <v/>
      </c>
      <c r="AF65" s="8" t="inlineStr">
        <is>
          <t>2026-08-04</t>
        </is>
      </c>
      <c r="AG65" s="8" t="inlineStr">
        <is>
          <t>yahoo</t>
        </is>
      </c>
      <c r="AH65" s="19" t="inlineStr"/>
    </row>
    <row r="66">
      <c r="A66" s="8" t="n">
        <v>65</v>
      </c>
      <c r="B66" s="8" t="inlineStr">
        <is>
          <t>Credito Emiliano</t>
        </is>
      </c>
      <c r="C66" s="8" t="inlineStr">
        <is>
          <t>CE.MI</t>
        </is>
      </c>
      <c r="D66" s="9" t="inlineStr">
        <is>
          <t>Italia</t>
        </is>
      </c>
      <c r="E66" s="8" t="inlineStr">
        <is>
          <t>Banca</t>
        </is>
      </c>
      <c r="F66" s="9" t="inlineStr">
        <is>
          <t>Finanziario</t>
        </is>
      </c>
      <c r="G66" s="10" t="n">
        <v>19.88</v>
      </c>
      <c r="H66" s="11" t="inlineStr">
        <is>
          <t>EUR</t>
        </is>
      </c>
      <c r="I66" s="12" t="n">
        <v>6752.1</v>
      </c>
      <c r="J66" s="10" t="n">
        <v>1.57</v>
      </c>
      <c r="K66" s="10" t="n">
        <v>1.63504</v>
      </c>
      <c r="L66" s="13">
        <f>IF(OR(G66="",J66="",J66&lt;=0),"",G66/J66)</f>
        <v/>
      </c>
      <c r="M66" s="14" t="n">
        <v>1.4480296</v>
      </c>
      <c r="N66" s="15">
        <f>IF(OR(M66="",L66="",L66&lt;=0),"",M66/L66)</f>
        <v/>
      </c>
      <c r="O66" s="16" t="n">
        <v>0.12091</v>
      </c>
      <c r="P66" s="16" t="n">
        <v>0.1300062824285416</v>
      </c>
      <c r="Q66" s="16" t="n">
        <v>0.01959756211205863</v>
      </c>
      <c r="R66" s="17" t="n">
        <v>4</v>
      </c>
      <c r="S66" s="16" t="n"/>
      <c r="T66" s="16" t="n">
        <v>0.1332810045412384</v>
      </c>
      <c r="U66" s="16" t="n">
        <v>0.1444498517998922</v>
      </c>
      <c r="V66" s="16" t="n">
        <v>0.1452297895230177</v>
      </c>
      <c r="W66" s="16" t="n">
        <v>0.09706448385001806</v>
      </c>
      <c r="X66" s="10" t="n">
        <v>0.75</v>
      </c>
      <c r="Y66" s="15">
        <f>IF(OR(X66="",G66="",G66=0),"",X66/G66)</f>
        <v/>
      </c>
      <c r="Z66" s="18" t="n"/>
      <c r="AA66" s="16" t="n">
        <v>0.065</v>
      </c>
      <c r="AB66" s="16" t="n">
        <v>0.256171787535883</v>
      </c>
      <c r="AC66" s="9">
        <f>IF(AND(O66="",P66=""),"DATI MANCANTI",IF(AND(N(O66)&gt;=PARAMETRI!$B$4,N(P66)&gt;=PARAMETRI!$B$4),"OK","NO"))</f>
        <v/>
      </c>
      <c r="AD66" s="9">
        <f>IF(L66="","N/D",IF(L66&lt;PARAMETRI!$B$6,"OTTIMO",IF(L66&lt;PARAMETRI!$B$5,"OK","NO")))</f>
        <v/>
      </c>
      <c r="AE66" s="9">
        <f>IF(OR(AC66="DATI MANCANTI",AD66="N/D"),"DA COMPLETARE",IF(AND(AC66="OK",AD66="OTTIMO"),"PASSA FORTE",IF(AND(AC66="OK",AD66="OK"),"PASSA","SCARTA")))</f>
        <v/>
      </c>
      <c r="AF66" s="8" t="inlineStr">
        <is>
          <t>2026-08-04</t>
        </is>
      </c>
      <c r="AG66" s="8" t="inlineStr">
        <is>
          <t>yahoo</t>
        </is>
      </c>
      <c r="AH66" s="19" t="inlineStr"/>
    </row>
    <row r="67">
      <c r="A67" s="8" t="n">
        <v>66</v>
      </c>
      <c r="B67" s="8" t="inlineStr">
        <is>
          <t>CrowdStrike</t>
        </is>
      </c>
      <c r="C67" s="8" t="inlineStr">
        <is>
          <t>CRWD</t>
        </is>
      </c>
      <c r="D67" s="9" t="inlineStr">
        <is>
          <t>USA</t>
        </is>
      </c>
      <c r="E67" s="8" t="inlineStr">
        <is>
          <t>Cybersicurezza</t>
        </is>
      </c>
      <c r="F67" s="9" t="inlineStr">
        <is>
          <t>Tecnologia</t>
        </is>
      </c>
      <c r="G67" s="10" t="n">
        <v>202.54</v>
      </c>
      <c r="H67" s="11" t="inlineStr">
        <is>
          <t>USD</t>
        </is>
      </c>
      <c r="I67" s="12" t="n">
        <v>206238.2</v>
      </c>
      <c r="J67" s="10" t="n">
        <v>-0.04</v>
      </c>
      <c r="K67" s="10" t="n">
        <v>1.56266</v>
      </c>
      <c r="L67" s="13">
        <f>IF(OR(G67="",J67="",J67&lt;=0),"",G67/J67)</f>
        <v/>
      </c>
      <c r="M67" s="14" t="n">
        <v>44.5045</v>
      </c>
      <c r="N67" s="15">
        <f>IF(OR(M67="",L67="",L67&lt;=0),"",M67/L67)</f>
        <v/>
      </c>
      <c r="O67" s="16" t="n">
        <v>-0.0024899999</v>
      </c>
      <c r="P67" s="16" t="n">
        <v>-0.03380291957831719</v>
      </c>
      <c r="Q67" s="16" t="n">
        <v>0.05799500312740814</v>
      </c>
      <c r="R67" s="17" t="n">
        <v>4</v>
      </c>
      <c r="S67" s="16" t="n">
        <v>-0.0366955033319107</v>
      </c>
      <c r="T67" s="16" t="n">
        <v>-0.004647363282262447</v>
      </c>
      <c r="U67" s="16" t="n">
        <v>0.03132923891577508</v>
      </c>
      <c r="V67" s="16" t="n">
        <v>-0.1251980506148707</v>
      </c>
      <c r="W67" s="16" t="n"/>
      <c r="X67" s="10" t="n"/>
      <c r="Y67" s="15">
        <f>IF(OR(X67="",G67="",G67=0),"",X67/G67)</f>
        <v/>
      </c>
      <c r="Z67" s="18" t="n">
        <v>17.568</v>
      </c>
      <c r="AA67" s="16" t="n">
        <v>0.256</v>
      </c>
      <c r="AB67" s="16" t="n">
        <v>-0.006330832989575032</v>
      </c>
      <c r="AC67" s="9">
        <f>IF(AND(O67="",P67=""),"DATI MANCANTI",IF(AND(N(O67)&gt;=PARAMETRI!$B$4,N(P67)&gt;=PARAMETRI!$B$4),"OK","NO"))</f>
        <v/>
      </c>
      <c r="AD67" s="9">
        <f>IF(L67="","N/D",IF(L67&lt;PARAMETRI!$B$6,"OTTIMO",IF(L67&lt;PARAMETRI!$B$5,"OK","NO")))</f>
        <v/>
      </c>
      <c r="AE67" s="9">
        <f>IF(OR(AC67="DATI MANCANTI",AD67="N/D"),"DA COMPLETARE",IF(AND(AC67="OK",AD67="OTTIMO"),"PASSA FORTE",IF(AND(AC67="OK",AD67="OK"),"PASSA","SCARTA")))</f>
        <v/>
      </c>
      <c r="AF67" s="8" t="inlineStr">
        <is>
          <t>2026-08-04</t>
        </is>
      </c>
      <c r="AG67" s="8" t="inlineStr">
        <is>
          <t>yahoo</t>
        </is>
      </c>
      <c r="AH67" s="19" t="inlineStr"/>
    </row>
    <row r="68">
      <c r="A68" s="8" t="n">
        <v>67</v>
      </c>
      <c r="B68" s="8" t="inlineStr">
        <is>
          <t>Cummins</t>
        </is>
      </c>
      <c r="C68" s="8" t="inlineStr">
        <is>
          <t>CMI</t>
        </is>
      </c>
      <c r="D68" s="9" t="inlineStr">
        <is>
          <t>USA</t>
        </is>
      </c>
      <c r="E68" s="8" t="inlineStr">
        <is>
          <t>Motori</t>
        </is>
      </c>
      <c r="F68" s="9" t="inlineStr">
        <is>
          <t>Industriale</t>
        </is>
      </c>
      <c r="G68" s="10" t="n">
        <v>648.85</v>
      </c>
      <c r="H68" s="11" t="inlineStr">
        <is>
          <t>USD</t>
        </is>
      </c>
      <c r="I68" s="12" t="n">
        <v>89534.2</v>
      </c>
      <c r="J68" s="10" t="n">
        <v>19.28</v>
      </c>
      <c r="K68" s="10" t="n">
        <v>34.12466</v>
      </c>
      <c r="L68" s="13">
        <f>IF(OR(G68="",J68="",J68&lt;=0),"",G68/J68)</f>
        <v/>
      </c>
      <c r="M68" s="14" t="n">
        <v>7.249153</v>
      </c>
      <c r="N68" s="15">
        <f>IF(OR(M68="",L68="",L68&lt;=0),"",M68/L68)</f>
        <v/>
      </c>
      <c r="O68" s="16" t="n">
        <v>0.21993999</v>
      </c>
      <c r="P68" s="16" t="n">
        <v>0.2342815370053821</v>
      </c>
      <c r="Q68" s="16" t="n">
        <v>0.106522642649389</v>
      </c>
      <c r="R68" s="17" t="n">
        <v>4</v>
      </c>
      <c r="S68" s="16" t="n"/>
      <c r="T68" s="16" t="n">
        <v>0.2302210705320269</v>
      </c>
      <c r="U68" s="16" t="n">
        <v>0.3841884918703145</v>
      </c>
      <c r="V68" s="16" t="n">
        <v>0.08305084745762711</v>
      </c>
      <c r="W68" s="16" t="n">
        <v>0.2396657381615599</v>
      </c>
      <c r="X68" s="10" t="n">
        <v>8.800000000000001</v>
      </c>
      <c r="Y68" s="15">
        <f>IF(OR(X68="",G68="",G68=0),"",X68/G68)</f>
        <v/>
      </c>
      <c r="Z68" s="18" t="n">
        <v>61.621</v>
      </c>
      <c r="AA68" s="16" t="n">
        <v>0.027</v>
      </c>
      <c r="AB68" s="16" t="n">
        <v>0.07938817748737749</v>
      </c>
      <c r="AC68" s="9">
        <f>IF(AND(O68="",P68=""),"DATI MANCANTI",IF(AND(N(O68)&gt;=PARAMETRI!$B$4,N(P68)&gt;=PARAMETRI!$B$4),"OK","NO"))</f>
        <v/>
      </c>
      <c r="AD68" s="9">
        <f>IF(L68="","N/D",IF(L68&lt;PARAMETRI!$B$6,"OTTIMO",IF(L68&lt;PARAMETRI!$B$5,"OK","NO")))</f>
        <v/>
      </c>
      <c r="AE68" s="9">
        <f>IF(OR(AC68="DATI MANCANTI",AD68="N/D"),"DA COMPLETARE",IF(AND(AC68="OK",AD68="OTTIMO"),"PASSA FORTE",IF(AND(AC68="OK",AD68="OK"),"PASSA","SCARTA")))</f>
        <v/>
      </c>
      <c r="AF68" s="8" t="inlineStr">
        <is>
          <t>2026-08-04</t>
        </is>
      </c>
      <c r="AG68" s="8" t="inlineStr">
        <is>
          <t>yahoo</t>
        </is>
      </c>
      <c r="AH68" s="19" t="inlineStr"/>
    </row>
    <row r="69">
      <c r="A69" s="8" t="n">
        <v>68</v>
      </c>
      <c r="B69" s="8" t="inlineStr">
        <is>
          <t>Danaher</t>
        </is>
      </c>
      <c r="C69" s="8" t="inlineStr">
        <is>
          <t>DHR</t>
        </is>
      </c>
      <c r="D69" s="9" t="inlineStr">
        <is>
          <t>USA</t>
        </is>
      </c>
      <c r="E69" s="8" t="inlineStr">
        <is>
          <t>Strumentazione life science</t>
        </is>
      </c>
      <c r="F69" s="9" t="inlineStr">
        <is>
          <t>Salute</t>
        </is>
      </c>
      <c r="G69" s="10" t="n">
        <v>197.5</v>
      </c>
      <c r="H69" s="11" t="inlineStr">
        <is>
          <t>USD</t>
        </is>
      </c>
      <c r="I69" s="12" t="n">
        <v>138839.7</v>
      </c>
      <c r="J69" s="10" t="n">
        <v>5.62</v>
      </c>
      <c r="K69" s="10" t="n">
        <v>9.298780000000001</v>
      </c>
      <c r="L69" s="13">
        <f>IF(OR(G69="",J69="",J69&lt;=0),"",G69/J69)</f>
        <v/>
      </c>
      <c r="M69" s="14" t="n">
        <v>2.6401625</v>
      </c>
      <c r="N69" s="15">
        <f>IF(OR(M69="",L69="",L69&lt;=0),"",M69/L69)</f>
        <v/>
      </c>
      <c r="O69" s="16" t="n">
        <v>0.07605000000000001</v>
      </c>
      <c r="P69" s="16" t="n">
        <v>0.09512670597719992</v>
      </c>
      <c r="Q69" s="16" t="n">
        <v>0.02908220905236598</v>
      </c>
      <c r="R69" s="17" t="n">
        <v>4</v>
      </c>
      <c r="S69" s="16" t="n"/>
      <c r="T69" s="16" t="n">
        <v>0.06879354322914684</v>
      </c>
      <c r="U69" s="16" t="n">
        <v>0.07869931170902045</v>
      </c>
      <c r="V69" s="16" t="n">
        <v>0.08907003701903302</v>
      </c>
      <c r="W69" s="16" t="n">
        <v>0.1439439319515994</v>
      </c>
      <c r="X69" s="10" t="n">
        <v>1.6</v>
      </c>
      <c r="Y69" s="15">
        <f>IF(OR(X69="",G69="",G69=0),"",X69/G69)</f>
        <v/>
      </c>
      <c r="Z69" s="18" t="n">
        <v>52.97</v>
      </c>
      <c r="AA69" s="16" t="n">
        <v>0.055</v>
      </c>
      <c r="AB69" s="16" t="n">
        <v>0.1624063874959297</v>
      </c>
      <c r="AC69" s="9">
        <f>IF(AND(O69="",P69=""),"DATI MANCANTI",IF(AND(N(O69)&gt;=PARAMETRI!$B$4,N(P69)&gt;=PARAMETRI!$B$4),"OK","NO"))</f>
        <v/>
      </c>
      <c r="AD69" s="9">
        <f>IF(L69="","N/D",IF(L69&lt;PARAMETRI!$B$6,"OTTIMO",IF(L69&lt;PARAMETRI!$B$5,"OK","NO")))</f>
        <v/>
      </c>
      <c r="AE69" s="9">
        <f>IF(OR(AC69="DATI MANCANTI",AD69="N/D"),"DA COMPLETARE",IF(AND(AC69="OK",AD69="OTTIMO"),"PASSA FORTE",IF(AND(AC69="OK",AD69="OK"),"PASSA","SCARTA")))</f>
        <v/>
      </c>
      <c r="AF69" s="8" t="inlineStr">
        <is>
          <t>2026-08-04</t>
        </is>
      </c>
      <c r="AG69" s="8" t="inlineStr">
        <is>
          <t>yahoo</t>
        </is>
      </c>
      <c r="AH69" s="19" t="inlineStr"/>
    </row>
    <row r="70">
      <c r="A70" s="8" t="n">
        <v>69</v>
      </c>
      <c r="B70" s="8" t="inlineStr">
        <is>
          <t>Danieli &amp; C. ord.</t>
        </is>
      </c>
      <c r="C70" s="8" t="inlineStr">
        <is>
          <t>DAN.MI</t>
        </is>
      </c>
      <c r="D70" s="9" t="inlineStr">
        <is>
          <t>Italia</t>
        </is>
      </c>
      <c r="E70" s="8" t="inlineStr">
        <is>
          <t>Impiantistica</t>
        </is>
      </c>
      <c r="F70" s="9" t="inlineStr">
        <is>
          <t>Industriale</t>
        </is>
      </c>
      <c r="G70" s="10" t="n">
        <v>67.34999999999999</v>
      </c>
      <c r="H70" s="11" t="inlineStr">
        <is>
          <t>EUR</t>
        </is>
      </c>
      <c r="I70" s="12" t="n">
        <v>4820.4</v>
      </c>
      <c r="J70" s="10" t="n">
        <v>3.19</v>
      </c>
      <c r="K70" s="10" t="n">
        <v>4.61273</v>
      </c>
      <c r="L70" s="13">
        <f>IF(OR(G70="",J70="",J70&lt;=0),"",G70/J70)</f>
        <v/>
      </c>
      <c r="M70" s="14" t="n">
        <v>1.6888163</v>
      </c>
      <c r="N70" s="15">
        <f>IF(OR(M70="",L70="",L70&lt;=0),"",M70/L70)</f>
        <v/>
      </c>
      <c r="O70" s="16" t="n">
        <v>0.08031000000000001</v>
      </c>
      <c r="P70" s="16" t="n">
        <v>0.0968440934016148</v>
      </c>
      <c r="Q70" s="16" t="n">
        <v>0.00397470844110338</v>
      </c>
      <c r="R70" s="17" t="n">
        <v>3</v>
      </c>
      <c r="S70" s="16" t="n"/>
      <c r="T70" s="16" t="n"/>
      <c r="U70" s="16" t="n">
        <v>0.09166035137508417</v>
      </c>
      <c r="V70" s="16" t="n">
        <v>0.1013185357254691</v>
      </c>
      <c r="W70" s="16" t="n">
        <v>0.09755339310429112</v>
      </c>
      <c r="X70" s="10" t="n">
        <v>0.31</v>
      </c>
      <c r="Y70" s="15">
        <f>IF(OR(X70="",G70="",G70=0),"",X70/G70)</f>
        <v/>
      </c>
      <c r="Z70" s="18" t="n">
        <v>20.972</v>
      </c>
      <c r="AA70" s="16" t="n">
        <v>-0.162</v>
      </c>
      <c r="AB70" s="16" t="n">
        <v>0.0522529807088036</v>
      </c>
      <c r="AC70" s="9">
        <f>IF(AND(O70="",P70=""),"DATI MANCANTI",IF(AND(N(O70)&gt;=PARAMETRI!$B$4,N(P70)&gt;=PARAMETRI!$B$4),"OK","NO"))</f>
        <v/>
      </c>
      <c r="AD70" s="9">
        <f>IF(L70="","N/D",IF(L70&lt;PARAMETRI!$B$6,"OTTIMO",IF(L70&lt;PARAMETRI!$B$5,"OK","NO")))</f>
        <v/>
      </c>
      <c r="AE70" s="9">
        <f>IF(OR(AC70="DATI MANCANTI",AD70="N/D"),"DA COMPLETARE",IF(AND(AC70="OK",AD70="OTTIMO"),"PASSA FORTE",IF(AND(AC70="OK",AD70="OK"),"PASSA","SCARTA")))</f>
        <v/>
      </c>
      <c r="AF70" s="8" t="inlineStr">
        <is>
          <t>2026-08-04</t>
        </is>
      </c>
      <c r="AG70" s="8" t="inlineStr">
        <is>
          <t>yahoo</t>
        </is>
      </c>
      <c r="AH70" s="19" t="inlineStr">
        <is>
          <t>Verificare se posizione e' su risparmio (DANR.MI)</t>
        </is>
      </c>
    </row>
    <row r="71">
      <c r="A71" s="8" t="n">
        <v>70</v>
      </c>
      <c r="B71" s="8" t="inlineStr">
        <is>
          <t>Davide Campari-Milano</t>
        </is>
      </c>
      <c r="C71" s="8" t="inlineStr">
        <is>
          <t>CPR.MI</t>
        </is>
      </c>
      <c r="D71" s="9" t="inlineStr">
        <is>
          <t>Italia</t>
        </is>
      </c>
      <c r="E71" s="8" t="inlineStr">
        <is>
          <t>Bevande</t>
        </is>
      </c>
      <c r="F71" s="9" t="inlineStr">
        <is>
          <t>Consumi</t>
        </is>
      </c>
      <c r="G71" s="10" t="n">
        <v>5.806</v>
      </c>
      <c r="H71" s="11" t="inlineStr">
        <is>
          <t>EUR</t>
        </is>
      </c>
      <c r="I71" s="12" t="n">
        <v>6963.5</v>
      </c>
      <c r="J71" s="10" t="n">
        <v>0.23</v>
      </c>
      <c r="K71" s="10" t="n">
        <v>0.35124</v>
      </c>
      <c r="L71" s="13">
        <f>IF(OR(G71="",J71="",J71&lt;=0),"",G71/J71)</f>
        <v/>
      </c>
      <c r="M71" s="14" t="n">
        <v>1.7445914</v>
      </c>
      <c r="N71" s="15">
        <f>IF(OR(M71="",L71="",L71&lt;=0),"",M71/L71)</f>
        <v/>
      </c>
      <c r="O71" s="16" t="n">
        <v>0.06676</v>
      </c>
      <c r="P71" s="16" t="n">
        <v>0.09484329341283899</v>
      </c>
      <c r="Q71" s="16" t="n">
        <v>0.02757068204192986</v>
      </c>
      <c r="R71" s="17" t="n">
        <v>4</v>
      </c>
      <c r="S71" s="16" t="n"/>
      <c r="T71" s="16" t="n">
        <v>0.08964999482240861</v>
      </c>
      <c r="U71" s="16" t="n">
        <v>0.05230928905033731</v>
      </c>
      <c r="V71" s="16" t="n">
        <v>0.1129837276083687</v>
      </c>
      <c r="W71" s="16" t="n">
        <v>0.1244301621702414</v>
      </c>
      <c r="X71" s="10" t="n">
        <v>0.1</v>
      </c>
      <c r="Y71" s="15">
        <f>IF(OR(X71="",G71="",G71=0),"",X71/G71)</f>
        <v/>
      </c>
      <c r="Z71" s="18" t="n">
        <v>70.273</v>
      </c>
      <c r="AA71" s="16" t="n">
        <v>-0.01</v>
      </c>
      <c r="AB71" s="16" t="n">
        <v>0.0882632493199174</v>
      </c>
      <c r="AC71" s="9">
        <f>IF(AND(O71="",P71=""),"DATI MANCANTI",IF(AND(N(O71)&gt;=PARAMETRI!$B$4,N(P71)&gt;=PARAMETRI!$B$4),"OK","NO"))</f>
        <v/>
      </c>
      <c r="AD71" s="9">
        <f>IF(L71="","N/D",IF(L71&lt;PARAMETRI!$B$6,"OTTIMO",IF(L71&lt;PARAMETRI!$B$5,"OK","NO")))</f>
        <v/>
      </c>
      <c r="AE71" s="9">
        <f>IF(OR(AC71="DATI MANCANTI",AD71="N/D"),"DA COMPLETARE",IF(AND(AC71="OK",AD71="OTTIMO"),"PASSA FORTE",IF(AND(AC71="OK",AD71="OK"),"PASSA","SCARTA")))</f>
        <v/>
      </c>
      <c r="AF71" s="8" t="inlineStr">
        <is>
          <t>2026-08-04</t>
        </is>
      </c>
      <c r="AG71" s="8" t="inlineStr">
        <is>
          <t>yahoo</t>
        </is>
      </c>
      <c r="AH71" s="19" t="inlineStr"/>
    </row>
    <row r="72">
      <c r="A72" s="8" t="n">
        <v>71</v>
      </c>
      <c r="B72" s="8" t="inlineStr">
        <is>
          <t>Deere &amp; Company</t>
        </is>
      </c>
      <c r="C72" s="8" t="inlineStr">
        <is>
          <t>DE</t>
        </is>
      </c>
      <c r="D72" s="9" t="inlineStr">
        <is>
          <t>USA</t>
        </is>
      </c>
      <c r="E72" s="8" t="inlineStr">
        <is>
          <t>Macchine agricole</t>
        </is>
      </c>
      <c r="F72" s="9" t="inlineStr">
        <is>
          <t>Industriale</t>
        </is>
      </c>
      <c r="G72" s="10" t="n">
        <v>605.0599999999999</v>
      </c>
      <c r="H72" s="11" t="inlineStr">
        <is>
          <t>USD</t>
        </is>
      </c>
      <c r="I72" s="12" t="n">
        <v>163431.1</v>
      </c>
      <c r="J72" s="10" t="n">
        <v>17.66</v>
      </c>
      <c r="K72" s="10" t="n">
        <v>22.73272</v>
      </c>
      <c r="L72" s="13">
        <f>IF(OR(G72="",J72="",J72&lt;=0),"",G72/J72)</f>
        <v/>
      </c>
      <c r="M72" s="14" t="n">
        <v>5.959597</v>
      </c>
      <c r="N72" s="15">
        <f>IF(OR(M72="",L72="",L72&lt;=0),"",M72/L72)</f>
        <v/>
      </c>
      <c r="O72" s="16" t="n">
        <v>0.18349001</v>
      </c>
      <c r="P72" s="16" t="n">
        <v>0.3308055602273648</v>
      </c>
      <c r="Q72" s="16" t="n">
        <v>0.09758236298151571</v>
      </c>
      <c r="R72" s="17" t="n">
        <v>4</v>
      </c>
      <c r="S72" s="16" t="n"/>
      <c r="T72" s="16" t="n">
        <v>0.193718689788054</v>
      </c>
      <c r="U72" s="16" t="n">
        <v>0.3109125941495884</v>
      </c>
      <c r="V72" s="16" t="n">
        <v>0.4666513656185449</v>
      </c>
      <c r="W72" s="16" t="n">
        <v>0.3519395913532721</v>
      </c>
      <c r="X72" s="10" t="n">
        <v>6.48</v>
      </c>
      <c r="Y72" s="15">
        <f>IF(OR(X72="",G72="",G72=0),"",X72/G72)</f>
        <v/>
      </c>
      <c r="Z72" s="18" t="n">
        <v>376.022</v>
      </c>
      <c r="AA72" s="16" t="n">
        <v>-0.111</v>
      </c>
      <c r="AB72" s="16" t="n">
        <v>0.1070860867345796</v>
      </c>
      <c r="AC72" s="9">
        <f>IF(AND(O72="",P72=""),"DATI MANCANTI",IF(AND(N(O72)&gt;=PARAMETRI!$B$4,N(P72)&gt;=PARAMETRI!$B$4),"OK","NO"))</f>
        <v/>
      </c>
      <c r="AD72" s="9">
        <f>IF(L72="","N/D",IF(L72&lt;PARAMETRI!$B$6,"OTTIMO",IF(L72&lt;PARAMETRI!$B$5,"OK","NO")))</f>
        <v/>
      </c>
      <c r="AE72" s="9">
        <f>IF(OR(AC72="DATI MANCANTI",AD72="N/D"),"DA COMPLETARE",IF(AND(AC72="OK",AD72="OTTIMO"),"PASSA FORTE",IF(AND(AC72="OK",AD72="OK"),"PASSA","SCARTA")))</f>
        <v/>
      </c>
      <c r="AF72" s="8" t="inlineStr">
        <is>
          <t>2026-08-04</t>
        </is>
      </c>
      <c r="AG72" s="8" t="inlineStr">
        <is>
          <t>yahoo</t>
        </is>
      </c>
      <c r="AH72" s="19" t="inlineStr"/>
    </row>
    <row r="73">
      <c r="A73" s="8" t="n">
        <v>72</v>
      </c>
      <c r="B73" s="8" t="inlineStr">
        <is>
          <t>Dell Technologies</t>
        </is>
      </c>
      <c r="C73" s="8" t="inlineStr">
        <is>
          <t>DELL</t>
        </is>
      </c>
      <c r="D73" s="9" t="inlineStr">
        <is>
          <t>USA</t>
        </is>
      </c>
      <c r="E73" s="8" t="inlineStr">
        <is>
          <t>Hardware</t>
        </is>
      </c>
      <c r="F73" s="9" t="inlineStr">
        <is>
          <t>Tecnologia</t>
        </is>
      </c>
      <c r="G73" s="10" t="n">
        <v>429.02</v>
      </c>
      <c r="H73" s="11" t="inlineStr">
        <is>
          <t>USD</t>
        </is>
      </c>
      <c r="I73" s="12" t="n">
        <v>277208</v>
      </c>
      <c r="J73" s="10" t="n">
        <v>12.57</v>
      </c>
      <c r="K73" s="10" t="n">
        <v>21.85059</v>
      </c>
      <c r="L73" s="13">
        <f>IF(OR(G73="",J73="",J73&lt;=0),"",G73/J73)</f>
        <v/>
      </c>
      <c r="M73" s="14" t="n">
        <v>-198.34488</v>
      </c>
      <c r="N73" s="15">
        <f>IF(OR(M73="",L73="",L73&lt;=0),"",M73/L73)</f>
        <v/>
      </c>
      <c r="O73" s="16" t="n"/>
      <c r="P73" s="16" t="n"/>
      <c r="Q73" s="16" t="n"/>
      <c r="R73" s="17" t="n">
        <v>0</v>
      </c>
      <c r="S73" s="16" t="n"/>
      <c r="T73" s="16" t="n"/>
      <c r="U73" s="16" t="n"/>
      <c r="V73" s="16" t="n"/>
      <c r="W73" s="16" t="n"/>
      <c r="X73" s="10" t="n">
        <v>2.52</v>
      </c>
      <c r="Y73" s="15">
        <f>IF(OR(X73="",G73="",G73=0),"",X73/G73)</f>
        <v/>
      </c>
      <c r="Z73" s="18" t="n"/>
      <c r="AA73" s="16" t="n">
        <v>0.875</v>
      </c>
      <c r="AB73" s="16" t="n">
        <v>0.07406330863675598</v>
      </c>
      <c r="AC73" s="9">
        <f>IF(AND(O73="",P73=""),"DATI MANCANTI",IF(AND(N(O73)&gt;=PARAMETRI!$B$4,N(P73)&gt;=PARAMETRI!$B$4),"OK","NO"))</f>
        <v/>
      </c>
      <c r="AD73" s="9">
        <f>IF(L73="","N/D",IF(L73&lt;PARAMETRI!$B$6,"OTTIMO",IF(L73&lt;PARAMETRI!$B$5,"OK","NO")))</f>
        <v/>
      </c>
      <c r="AE73" s="9">
        <f>IF(OR(AC73="DATI MANCANTI",AD73="N/D"),"DA COMPLETARE",IF(AND(AC73="OK",AD73="OTTIMO"),"PASSA FORTE",IF(AND(AC73="OK",AD73="OK"),"PASSA","SCARTA")))</f>
        <v/>
      </c>
      <c r="AF73" s="8" t="inlineStr">
        <is>
          <t>2026-08-04</t>
        </is>
      </c>
      <c r="AG73" s="8" t="inlineStr">
        <is>
          <t>yahoo</t>
        </is>
      </c>
      <c r="AH73" s="19" t="inlineStr"/>
    </row>
    <row r="74">
      <c r="A74" s="8" t="n">
        <v>73</v>
      </c>
      <c r="B74" s="8" t="inlineStr">
        <is>
          <t>DiaSorin</t>
        </is>
      </c>
      <c r="C74" s="8" t="inlineStr">
        <is>
          <t>DIA.MI</t>
        </is>
      </c>
      <c r="D74" s="9" t="inlineStr">
        <is>
          <t>Italia</t>
        </is>
      </c>
      <c r="E74" s="8" t="inlineStr">
        <is>
          <t>Diagnostica</t>
        </is>
      </c>
      <c r="F74" s="9" t="inlineStr">
        <is>
          <t>Salute</t>
        </is>
      </c>
      <c r="G74" s="10" t="n">
        <v>74.58</v>
      </c>
      <c r="H74" s="11" t="inlineStr">
        <is>
          <t>EUR</t>
        </is>
      </c>
      <c r="I74" s="12" t="n">
        <v>3688.2</v>
      </c>
      <c r="J74" s="10" t="n">
        <v>2.64</v>
      </c>
      <c r="K74" s="10" t="n">
        <v>4.29718</v>
      </c>
      <c r="L74" s="13">
        <f>IF(OR(G74="",J74="",J74&lt;=0),"",G74/J74)</f>
        <v/>
      </c>
      <c r="M74" s="14" t="n">
        <v>2.4946482</v>
      </c>
      <c r="N74" s="15">
        <f>IF(OR(M74="",L74="",L74&lt;=0),"",M74/L74)</f>
        <v/>
      </c>
      <c r="O74" s="16" t="n">
        <v>0.0916</v>
      </c>
      <c r="P74" s="16" t="n">
        <v>0.116288776654548</v>
      </c>
      <c r="Q74" s="16" t="n">
        <v>0.02454805062203687</v>
      </c>
      <c r="R74" s="17" t="n">
        <v>4</v>
      </c>
      <c r="S74" s="16" t="n"/>
      <c r="T74" s="16" t="n">
        <v>0.09821690597560229</v>
      </c>
      <c r="U74" s="16" t="n">
        <v>0.1044495085284283</v>
      </c>
      <c r="V74" s="16" t="n">
        <v>0.1038917569158156</v>
      </c>
      <c r="W74" s="16" t="n">
        <v>0.1585969351983458</v>
      </c>
      <c r="X74" s="10" t="n">
        <v>1.3</v>
      </c>
      <c r="Y74" s="15">
        <f>IF(OR(X74="",G74="",G74=0),"",X74/G74)</f>
        <v/>
      </c>
      <c r="Z74" s="18" t="n">
        <v>59.605</v>
      </c>
      <c r="AA74" s="16" t="n">
        <v>0.029</v>
      </c>
      <c r="AB74" s="16" t="n">
        <v>0.117671571601307</v>
      </c>
      <c r="AC74" s="9">
        <f>IF(AND(O74="",P74=""),"DATI MANCANTI",IF(AND(N(O74)&gt;=PARAMETRI!$B$4,N(P74)&gt;=PARAMETRI!$B$4),"OK","NO"))</f>
        <v/>
      </c>
      <c r="AD74" s="9">
        <f>IF(L74="","N/D",IF(L74&lt;PARAMETRI!$B$6,"OTTIMO",IF(L74&lt;PARAMETRI!$B$5,"OK","NO")))</f>
        <v/>
      </c>
      <c r="AE74" s="9">
        <f>IF(OR(AC74="DATI MANCANTI",AD74="N/D"),"DA COMPLETARE",IF(AND(AC74="OK",AD74="OTTIMO"),"PASSA FORTE",IF(AND(AC74="OK",AD74="OK"),"PASSA","SCARTA")))</f>
        <v/>
      </c>
      <c r="AF74" s="8" t="inlineStr">
        <is>
          <t>2026-08-04</t>
        </is>
      </c>
      <c r="AG74" s="8" t="inlineStr">
        <is>
          <t>yahoo</t>
        </is>
      </c>
      <c r="AH74" s="19" t="inlineStr"/>
    </row>
    <row r="75">
      <c r="A75" s="8" t="n">
        <v>74</v>
      </c>
      <c r="B75" s="8" t="inlineStr">
        <is>
          <t>Digital Realty</t>
        </is>
      </c>
      <c r="C75" s="8" t="inlineStr">
        <is>
          <t>DLR</t>
        </is>
      </c>
      <c r="D75" s="9" t="inlineStr">
        <is>
          <t>USA</t>
        </is>
      </c>
      <c r="E75" s="8" t="inlineStr">
        <is>
          <t>REIT / Data center</t>
        </is>
      </c>
      <c r="F75" s="9" t="inlineStr">
        <is>
          <t>Immobiliare</t>
        </is>
      </c>
      <c r="G75" s="10" t="n">
        <v>191.22</v>
      </c>
      <c r="H75" s="11" t="inlineStr">
        <is>
          <t>USD</t>
        </is>
      </c>
      <c r="I75" s="12" t="n">
        <v>71961.7</v>
      </c>
      <c r="J75" s="10" t="n">
        <v>0.79</v>
      </c>
      <c r="K75" s="10" t="n">
        <v>2.9331</v>
      </c>
      <c r="L75" s="13">
        <f>IF(OR(G75="",J75="",J75&lt;=0),"",G75/J75)</f>
        <v/>
      </c>
      <c r="M75" s="14" t="n">
        <v>2.6496508</v>
      </c>
      <c r="N75" s="15">
        <f>IF(OR(M75="",L75="",L75&lt;=0),"",M75/L75)</f>
        <v/>
      </c>
      <c r="O75" s="16" t="n">
        <v>0.02912</v>
      </c>
      <c r="P75" s="16" t="n">
        <v>0.03910587655461811</v>
      </c>
      <c r="Q75" s="16" t="n">
        <v>0.01468646488418679</v>
      </c>
      <c r="R75" s="17" t="n">
        <v>4</v>
      </c>
      <c r="S75" s="16" t="n"/>
      <c r="T75" s="16" t="n">
        <v>0.05707965784893549</v>
      </c>
      <c r="U75" s="16" t="n">
        <v>0.02823237074736707</v>
      </c>
      <c r="V75" s="16" t="n">
        <v>0.04963181966879201</v>
      </c>
      <c r="W75" s="16" t="n">
        <v>0.0214796579533779</v>
      </c>
      <c r="X75" s="10" t="n">
        <v>4.88</v>
      </c>
      <c r="Y75" s="15">
        <f>IF(OR(X75="",G75="",G75=0),"",X75/G75)</f>
        <v/>
      </c>
      <c r="Z75" s="18" t="n">
        <v>67.944</v>
      </c>
      <c r="AA75" s="16" t="n">
        <v>0.299</v>
      </c>
      <c r="AB75" s="16" t="n">
        <v>0.1240530332625953</v>
      </c>
      <c r="AC75" s="9">
        <f>IF(AND(O75="",P75=""),"DATI MANCANTI",IF(AND(N(O75)&gt;=PARAMETRI!$B$4,N(P75)&gt;=PARAMETRI!$B$4),"OK","NO"))</f>
        <v/>
      </c>
      <c r="AD75" s="9">
        <f>IF(L75="","N/D",IF(L75&lt;PARAMETRI!$B$6,"OTTIMO",IF(L75&lt;PARAMETRI!$B$5,"OK","NO")))</f>
        <v/>
      </c>
      <c r="AE75" s="9">
        <f>IF(OR(AC75="DATI MANCANTI",AD75="N/D"),"DA COMPLETARE",IF(AND(AC75="OK",AD75="OTTIMO"),"PASSA FORTE",IF(AND(AC75="OK",AD75="OK"),"PASSA","SCARTA")))</f>
        <v/>
      </c>
      <c r="AF75" s="8" t="inlineStr">
        <is>
          <t>2026-08-04</t>
        </is>
      </c>
      <c r="AG75" s="8" t="inlineStr">
        <is>
          <t>yahoo</t>
        </is>
      </c>
      <c r="AH75" s="19" t="inlineStr"/>
    </row>
    <row r="76">
      <c r="A76" s="8" t="n">
        <v>75</v>
      </c>
      <c r="B76" s="8" t="inlineStr">
        <is>
          <t>Dominion Energy</t>
        </is>
      </c>
      <c r="C76" s="8" t="inlineStr">
        <is>
          <t>D</t>
        </is>
      </c>
      <c r="D76" s="9" t="inlineStr">
        <is>
          <t>USA</t>
        </is>
      </c>
      <c r="E76" s="8" t="inlineStr">
        <is>
          <t>Utility</t>
        </is>
      </c>
      <c r="F76" s="9" t="inlineStr">
        <is>
          <t>Utility</t>
        </is>
      </c>
      <c r="G76" s="10" t="n">
        <v>68.75</v>
      </c>
      <c r="H76" s="11" t="inlineStr">
        <is>
          <t>USD</t>
        </is>
      </c>
      <c r="I76" s="12" t="n">
        <v>60467.4</v>
      </c>
      <c r="J76" s="10" t="n">
        <v>2.89</v>
      </c>
      <c r="K76" s="10" t="n">
        <v>3.81522</v>
      </c>
      <c r="L76" s="13">
        <f>IF(OR(G76="",J76="",J76&lt;=0),"",G76/J76)</f>
        <v/>
      </c>
      <c r="M76" s="14" t="n">
        <v>2.1658318</v>
      </c>
      <c r="N76" s="15">
        <f>IF(OR(M76="",L76="",L76&lt;=0),"",M76/L76)</f>
        <v/>
      </c>
      <c r="O76" s="16" t="n">
        <v>0.08280999999999999</v>
      </c>
      <c r="P76" s="16" t="n">
        <v>0.07325849609060171</v>
      </c>
      <c r="Q76" s="16" t="n">
        <v>0.02128332004749445</v>
      </c>
      <c r="R76" s="17" t="n">
        <v>4</v>
      </c>
      <c r="S76" s="16" t="n"/>
      <c r="T76" s="16" t="n">
        <v>0.1030842760375477</v>
      </c>
      <c r="U76" s="16" t="n">
        <v>0.07571752968767449</v>
      </c>
      <c r="V76" s="16" t="n">
        <v>0.07117205354227882</v>
      </c>
      <c r="W76" s="16" t="n">
        <v>0.04306012509490582</v>
      </c>
      <c r="X76" s="10" t="n">
        <v>2.67</v>
      </c>
      <c r="Y76" s="15">
        <f>IF(OR(X76="",G76="",G76=0),"",X76/G76)</f>
        <v/>
      </c>
      <c r="Z76" s="18" t="n">
        <v>160.459</v>
      </c>
      <c r="AA76" s="16" t="n">
        <v>0.176</v>
      </c>
      <c r="AB76" s="16" t="n">
        <v>0.1518235715497395</v>
      </c>
      <c r="AC76" s="9">
        <f>IF(AND(O76="",P76=""),"DATI MANCANTI",IF(AND(N(O76)&gt;=PARAMETRI!$B$4,N(P76)&gt;=PARAMETRI!$B$4),"OK","NO"))</f>
        <v/>
      </c>
      <c r="AD76" s="9">
        <f>IF(L76="","N/D",IF(L76&lt;PARAMETRI!$B$6,"OTTIMO",IF(L76&lt;PARAMETRI!$B$5,"OK","NO")))</f>
        <v/>
      </c>
      <c r="AE76" s="9">
        <f>IF(OR(AC76="DATI MANCANTI",AD76="N/D"),"DA COMPLETARE",IF(AND(AC76="OK",AD76="OTTIMO"),"PASSA FORTE",IF(AND(AC76="OK",AD76="OK"),"PASSA","SCARTA")))</f>
        <v/>
      </c>
      <c r="AF76" s="8" t="inlineStr">
        <is>
          <t>2026-08-04</t>
        </is>
      </c>
      <c r="AG76" s="8" t="inlineStr">
        <is>
          <t>yahoo</t>
        </is>
      </c>
      <c r="AH76" s="19" t="inlineStr"/>
    </row>
    <row r="77">
      <c r="A77" s="8" t="n">
        <v>76</v>
      </c>
      <c r="B77" s="8" t="inlineStr">
        <is>
          <t>Dow Inc.</t>
        </is>
      </c>
      <c r="C77" s="8" t="inlineStr">
        <is>
          <t>DOW</t>
        </is>
      </c>
      <c r="D77" s="9" t="inlineStr">
        <is>
          <t>USA</t>
        </is>
      </c>
      <c r="E77" s="8" t="inlineStr">
        <is>
          <t>Chimica di base</t>
        </is>
      </c>
      <c r="F77" s="9" t="inlineStr">
        <is>
          <t>Materiali</t>
        </is>
      </c>
      <c r="G77" s="10" t="n">
        <v>29.89</v>
      </c>
      <c r="H77" s="11" t="inlineStr">
        <is>
          <t>USD</t>
        </is>
      </c>
      <c r="I77" s="12" t="n">
        <v>21590.8</v>
      </c>
      <c r="J77" s="10" t="n">
        <v>-1.83</v>
      </c>
      <c r="K77" s="10" t="n">
        <v>1.84422</v>
      </c>
      <c r="L77" s="13">
        <f>IF(OR(G77="",J77="",J77&lt;=0),"",G77/J77)</f>
        <v/>
      </c>
      <c r="M77" s="14" t="n">
        <v>1.3613591</v>
      </c>
      <c r="N77" s="15">
        <f>IF(OR(M77="",L77="",L77&lt;=0),"",M77/L77)</f>
        <v/>
      </c>
      <c r="O77" s="16" t="n">
        <v>-0.0554</v>
      </c>
      <c r="P77" s="16" t="n">
        <v>0.03831594003168355</v>
      </c>
      <c r="Q77" s="16" t="n">
        <v>0.1369536045415575</v>
      </c>
      <c r="R77" s="17" t="n">
        <v>4</v>
      </c>
      <c r="S77" s="16" t="n"/>
      <c r="T77" s="16" t="n">
        <v>-0.163855572213893</v>
      </c>
      <c r="U77" s="16" t="n">
        <v>0.06430423509075195</v>
      </c>
      <c r="V77" s="16" t="n">
        <v>0.0316547535873596</v>
      </c>
      <c r="W77" s="16" t="n">
        <v>0.2211603436625157</v>
      </c>
      <c r="X77" s="10" t="n">
        <v>1.4</v>
      </c>
      <c r="Y77" s="15">
        <f>IF(OR(X77="",G77="",G77=0),"",X77/G77)</f>
        <v/>
      </c>
      <c r="Z77" s="18" t="n">
        <v>111.913</v>
      </c>
      <c r="AA77" s="16" t="n">
        <v>0.197</v>
      </c>
      <c r="AB77" s="16" t="n">
        <v>-0.03255103923138511</v>
      </c>
      <c r="AC77" s="9">
        <f>IF(AND(O77="",P77=""),"DATI MANCANTI",IF(AND(N(O77)&gt;=PARAMETRI!$B$4,N(P77)&gt;=PARAMETRI!$B$4),"OK","NO"))</f>
        <v/>
      </c>
      <c r="AD77" s="9">
        <f>IF(L77="","N/D",IF(L77&lt;PARAMETRI!$B$6,"OTTIMO",IF(L77&lt;PARAMETRI!$B$5,"OK","NO")))</f>
        <v/>
      </c>
      <c r="AE77" s="9">
        <f>IF(OR(AC77="DATI MANCANTI",AD77="N/D"),"DA COMPLETARE",IF(AND(AC77="OK",AD77="OTTIMO"),"PASSA FORTE",IF(AND(AC77="OK",AD77="OK"),"PASSA","SCARTA")))</f>
        <v/>
      </c>
      <c r="AF77" s="8" t="inlineStr">
        <is>
          <t>2026-08-04</t>
        </is>
      </c>
      <c r="AG77" s="8" t="inlineStr">
        <is>
          <t>yahoo</t>
        </is>
      </c>
      <c r="AH77" s="19" t="inlineStr"/>
    </row>
    <row r="78">
      <c r="A78" s="8" t="n">
        <v>77</v>
      </c>
      <c r="B78" s="8" t="inlineStr">
        <is>
          <t>Duke Energy</t>
        </is>
      </c>
      <c r="C78" s="8" t="inlineStr">
        <is>
          <t>DUK</t>
        </is>
      </c>
      <c r="D78" s="9" t="inlineStr">
        <is>
          <t>USA</t>
        </is>
      </c>
      <c r="E78" s="8" t="inlineStr">
        <is>
          <t>Utility</t>
        </is>
      </c>
      <c r="F78" s="9" t="inlineStr">
        <is>
          <t>Utility</t>
        </is>
      </c>
      <c r="G78" s="10" t="n">
        <v>124.28</v>
      </c>
      <c r="H78" s="11" t="inlineStr">
        <is>
          <t>USD</t>
        </is>
      </c>
      <c r="I78" s="12" t="n">
        <v>96888.2</v>
      </c>
      <c r="J78" s="10" t="n">
        <v>6.5</v>
      </c>
      <c r="K78" s="10" t="n">
        <v>7.16842</v>
      </c>
      <c r="L78" s="13">
        <f>IF(OR(G78="",J78="",J78&lt;=0),"",G78/J78)</f>
        <v/>
      </c>
      <c r="M78" s="14" t="n">
        <v>1.8078142</v>
      </c>
      <c r="N78" s="15">
        <f>IF(OR(M78="",L78="",L78&lt;=0),"",M78/L78)</f>
        <v/>
      </c>
      <c r="O78" s="16" t="n">
        <v>0.09661</v>
      </c>
      <c r="P78" s="16" t="n">
        <v>0.0739075032235007</v>
      </c>
      <c r="Q78" s="16" t="n">
        <v>0.01935651027259411</v>
      </c>
      <c r="R78" s="17" t="n">
        <v>4</v>
      </c>
      <c r="S78" s="16" t="n"/>
      <c r="T78" s="16" t="n">
        <v>0.09582963620230701</v>
      </c>
      <c r="U78" s="16" t="n">
        <v>0.09025076306182298</v>
      </c>
      <c r="V78" s="16" t="n">
        <v>0.05784854716865875</v>
      </c>
      <c r="W78" s="16" t="n">
        <v>0.05170106646121406</v>
      </c>
      <c r="X78" s="10" t="n">
        <v>4.34</v>
      </c>
      <c r="Y78" s="15">
        <f>IF(OR(X78="",G78="",G78=0),"",X78/G78)</f>
        <v/>
      </c>
      <c r="Z78" s="18" t="n">
        <v>161.495</v>
      </c>
      <c r="AA78" s="16" t="n">
        <v>0.113</v>
      </c>
      <c r="AB78" s="16" t="n">
        <v>0.1570245409932686</v>
      </c>
      <c r="AC78" s="9">
        <f>IF(AND(O78="",P78=""),"DATI MANCANTI",IF(AND(N(O78)&gt;=PARAMETRI!$B$4,N(P78)&gt;=PARAMETRI!$B$4),"OK","NO"))</f>
        <v/>
      </c>
      <c r="AD78" s="9">
        <f>IF(L78="","N/D",IF(L78&lt;PARAMETRI!$B$6,"OTTIMO",IF(L78&lt;PARAMETRI!$B$5,"OK","NO")))</f>
        <v/>
      </c>
      <c r="AE78" s="9">
        <f>IF(OR(AC78="DATI MANCANTI",AD78="N/D"),"DA COMPLETARE",IF(AND(AC78="OK",AD78="OTTIMO"),"PASSA FORTE",IF(AND(AC78="OK",AD78="OK"),"PASSA","SCARTA")))</f>
        <v/>
      </c>
      <c r="AF78" s="8" t="inlineStr">
        <is>
          <t>2026-08-04</t>
        </is>
      </c>
      <c r="AG78" s="8" t="inlineStr">
        <is>
          <t>yahoo</t>
        </is>
      </c>
      <c r="AH78" s="19" t="inlineStr"/>
    </row>
    <row r="79">
      <c r="A79" s="8" t="n">
        <v>78</v>
      </c>
      <c r="B79" s="8" t="inlineStr">
        <is>
          <t>EOG Resources</t>
        </is>
      </c>
      <c r="C79" s="8" t="inlineStr">
        <is>
          <t>EOG</t>
        </is>
      </c>
      <c r="D79" s="9" t="inlineStr">
        <is>
          <t>USA</t>
        </is>
      </c>
      <c r="E79" s="8" t="inlineStr">
        <is>
          <t>Esplorazione e produzione</t>
        </is>
      </c>
      <c r="F79" s="9" t="inlineStr">
        <is>
          <t>Energia</t>
        </is>
      </c>
      <c r="G79" s="10" t="n">
        <v>145.68</v>
      </c>
      <c r="H79" s="11" t="inlineStr">
        <is>
          <t>USD</t>
        </is>
      </c>
      <c r="I79" s="12" t="n">
        <v>77593.3</v>
      </c>
      <c r="J79" s="10" t="n">
        <v>10.17</v>
      </c>
      <c r="K79" s="10" t="n">
        <v>14.72774</v>
      </c>
      <c r="L79" s="13">
        <f>IF(OR(G79="",J79="",J79&lt;=0),"",G79/J79)</f>
        <v/>
      </c>
      <c r="M79" s="14" t="n">
        <v>2.5209386</v>
      </c>
      <c r="N79" s="15">
        <f>IF(OR(M79="",L79="",L79&lt;=0),"",M79/L79)</f>
        <v/>
      </c>
      <c r="O79" s="16" t="n">
        <v>0.18195</v>
      </c>
      <c r="P79" s="16" t="n">
        <v>0.242138828379117</v>
      </c>
      <c r="Q79" s="16" t="n">
        <v>0.05492470394983165</v>
      </c>
      <c r="R79" s="17" t="n">
        <v>4</v>
      </c>
      <c r="S79" s="16" t="n"/>
      <c r="T79" s="16" t="n">
        <v>0.1669292394328428</v>
      </c>
      <c r="U79" s="16" t="n">
        <v>0.2181527034854008</v>
      </c>
      <c r="V79" s="16" t="n">
        <v>0.2703453186187255</v>
      </c>
      <c r="W79" s="16" t="n">
        <v>0.3131280519794988</v>
      </c>
      <c r="X79" s="10" t="n">
        <v>4.08</v>
      </c>
      <c r="Y79" s="15">
        <f>IF(OR(X79="",G79="",G79=0),"",X79/G79)</f>
        <v/>
      </c>
      <c r="Z79" s="18" t="n">
        <v>26.873</v>
      </c>
      <c r="AA79" s="16" t="n">
        <v>0.156</v>
      </c>
      <c r="AB79" s="16" t="n">
        <v>0.2434239631564963</v>
      </c>
      <c r="AC79" s="9">
        <f>IF(AND(O79="",P79=""),"DATI MANCANTI",IF(AND(N(O79)&gt;=PARAMETRI!$B$4,N(P79)&gt;=PARAMETRI!$B$4),"OK","NO"))</f>
        <v/>
      </c>
      <c r="AD79" s="9">
        <f>IF(L79="","N/D",IF(L79&lt;PARAMETRI!$B$6,"OTTIMO",IF(L79&lt;PARAMETRI!$B$5,"OK","NO")))</f>
        <v/>
      </c>
      <c r="AE79" s="9">
        <f>IF(OR(AC79="DATI MANCANTI",AD79="N/D"),"DA COMPLETARE",IF(AND(AC79="OK",AD79="OTTIMO"),"PASSA FORTE",IF(AND(AC79="OK",AD79="OK"),"PASSA","SCARTA")))</f>
        <v/>
      </c>
      <c r="AF79" s="8" t="inlineStr">
        <is>
          <t>2026-08-04</t>
        </is>
      </c>
      <c r="AG79" s="8" t="inlineStr">
        <is>
          <t>yahoo</t>
        </is>
      </c>
      <c r="AH79" s="19" t="inlineStr"/>
    </row>
    <row r="80">
      <c r="A80" s="8" t="n">
        <v>79</v>
      </c>
      <c r="B80" s="8" t="inlineStr">
        <is>
          <t>ERG</t>
        </is>
      </c>
      <c r="C80" s="8" t="inlineStr">
        <is>
          <t>ERG.MI</t>
        </is>
      </c>
      <c r="D80" s="9" t="inlineStr">
        <is>
          <t>Italia</t>
        </is>
      </c>
      <c r="E80" s="8" t="inlineStr">
        <is>
          <t>Utility / Rinnovabili</t>
        </is>
      </c>
      <c r="F80" s="9" t="inlineStr">
        <is>
          <t>Utility</t>
        </is>
      </c>
      <c r="G80" s="10" t="n">
        <v>21.88</v>
      </c>
      <c r="H80" s="11" t="inlineStr">
        <is>
          <t>EUR</t>
        </is>
      </c>
      <c r="I80" s="12" t="n">
        <v>3180.4</v>
      </c>
      <c r="J80" s="10" t="n">
        <v>0.57</v>
      </c>
      <c r="K80" s="10" t="n">
        <v>1.16657</v>
      </c>
      <c r="L80" s="13">
        <f>IF(OR(G80="",J80="",J80&lt;=0),"",G80/J80)</f>
        <v/>
      </c>
      <c r="M80" s="14" t="n">
        <v>1.5567412</v>
      </c>
      <c r="N80" s="15">
        <f>IF(OR(M80="",L80="",L80&lt;=0),"",M80/L80)</f>
        <v/>
      </c>
      <c r="O80" s="16" t="n">
        <v>0.04065</v>
      </c>
      <c r="P80" s="16" t="n">
        <v>0.09724741336023976</v>
      </c>
      <c r="Q80" s="16" t="n">
        <v>0.05519134116901761</v>
      </c>
      <c r="R80" s="17" t="n">
        <v>4</v>
      </c>
      <c r="S80" s="16" t="n"/>
      <c r="T80" s="16" t="n">
        <v>0.03280439526475774</v>
      </c>
      <c r="U80" s="16" t="n">
        <v>0.08715430505101514</v>
      </c>
      <c r="V80" s="16" t="n">
        <v>0.08376241717779331</v>
      </c>
      <c r="W80" s="16" t="n">
        <v>0.1852685359473929</v>
      </c>
      <c r="X80" s="10" t="n">
        <v>1</v>
      </c>
      <c r="Y80" s="15">
        <f>IF(OR(X80="",G80="",G80=0),"",X80/G80)</f>
        <v/>
      </c>
      <c r="Z80" s="18" t="n">
        <v>137.035</v>
      </c>
      <c r="AA80" s="16" t="n"/>
      <c r="AB80" s="16" t="n">
        <v>0.1046401699804334</v>
      </c>
      <c r="AC80" s="9">
        <f>IF(AND(O80="",P80=""),"DATI MANCANTI",IF(AND(N(O80)&gt;=PARAMETRI!$B$4,N(P80)&gt;=PARAMETRI!$B$4),"OK","NO"))</f>
        <v/>
      </c>
      <c r="AD80" s="9">
        <f>IF(L80="","N/D",IF(L80&lt;PARAMETRI!$B$6,"OTTIMO",IF(L80&lt;PARAMETRI!$B$5,"OK","NO")))</f>
        <v/>
      </c>
      <c r="AE80" s="9">
        <f>IF(OR(AC80="DATI MANCANTI",AD80="N/D"),"DA COMPLETARE",IF(AND(AC80="OK",AD80="OTTIMO"),"PASSA FORTE",IF(AND(AC80="OK",AD80="OK"),"PASSA","SCARTA")))</f>
        <v/>
      </c>
      <c r="AF80" s="8" t="inlineStr">
        <is>
          <t>2026-08-04</t>
        </is>
      </c>
      <c r="AG80" s="8" t="inlineStr">
        <is>
          <t>yahoo</t>
        </is>
      </c>
      <c r="AH80" s="19" t="inlineStr"/>
    </row>
    <row r="81">
      <c r="A81" s="8" t="n">
        <v>80</v>
      </c>
      <c r="B81" s="8" t="inlineStr">
        <is>
          <t>Eaton</t>
        </is>
      </c>
      <c r="C81" s="8" t="inlineStr">
        <is>
          <t>ETN</t>
        </is>
      </c>
      <c r="D81" s="9" t="inlineStr">
        <is>
          <t>USA</t>
        </is>
      </c>
      <c r="E81" s="8" t="inlineStr">
        <is>
          <t>Elettrificazione</t>
        </is>
      </c>
      <c r="F81" s="9" t="inlineStr">
        <is>
          <t>Industriale</t>
        </is>
      </c>
      <c r="G81" s="10" t="n">
        <v>438.23</v>
      </c>
      <c r="H81" s="11" t="inlineStr">
        <is>
          <t>USD</t>
        </is>
      </c>
      <c r="I81" s="12" t="n">
        <v>170164.7</v>
      </c>
      <c r="J81" s="10" t="n">
        <v>10.21</v>
      </c>
      <c r="K81" s="10" t="n">
        <v>15.95409</v>
      </c>
      <c r="L81" s="13">
        <f>IF(OR(G81="",J81="",J81&lt;=0),"",G81/J81)</f>
        <v/>
      </c>
      <c r="M81" s="14" t="n">
        <v>8.628613</v>
      </c>
      <c r="N81" s="15">
        <f>IF(OR(M81="",L81="",L81&lt;=0),"",M81/L81)</f>
        <v/>
      </c>
      <c r="O81" s="16" t="n">
        <v>0.19684</v>
      </c>
      <c r="P81" s="16" t="n">
        <v>0.182290452743209</v>
      </c>
      <c r="Q81" s="16" t="n">
        <v>0.02701399831554398</v>
      </c>
      <c r="R81" s="17" t="n">
        <v>4</v>
      </c>
      <c r="S81" s="16" t="n"/>
      <c r="T81" s="16" t="n">
        <v>0.2103989703989704</v>
      </c>
      <c r="U81" s="16" t="n">
        <v>0.2052141929900476</v>
      </c>
      <c r="V81" s="16" t="n">
        <v>0.1690481193528052</v>
      </c>
      <c r="W81" s="16" t="n">
        <v>0.144500528231013</v>
      </c>
      <c r="X81" s="10" t="n">
        <v>4.4</v>
      </c>
      <c r="Y81" s="15">
        <f>IF(OR(X81="",G81="",G81=0),"",X81/G81)</f>
        <v/>
      </c>
      <c r="Z81" s="18" t="n">
        <v>105.059</v>
      </c>
      <c r="AA81" s="16" t="n">
        <v>0.214</v>
      </c>
      <c r="AB81" s="16" t="n">
        <v>0.1395001433984261</v>
      </c>
      <c r="AC81" s="9">
        <f>IF(AND(O81="",P81=""),"DATI MANCANTI",IF(AND(N(O81)&gt;=PARAMETRI!$B$4,N(P81)&gt;=PARAMETRI!$B$4),"OK","NO"))</f>
        <v/>
      </c>
      <c r="AD81" s="9">
        <f>IF(L81="","N/D",IF(L81&lt;PARAMETRI!$B$6,"OTTIMO",IF(L81&lt;PARAMETRI!$B$5,"OK","NO")))</f>
        <v/>
      </c>
      <c r="AE81" s="9">
        <f>IF(OR(AC81="DATI MANCANTI",AD81="N/D"),"DA COMPLETARE",IF(AND(AC81="OK",AD81="OTTIMO"),"PASSA FORTE",IF(AND(AC81="OK",AD81="OK"),"PASSA","SCARTA")))</f>
        <v/>
      </c>
      <c r="AF81" s="8" t="inlineStr">
        <is>
          <t>2026-08-04</t>
        </is>
      </c>
      <c r="AG81" s="8" t="inlineStr">
        <is>
          <t>yahoo</t>
        </is>
      </c>
      <c r="AH81" s="19" t="inlineStr"/>
    </row>
    <row r="82">
      <c r="A82" s="8" t="n">
        <v>81</v>
      </c>
      <c r="B82" s="8" t="inlineStr">
        <is>
          <t>Ecolab</t>
        </is>
      </c>
      <c r="C82" s="8" t="inlineStr">
        <is>
          <t>ECL</t>
        </is>
      </c>
      <c r="D82" s="9" t="inlineStr">
        <is>
          <t>USA</t>
        </is>
      </c>
      <c r="E82" s="8" t="inlineStr">
        <is>
          <t>Chimica specialistica</t>
        </is>
      </c>
      <c r="F82" s="9" t="inlineStr">
        <is>
          <t>Materiali</t>
        </is>
      </c>
      <c r="G82" s="10" t="n">
        <v>279.43</v>
      </c>
      <c r="H82" s="11" t="inlineStr">
        <is>
          <t>USD</t>
        </is>
      </c>
      <c r="I82" s="12" t="n">
        <v>78642.10000000001</v>
      </c>
      <c r="J82" s="10" t="n">
        <v>7.44</v>
      </c>
      <c r="K82" s="10" t="n">
        <v>9.437480000000001</v>
      </c>
      <c r="L82" s="13">
        <f>IF(OR(G82="",J82="",J82&lt;=0),"",G82/J82)</f>
        <v/>
      </c>
      <c r="M82" s="14" t="n">
        <v>7.8002954</v>
      </c>
      <c r="N82" s="15">
        <f>IF(OR(M82="",L82="",L82&lt;=0),"",M82/L82)</f>
        <v/>
      </c>
      <c r="O82" s="16" t="n">
        <v>0.21956</v>
      </c>
      <c r="P82" s="16" t="n">
        <v>0.1937744228136611</v>
      </c>
      <c r="Q82" s="16" t="n">
        <v>0.03527525358757358</v>
      </c>
      <c r="R82" s="17" t="n">
        <v>4</v>
      </c>
      <c r="S82" s="16" t="n"/>
      <c r="T82" s="16" t="n">
        <v>0.2124288696933721</v>
      </c>
      <c r="U82" s="16" t="n">
        <v>0.2412158998778162</v>
      </c>
      <c r="V82" s="16" t="n">
        <v>0.1705843598891195</v>
      </c>
      <c r="W82" s="16" t="n">
        <v>0.1508685617943367</v>
      </c>
      <c r="X82" s="10" t="n">
        <v>2.92</v>
      </c>
      <c r="Y82" s="15">
        <f>IF(OR(X82="",G82="",G82=0),"",X82/G82)</f>
        <v/>
      </c>
      <c r="Z82" s="18" t="n">
        <v>136.378</v>
      </c>
      <c r="AA82" s="16" t="n">
        <v>0.097</v>
      </c>
      <c r="AB82" s="16" t="n">
        <v>0.1316070939979604</v>
      </c>
      <c r="AC82" s="9">
        <f>IF(AND(O82="",P82=""),"DATI MANCANTI",IF(AND(N(O82)&gt;=PARAMETRI!$B$4,N(P82)&gt;=PARAMETRI!$B$4),"OK","NO"))</f>
        <v/>
      </c>
      <c r="AD82" s="9">
        <f>IF(L82="","N/D",IF(L82&lt;PARAMETRI!$B$6,"OTTIMO",IF(L82&lt;PARAMETRI!$B$5,"OK","NO")))</f>
        <v/>
      </c>
      <c r="AE82" s="9">
        <f>IF(OR(AC82="DATI MANCANTI",AD82="N/D"),"DA COMPLETARE",IF(AND(AC82="OK",AD82="OTTIMO"),"PASSA FORTE",IF(AND(AC82="OK",AD82="OK"),"PASSA","SCARTA")))</f>
        <v/>
      </c>
      <c r="AF82" s="8" t="inlineStr">
        <is>
          <t>2026-08-04</t>
        </is>
      </c>
      <c r="AG82" s="8" t="inlineStr">
        <is>
          <t>yahoo</t>
        </is>
      </c>
      <c r="AH82" s="19" t="inlineStr"/>
    </row>
    <row r="83">
      <c r="A83" s="8" t="n">
        <v>82</v>
      </c>
      <c r="B83" s="8" t="inlineStr">
        <is>
          <t>Elevance Health</t>
        </is>
      </c>
      <c r="C83" s="8" t="inlineStr">
        <is>
          <t>ELV</t>
        </is>
      </c>
      <c r="D83" s="9" t="inlineStr">
        <is>
          <t>USA</t>
        </is>
      </c>
      <c r="E83" s="8" t="inlineStr">
        <is>
          <t>Assicurazione sanitaria</t>
        </is>
      </c>
      <c r="F83" s="9" t="inlineStr">
        <is>
          <t>Salute</t>
        </is>
      </c>
      <c r="G83" s="10" t="n">
        <v>382.77</v>
      </c>
      <c r="H83" s="11" t="inlineStr">
        <is>
          <t>USD</t>
        </is>
      </c>
      <c r="I83" s="12" t="n">
        <v>83011.10000000001</v>
      </c>
      <c r="J83" s="10" t="n">
        <v>22.63</v>
      </c>
      <c r="K83" s="10" t="n">
        <v>29.63423</v>
      </c>
      <c r="L83" s="13">
        <f>IF(OR(G83="",J83="",J83&lt;=0),"",G83/J83)</f>
        <v/>
      </c>
      <c r="M83" s="14" t="n">
        <v>1.8492556</v>
      </c>
      <c r="N83" s="15">
        <f>IF(OR(M83="",L83="",L83&lt;=0),"",M83/L83)</f>
        <v/>
      </c>
      <c r="O83" s="16" t="n">
        <v>0.11133</v>
      </c>
      <c r="P83" s="16" t="n">
        <v>0.1471779214463593</v>
      </c>
      <c r="Q83" s="16" t="n">
        <v>0.01225127753653764</v>
      </c>
      <c r="R83" s="17" t="n">
        <v>4</v>
      </c>
      <c r="S83" s="16" t="n"/>
      <c r="T83" s="16" t="n">
        <v>0.1290278474089604</v>
      </c>
      <c r="U83" s="16" t="n">
        <v>0.1447416192666102</v>
      </c>
      <c r="V83" s="16" t="n">
        <v>0.1523177123085534</v>
      </c>
      <c r="W83" s="16" t="n">
        <v>0.1626245068013134</v>
      </c>
      <c r="X83" s="10" t="n">
        <v>6.88</v>
      </c>
      <c r="Y83" s="15">
        <f>IF(OR(X83="",G83="",G83=0),"",X83/G83)</f>
        <v/>
      </c>
      <c r="Z83" s="18" t="n">
        <v>68.953</v>
      </c>
      <c r="AA83" s="16" t="n">
        <v>0.014</v>
      </c>
      <c r="AB83" s="16" t="n">
        <v>0.02492404172253609</v>
      </c>
      <c r="AC83" s="9">
        <f>IF(AND(O83="",P83=""),"DATI MANCANTI",IF(AND(N(O83)&gt;=PARAMETRI!$B$4,N(P83)&gt;=PARAMETRI!$B$4),"OK","NO"))</f>
        <v/>
      </c>
      <c r="AD83" s="9">
        <f>IF(L83="","N/D",IF(L83&lt;PARAMETRI!$B$6,"OTTIMO",IF(L83&lt;PARAMETRI!$B$5,"OK","NO")))</f>
        <v/>
      </c>
      <c r="AE83" s="9">
        <f>IF(OR(AC83="DATI MANCANTI",AD83="N/D"),"DA COMPLETARE",IF(AND(AC83="OK",AD83="OTTIMO"),"PASSA FORTE",IF(AND(AC83="OK",AD83="OK"),"PASSA","SCARTA")))</f>
        <v/>
      </c>
      <c r="AF83" s="8" t="inlineStr">
        <is>
          <t>2026-08-04</t>
        </is>
      </c>
      <c r="AG83" s="8" t="inlineStr">
        <is>
          <t>yahoo</t>
        </is>
      </c>
      <c r="AH83" s="19" t="inlineStr"/>
    </row>
    <row r="84">
      <c r="A84" s="8" t="n">
        <v>83</v>
      </c>
      <c r="B84" s="8" t="inlineStr">
        <is>
          <t>Eli Lilly</t>
        </is>
      </c>
      <c r="C84" s="8" t="inlineStr">
        <is>
          <t>LLY</t>
        </is>
      </c>
      <c r="D84" s="9" t="inlineStr">
        <is>
          <t>USA</t>
        </is>
      </c>
      <c r="E84" s="8" t="inlineStr">
        <is>
          <t>Farmaceutica</t>
        </is>
      </c>
      <c r="F84" s="9" t="inlineStr">
        <is>
          <t>Salute</t>
        </is>
      </c>
      <c r="G84" s="10" t="n">
        <v>1121.36</v>
      </c>
      <c r="H84" s="11" t="inlineStr">
        <is>
          <t>USD</t>
        </is>
      </c>
      <c r="I84" s="12" t="n">
        <v>999963.1</v>
      </c>
      <c r="J84" s="10" t="n">
        <v>28.15</v>
      </c>
      <c r="K84" s="10" t="n">
        <v>45.08017</v>
      </c>
      <c r="L84" s="13">
        <f>IF(OR(G84="",J84="",J84&lt;=0),"",G84/J84)</f>
        <v/>
      </c>
      <c r="M84" s="14" t="n">
        <v>32.115017</v>
      </c>
      <c r="N84" s="15">
        <f>IF(OR(M84="",L84="",L84&lt;=0),"",M84/L84)</f>
        <v/>
      </c>
      <c r="O84" s="16" t="n">
        <v>1.07459</v>
      </c>
      <c r="P84" s="16" t="n">
        <v>0.6481702467386419</v>
      </c>
      <c r="Q84" s="16" t="n">
        <v>0.1178900700269788</v>
      </c>
      <c r="R84" s="17" t="n">
        <v>4</v>
      </c>
      <c r="S84" s="16" t="n"/>
      <c r="T84" s="16" t="n">
        <v>0.7778405879027699</v>
      </c>
      <c r="U84" s="16" t="n">
        <v>0.7420123318385651</v>
      </c>
      <c r="V84" s="16" t="n">
        <v>0.4864508582515619</v>
      </c>
      <c r="W84" s="16" t="n">
        <v>0.5863772089616707</v>
      </c>
      <c r="X84" s="10" t="n">
        <v>6.92</v>
      </c>
      <c r="Y84" s="15">
        <f>IF(OR(X84="",G84="",G84=0),"",X84/G84)</f>
        <v/>
      </c>
      <c r="Z84" s="18" t="n">
        <v>139.015</v>
      </c>
      <c r="AA84" s="16" t="n">
        <v>0.555</v>
      </c>
      <c r="AB84" s="16" t="n">
        <v>0.3878089519630556</v>
      </c>
      <c r="AC84" s="9">
        <f>IF(AND(O84="",P84=""),"DATI MANCANTI",IF(AND(N(O84)&gt;=PARAMETRI!$B$4,N(P84)&gt;=PARAMETRI!$B$4),"OK","NO"))</f>
        <v/>
      </c>
      <c r="AD84" s="9">
        <f>IF(L84="","N/D",IF(L84&lt;PARAMETRI!$B$6,"OTTIMO",IF(L84&lt;PARAMETRI!$B$5,"OK","NO")))</f>
        <v/>
      </c>
      <c r="AE84" s="9">
        <f>IF(OR(AC84="DATI MANCANTI",AD84="N/D"),"DA COMPLETARE",IF(AND(AC84="OK",AD84="OTTIMO"),"PASSA FORTE",IF(AND(AC84="OK",AD84="OK"),"PASSA","SCARTA")))</f>
        <v/>
      </c>
      <c r="AF84" s="8" t="inlineStr">
        <is>
          <t>2026-08-04</t>
        </is>
      </c>
      <c r="AG84" s="8" t="inlineStr">
        <is>
          <t>yahoo</t>
        </is>
      </c>
      <c r="AH84" s="19" t="inlineStr"/>
    </row>
    <row r="85">
      <c r="A85" s="8" t="n">
        <v>84</v>
      </c>
      <c r="B85" s="8" t="inlineStr">
        <is>
          <t>Emerson Electric</t>
        </is>
      </c>
      <c r="C85" s="8" t="inlineStr">
        <is>
          <t>EMR</t>
        </is>
      </c>
      <c r="D85" s="9" t="inlineStr">
        <is>
          <t>USA</t>
        </is>
      </c>
      <c r="E85" s="8" t="inlineStr">
        <is>
          <t>Automazione</t>
        </is>
      </c>
      <c r="F85" s="9" t="inlineStr">
        <is>
          <t>Industriale</t>
        </is>
      </c>
      <c r="G85" s="10" t="n">
        <v>154.85</v>
      </c>
      <c r="H85" s="11" t="inlineStr">
        <is>
          <t>USD</t>
        </is>
      </c>
      <c r="I85" s="12" t="n">
        <v>86731.5</v>
      </c>
      <c r="J85" s="10" t="n">
        <v>4.31</v>
      </c>
      <c r="K85" s="10" t="n">
        <v>7.16841</v>
      </c>
      <c r="L85" s="13">
        <f>IF(OR(G85="",J85="",J85&lt;=0),"",G85/J85)</f>
        <v/>
      </c>
      <c r="M85" s="14" t="n">
        <v>4.271842</v>
      </c>
      <c r="N85" s="15">
        <f>IF(OR(M85="",L85="",L85&lt;=0),"",M85/L85)</f>
        <v/>
      </c>
      <c r="O85" s="16" t="n">
        <v>0.12328</v>
      </c>
      <c r="P85" s="16" t="n">
        <v>0.2886765522946696</v>
      </c>
      <c r="Q85" s="16" t="n">
        <v>0.2197445121017647</v>
      </c>
      <c r="R85" s="17" t="n">
        <v>4</v>
      </c>
      <c r="S85" s="16" t="n"/>
      <c r="T85" s="16" t="n">
        <v>0.1130559116457943</v>
      </c>
      <c r="U85" s="16" t="n">
        <v>0.09095951192457016</v>
      </c>
      <c r="V85" s="16" t="n">
        <v>0.6389385663879357</v>
      </c>
      <c r="W85" s="16" t="n">
        <v>0.3117522192203782</v>
      </c>
      <c r="X85" s="10" t="n">
        <v>2.22</v>
      </c>
      <c r="Y85" s="15">
        <f>IF(OR(X85="",G85="",G85=0),"",X85/G85)</f>
        <v/>
      </c>
      <c r="Z85" s="18" t="n">
        <v>69.182</v>
      </c>
      <c r="AA85" s="16" t="n">
        <v>0.029</v>
      </c>
      <c r="AB85" s="16" t="n">
        <v>0.135324163410302</v>
      </c>
      <c r="AC85" s="9">
        <f>IF(AND(O85="",P85=""),"DATI MANCANTI",IF(AND(N(O85)&gt;=PARAMETRI!$B$4,N(P85)&gt;=PARAMETRI!$B$4),"OK","NO"))</f>
        <v/>
      </c>
      <c r="AD85" s="9">
        <f>IF(L85="","N/D",IF(L85&lt;PARAMETRI!$B$6,"OTTIMO",IF(L85&lt;PARAMETRI!$B$5,"OK","NO")))</f>
        <v/>
      </c>
      <c r="AE85" s="9">
        <f>IF(OR(AC85="DATI MANCANTI",AD85="N/D"),"DA COMPLETARE",IF(AND(AC85="OK",AD85="OTTIMO"),"PASSA FORTE",IF(AND(AC85="OK",AD85="OK"),"PASSA","SCARTA")))</f>
        <v/>
      </c>
      <c r="AF85" s="8" t="inlineStr">
        <is>
          <t>2026-08-04</t>
        </is>
      </c>
      <c r="AG85" s="8" t="inlineStr">
        <is>
          <t>yahoo</t>
        </is>
      </c>
      <c r="AH85" s="19" t="inlineStr"/>
    </row>
    <row r="86">
      <c r="A86" s="8" t="n">
        <v>85</v>
      </c>
      <c r="B86" s="8" t="inlineStr">
        <is>
          <t>Enel</t>
        </is>
      </c>
      <c r="C86" s="8" t="inlineStr">
        <is>
          <t>ENEL.MI</t>
        </is>
      </c>
      <c r="D86" s="9" t="inlineStr">
        <is>
          <t>Italia</t>
        </is>
      </c>
      <c r="E86" s="8" t="inlineStr">
        <is>
          <t>Utility</t>
        </is>
      </c>
      <c r="F86" s="9" t="inlineStr">
        <is>
          <t>Utility</t>
        </is>
      </c>
      <c r="G86" s="10" t="n">
        <v>10.02</v>
      </c>
      <c r="H86" s="11" t="inlineStr">
        <is>
          <t>EUR</t>
        </is>
      </c>
      <c r="I86" s="12" t="n">
        <v>99431.10000000001</v>
      </c>
      <c r="J86" s="10" t="n">
        <v>0.38</v>
      </c>
      <c r="K86" s="10" t="n">
        <v>0.75103</v>
      </c>
      <c r="L86" s="13">
        <f>IF(OR(G86="",J86="",J86&lt;=0),"",G86/J86)</f>
        <v/>
      </c>
      <c r="M86" s="14" t="n">
        <v>3.0035973</v>
      </c>
      <c r="N86" s="15">
        <f>IF(OR(M86="",L86="",L86&lt;=0),"",M86/L86)</f>
        <v/>
      </c>
      <c r="O86" s="16" t="n">
        <v>0.122559994</v>
      </c>
      <c r="P86" s="16" t="n">
        <v>0.1266786444245822</v>
      </c>
      <c r="Q86" s="16" t="n">
        <v>0.05384932558582804</v>
      </c>
      <c r="R86" s="17" t="n">
        <v>4</v>
      </c>
      <c r="S86" s="16" t="n"/>
      <c r="T86" s="16" t="n">
        <v>0.1317512785331171</v>
      </c>
      <c r="U86" s="16" t="n">
        <v>0.2079985769766683</v>
      </c>
      <c r="V86" s="16" t="n">
        <v>0.1082664147378366</v>
      </c>
      <c r="W86" s="16" t="n">
        <v>0.05869830745070669</v>
      </c>
      <c r="X86" s="10" t="n">
        <v>0.52</v>
      </c>
      <c r="Y86" s="15">
        <f>IF(OR(X86="",G86="",G86=0),"",X86/G86)</f>
        <v/>
      </c>
      <c r="Z86" s="18" t="n">
        <v>147.246</v>
      </c>
      <c r="AA86" s="16" t="n">
        <v>0.08500000000000001</v>
      </c>
      <c r="AB86" s="16" t="n">
        <v>0.06389729182233292</v>
      </c>
      <c r="AC86" s="9">
        <f>IF(AND(O86="",P86=""),"DATI MANCANTI",IF(AND(N(O86)&gt;=PARAMETRI!$B$4,N(P86)&gt;=PARAMETRI!$B$4),"OK","NO"))</f>
        <v/>
      </c>
      <c r="AD86" s="9">
        <f>IF(L86="","N/D",IF(L86&lt;PARAMETRI!$B$6,"OTTIMO",IF(L86&lt;PARAMETRI!$B$5,"OK","NO")))</f>
        <v/>
      </c>
      <c r="AE86" s="9">
        <f>IF(OR(AC86="DATI MANCANTI",AD86="N/D"),"DA COMPLETARE",IF(AND(AC86="OK",AD86="OTTIMO"),"PASSA FORTE",IF(AND(AC86="OK",AD86="OK"),"PASSA","SCARTA")))</f>
        <v/>
      </c>
      <c r="AF86" s="8" t="inlineStr">
        <is>
          <t>2026-08-04</t>
        </is>
      </c>
      <c r="AG86" s="8" t="inlineStr">
        <is>
          <t>yahoo</t>
        </is>
      </c>
      <c r="AH86" s="19" t="inlineStr"/>
    </row>
    <row r="87">
      <c r="A87" s="8" t="n">
        <v>86</v>
      </c>
      <c r="B87" s="8" t="inlineStr">
        <is>
          <t>Eni</t>
        </is>
      </c>
      <c r="C87" s="8" t="inlineStr">
        <is>
          <t>ENI.MI</t>
        </is>
      </c>
      <c r="D87" s="9" t="inlineStr">
        <is>
          <t>Italia</t>
        </is>
      </c>
      <c r="E87" s="8" t="inlineStr">
        <is>
          <t>Energia</t>
        </is>
      </c>
      <c r="F87" s="9" t="inlineStr">
        <is>
          <t>Energia</t>
        </is>
      </c>
      <c r="G87" s="10" t="n">
        <v>24.0975</v>
      </c>
      <c r="H87" s="11" t="inlineStr">
        <is>
          <t>EUR</t>
        </is>
      </c>
      <c r="I87" s="12" t="n">
        <v>69931</v>
      </c>
      <c r="J87" s="10" t="n">
        <v>1.23</v>
      </c>
      <c r="K87" s="10" t="n">
        <v>2.30063</v>
      </c>
      <c r="L87" s="13">
        <f>IF(OR(G87="",J87="",J87&lt;=0),"",G87/J87)</f>
        <v/>
      </c>
      <c r="M87" s="14" t="n">
        <v>1.659836</v>
      </c>
      <c r="N87" s="15">
        <f>IF(OR(M87="",L87="",L87&lt;=0),"",M87/L87)</f>
        <v/>
      </c>
      <c r="O87" s="16" t="n">
        <v>0.10901</v>
      </c>
      <c r="P87" s="16" t="n">
        <v>0.1118555013917138</v>
      </c>
      <c r="Q87" s="16" t="n">
        <v>0.08328498900347517</v>
      </c>
      <c r="R87" s="17" t="n">
        <v>4</v>
      </c>
      <c r="S87" s="16" t="n"/>
      <c r="T87" s="16" t="n">
        <v>0.05440133500208594</v>
      </c>
      <c r="U87" s="16" t="n">
        <v>0.04971109216633513</v>
      </c>
      <c r="V87" s="16" t="n">
        <v>0.08970743080625752</v>
      </c>
      <c r="W87" s="16" t="n">
        <v>0.2536021475921766</v>
      </c>
      <c r="X87" s="10" t="n">
        <v>1.07</v>
      </c>
      <c r="Y87" s="15">
        <f>IF(OR(X87="",G87="",G87=0),"",X87/G87)</f>
        <v/>
      </c>
      <c r="Z87" s="18" t="n">
        <v>64.97499999999999</v>
      </c>
      <c r="AA87" s="16" t="n">
        <v>0.185</v>
      </c>
      <c r="AB87" s="16" t="n">
        <v>0.070419105500846</v>
      </c>
      <c r="AC87" s="9">
        <f>IF(AND(O87="",P87=""),"DATI MANCANTI",IF(AND(N(O87)&gt;=PARAMETRI!$B$4,N(P87)&gt;=PARAMETRI!$B$4),"OK","NO"))</f>
        <v/>
      </c>
      <c r="AD87" s="9">
        <f>IF(L87="","N/D",IF(L87&lt;PARAMETRI!$B$6,"OTTIMO",IF(L87&lt;PARAMETRI!$B$5,"OK","NO")))</f>
        <v/>
      </c>
      <c r="AE87" s="9">
        <f>IF(OR(AC87="DATI MANCANTI",AD87="N/D"),"DA COMPLETARE",IF(AND(AC87="OK",AD87="OTTIMO"),"PASSA FORTE",IF(AND(AC87="OK",AD87="OK"),"PASSA","SCARTA")))</f>
        <v/>
      </c>
      <c r="AF87" s="8" t="inlineStr">
        <is>
          <t>2026-08-04</t>
        </is>
      </c>
      <c r="AG87" s="8" t="inlineStr">
        <is>
          <t>yahoo</t>
        </is>
      </c>
      <c r="AH87" s="19" t="inlineStr"/>
    </row>
    <row r="88">
      <c r="A88" s="8" t="n">
        <v>87</v>
      </c>
      <c r="B88" s="8" t="inlineStr">
        <is>
          <t>Equinix</t>
        </is>
      </c>
      <c r="C88" s="8" t="inlineStr">
        <is>
          <t>EQIX</t>
        </is>
      </c>
      <c r="D88" s="9" t="inlineStr">
        <is>
          <t>USA</t>
        </is>
      </c>
      <c r="E88" s="8" t="inlineStr">
        <is>
          <t>REIT / Data center</t>
        </is>
      </c>
      <c r="F88" s="9" t="inlineStr">
        <is>
          <t>Immobiliare</t>
        </is>
      </c>
      <c r="G88" s="10" t="n">
        <v>1031.44</v>
      </c>
      <c r="H88" s="11" t="inlineStr">
        <is>
          <t>USD</t>
        </is>
      </c>
      <c r="I88" s="12" t="n">
        <v>101773.9</v>
      </c>
      <c r="J88" s="10" t="n">
        <v>15.49</v>
      </c>
      <c r="K88" s="10" t="n">
        <v>18.63</v>
      </c>
      <c r="L88" s="13">
        <f>IF(OR(G88="",J88="",J88&lt;=0),"",G88/J88)</f>
        <v/>
      </c>
      <c r="M88" s="14" t="n">
        <v>7.076435</v>
      </c>
      <c r="N88" s="15">
        <f>IF(OR(M88="",L88="",L88&lt;=0),"",M88/L88)</f>
        <v/>
      </c>
      <c r="O88" s="16" t="n">
        <v>0.10735</v>
      </c>
      <c r="P88" s="16" t="n">
        <v>0.07361804446541069</v>
      </c>
      <c r="Q88" s="16" t="n">
        <v>0.0143175686792554</v>
      </c>
      <c r="R88" s="17" t="n">
        <v>4</v>
      </c>
      <c r="S88" s="16" t="n"/>
      <c r="T88" s="16" t="n">
        <v>0.09536592257699915</v>
      </c>
      <c r="U88" s="16" t="n">
        <v>0.06024541691306919</v>
      </c>
      <c r="V88" s="16" t="n">
        <v>0.07758827768436224</v>
      </c>
      <c r="W88" s="16" t="n">
        <v>0.06127256068721218</v>
      </c>
      <c r="X88" s="10" t="n">
        <v>20.64</v>
      </c>
      <c r="Y88" s="15">
        <f>IF(OR(X88="",G88="",G88=0),"",X88/G88)</f>
        <v/>
      </c>
      <c r="Z88" s="18" t="n">
        <v>162.217</v>
      </c>
      <c r="AA88" s="16" t="n">
        <v>0.167</v>
      </c>
      <c r="AB88" s="16" t="n">
        <v>0.1663230916784203</v>
      </c>
      <c r="AC88" s="9">
        <f>IF(AND(O88="",P88=""),"DATI MANCANTI",IF(AND(N(O88)&gt;=PARAMETRI!$B$4,N(P88)&gt;=PARAMETRI!$B$4),"OK","NO"))</f>
        <v/>
      </c>
      <c r="AD88" s="9">
        <f>IF(L88="","N/D",IF(L88&lt;PARAMETRI!$B$6,"OTTIMO",IF(L88&lt;PARAMETRI!$B$5,"OK","NO")))</f>
        <v/>
      </c>
      <c r="AE88" s="9">
        <f>IF(OR(AC88="DATI MANCANTI",AD88="N/D"),"DA COMPLETARE",IF(AND(AC88="OK",AD88="OTTIMO"),"PASSA FORTE",IF(AND(AC88="OK",AD88="OK"),"PASSA","SCARTA")))</f>
        <v/>
      </c>
      <c r="AF88" s="8" t="inlineStr">
        <is>
          <t>2026-08-04</t>
        </is>
      </c>
      <c r="AG88" s="8" t="inlineStr">
        <is>
          <t>yahoo</t>
        </is>
      </c>
      <c r="AH88" s="19" t="inlineStr"/>
    </row>
    <row r="89">
      <c r="A89" s="8" t="n">
        <v>88</v>
      </c>
      <c r="B89" s="8" t="inlineStr">
        <is>
          <t>Esprinet</t>
        </is>
      </c>
      <c r="C89" s="8" t="inlineStr">
        <is>
          <t>PRT.MI</t>
        </is>
      </c>
      <c r="D89" s="9" t="inlineStr">
        <is>
          <t>Italia</t>
        </is>
      </c>
      <c r="E89" s="8" t="inlineStr">
        <is>
          <t>Distribuzione IT</t>
        </is>
      </c>
      <c r="F89" s="9" t="inlineStr">
        <is>
          <t>Tecnologia</t>
        </is>
      </c>
      <c r="G89" s="10" t="n">
        <v>7.2</v>
      </c>
      <c r="H89" s="11" t="inlineStr">
        <is>
          <t>EUR</t>
        </is>
      </c>
      <c r="I89" s="12" t="n">
        <v>356</v>
      </c>
      <c r="J89" s="10" t="n">
        <v>0.46</v>
      </c>
      <c r="K89" s="10" t="n">
        <v>0.61153</v>
      </c>
      <c r="L89" s="13">
        <f>IF(OR(G89="",J89="",J89&lt;=0),"",G89/J89)</f>
        <v/>
      </c>
      <c r="M89" s="14" t="n">
        <v>0.8666346</v>
      </c>
      <c r="N89" s="15">
        <f>IF(OR(M89="",L89="",L89&lt;=0),"",M89/L89)</f>
        <v/>
      </c>
      <c r="O89" s="16" t="n">
        <v>0.057550002</v>
      </c>
      <c r="P89" s="16" t="n">
        <v>0.04761574922132365</v>
      </c>
      <c r="Q89" s="16" t="n">
        <v>0.05268191971291874</v>
      </c>
      <c r="R89" s="17" t="n">
        <v>4</v>
      </c>
      <c r="S89" s="16" t="n"/>
      <c r="T89" s="16" t="n">
        <v>0.05179603050299125</v>
      </c>
      <c r="U89" s="16" t="n">
        <v>0.0552888011982109</v>
      </c>
      <c r="V89" s="16" t="n">
        <v>-0.03232084047794018</v>
      </c>
      <c r="W89" s="16" t="n">
        <v>0.1156990056620326</v>
      </c>
      <c r="X89" s="10" t="n">
        <v>0.35</v>
      </c>
      <c r="Y89" s="15">
        <f>IF(OR(X89="",G89="",G89=0),"",X89/G89)</f>
        <v/>
      </c>
      <c r="Z89" s="18" t="n">
        <v>130.73</v>
      </c>
      <c r="AA89" s="16" t="n">
        <v>0.106</v>
      </c>
      <c r="AB89" s="16" t="n">
        <v>0.005245279062452674</v>
      </c>
      <c r="AC89" s="9">
        <f>IF(AND(O89="",P89=""),"DATI MANCANTI",IF(AND(N(O89)&gt;=PARAMETRI!$B$4,N(P89)&gt;=PARAMETRI!$B$4),"OK","NO"))</f>
        <v/>
      </c>
      <c r="AD89" s="9">
        <f>IF(L89="","N/D",IF(L89&lt;PARAMETRI!$B$6,"OTTIMO",IF(L89&lt;PARAMETRI!$B$5,"OK","NO")))</f>
        <v/>
      </c>
      <c r="AE89" s="9">
        <f>IF(OR(AC89="DATI MANCANTI",AD89="N/D"),"DA COMPLETARE",IF(AND(AC89="OK",AD89="OTTIMO"),"PASSA FORTE",IF(AND(AC89="OK",AD89="OK"),"PASSA","SCARTA")))</f>
        <v/>
      </c>
      <c r="AF89" s="8" t="inlineStr">
        <is>
          <t>2026-08-04</t>
        </is>
      </c>
      <c r="AG89" s="8" t="inlineStr">
        <is>
          <t>yahoo</t>
        </is>
      </c>
      <c r="AH89" s="19" t="inlineStr"/>
    </row>
    <row r="90">
      <c r="A90" s="8" t="n">
        <v>89</v>
      </c>
      <c r="B90" s="8" t="inlineStr">
        <is>
          <t>Estee Lauder</t>
        </is>
      </c>
      <c r="C90" s="8" t="inlineStr">
        <is>
          <t>EL</t>
        </is>
      </c>
      <c r="D90" s="9" t="inlineStr">
        <is>
          <t>USA</t>
        </is>
      </c>
      <c r="E90" s="8" t="inlineStr">
        <is>
          <t>Cosmetica</t>
        </is>
      </c>
      <c r="F90" s="9" t="inlineStr">
        <is>
          <t>Consumi</t>
        </is>
      </c>
      <c r="G90" s="10" t="n">
        <v>84.68000000000001</v>
      </c>
      <c r="H90" s="11" t="inlineStr">
        <is>
          <t>USD</t>
        </is>
      </c>
      <c r="I90" s="12" t="n">
        <v>30636.8</v>
      </c>
      <c r="J90" s="10" t="n">
        <v>-0.7</v>
      </c>
      <c r="K90" s="10" t="n">
        <v>3.19222</v>
      </c>
      <c r="L90" s="13">
        <f>IF(OR(G90="",J90="",J90&lt;=0),"",G90/J90)</f>
        <v/>
      </c>
      <c r="M90" s="14" t="n">
        <v>7.672375</v>
      </c>
      <c r="N90" s="15">
        <f>IF(OR(M90="",L90="",L90&lt;=0),"",M90/L90)</f>
        <v/>
      </c>
      <c r="O90" s="16" t="n">
        <v>-0.05949</v>
      </c>
      <c r="P90" s="16" t="n">
        <v>0.09698049421578878</v>
      </c>
      <c r="Q90" s="16" t="n">
        <v>0.259298090473798</v>
      </c>
      <c r="R90" s="17" t="n">
        <v>4</v>
      </c>
      <c r="S90" s="16" t="n"/>
      <c r="T90" s="16" t="n">
        <v>-0.293143596377749</v>
      </c>
      <c r="U90" s="16" t="n">
        <v>0.07339104252916824</v>
      </c>
      <c r="V90" s="16" t="n">
        <v>0.1801253357206804</v>
      </c>
      <c r="W90" s="16" t="n">
        <v>0.4275491949910555</v>
      </c>
      <c r="X90" s="10" t="n">
        <v>1.4</v>
      </c>
      <c r="Y90" s="15">
        <f>IF(OR(X90="",G90="",G90=0),"",X90/G90)</f>
        <v/>
      </c>
      <c r="Z90" s="18" t="n">
        <v>232.908</v>
      </c>
      <c r="AA90" s="16" t="n">
        <v>0.046</v>
      </c>
      <c r="AB90" s="16" t="n">
        <v>-0.01731118246544744</v>
      </c>
      <c r="AC90" s="9">
        <f>IF(AND(O90="",P90=""),"DATI MANCANTI",IF(AND(N(O90)&gt;=PARAMETRI!$B$4,N(P90)&gt;=PARAMETRI!$B$4),"OK","NO"))</f>
        <v/>
      </c>
      <c r="AD90" s="9">
        <f>IF(L90="","N/D",IF(L90&lt;PARAMETRI!$B$6,"OTTIMO",IF(L90&lt;PARAMETRI!$B$5,"OK","NO")))</f>
        <v/>
      </c>
      <c r="AE90" s="9">
        <f>IF(OR(AC90="DATI MANCANTI",AD90="N/D"),"DA COMPLETARE",IF(AND(AC90="OK",AD90="OTTIMO"),"PASSA FORTE",IF(AND(AC90="OK",AD90="OK"),"PASSA","SCARTA")))</f>
        <v/>
      </c>
      <c r="AF90" s="8" t="inlineStr">
        <is>
          <t>2026-08-04</t>
        </is>
      </c>
      <c r="AG90" s="8" t="inlineStr">
        <is>
          <t>yahoo</t>
        </is>
      </c>
      <c r="AH90" s="19" t="inlineStr"/>
    </row>
    <row r="91">
      <c r="A91" s="8" t="n">
        <v>90</v>
      </c>
      <c r="B91" s="8" t="inlineStr">
        <is>
          <t>Exelon</t>
        </is>
      </c>
      <c r="C91" s="8" t="inlineStr">
        <is>
          <t>EXC</t>
        </is>
      </c>
      <c r="D91" s="9" t="inlineStr">
        <is>
          <t>USA</t>
        </is>
      </c>
      <c r="E91" s="8" t="inlineStr">
        <is>
          <t>Utility / Reti</t>
        </is>
      </c>
      <c r="F91" s="9" t="inlineStr">
        <is>
          <t>Utility</t>
        </is>
      </c>
      <c r="G91" s="10" t="n">
        <v>45.63</v>
      </c>
      <c r="H91" s="11" t="inlineStr">
        <is>
          <t>USD</t>
        </is>
      </c>
      <c r="I91" s="12" t="n">
        <v>47010.5</v>
      </c>
      <c r="J91" s="10" t="n">
        <v>2.72</v>
      </c>
      <c r="K91" s="10" t="n">
        <v>3.03793</v>
      </c>
      <c r="L91" s="13">
        <f>IF(OR(G91="",J91="",J91&lt;=0),"",G91/J91)</f>
        <v/>
      </c>
      <c r="M91" s="14" t="n">
        <v>1.5860271</v>
      </c>
      <c r="N91" s="15">
        <f>IF(OR(M91="",L91="",L91&lt;=0),"",M91/L91)</f>
        <v/>
      </c>
      <c r="O91" s="16" t="n">
        <v>0.09711</v>
      </c>
      <c r="P91" s="16" t="n">
        <v>0.09139612675562522</v>
      </c>
      <c r="Q91" s="16" t="n">
        <v>0.003040648385819987</v>
      </c>
      <c r="R91" s="17" t="n">
        <v>4</v>
      </c>
      <c r="S91" s="16" t="n"/>
      <c r="T91" s="16" t="n">
        <v>0.09611778595735815</v>
      </c>
      <c r="U91" s="16" t="n">
        <v>0.09137847776828498</v>
      </c>
      <c r="V91" s="16" t="n">
        <v>0.09039021549213745</v>
      </c>
      <c r="W91" s="16" t="n">
        <v>0.08769802780472033</v>
      </c>
      <c r="X91" s="10" t="n">
        <v>1.68</v>
      </c>
      <c r="Y91" s="15">
        <f>IF(OR(X91="",G91="",G91=0),"",X91/G91)</f>
        <v/>
      </c>
      <c r="Z91" s="18" t="n">
        <v>177.362</v>
      </c>
      <c r="AA91" s="16" t="n">
        <v>0.099</v>
      </c>
      <c r="AB91" s="16" t="n">
        <v>0.1147250418006431</v>
      </c>
      <c r="AC91" s="9">
        <f>IF(AND(O91="",P91=""),"DATI MANCANTI",IF(AND(N(O91)&gt;=PARAMETRI!$B$4,N(P91)&gt;=PARAMETRI!$B$4),"OK","NO"))</f>
        <v/>
      </c>
      <c r="AD91" s="9">
        <f>IF(L91="","N/D",IF(L91&lt;PARAMETRI!$B$6,"OTTIMO",IF(L91&lt;PARAMETRI!$B$5,"OK","NO")))</f>
        <v/>
      </c>
      <c r="AE91" s="9">
        <f>IF(OR(AC91="DATI MANCANTI",AD91="N/D"),"DA COMPLETARE",IF(AND(AC91="OK",AD91="OTTIMO"),"PASSA FORTE",IF(AND(AC91="OK",AD91="OK"),"PASSA","SCARTA")))</f>
        <v/>
      </c>
      <c r="AF91" s="8" t="inlineStr">
        <is>
          <t>2026-08-04</t>
        </is>
      </c>
      <c r="AG91" s="8" t="inlineStr">
        <is>
          <t>yahoo</t>
        </is>
      </c>
      <c r="AH91" s="19" t="inlineStr"/>
    </row>
    <row r="92">
      <c r="A92" s="8" t="n">
        <v>91</v>
      </c>
      <c r="B92" s="8" t="inlineStr">
        <is>
          <t>Exor</t>
        </is>
      </c>
      <c r="C92" s="8" t="inlineStr">
        <is>
          <t>EXO.AS</t>
        </is>
      </c>
      <c r="D92" s="9" t="inlineStr">
        <is>
          <t>Italia</t>
        </is>
      </c>
      <c r="E92" s="8" t="inlineStr">
        <is>
          <t>Holding</t>
        </is>
      </c>
      <c r="F92" s="9" t="inlineStr">
        <is>
          <t>Finanziario</t>
        </is>
      </c>
      <c r="G92" s="10" t="n">
        <v>70.3</v>
      </c>
      <c r="H92" s="11" t="inlineStr">
        <is>
          <t>EUR</t>
        </is>
      </c>
      <c r="I92" s="12" t="n">
        <v>23106</v>
      </c>
      <c r="J92" s="10" t="n">
        <v>-18.48</v>
      </c>
      <c r="K92" s="10" t="n">
        <v>1.26279</v>
      </c>
      <c r="L92" s="13">
        <f>IF(OR(G92="",J92="",J92&lt;=0),"",G92/J92)</f>
        <v/>
      </c>
      <c r="M92" s="14" t="n">
        <v>0.42769104</v>
      </c>
      <c r="N92" s="15">
        <f>IF(OR(M92="",L92="",L92&lt;=0),"",M92/L92)</f>
        <v/>
      </c>
      <c r="O92" s="16" t="n">
        <v>-0.10617</v>
      </c>
      <c r="P92" s="16" t="n">
        <v>0.1637510106448963</v>
      </c>
      <c r="Q92" s="16" t="n">
        <v>0.1786434319411815</v>
      </c>
      <c r="R92" s="17" t="n">
        <v>4</v>
      </c>
      <c r="S92" s="16" t="n"/>
      <c r="T92" s="16" t="n">
        <v>-0.1141060738244939</v>
      </c>
      <c r="U92" s="16" t="n">
        <v>0.3839369831466555</v>
      </c>
      <c r="V92" s="16" t="n">
        <v>0.1802475502836514</v>
      </c>
      <c r="W92" s="16" t="n">
        <v>0.2049255829737723</v>
      </c>
      <c r="X92" s="10" t="n">
        <v>0.49</v>
      </c>
      <c r="Y92" s="15">
        <f>IF(OR(X92="",G92="",G92=0),"",X92/G92)</f>
        <v/>
      </c>
      <c r="Z92" s="18" t="n">
        <v>11.155</v>
      </c>
      <c r="AA92" s="16" t="n"/>
      <c r="AB92" s="16" t="n">
        <v>1.056251722639933</v>
      </c>
      <c r="AC92" s="9">
        <f>IF(AND(O92="",P92=""),"DATI MANCANTI",IF(AND(N(O92)&gt;=PARAMETRI!$B$4,N(P92)&gt;=PARAMETRI!$B$4),"OK","NO"))</f>
        <v/>
      </c>
      <c r="AD92" s="9">
        <f>IF(L92="","N/D",IF(L92&lt;PARAMETRI!$B$6,"OTTIMO",IF(L92&lt;PARAMETRI!$B$5,"OK","NO")))</f>
        <v/>
      </c>
      <c r="AE92" s="9">
        <f>IF(OR(AC92="DATI MANCANTI",AD92="N/D"),"DA COMPLETARE",IF(AND(AC92="OK",AD92="OTTIMO"),"PASSA FORTE",IF(AND(AC92="OK",AD92="OK"),"PASSA","SCARTA")))</f>
        <v/>
      </c>
      <c r="AF92" s="8" t="inlineStr">
        <is>
          <t>2026-08-04</t>
        </is>
      </c>
      <c r="AG92" s="8" t="inlineStr">
        <is>
          <t>yahoo</t>
        </is>
      </c>
      <c r="AH92" s="19" t="inlineStr">
        <is>
          <t>Quotata ad Amsterdam</t>
        </is>
      </c>
    </row>
    <row r="93">
      <c r="A93" s="8" t="n">
        <v>92</v>
      </c>
      <c r="B93" s="8" t="inlineStr">
        <is>
          <t>Exxon Mobil</t>
        </is>
      </c>
      <c r="C93" s="8" t="inlineStr">
        <is>
          <t>XOM</t>
        </is>
      </c>
      <c r="D93" s="9" t="inlineStr">
        <is>
          <t>USA</t>
        </is>
      </c>
      <c r="E93" s="8" t="inlineStr">
        <is>
          <t>Petrolio integrato</t>
        </is>
      </c>
      <c r="F93" s="9" t="inlineStr">
        <is>
          <t>Energia</t>
        </is>
      </c>
      <c r="G93" s="10" t="n">
        <v>155.06</v>
      </c>
      <c r="H93" s="11" t="inlineStr">
        <is>
          <t>USD</t>
        </is>
      </c>
      <c r="I93" s="12" t="n">
        <v>642715.5</v>
      </c>
      <c r="J93" s="10" t="n">
        <v>5.94</v>
      </c>
      <c r="K93" s="10" t="n">
        <v>10.63977</v>
      </c>
      <c r="L93" s="13">
        <f>IF(OR(G93="",J93="",J93&lt;=0),"",G93/J93)</f>
        <v/>
      </c>
      <c r="M93" s="14" t="n">
        <v>2.4581873</v>
      </c>
      <c r="N93" s="15">
        <f>IF(OR(M93="",L93="",L93&lt;=0),"",M93/L93)</f>
        <v/>
      </c>
      <c r="O93" s="16" t="n">
        <v>0.12584</v>
      </c>
      <c r="P93" s="16" t="n">
        <v>0.1751305613408672</v>
      </c>
      <c r="Q93" s="16" t="n">
        <v>0.06814950451387503</v>
      </c>
      <c r="R93" s="17" t="n">
        <v>4</v>
      </c>
      <c r="S93" s="16" t="n"/>
      <c r="T93" s="16" t="n">
        <v>0.1112010671354661</v>
      </c>
      <c r="U93" s="16" t="n">
        <v>0.1277184732940217</v>
      </c>
      <c r="V93" s="16" t="n">
        <v>0.1758283610511616</v>
      </c>
      <c r="W93" s="16" t="n">
        <v>0.2857743438828192</v>
      </c>
      <c r="X93" s="10" t="n">
        <v>4.12</v>
      </c>
      <c r="Y93" s="15">
        <f>IF(OR(X93="",G93="",G93=0),"",X93/G93)</f>
        <v/>
      </c>
      <c r="Z93" s="18" t="n">
        <v>15.921</v>
      </c>
      <c r="AA93" s="16" t="n">
        <v>0.441</v>
      </c>
      <c r="AB93" s="16" t="n">
        <v>0.1011315052005989</v>
      </c>
      <c r="AC93" s="9">
        <f>IF(AND(O93="",P93=""),"DATI MANCANTI",IF(AND(N(O93)&gt;=PARAMETRI!$B$4,N(P93)&gt;=PARAMETRI!$B$4),"OK","NO"))</f>
        <v/>
      </c>
      <c r="AD93" s="9">
        <f>IF(L93="","N/D",IF(L93&lt;PARAMETRI!$B$6,"OTTIMO",IF(L93&lt;PARAMETRI!$B$5,"OK","NO")))</f>
        <v/>
      </c>
      <c r="AE93" s="9">
        <f>IF(OR(AC93="DATI MANCANTI",AD93="N/D"),"DA COMPLETARE",IF(AND(AC93="OK",AD93="OTTIMO"),"PASSA FORTE",IF(AND(AC93="OK",AD93="OK"),"PASSA","SCARTA")))</f>
        <v/>
      </c>
      <c r="AF93" s="8" t="inlineStr">
        <is>
          <t>2026-08-04</t>
        </is>
      </c>
      <c r="AG93" s="8" t="inlineStr">
        <is>
          <t>yahoo</t>
        </is>
      </c>
      <c r="AH93" s="19" t="inlineStr"/>
    </row>
    <row r="94">
      <c r="A94" s="8" t="n">
        <v>93</v>
      </c>
      <c r="B94" s="8" t="inlineStr">
        <is>
          <t>FedEx</t>
        </is>
      </c>
      <c r="C94" s="8" t="inlineStr">
        <is>
          <t>FDX</t>
        </is>
      </c>
      <c r="D94" s="9" t="inlineStr">
        <is>
          <t>USA</t>
        </is>
      </c>
      <c r="E94" s="8" t="inlineStr">
        <is>
          <t>Logistica</t>
        </is>
      </c>
      <c r="F94" s="9" t="inlineStr">
        <is>
          <t>Industriale</t>
        </is>
      </c>
      <c r="G94" s="10" t="n">
        <v>309.24</v>
      </c>
      <c r="H94" s="11" t="inlineStr">
        <is>
          <t>USD</t>
        </is>
      </c>
      <c r="I94" s="12" t="n">
        <v>73160.39999999999</v>
      </c>
      <c r="J94" s="10" t="n">
        <v>18.54</v>
      </c>
      <c r="K94" s="10" t="n">
        <v>20.49786</v>
      </c>
      <c r="L94" s="13">
        <f>IF(OR(G94="",J94="",J94&lt;=0),"",G94/J94)</f>
        <v/>
      </c>
      <c r="M94" s="14" t="n">
        <v>2.345161</v>
      </c>
      <c r="N94" s="15">
        <f>IF(OR(M94="",L94="",L94&lt;=0),"",M94/L94)</f>
        <v/>
      </c>
      <c r="O94" s="16" t="n">
        <v>0.14846</v>
      </c>
      <c r="P94" s="16" t="n">
        <v>0.1487776787174603</v>
      </c>
      <c r="Q94" s="16" t="n">
        <v>0.006420595404348427</v>
      </c>
      <c r="R94" s="17" t="n">
        <v>4</v>
      </c>
      <c r="S94" s="16" t="n">
        <v>0.1400764685436218</v>
      </c>
      <c r="T94" s="16" t="n">
        <v>0.1457576405214789</v>
      </c>
      <c r="U94" s="16" t="n">
        <v>0.1570226959611341</v>
      </c>
      <c r="V94" s="16" t="n">
        <v>0.1522539098436063</v>
      </c>
      <c r="W94" s="16" t="n"/>
      <c r="X94" s="10" t="n">
        <v>4.88</v>
      </c>
      <c r="Y94" s="15">
        <f>IF(OR(X94="",G94="",G94=0),"",X94/G94)</f>
        <v/>
      </c>
      <c r="Z94" s="18" t="n">
        <v>135.697</v>
      </c>
      <c r="AA94" s="16" t="n">
        <v>0.125</v>
      </c>
      <c r="AB94" s="16" t="n">
        <v>0.0467271945945946</v>
      </c>
      <c r="AC94" s="9">
        <f>IF(AND(O94="",P94=""),"DATI MANCANTI",IF(AND(N(O94)&gt;=PARAMETRI!$B$4,N(P94)&gt;=PARAMETRI!$B$4),"OK","NO"))</f>
        <v/>
      </c>
      <c r="AD94" s="9">
        <f>IF(L94="","N/D",IF(L94&lt;PARAMETRI!$B$6,"OTTIMO",IF(L94&lt;PARAMETRI!$B$5,"OK","NO")))</f>
        <v/>
      </c>
      <c r="AE94" s="9">
        <f>IF(OR(AC94="DATI MANCANTI",AD94="N/D"),"DA COMPLETARE",IF(AND(AC94="OK",AD94="OTTIMO"),"PASSA FORTE",IF(AND(AC94="OK",AD94="OK"),"PASSA","SCARTA")))</f>
        <v/>
      </c>
      <c r="AF94" s="8" t="inlineStr">
        <is>
          <t>2026-08-04</t>
        </is>
      </c>
      <c r="AG94" s="8" t="inlineStr">
        <is>
          <t>yahoo</t>
        </is>
      </c>
      <c r="AH94" s="19" t="inlineStr"/>
    </row>
    <row r="95">
      <c r="A95" s="8" t="n">
        <v>94</v>
      </c>
      <c r="B95" s="8" t="inlineStr">
        <is>
          <t>Ferrari</t>
        </is>
      </c>
      <c r="C95" s="8" t="inlineStr">
        <is>
          <t>RACE.MI</t>
        </is>
      </c>
      <c r="D95" s="9" t="inlineStr">
        <is>
          <t>Italia</t>
        </is>
      </c>
      <c r="E95" s="8" t="inlineStr">
        <is>
          <t>Lusso / Auto</t>
        </is>
      </c>
      <c r="F95" s="9" t="inlineStr">
        <is>
          <t>Consumi</t>
        </is>
      </c>
      <c r="G95" s="10" t="n">
        <v>345.9</v>
      </c>
      <c r="H95" s="11" t="inlineStr">
        <is>
          <t>EUR</t>
        </is>
      </c>
      <c r="I95" s="12" t="n">
        <v>60801.2</v>
      </c>
      <c r="J95" s="10" t="n">
        <v>9.279999999999999</v>
      </c>
      <c r="K95" s="10" t="n">
        <v>10.9597</v>
      </c>
      <c r="L95" s="13">
        <f>IF(OR(G95="",J95="",J95&lt;=0),"",G95/J95)</f>
        <v/>
      </c>
      <c r="M95" s="14" t="n">
        <v>16.633007</v>
      </c>
      <c r="N95" s="15">
        <f>IF(OR(M95="",L95="",L95&lt;=0),"",M95/L95)</f>
        <v/>
      </c>
      <c r="O95" s="16" t="n">
        <v>0.45439997</v>
      </c>
      <c r="P95" s="16" t="n">
        <v>0.4020305960143391</v>
      </c>
      <c r="Q95" s="16" t="n">
        <v>0.02601046878287762</v>
      </c>
      <c r="R95" s="17" t="n">
        <v>4</v>
      </c>
      <c r="S95" s="16" t="n"/>
      <c r="T95" s="16" t="n">
        <v>0.4087439814706981</v>
      </c>
      <c r="U95" s="16" t="n">
        <v>0.4306452334019818</v>
      </c>
      <c r="V95" s="16" t="n">
        <v>0.4090473091468881</v>
      </c>
      <c r="W95" s="16" t="n">
        <v>0.3596858600377884</v>
      </c>
      <c r="X95" s="10" t="n">
        <v>3.62</v>
      </c>
      <c r="Y95" s="15">
        <f>IF(OR(X95="",G95="",G95=0),"",X95/G95)</f>
        <v/>
      </c>
      <c r="Z95" s="18" t="n">
        <v>86.386</v>
      </c>
      <c r="AA95" s="16" t="n">
        <v>0.08400000000000001</v>
      </c>
      <c r="AB95" s="16" t="n">
        <v>0.2289629285473584</v>
      </c>
      <c r="AC95" s="9">
        <f>IF(AND(O95="",P95=""),"DATI MANCANTI",IF(AND(N(O95)&gt;=PARAMETRI!$B$4,N(P95)&gt;=PARAMETRI!$B$4),"OK","NO"))</f>
        <v/>
      </c>
      <c r="AD95" s="9">
        <f>IF(L95="","N/D",IF(L95&lt;PARAMETRI!$B$6,"OTTIMO",IF(L95&lt;PARAMETRI!$B$5,"OK","NO")))</f>
        <v/>
      </c>
      <c r="AE95" s="9">
        <f>IF(OR(AC95="DATI MANCANTI",AD95="N/D"),"DA COMPLETARE",IF(AND(AC95="OK",AD95="OTTIMO"),"PASSA FORTE",IF(AND(AC95="OK",AD95="OK"),"PASSA","SCARTA")))</f>
        <v/>
      </c>
      <c r="AF95" s="8" t="inlineStr">
        <is>
          <t>2026-08-04</t>
        </is>
      </c>
      <c r="AG95" s="8" t="inlineStr">
        <is>
          <t>yahoo</t>
        </is>
      </c>
      <c r="AH95" s="19" t="inlineStr"/>
    </row>
    <row r="96">
      <c r="A96" s="8" t="n">
        <v>95</v>
      </c>
      <c r="B96" s="8" t="inlineStr">
        <is>
          <t>Fincantieri</t>
        </is>
      </c>
      <c r="C96" s="8" t="inlineStr">
        <is>
          <t>FCT.MI</t>
        </is>
      </c>
      <c r="D96" s="9" t="inlineStr">
        <is>
          <t>Italia</t>
        </is>
      </c>
      <c r="E96" s="8" t="inlineStr">
        <is>
          <t>Cantieristica</t>
        </is>
      </c>
      <c r="F96" s="9" t="inlineStr">
        <is>
          <t>Industriale</t>
        </is>
      </c>
      <c r="G96" s="10" t="n">
        <v>13.79</v>
      </c>
      <c r="H96" s="11" t="inlineStr">
        <is>
          <t>EUR</t>
        </is>
      </c>
      <c r="I96" s="12" t="n">
        <v>4927</v>
      </c>
      <c r="J96" s="10" t="n">
        <v>0.57</v>
      </c>
      <c r="K96" s="10" t="n">
        <v>0.8156099999999999</v>
      </c>
      <c r="L96" s="13">
        <f>IF(OR(G96="",J96="",J96&lt;=0),"",G96/J96)</f>
        <v/>
      </c>
      <c r="M96" s="14" t="n">
        <v>4.484553</v>
      </c>
      <c r="N96" s="15">
        <f>IF(OR(M96="",L96="",L96&lt;=0),"",M96/L96)</f>
        <v/>
      </c>
      <c r="O96" s="16" t="n">
        <v>0.14947</v>
      </c>
      <c r="P96" s="16" t="n">
        <v>-0.1218811329227864</v>
      </c>
      <c r="Q96" s="16" t="n">
        <v>0.2502291189215625</v>
      </c>
      <c r="R96" s="17" t="n">
        <v>4</v>
      </c>
      <c r="S96" s="16" t="n"/>
      <c r="T96" s="16" t="n">
        <v>0.1233359538258522</v>
      </c>
      <c r="U96" s="16" t="n">
        <v>0.03865147746282063</v>
      </c>
      <c r="V96" s="16" t="n">
        <v>-0.1219754340598448</v>
      </c>
      <c r="W96" s="16" t="n">
        <v>-0.5275365289199737</v>
      </c>
      <c r="X96" s="10" t="n"/>
      <c r="Y96" s="15">
        <f>IF(OR(X96="",G96="",G96=0),"",X96/G96)</f>
        <v/>
      </c>
      <c r="Z96" s="18" t="n">
        <v>123.496</v>
      </c>
      <c r="AA96" s="16" t="n">
        <v>0.006</v>
      </c>
      <c r="AB96" s="16" t="n">
        <v>0.02141278331866008</v>
      </c>
      <c r="AC96" s="9">
        <f>IF(AND(O96="",P96=""),"DATI MANCANTI",IF(AND(N(O96)&gt;=PARAMETRI!$B$4,N(P96)&gt;=PARAMETRI!$B$4),"OK","NO"))</f>
        <v/>
      </c>
      <c r="AD96" s="9">
        <f>IF(L96="","N/D",IF(L96&lt;PARAMETRI!$B$6,"OTTIMO",IF(L96&lt;PARAMETRI!$B$5,"OK","NO")))</f>
        <v/>
      </c>
      <c r="AE96" s="9">
        <f>IF(OR(AC96="DATI MANCANTI",AD96="N/D"),"DA COMPLETARE",IF(AND(AC96="OK",AD96="OTTIMO"),"PASSA FORTE",IF(AND(AC96="OK",AD96="OK"),"PASSA","SCARTA")))</f>
        <v/>
      </c>
      <c r="AF96" s="8" t="inlineStr">
        <is>
          <t>2026-08-04</t>
        </is>
      </c>
      <c r="AG96" s="8" t="inlineStr">
        <is>
          <t>yahoo</t>
        </is>
      </c>
      <c r="AH96" s="19" t="inlineStr">
        <is>
          <t>Prezzo storico pre-raggruppamento 2025</t>
        </is>
      </c>
    </row>
    <row r="97">
      <c r="A97" s="8" t="n">
        <v>96</v>
      </c>
      <c r="B97" s="8" t="inlineStr">
        <is>
          <t>FinecoBank</t>
        </is>
      </c>
      <c r="C97" s="8" t="inlineStr">
        <is>
          <t>FBK.MI</t>
        </is>
      </c>
      <c r="D97" s="9" t="inlineStr">
        <is>
          <t>Italia</t>
        </is>
      </c>
      <c r="E97" s="8" t="inlineStr">
        <is>
          <t>Banca</t>
        </is>
      </c>
      <c r="F97" s="9" t="inlineStr">
        <is>
          <t>Finanziario</t>
        </is>
      </c>
      <c r="G97" s="10" t="n">
        <v>24.46</v>
      </c>
      <c r="H97" s="11" t="inlineStr">
        <is>
          <t>EUR</t>
        </is>
      </c>
      <c r="I97" s="12" t="n">
        <v>14965.1</v>
      </c>
      <c r="J97" s="10" t="n">
        <v>1.1</v>
      </c>
      <c r="K97" s="10" t="n">
        <v>1.25527</v>
      </c>
      <c r="L97" s="13">
        <f>IF(OR(G97="",J97="",J97&lt;=0),"",G97/J97)</f>
        <v/>
      </c>
      <c r="M97" s="14" t="n">
        <v>5.5351887</v>
      </c>
      <c r="N97" s="15">
        <f>IF(OR(M97="",L97="",L97&lt;=0),"",M97/L97)</f>
        <v/>
      </c>
      <c r="O97" s="16" t="n">
        <v>0.28855</v>
      </c>
      <c r="P97" s="16" t="n">
        <v>0.2570624236556285</v>
      </c>
      <c r="Q97" s="16" t="n">
        <v>0.02097502353736271</v>
      </c>
      <c r="R97" s="17" t="n">
        <v>4</v>
      </c>
      <c r="S97" s="16" t="n"/>
      <c r="T97" s="16" t="n">
        <v>0.2534112396233302</v>
      </c>
      <c r="U97" s="16" t="n">
        <v>0.2730011819301958</v>
      </c>
      <c r="V97" s="16" t="n">
        <v>0.2775357273693247</v>
      </c>
      <c r="W97" s="16" t="n">
        <v>0.2243015456996635</v>
      </c>
      <c r="X97" s="10" t="n">
        <v>0.79</v>
      </c>
      <c r="Y97" s="15">
        <f>IF(OR(X97="",G97="",G97=0),"",X97/G97)</f>
        <v/>
      </c>
      <c r="Z97" s="18" t="n"/>
      <c r="AA97" s="16" t="n">
        <v>0.177</v>
      </c>
      <c r="AB97" s="16" t="n">
        <v>0.4311898534625156</v>
      </c>
      <c r="AC97" s="9">
        <f>IF(AND(O97="",P97=""),"DATI MANCANTI",IF(AND(N(O97)&gt;=PARAMETRI!$B$4,N(P97)&gt;=PARAMETRI!$B$4),"OK","NO"))</f>
        <v/>
      </c>
      <c r="AD97" s="9">
        <f>IF(L97="","N/D",IF(L97&lt;PARAMETRI!$B$6,"OTTIMO",IF(L97&lt;PARAMETRI!$B$5,"OK","NO")))</f>
        <v/>
      </c>
      <c r="AE97" s="9">
        <f>IF(OR(AC97="DATI MANCANTI",AD97="N/D"),"DA COMPLETARE",IF(AND(AC97="OK",AD97="OTTIMO"),"PASSA FORTE",IF(AND(AC97="OK",AD97="OK"),"PASSA","SCARTA")))</f>
        <v/>
      </c>
      <c r="AF97" s="8" t="inlineStr">
        <is>
          <t>2026-08-04</t>
        </is>
      </c>
      <c r="AG97" s="8" t="inlineStr">
        <is>
          <t>yahoo</t>
        </is>
      </c>
      <c r="AH97" s="19" t="inlineStr"/>
    </row>
    <row r="98">
      <c r="A98" s="8" t="n">
        <v>97</v>
      </c>
      <c r="B98" s="8" t="inlineStr">
        <is>
          <t>Ford Motor</t>
        </is>
      </c>
      <c r="C98" s="8" t="inlineStr">
        <is>
          <t>F</t>
        </is>
      </c>
      <c r="D98" s="9" t="inlineStr">
        <is>
          <t>USA</t>
        </is>
      </c>
      <c r="E98" s="8" t="inlineStr">
        <is>
          <t>Auto</t>
        </is>
      </c>
      <c r="F98" s="9" t="inlineStr">
        <is>
          <t>Consumi</t>
        </is>
      </c>
      <c r="G98" s="10" t="n">
        <v>14.43</v>
      </c>
      <c r="H98" s="11" t="inlineStr">
        <is>
          <t>USD</t>
        </is>
      </c>
      <c r="I98" s="12" t="n">
        <v>57541</v>
      </c>
      <c r="J98" s="10" t="n">
        <v>-1.87</v>
      </c>
      <c r="K98" s="10" t="n">
        <v>1.90421</v>
      </c>
      <c r="L98" s="13">
        <f>IF(OR(G98="",J98="",J98&lt;=0),"",G98/J98)</f>
        <v/>
      </c>
      <c r="M98" s="14" t="n">
        <v>1.5352697</v>
      </c>
      <c r="N98" s="15">
        <f>IF(OR(M98="",L98="",L98&lt;=0),"",M98/L98)</f>
        <v/>
      </c>
      <c r="O98" s="16" t="n">
        <v>-0.18252</v>
      </c>
      <c r="P98" s="16" t="n">
        <v>-0.01015959796696137</v>
      </c>
      <c r="Q98" s="16" t="n">
        <v>0.142303781941802</v>
      </c>
      <c r="R98" s="17" t="n">
        <v>4</v>
      </c>
      <c r="S98" s="16" t="n"/>
      <c r="T98" s="16" t="n">
        <v>-0.2275812194036493</v>
      </c>
      <c r="U98" s="16" t="n">
        <v>0.1311252369800379</v>
      </c>
      <c r="V98" s="16" t="n">
        <v>0.1016295326491011</v>
      </c>
      <c r="W98" s="16" t="n">
        <v>-0.04581194209333518</v>
      </c>
      <c r="X98" s="10" t="n">
        <v>0.6</v>
      </c>
      <c r="Y98" s="15">
        <f>IF(OR(X98="",G98="",G98=0),"",X98/G98)</f>
        <v/>
      </c>
      <c r="Z98" s="18" t="n">
        <v>456.708</v>
      </c>
      <c r="AA98" s="16" t="n">
        <v>-0.038</v>
      </c>
      <c r="AB98" s="16" t="n">
        <v>-0.03949441035526815</v>
      </c>
      <c r="AC98" s="9">
        <f>IF(AND(O98="",P98=""),"DATI MANCANTI",IF(AND(N(O98)&gt;=PARAMETRI!$B$4,N(P98)&gt;=PARAMETRI!$B$4),"OK","NO"))</f>
        <v/>
      </c>
      <c r="AD98" s="9">
        <f>IF(L98="","N/D",IF(L98&lt;PARAMETRI!$B$6,"OTTIMO",IF(L98&lt;PARAMETRI!$B$5,"OK","NO")))</f>
        <v/>
      </c>
      <c r="AE98" s="9">
        <f>IF(OR(AC98="DATI MANCANTI",AD98="N/D"),"DA COMPLETARE",IF(AND(AC98="OK",AD98="OTTIMO"),"PASSA FORTE",IF(AND(AC98="OK",AD98="OK"),"PASSA","SCARTA")))</f>
        <v/>
      </c>
      <c r="AF98" s="8" t="inlineStr">
        <is>
          <t>2026-08-04</t>
        </is>
      </c>
      <c r="AG98" s="8" t="inlineStr">
        <is>
          <t>yahoo</t>
        </is>
      </c>
      <c r="AH98" s="19" t="inlineStr"/>
    </row>
    <row r="99">
      <c r="A99" s="8" t="n">
        <v>98</v>
      </c>
      <c r="B99" s="8" t="inlineStr">
        <is>
          <t>Forvia (ex Faurecia)</t>
        </is>
      </c>
      <c r="C99" s="8" t="inlineStr">
        <is>
          <t>FRVIA.PA</t>
        </is>
      </c>
      <c r="D99" s="9" t="inlineStr">
        <is>
          <t>Italia</t>
        </is>
      </c>
      <c r="E99" s="8" t="inlineStr">
        <is>
          <t>Componentistica auto</t>
        </is>
      </c>
      <c r="F99" s="9" t="inlineStr">
        <is>
          <t>Industriale</t>
        </is>
      </c>
      <c r="G99" s="10" t="n">
        <v>9.156000000000001</v>
      </c>
      <c r="H99" s="11" t="inlineStr">
        <is>
          <t>EUR</t>
        </is>
      </c>
      <c r="I99" s="12" t="n">
        <v>1686.7</v>
      </c>
      <c r="J99" s="10" t="n">
        <v>-6</v>
      </c>
      <c r="K99" s="10" t="n">
        <v>2.37403</v>
      </c>
      <c r="L99" s="13">
        <f>IF(OR(G99="",J99="",J99&lt;=0),"",G99/J99)</f>
        <v/>
      </c>
      <c r="M99" s="14" t="n">
        <v>0.88327223</v>
      </c>
      <c r="N99" s="15">
        <f>IF(OR(M99="",L99="",L99&lt;=0),"",M99/L99)</f>
        <v/>
      </c>
      <c r="O99" s="16" t="n">
        <v>-0.2566</v>
      </c>
      <c r="P99" s="16" t="n">
        <v>-0.297041108489524</v>
      </c>
      <c r="Q99" s="16" t="n">
        <v>0.4720314770633242</v>
      </c>
      <c r="R99" s="17" t="n">
        <v>4</v>
      </c>
      <c r="S99" s="16" t="n"/>
      <c r="T99" s="16" t="n">
        <v>-1.110338236074975</v>
      </c>
      <c r="U99" s="16" t="n">
        <v>-0.04315205741180857</v>
      </c>
      <c r="V99" s="16" t="n">
        <v>0.04927484809509026</v>
      </c>
      <c r="W99" s="16" t="n">
        <v>-0.08394898856640282</v>
      </c>
      <c r="X99" s="10" t="n"/>
      <c r="Y99" s="15">
        <f>IF(OR(X99="",G99="",G99=0),"",X99/G99)</f>
        <v/>
      </c>
      <c r="Z99" s="18" t="n">
        <v>254.917</v>
      </c>
      <c r="AA99" s="16" t="n">
        <v>-0.043</v>
      </c>
      <c r="AB99" s="16" t="n">
        <v>-0.0595217988644668</v>
      </c>
      <c r="AC99" s="9">
        <f>IF(AND(O99="",P99=""),"DATI MANCANTI",IF(AND(N(O99)&gt;=PARAMETRI!$B$4,N(P99)&gt;=PARAMETRI!$B$4),"OK","NO"))</f>
        <v/>
      </c>
      <c r="AD99" s="9">
        <f>IF(L99="","N/D",IF(L99&lt;PARAMETRI!$B$6,"OTTIMO",IF(L99&lt;PARAMETRI!$B$5,"OK","NO")))</f>
        <v/>
      </c>
      <c r="AE99" s="9">
        <f>IF(OR(AC99="DATI MANCANTI",AD99="N/D"),"DA COMPLETARE",IF(AND(AC99="OK",AD99="OTTIMO"),"PASSA FORTE",IF(AND(AC99="OK",AD99="OK"),"PASSA","SCARTA")))</f>
        <v/>
      </c>
      <c r="AF99" s="8" t="inlineStr">
        <is>
          <t>2026-08-04</t>
        </is>
      </c>
      <c r="AG99" s="8" t="inlineStr">
        <is>
          <t>yahoo</t>
        </is>
      </c>
      <c r="AH99" s="19" t="inlineStr">
        <is>
          <t>Quotata a Parigi</t>
        </is>
      </c>
    </row>
    <row r="100">
      <c r="A100" s="8" t="n">
        <v>99</v>
      </c>
      <c r="B100" s="8" t="inlineStr">
        <is>
          <t>Freeport-McMoRan</t>
        </is>
      </c>
      <c r="C100" s="8" t="inlineStr">
        <is>
          <t>FCX</t>
        </is>
      </c>
      <c r="D100" s="9" t="inlineStr">
        <is>
          <t>USA</t>
        </is>
      </c>
      <c r="E100" s="8" t="inlineStr">
        <is>
          <t>Rame</t>
        </is>
      </c>
      <c r="F100" s="9" t="inlineStr">
        <is>
          <t>Materiali</t>
        </is>
      </c>
      <c r="G100" s="10" t="n">
        <v>63.64</v>
      </c>
      <c r="H100" s="11" t="inlineStr">
        <is>
          <t>USD</t>
        </is>
      </c>
      <c r="I100" s="12" t="n">
        <v>91486.3</v>
      </c>
      <c r="J100" s="10" t="n">
        <v>2.04</v>
      </c>
      <c r="K100" s="10" t="n">
        <v>4.08774</v>
      </c>
      <c r="L100" s="13">
        <f>IF(OR(G100="",J100="",J100&lt;=0),"",G100/J100)</f>
        <v/>
      </c>
      <c r="M100" s="14" t="n">
        <v>4.4305205</v>
      </c>
      <c r="N100" s="15">
        <f>IF(OR(M100="",L100="",L100&lt;=0),"",M100/L100)</f>
        <v/>
      </c>
      <c r="O100" s="16" t="n">
        <v>0.14755</v>
      </c>
      <c r="P100" s="16" t="n">
        <v>0.139430342603264</v>
      </c>
      <c r="Q100" s="16" t="n">
        <v>0.04833258025963022</v>
      </c>
      <c r="R100" s="17" t="n">
        <v>4</v>
      </c>
      <c r="S100" s="16" t="n"/>
      <c r="T100" s="16" t="n">
        <v>0.1166199269802635</v>
      </c>
      <c r="U100" s="16" t="n">
        <v>0.1074455377964848</v>
      </c>
      <c r="V100" s="16" t="n">
        <v>0.1107050859641766</v>
      </c>
      <c r="W100" s="16" t="n">
        <v>0.2229508196721312</v>
      </c>
      <c r="X100" s="10" t="n">
        <v>0.6</v>
      </c>
      <c r="Y100" s="15">
        <f>IF(OR(X100="",G100="",G100=0),"",X100/G100)</f>
        <v/>
      </c>
      <c r="Z100" s="18" t="n">
        <v>32.149</v>
      </c>
      <c r="AA100" s="16" t="n">
        <v>-0.073</v>
      </c>
      <c r="AB100" s="16" t="n">
        <v>0.1133706298282848</v>
      </c>
      <c r="AC100" s="9">
        <f>IF(AND(O100="",P100=""),"DATI MANCANTI",IF(AND(N(O100)&gt;=PARAMETRI!$B$4,N(P100)&gt;=PARAMETRI!$B$4),"OK","NO"))</f>
        <v/>
      </c>
      <c r="AD100" s="9">
        <f>IF(L100="","N/D",IF(L100&lt;PARAMETRI!$B$6,"OTTIMO",IF(L100&lt;PARAMETRI!$B$5,"OK","NO")))</f>
        <v/>
      </c>
      <c r="AE100" s="9">
        <f>IF(OR(AC100="DATI MANCANTI",AD100="N/D"),"DA COMPLETARE",IF(AND(AC100="OK",AD100="OTTIMO"),"PASSA FORTE",IF(AND(AC100="OK",AD100="OK"),"PASSA","SCARTA")))</f>
        <v/>
      </c>
      <c r="AF100" s="8" t="inlineStr">
        <is>
          <t>2026-08-04</t>
        </is>
      </c>
      <c r="AG100" s="8" t="inlineStr">
        <is>
          <t>yahoo</t>
        </is>
      </c>
      <c r="AH100" s="19" t="inlineStr"/>
    </row>
    <row r="101">
      <c r="A101" s="8" t="n">
        <v>100</v>
      </c>
      <c r="B101" s="8" t="inlineStr">
        <is>
          <t>GE Aerospace</t>
        </is>
      </c>
      <c r="C101" s="8" t="inlineStr">
        <is>
          <t>GE</t>
        </is>
      </c>
      <c r="D101" s="9" t="inlineStr">
        <is>
          <t>USA</t>
        </is>
      </c>
      <c r="E101" s="8" t="inlineStr">
        <is>
          <t>Aerospazio</t>
        </is>
      </c>
      <c r="F101" s="9" t="inlineStr">
        <is>
          <t>Industriale</t>
        </is>
      </c>
      <c r="G101" s="10" t="n">
        <v>368.93</v>
      </c>
      <c r="H101" s="11" t="inlineStr">
        <is>
          <t>USD</t>
        </is>
      </c>
      <c r="I101" s="12" t="n">
        <v>382787.9</v>
      </c>
      <c r="J101" s="10" t="n">
        <v>8.5</v>
      </c>
      <c r="K101" s="10" t="n">
        <v>9.07511</v>
      </c>
      <c r="L101" s="13">
        <f>IF(OR(G101="",J101="",J101&lt;=0),"",G101/J101)</f>
        <v/>
      </c>
      <c r="M101" s="14" t="n">
        <v>21.700489</v>
      </c>
      <c r="N101" s="15">
        <f>IF(OR(M101="",L101="",L101&lt;=0),"",M101/L101)</f>
        <v/>
      </c>
      <c r="O101" s="16" t="n">
        <v>0.48231998</v>
      </c>
      <c r="P101" s="16" t="n">
        <v>0.290242814454953</v>
      </c>
      <c r="Q101" s="16" t="n">
        <v>0.1695110836679429</v>
      </c>
      <c r="R101" s="17" t="n">
        <v>4</v>
      </c>
      <c r="S101" s="16" t="n"/>
      <c r="T101" s="16" t="n">
        <v>0.4660277346468919</v>
      </c>
      <c r="U101" s="16" t="n">
        <v>0.3389515044979837</v>
      </c>
      <c r="V101" s="16" t="n">
        <v>0.3460205087034267</v>
      </c>
      <c r="W101" s="16" t="n">
        <v>0.009971509971509971</v>
      </c>
      <c r="X101" s="10" t="n">
        <v>1.88</v>
      </c>
      <c r="Y101" s="15">
        <f>IF(OR(X101="",G101="",G101=0),"",X101/G101)</f>
        <v/>
      </c>
      <c r="Z101" s="18" t="n">
        <v>113.225</v>
      </c>
      <c r="AA101" s="16" t="n">
        <v>0.211</v>
      </c>
      <c r="AB101" s="16" t="n">
        <v>0.1954857647802857</v>
      </c>
      <c r="AC101" s="9">
        <f>IF(AND(O101="",P101=""),"DATI MANCANTI",IF(AND(N(O101)&gt;=PARAMETRI!$B$4,N(P101)&gt;=PARAMETRI!$B$4),"OK","NO"))</f>
        <v/>
      </c>
      <c r="AD101" s="9">
        <f>IF(L101="","N/D",IF(L101&lt;PARAMETRI!$B$6,"OTTIMO",IF(L101&lt;PARAMETRI!$B$5,"OK","NO")))</f>
        <v/>
      </c>
      <c r="AE101" s="9">
        <f>IF(OR(AC101="DATI MANCANTI",AD101="N/D"),"DA COMPLETARE",IF(AND(AC101="OK",AD101="OTTIMO"),"PASSA FORTE",IF(AND(AC101="OK",AD101="OK"),"PASSA","SCARTA")))</f>
        <v/>
      </c>
      <c r="AF101" s="8" t="inlineStr">
        <is>
          <t>2026-08-04</t>
        </is>
      </c>
      <c r="AG101" s="8" t="inlineStr">
        <is>
          <t>yahoo</t>
        </is>
      </c>
      <c r="AH101" s="19" t="inlineStr"/>
    </row>
    <row r="102">
      <c r="A102" s="8" t="n">
        <v>101</v>
      </c>
      <c r="B102" s="8" t="inlineStr">
        <is>
          <t>GE Vernova</t>
        </is>
      </c>
      <c r="C102" s="8" t="inlineStr">
        <is>
          <t>GEV</t>
        </is>
      </c>
      <c r="D102" s="9" t="inlineStr">
        <is>
          <t>USA</t>
        </is>
      </c>
      <c r="E102" s="8" t="inlineStr">
        <is>
          <t>Elettrificazione / Energia</t>
        </is>
      </c>
      <c r="F102" s="9" t="inlineStr">
        <is>
          <t>Industriale</t>
        </is>
      </c>
      <c r="G102" s="10" t="n">
        <v>1006.76</v>
      </c>
      <c r="H102" s="11" t="inlineStr">
        <is>
          <t>USD</t>
        </is>
      </c>
      <c r="I102" s="12" t="n">
        <v>268134</v>
      </c>
      <c r="J102" s="10" t="n">
        <v>34.86</v>
      </c>
      <c r="K102" s="10" t="n">
        <v>24.88533</v>
      </c>
      <c r="L102" s="13">
        <f>IF(OR(G102="",J102="",J102&lt;=0),"",G102/J102)</f>
        <v/>
      </c>
      <c r="M102" s="14" t="n">
        <v>22.424768</v>
      </c>
      <c r="N102" s="15">
        <f>IF(OR(M102="",L102="",L102&lt;=0),"",M102/L102)</f>
        <v/>
      </c>
      <c r="O102" s="16" t="n">
        <v>0.82577</v>
      </c>
      <c r="P102" s="16" t="n">
        <v>0.07088699300491282</v>
      </c>
      <c r="Q102" s="16" t="n">
        <v>0.2582280581877227</v>
      </c>
      <c r="R102" s="17" t="n">
        <v>4</v>
      </c>
      <c r="S102" s="16" t="n"/>
      <c r="T102" s="16" t="n">
        <v>0.4369296833064949</v>
      </c>
      <c r="U102" s="16" t="n">
        <v>0.1625811858369998</v>
      </c>
      <c r="V102" s="16" t="n">
        <v>-0.05906148867313916</v>
      </c>
      <c r="W102" s="16" t="n">
        <v>-0.2569014084507042</v>
      </c>
      <c r="X102" s="10" t="n">
        <v>2</v>
      </c>
      <c r="Y102" s="15">
        <f>IF(OR(X102="",G102="",G102=0),"",X102/G102)</f>
        <v/>
      </c>
      <c r="Z102" s="18" t="n">
        <v>28.364</v>
      </c>
      <c r="AA102" s="16" t="n">
        <v>0.219</v>
      </c>
      <c r="AB102" s="16" t="n">
        <v>0.250315223704949</v>
      </c>
      <c r="AC102" s="9">
        <f>IF(AND(O102="",P102=""),"DATI MANCANTI",IF(AND(N(O102)&gt;=PARAMETRI!$B$4,N(P102)&gt;=PARAMETRI!$B$4),"OK","NO"))</f>
        <v/>
      </c>
      <c r="AD102" s="9">
        <f>IF(L102="","N/D",IF(L102&lt;PARAMETRI!$B$6,"OTTIMO",IF(L102&lt;PARAMETRI!$B$5,"OK","NO")))</f>
        <v/>
      </c>
      <c r="AE102" s="9">
        <f>IF(OR(AC102="DATI MANCANTI",AD102="N/D"),"DA COMPLETARE",IF(AND(AC102="OK",AD102="OTTIMO"),"PASSA FORTE",IF(AND(AC102="OK",AD102="OK"),"PASSA","SCARTA")))</f>
        <v/>
      </c>
      <c r="AF102" s="8" t="inlineStr">
        <is>
          <t>2026-08-04</t>
        </is>
      </c>
      <c r="AG102" s="8" t="inlineStr">
        <is>
          <t>yahoo</t>
        </is>
      </c>
      <c r="AH102" s="19" t="inlineStr"/>
    </row>
    <row r="103">
      <c r="A103" s="8" t="n">
        <v>102</v>
      </c>
      <c r="B103" s="8" t="inlineStr">
        <is>
          <t>General Dynamics</t>
        </is>
      </c>
      <c r="C103" s="8" t="inlineStr">
        <is>
          <t>GD</t>
        </is>
      </c>
      <c r="D103" s="9" t="inlineStr">
        <is>
          <t>USA</t>
        </is>
      </c>
      <c r="E103" s="8" t="inlineStr">
        <is>
          <t>Difesa</t>
        </is>
      </c>
      <c r="F103" s="9" t="inlineStr">
        <is>
          <t>Industriale</t>
        </is>
      </c>
      <c r="G103" s="10" t="n">
        <v>382.43</v>
      </c>
      <c r="H103" s="11" t="inlineStr">
        <is>
          <t>USD</t>
        </is>
      </c>
      <c r="I103" s="12" t="n">
        <v>103469.2</v>
      </c>
      <c r="J103" s="10" t="n">
        <v>16.41</v>
      </c>
      <c r="K103" s="10" t="n">
        <v>18.49277</v>
      </c>
      <c r="L103" s="13">
        <f>IF(OR(G103="",J103="",J103&lt;=0),"",G103/J103)</f>
        <v/>
      </c>
      <c r="M103" s="14" t="n">
        <v>3.8512585</v>
      </c>
      <c r="N103" s="15">
        <f>IF(OR(M103="",L103="",L103&lt;=0),"",M103/L103)</f>
        <v/>
      </c>
      <c r="O103" s="16" t="n">
        <v>0.17803</v>
      </c>
      <c r="P103" s="16" t="n">
        <v>0.1684858520025267</v>
      </c>
      <c r="Q103" s="16" t="n">
        <v>0.009867017273558338</v>
      </c>
      <c r="R103" s="17" t="n">
        <v>4</v>
      </c>
      <c r="S103" s="16" t="n"/>
      <c r="T103" s="16" t="n">
        <v>0.1643119194442276</v>
      </c>
      <c r="U103" s="16" t="n">
        <v>0.1714182114852921</v>
      </c>
      <c r="V103" s="16" t="n">
        <v>0.1556411099112635</v>
      </c>
      <c r="W103" s="16" t="n">
        <v>0.1825721671693236</v>
      </c>
      <c r="X103" s="10" t="n">
        <v>6.36</v>
      </c>
      <c r="Y103" s="15">
        <f>IF(OR(X103="",G103="",G103=0),"",X103/G103)</f>
        <v/>
      </c>
      <c r="Z103" s="18" t="n">
        <v>35.335</v>
      </c>
      <c r="AA103" s="16" t="n">
        <v>0.081</v>
      </c>
      <c r="AB103" s="16" t="n">
        <v>0.08538534850618458</v>
      </c>
      <c r="AC103" s="9">
        <f>IF(AND(O103="",P103=""),"DATI MANCANTI",IF(AND(N(O103)&gt;=PARAMETRI!$B$4,N(P103)&gt;=PARAMETRI!$B$4),"OK","NO"))</f>
        <v/>
      </c>
      <c r="AD103" s="9">
        <f>IF(L103="","N/D",IF(L103&lt;PARAMETRI!$B$6,"OTTIMO",IF(L103&lt;PARAMETRI!$B$5,"OK","NO")))</f>
        <v/>
      </c>
      <c r="AE103" s="9">
        <f>IF(OR(AC103="DATI MANCANTI",AD103="N/D"),"DA COMPLETARE",IF(AND(AC103="OK",AD103="OTTIMO"),"PASSA FORTE",IF(AND(AC103="OK",AD103="OK"),"PASSA","SCARTA")))</f>
        <v/>
      </c>
      <c r="AF103" s="8" t="inlineStr">
        <is>
          <t>2026-08-04</t>
        </is>
      </c>
      <c r="AG103" s="8" t="inlineStr">
        <is>
          <t>yahoo</t>
        </is>
      </c>
      <c r="AH103" s="19" t="inlineStr"/>
    </row>
    <row r="104">
      <c r="A104" s="8" t="n">
        <v>103</v>
      </c>
      <c r="B104" s="8" t="inlineStr">
        <is>
          <t>General Motors</t>
        </is>
      </c>
      <c r="C104" s="8" t="inlineStr">
        <is>
          <t>GM</t>
        </is>
      </c>
      <c r="D104" s="9" t="inlineStr">
        <is>
          <t>USA</t>
        </is>
      </c>
      <c r="E104" s="8" t="inlineStr">
        <is>
          <t>Auto</t>
        </is>
      </c>
      <c r="F104" s="9" t="inlineStr">
        <is>
          <t>Consumi</t>
        </is>
      </c>
      <c r="G104" s="10" t="n">
        <v>87.68000000000001</v>
      </c>
      <c r="H104" s="11" t="inlineStr">
        <is>
          <t>USD</t>
        </is>
      </c>
      <c r="I104" s="12" t="n">
        <v>79302.3</v>
      </c>
      <c r="J104" s="10" t="n">
        <v>2.24</v>
      </c>
      <c r="K104" s="10" t="n">
        <v>14.70702</v>
      </c>
      <c r="L104" s="13">
        <f>IF(OR(G104="",J104="",J104&lt;=0),"",G104/J104)</f>
        <v/>
      </c>
      <c r="M104" s="14" t="n">
        <v>1.24024</v>
      </c>
      <c r="N104" s="15">
        <f>IF(OR(M104="",L104="",L104&lt;=0),"",M104/L104)</f>
        <v/>
      </c>
      <c r="O104" s="16" t="n">
        <v>0.03164</v>
      </c>
      <c r="P104" s="16" t="n">
        <v>0.1108625303622402</v>
      </c>
      <c r="Q104" s="16" t="n">
        <v>0.04513231830896564</v>
      </c>
      <c r="R104" s="17" t="n">
        <v>4</v>
      </c>
      <c r="S104" s="16" t="n"/>
      <c r="T104" s="16" t="n">
        <v>0.04412703087419624</v>
      </c>
      <c r="U104" s="16" t="n">
        <v>0.09525621511922881</v>
      </c>
      <c r="V104" s="16" t="n">
        <v>0.1575304109759512</v>
      </c>
      <c r="W104" s="16" t="n">
        <v>0.1465364644795846</v>
      </c>
      <c r="X104" s="10" t="n">
        <v>0.72</v>
      </c>
      <c r="Y104" s="15">
        <f>IF(OR(X104="",G104="",G104=0),"",X104/G104)</f>
        <v/>
      </c>
      <c r="Z104" s="18" t="n">
        <v>202.341</v>
      </c>
      <c r="AA104" s="16" t="n">
        <v>0.019</v>
      </c>
      <c r="AB104" s="16" t="n">
        <v>0.01003680668471887</v>
      </c>
      <c r="AC104" s="9">
        <f>IF(AND(O104="",P104=""),"DATI MANCANTI",IF(AND(N(O104)&gt;=PARAMETRI!$B$4,N(P104)&gt;=PARAMETRI!$B$4),"OK","NO"))</f>
        <v/>
      </c>
      <c r="AD104" s="9">
        <f>IF(L104="","N/D",IF(L104&lt;PARAMETRI!$B$6,"OTTIMO",IF(L104&lt;PARAMETRI!$B$5,"OK","NO")))</f>
        <v/>
      </c>
      <c r="AE104" s="9">
        <f>IF(OR(AC104="DATI MANCANTI",AD104="N/D"),"DA COMPLETARE",IF(AND(AC104="OK",AD104="OTTIMO"),"PASSA FORTE",IF(AND(AC104="OK",AD104="OK"),"PASSA","SCARTA")))</f>
        <v/>
      </c>
      <c r="AF104" s="8" t="inlineStr">
        <is>
          <t>2026-08-04</t>
        </is>
      </c>
      <c r="AG104" s="8" t="inlineStr">
        <is>
          <t>yahoo</t>
        </is>
      </c>
      <c r="AH104" s="19" t="inlineStr"/>
    </row>
    <row r="105">
      <c r="A105" s="8" t="n">
        <v>104</v>
      </c>
      <c r="B105" s="8" t="inlineStr">
        <is>
          <t>Geox</t>
        </is>
      </c>
      <c r="C105" s="8" t="inlineStr">
        <is>
          <t>GEO.MI</t>
        </is>
      </c>
      <c r="D105" s="9" t="inlineStr">
        <is>
          <t>Italia</t>
        </is>
      </c>
      <c r="E105" s="8" t="inlineStr">
        <is>
          <t>Abbigliamento</t>
        </is>
      </c>
      <c r="F105" s="9" t="inlineStr">
        <is>
          <t>Consumi</t>
        </is>
      </c>
      <c r="G105" s="10" t="n">
        <v>0.2875</v>
      </c>
      <c r="H105" s="11" t="inlineStr">
        <is>
          <t>EUR</t>
        </is>
      </c>
      <c r="I105" s="12" t="n">
        <v>105.3</v>
      </c>
      <c r="J105" s="10" t="n">
        <v>-0.04</v>
      </c>
      <c r="K105" s="10" t="n">
        <v>0.01</v>
      </c>
      <c r="L105" s="13">
        <f>IF(OR(G105="",J105="",J105&lt;=0),"",G105/J105)</f>
        <v/>
      </c>
      <c r="M105" s="14" t="n">
        <v>1.402439</v>
      </c>
      <c r="N105" s="15">
        <f>IF(OR(M105="",L105="",L105&lt;=0),"",M105/L105)</f>
        <v/>
      </c>
      <c r="O105" s="16" t="n">
        <v>-0.19634001</v>
      </c>
      <c r="P105" s="16" t="n">
        <v>-0.2135655708912357</v>
      </c>
      <c r="Q105" s="16" t="n">
        <v>0.1443956009267138</v>
      </c>
      <c r="R105" s="17" t="n">
        <v>4</v>
      </c>
      <c r="S105" s="16" t="n"/>
      <c r="T105" s="16" t="n">
        <v>-0.2158361520227981</v>
      </c>
      <c r="U105" s="16" t="n">
        <v>-0.4468843429211034</v>
      </c>
      <c r="V105" s="16" t="n">
        <v>-0.07121095043603047</v>
      </c>
      <c r="W105" s="16" t="n">
        <v>-0.1203308381850106</v>
      </c>
      <c r="X105" s="10" t="n"/>
      <c r="Y105" s="15">
        <f>IF(OR(X105="",G105="",G105=0),"",X105/G105)</f>
        <v/>
      </c>
      <c r="Z105" s="18" t="n">
        <v>396.463</v>
      </c>
      <c r="AA105" s="16" t="n">
        <v>-0.114</v>
      </c>
      <c r="AB105" s="16" t="n">
        <v>-0.02501589575669552</v>
      </c>
      <c r="AC105" s="9">
        <f>IF(AND(O105="",P105=""),"DATI MANCANTI",IF(AND(N(O105)&gt;=PARAMETRI!$B$4,N(P105)&gt;=PARAMETRI!$B$4),"OK","NO"))</f>
        <v/>
      </c>
      <c r="AD105" s="9">
        <f>IF(L105="","N/D",IF(L105&lt;PARAMETRI!$B$6,"OTTIMO",IF(L105&lt;PARAMETRI!$B$5,"OK","NO")))</f>
        <v/>
      </c>
      <c r="AE105" s="9">
        <f>IF(OR(AC105="DATI MANCANTI",AD105="N/D"),"DA COMPLETARE",IF(AND(AC105="OK",AD105="OTTIMO"),"PASSA FORTE",IF(AND(AC105="OK",AD105="OK"),"PASSA","SCARTA")))</f>
        <v/>
      </c>
      <c r="AF105" s="8" t="inlineStr">
        <is>
          <t>2026-08-04</t>
        </is>
      </c>
      <c r="AG105" s="8" t="inlineStr">
        <is>
          <t>yahoo</t>
        </is>
      </c>
      <c r="AH105" s="19" t="inlineStr"/>
    </row>
    <row r="106">
      <c r="A106" s="8" t="n">
        <v>105</v>
      </c>
      <c r="B106" s="8" t="inlineStr">
        <is>
          <t>Gilead Sciences</t>
        </is>
      </c>
      <c r="C106" s="8" t="inlineStr">
        <is>
          <t>GILD</t>
        </is>
      </c>
      <c r="D106" s="9" t="inlineStr">
        <is>
          <t>USA</t>
        </is>
      </c>
      <c r="E106" s="8" t="inlineStr">
        <is>
          <t>Biotecnologie</t>
        </is>
      </c>
      <c r="F106" s="9" t="inlineStr">
        <is>
          <t>Salute</t>
        </is>
      </c>
      <c r="G106" s="10" t="n">
        <v>131.15</v>
      </c>
      <c r="H106" s="11" t="inlineStr">
        <is>
          <t>USD</t>
        </is>
      </c>
      <c r="I106" s="12" t="n">
        <v>162831.9</v>
      </c>
      <c r="J106" s="10" t="n">
        <v>7.34</v>
      </c>
      <c r="K106" s="10" t="n">
        <v>9.61847</v>
      </c>
      <c r="L106" s="13">
        <f>IF(OR(G106="",J106="",J106&lt;=0),"",G106/J106)</f>
        <v/>
      </c>
      <c r="M106" s="14" t="n">
        <v>6.927058</v>
      </c>
      <c r="N106" s="15">
        <f>IF(OR(M106="",L106="",L106&lt;=0),"",M106/L106)</f>
        <v/>
      </c>
      <c r="O106" s="16" t="n">
        <v>0.4336</v>
      </c>
      <c r="P106" s="16" t="n">
        <v>0.2159975942519622</v>
      </c>
      <c r="Q106" s="16" t="n">
        <v>0.1253111848721516</v>
      </c>
      <c r="R106" s="17" t="n">
        <v>4</v>
      </c>
      <c r="S106" s="16" t="n"/>
      <c r="T106" s="16" t="n">
        <v>0.3748568408069773</v>
      </c>
      <c r="U106" s="16" t="n">
        <v>0.02483186756337299</v>
      </c>
      <c r="V106" s="16" t="n">
        <v>0.2481058117636754</v>
      </c>
      <c r="W106" s="16" t="n">
        <v>0.216195856873823</v>
      </c>
      <c r="X106" s="10" t="n">
        <v>3.28</v>
      </c>
      <c r="Y106" s="15">
        <f>IF(OR(X106="",G106="",G106=0),"",X106/G106)</f>
        <v/>
      </c>
      <c r="Z106" s="18" t="n">
        <v>94.63500000000001</v>
      </c>
      <c r="AA106" s="16" t="n">
        <v>0.044</v>
      </c>
      <c r="AB106" s="16" t="n">
        <v>0.3130222131648665</v>
      </c>
      <c r="AC106" s="9">
        <f>IF(AND(O106="",P106=""),"DATI MANCANTI",IF(AND(N(O106)&gt;=PARAMETRI!$B$4,N(P106)&gt;=PARAMETRI!$B$4),"OK","NO"))</f>
        <v/>
      </c>
      <c r="AD106" s="9">
        <f>IF(L106="","N/D",IF(L106&lt;PARAMETRI!$B$6,"OTTIMO",IF(L106&lt;PARAMETRI!$B$5,"OK","NO")))</f>
        <v/>
      </c>
      <c r="AE106" s="9">
        <f>IF(OR(AC106="DATI MANCANTI",AD106="N/D"),"DA COMPLETARE",IF(AND(AC106="OK",AD106="OTTIMO"),"PASSA FORTE",IF(AND(AC106="OK",AD106="OK"),"PASSA","SCARTA")))</f>
        <v/>
      </c>
      <c r="AF106" s="8" t="inlineStr">
        <is>
          <t>2026-08-04</t>
        </is>
      </c>
      <c r="AG106" s="8" t="inlineStr">
        <is>
          <t>yahoo</t>
        </is>
      </c>
      <c r="AH106" s="19" t="inlineStr"/>
    </row>
    <row r="107">
      <c r="A107" s="8" t="n">
        <v>106</v>
      </c>
      <c r="B107" s="8" t="inlineStr">
        <is>
          <t>Goldman Sachs</t>
        </is>
      </c>
      <c r="C107" s="8" t="inlineStr">
        <is>
          <t>GS</t>
        </is>
      </c>
      <c r="D107" s="9" t="inlineStr">
        <is>
          <t>USA</t>
        </is>
      </c>
      <c r="E107" s="8" t="inlineStr">
        <is>
          <t>Banca d'investimento</t>
        </is>
      </c>
      <c r="F107" s="9" t="inlineStr">
        <is>
          <t>Finanziario</t>
        </is>
      </c>
      <c r="G107" s="10" t="n">
        <v>1027.06</v>
      </c>
      <c r="H107" s="11" t="inlineStr">
        <is>
          <t>USD</t>
        </is>
      </c>
      <c r="I107" s="12" t="n">
        <v>302990.3</v>
      </c>
      <c r="J107" s="10" t="n">
        <v>64.77</v>
      </c>
      <c r="K107" s="10" t="n">
        <v>74.03243999999999</v>
      </c>
      <c r="L107" s="13">
        <f>IF(OR(G107="",J107="",J107&lt;=0),"",G107/J107)</f>
        <v/>
      </c>
      <c r="M107" s="14" t="n">
        <v>2.8027215</v>
      </c>
      <c r="N107" s="15">
        <f>IF(OR(M107="",L107="",L107&lt;=0),"",M107/L107)</f>
        <v/>
      </c>
      <c r="O107" s="16" t="n">
        <v>0.16951999</v>
      </c>
      <c r="P107" s="16" t="n">
        <v>0.1058492814900844</v>
      </c>
      <c r="Q107" s="16" t="n">
        <v>0.02401629869746958</v>
      </c>
      <c r="R107" s="17" t="n">
        <v>4</v>
      </c>
      <c r="S107" s="16" t="n"/>
      <c r="T107" s="16" t="n">
        <v>0.1374387862881285</v>
      </c>
      <c r="U107" s="16" t="n">
        <v>0.117020230171481</v>
      </c>
      <c r="V107" s="16" t="n">
        <v>0.07284547281981096</v>
      </c>
      <c r="W107" s="16" t="n">
        <v>0.09609263668091715</v>
      </c>
      <c r="X107" s="10" t="n">
        <v>20</v>
      </c>
      <c r="Y107" s="15">
        <f>IF(OR(X107="",G107="",G107=0),"",X107/G107)</f>
        <v/>
      </c>
      <c r="Z107" s="18" t="n">
        <v>647.154</v>
      </c>
      <c r="AA107" s="16" t="n">
        <v>0.425</v>
      </c>
      <c r="AB107" s="16" t="n">
        <v>0.342981651871043</v>
      </c>
      <c r="AC107" s="9">
        <f>IF(AND(O107="",P107=""),"DATI MANCANTI",IF(AND(N(O107)&gt;=PARAMETRI!$B$4,N(P107)&gt;=PARAMETRI!$B$4),"OK","NO"))</f>
        <v/>
      </c>
      <c r="AD107" s="9">
        <f>IF(L107="","N/D",IF(L107&lt;PARAMETRI!$B$6,"OTTIMO",IF(L107&lt;PARAMETRI!$B$5,"OK","NO")))</f>
        <v/>
      </c>
      <c r="AE107" s="9">
        <f>IF(OR(AC107="DATI MANCANTI",AD107="N/D"),"DA COMPLETARE",IF(AND(AC107="OK",AD107="OTTIMO"),"PASSA FORTE",IF(AND(AC107="OK",AD107="OK"),"PASSA","SCARTA")))</f>
        <v/>
      </c>
      <c r="AF107" s="8" t="inlineStr">
        <is>
          <t>2026-08-04</t>
        </is>
      </c>
      <c r="AG107" s="8" t="inlineStr">
        <is>
          <t>yahoo</t>
        </is>
      </c>
      <c r="AH107" s="19" t="inlineStr"/>
    </row>
    <row r="108">
      <c r="A108" s="8" t="n">
        <v>107</v>
      </c>
      <c r="B108" s="8" t="inlineStr">
        <is>
          <t>Hera</t>
        </is>
      </c>
      <c r="C108" s="8" t="inlineStr">
        <is>
          <t>HER.MI</t>
        </is>
      </c>
      <c r="D108" s="9" t="inlineStr">
        <is>
          <t>Italia</t>
        </is>
      </c>
      <c r="E108" s="8" t="inlineStr">
        <is>
          <t>Utility</t>
        </is>
      </c>
      <c r="F108" s="9" t="inlineStr">
        <is>
          <t>Utility</t>
        </is>
      </c>
      <c r="G108" s="10" t="n">
        <v>3.9</v>
      </c>
      <c r="H108" s="11" t="inlineStr">
        <is>
          <t>EUR</t>
        </is>
      </c>
      <c r="I108" s="12" t="n">
        <v>5765.7</v>
      </c>
      <c r="J108" s="10" t="n">
        <v>0.32</v>
      </c>
      <c r="K108" s="10" t="n">
        <v>0.33184</v>
      </c>
      <c r="L108" s="13">
        <f>IF(OR(G108="",J108="",J108&lt;=0),"",G108/J108)</f>
        <v/>
      </c>
      <c r="M108" s="14" t="n">
        <v>1.4033825</v>
      </c>
      <c r="N108" s="15">
        <f>IF(OR(M108="",L108="",L108&lt;=0),"",M108/L108)</f>
        <v/>
      </c>
      <c r="O108" s="16" t="n">
        <v>0.121079996</v>
      </c>
      <c r="P108" s="16" t="n">
        <v>0.1129016561358004</v>
      </c>
      <c r="Q108" s="16" t="n">
        <v>0.02307978086200269</v>
      </c>
      <c r="R108" s="17" t="n">
        <v>4</v>
      </c>
      <c r="S108" s="16" t="n"/>
      <c r="T108" s="16" t="n">
        <v>0.1137599843191062</v>
      </c>
      <c r="U108" s="16" t="n">
        <v>0.1343713486046575</v>
      </c>
      <c r="V108" s="16" t="n">
        <v>0.1283811296608691</v>
      </c>
      <c r="W108" s="16" t="n">
        <v>0.07509416195856874</v>
      </c>
      <c r="X108" s="10" t="n">
        <v>0.16</v>
      </c>
      <c r="Y108" s="15">
        <f>IF(OR(X108="",G108="",G108=0),"",X108/G108)</f>
        <v/>
      </c>
      <c r="Z108" s="18" t="n">
        <v>133.318</v>
      </c>
      <c r="AA108" s="16" t="n">
        <v>0.221</v>
      </c>
      <c r="AB108" s="16" t="n">
        <v>0.03629365073242979</v>
      </c>
      <c r="AC108" s="9">
        <f>IF(AND(O108="",P108=""),"DATI MANCANTI",IF(AND(N(O108)&gt;=PARAMETRI!$B$4,N(P108)&gt;=PARAMETRI!$B$4),"OK","NO"))</f>
        <v/>
      </c>
      <c r="AD108" s="9">
        <f>IF(L108="","N/D",IF(L108&lt;PARAMETRI!$B$6,"OTTIMO",IF(L108&lt;PARAMETRI!$B$5,"OK","NO")))</f>
        <v/>
      </c>
      <c r="AE108" s="9">
        <f>IF(OR(AC108="DATI MANCANTI",AD108="N/D"),"DA COMPLETARE",IF(AND(AC108="OK",AD108="OTTIMO"),"PASSA FORTE",IF(AND(AC108="OK",AD108="OK"),"PASSA","SCARTA")))</f>
        <v/>
      </c>
      <c r="AF108" s="8" t="inlineStr">
        <is>
          <t>2026-08-04</t>
        </is>
      </c>
      <c r="AG108" s="8" t="inlineStr">
        <is>
          <t>yahoo</t>
        </is>
      </c>
      <c r="AH108" s="19" t="inlineStr"/>
    </row>
    <row r="109">
      <c r="A109" s="8" t="n">
        <v>108</v>
      </c>
      <c r="B109" s="8" t="inlineStr">
        <is>
          <t>Home Depot</t>
        </is>
      </c>
      <c r="C109" s="8" t="inlineStr">
        <is>
          <t>HD</t>
        </is>
      </c>
      <c r="D109" s="9" t="inlineStr">
        <is>
          <t>USA</t>
        </is>
      </c>
      <c r="E109" s="8" t="inlineStr">
        <is>
          <t>Distribuzione specializzata</t>
        </is>
      </c>
      <c r="F109" s="9" t="inlineStr">
        <is>
          <t>Consumi</t>
        </is>
      </c>
      <c r="G109" s="10" t="n">
        <v>340.02</v>
      </c>
      <c r="H109" s="11" t="inlineStr">
        <is>
          <t>USD</t>
        </is>
      </c>
      <c r="I109" s="12" t="n">
        <v>339039.6</v>
      </c>
      <c r="J109" s="10" t="n">
        <v>14.08</v>
      </c>
      <c r="K109" s="10" t="n">
        <v>16.10218</v>
      </c>
      <c r="L109" s="13">
        <f>IF(OR(G109="",J109="",J109&lt;=0),"",G109/J109)</f>
        <v/>
      </c>
      <c r="M109" s="14" t="n">
        <v>24.433744</v>
      </c>
      <c r="N109" s="15">
        <f>IF(OR(M109="",L109="",L109&lt;=0),"",M109/L109)</f>
        <v/>
      </c>
      <c r="O109" s="16" t="n">
        <v>1.2838</v>
      </c>
      <c r="P109" s="16" t="n">
        <v>7.197532049082098</v>
      </c>
      <c r="Q109" s="16" t="n">
        <v>5.685105003247476</v>
      </c>
      <c r="R109" s="17" t="n">
        <v>4</v>
      </c>
      <c r="S109" s="16" t="n">
        <v>1.104815421837197</v>
      </c>
      <c r="T109" s="16" t="n">
        <v>2.229819277108434</v>
      </c>
      <c r="U109" s="16" t="n">
        <v>14.50478927203065</v>
      </c>
      <c r="V109" s="16" t="n">
        <v>10.95070422535211</v>
      </c>
      <c r="W109" s="16" t="n"/>
      <c r="X109" s="10" t="n">
        <v>9.32</v>
      </c>
      <c r="Y109" s="15">
        <f>IF(OR(X109="",G109="",G109=0),"",X109/G109)</f>
        <v/>
      </c>
      <c r="Z109" s="18" t="n">
        <v>459.356</v>
      </c>
      <c r="AA109" s="16" t="n">
        <v>0.048</v>
      </c>
      <c r="AB109" s="16" t="n">
        <v>0.08508467939010098</v>
      </c>
      <c r="AC109" s="9">
        <f>IF(AND(O109="",P109=""),"DATI MANCANTI",IF(AND(N(O109)&gt;=PARAMETRI!$B$4,N(P109)&gt;=PARAMETRI!$B$4),"OK","NO"))</f>
        <v/>
      </c>
      <c r="AD109" s="9">
        <f>IF(L109="","N/D",IF(L109&lt;PARAMETRI!$B$6,"OTTIMO",IF(L109&lt;PARAMETRI!$B$5,"OK","NO")))</f>
        <v/>
      </c>
      <c r="AE109" s="9">
        <f>IF(OR(AC109="DATI MANCANTI",AD109="N/D"),"DA COMPLETARE",IF(AND(AC109="OK",AD109="OTTIMO"),"PASSA FORTE",IF(AND(AC109="OK",AD109="OK"),"PASSA","SCARTA")))</f>
        <v/>
      </c>
      <c r="AF109" s="8" t="inlineStr">
        <is>
          <t>2026-08-04</t>
        </is>
      </c>
      <c r="AG109" s="8" t="inlineStr">
        <is>
          <t>yahoo</t>
        </is>
      </c>
      <c r="AH109" s="19" t="inlineStr"/>
    </row>
    <row r="110">
      <c r="A110" s="8" t="n">
        <v>109</v>
      </c>
      <c r="B110" s="8" t="inlineStr">
        <is>
          <t>Honeywell</t>
        </is>
      </c>
      <c r="C110" s="8" t="inlineStr">
        <is>
          <t>HON</t>
        </is>
      </c>
      <c r="D110" s="9" t="inlineStr">
        <is>
          <t>USA</t>
        </is>
      </c>
      <c r="E110" s="8" t="inlineStr">
        <is>
          <t>Conglomerata industriale</t>
        </is>
      </c>
      <c r="F110" s="9" t="inlineStr">
        <is>
          <t>Industriale</t>
        </is>
      </c>
      <c r="G110" s="10" t="n">
        <v>246.77</v>
      </c>
      <c r="H110" s="11" t="inlineStr">
        <is>
          <t>USD</t>
        </is>
      </c>
      <c r="I110" s="12" t="n">
        <v>78211.3</v>
      </c>
      <c r="J110" s="10" t="n">
        <v>26.01</v>
      </c>
      <c r="K110" s="10" t="n">
        <v>10.01358</v>
      </c>
      <c r="L110" s="13">
        <f>IF(OR(G110="",J110="",J110&lt;=0),"",G110/J110)</f>
        <v/>
      </c>
      <c r="M110" s="14" t="n">
        <v>4.2192283</v>
      </c>
      <c r="N110" s="15">
        <f>IF(OR(M110="",L110="",L110&lt;=0),"",M110/L110)</f>
        <v/>
      </c>
      <c r="O110" s="16" t="n">
        <v>0.46577</v>
      </c>
      <c r="P110" s="16" t="n">
        <v>0.3251951529160505</v>
      </c>
      <c r="Q110" s="16" t="n">
        <v>0.02423002500425542</v>
      </c>
      <c r="R110" s="17" t="n">
        <v>4</v>
      </c>
      <c r="S110" s="16" t="n"/>
      <c r="T110" s="16" t="n">
        <v>0.3401179516685846</v>
      </c>
      <c r="U110" s="16" t="n">
        <v>0.3064074332670927</v>
      </c>
      <c r="V110" s="16" t="n">
        <v>0.3568365287588295</v>
      </c>
      <c r="W110" s="16" t="n">
        <v>0.2974186979696952</v>
      </c>
      <c r="X110" s="10" t="n">
        <v>2.8</v>
      </c>
      <c r="Y110" s="15">
        <f>IF(OR(X110="",G110="",G110=0),"",X110/G110)</f>
        <v/>
      </c>
      <c r="Z110" s="18" t="n">
        <v>185.369</v>
      </c>
      <c r="AA110" s="16" t="n">
        <v>0.043</v>
      </c>
      <c r="AB110" s="16" t="n">
        <v>0.2207681179424176</v>
      </c>
      <c r="AC110" s="9">
        <f>IF(AND(O110="",P110=""),"DATI MANCANTI",IF(AND(N(O110)&gt;=PARAMETRI!$B$4,N(P110)&gt;=PARAMETRI!$B$4),"OK","NO"))</f>
        <v/>
      </c>
      <c r="AD110" s="9">
        <f>IF(L110="","N/D",IF(L110&lt;PARAMETRI!$B$6,"OTTIMO",IF(L110&lt;PARAMETRI!$B$5,"OK","NO")))</f>
        <v/>
      </c>
      <c r="AE110" s="9">
        <f>IF(OR(AC110="DATI MANCANTI",AD110="N/D"),"DA COMPLETARE",IF(AND(AC110="OK",AD110="OTTIMO"),"PASSA FORTE",IF(AND(AC110="OK",AD110="OK"),"PASSA","SCARTA")))</f>
        <v/>
      </c>
      <c r="AF110" s="8" t="inlineStr">
        <is>
          <t>2026-08-04</t>
        </is>
      </c>
      <c r="AG110" s="8" t="inlineStr">
        <is>
          <t>yahoo</t>
        </is>
      </c>
      <c r="AH110" s="19" t="inlineStr"/>
    </row>
    <row r="111">
      <c r="A111" s="8" t="n">
        <v>110</v>
      </c>
      <c r="B111" s="8" t="inlineStr">
        <is>
          <t>IBM</t>
        </is>
      </c>
      <c r="C111" s="8" t="inlineStr">
        <is>
          <t>IBM</t>
        </is>
      </c>
      <c r="D111" s="9" t="inlineStr">
        <is>
          <t>USA</t>
        </is>
      </c>
      <c r="E111" s="8" t="inlineStr">
        <is>
          <t>Servizi IT</t>
        </is>
      </c>
      <c r="F111" s="9" t="inlineStr">
        <is>
          <t>Tecnologia</t>
        </is>
      </c>
      <c r="G111" s="10" t="n">
        <v>226.31</v>
      </c>
      <c r="H111" s="11" t="inlineStr">
        <is>
          <t>USD</t>
        </is>
      </c>
      <c r="I111" s="12" t="n">
        <v>213214.4</v>
      </c>
      <c r="J111" s="10" t="n">
        <v>11.25</v>
      </c>
      <c r="K111" s="10" t="n">
        <v>13.17491</v>
      </c>
      <c r="L111" s="13">
        <f>IF(OR(G111="",J111="",J111&lt;=0),"",G111/J111)</f>
        <v/>
      </c>
      <c r="M111" s="14" t="n">
        <v>6.188744</v>
      </c>
      <c r="N111" s="15">
        <f>IF(OR(M111="",L111="",L111&lt;=0),"",M111/L111)</f>
        <v/>
      </c>
      <c r="O111" s="16" t="n">
        <v>0.34460998</v>
      </c>
      <c r="P111" s="16" t="n">
        <v>0.23817417040765</v>
      </c>
      <c r="Q111" s="16" t="n">
        <v>0.1042197094136844</v>
      </c>
      <c r="R111" s="17" t="n">
        <v>4</v>
      </c>
      <c r="S111" s="16" t="n"/>
      <c r="T111" s="16" t="n">
        <v>0.3244609164420485</v>
      </c>
      <c r="U111" s="16" t="n">
        <v>0.2205661551983008</v>
      </c>
      <c r="V111" s="16" t="n">
        <v>0.3329339191408157</v>
      </c>
      <c r="W111" s="16" t="n">
        <v>0.07473569084943492</v>
      </c>
      <c r="X111" s="10" t="n">
        <v>6.76</v>
      </c>
      <c r="Y111" s="15">
        <f>IF(OR(X111="",G111="",G111=0),"",X111/G111)</f>
        <v/>
      </c>
      <c r="Z111" s="18" t="n">
        <v>188.97</v>
      </c>
      <c r="AA111" s="16" t="n">
        <v>0.011</v>
      </c>
      <c r="AB111" s="16" t="n">
        <v>0.158508061596778</v>
      </c>
      <c r="AC111" s="9">
        <f>IF(AND(O111="",P111=""),"DATI MANCANTI",IF(AND(N(O111)&gt;=PARAMETRI!$B$4,N(P111)&gt;=PARAMETRI!$B$4),"OK","NO"))</f>
        <v/>
      </c>
      <c r="AD111" s="9">
        <f>IF(L111="","N/D",IF(L111&lt;PARAMETRI!$B$6,"OTTIMO",IF(L111&lt;PARAMETRI!$B$5,"OK","NO")))</f>
        <v/>
      </c>
      <c r="AE111" s="9">
        <f>IF(OR(AC111="DATI MANCANTI",AD111="N/D"),"DA COMPLETARE",IF(AND(AC111="OK",AD111="OTTIMO"),"PASSA FORTE",IF(AND(AC111="OK",AD111="OK"),"PASSA","SCARTA")))</f>
        <v/>
      </c>
      <c r="AF111" s="8" t="inlineStr">
        <is>
          <t>2026-08-04</t>
        </is>
      </c>
      <c r="AG111" s="8" t="inlineStr">
        <is>
          <t>yahoo</t>
        </is>
      </c>
      <c r="AH111" s="19" t="inlineStr"/>
    </row>
    <row r="112">
      <c r="A112" s="8" t="n">
        <v>111</v>
      </c>
      <c r="B112" s="8" t="inlineStr">
        <is>
          <t>INWIT</t>
        </is>
      </c>
      <c r="C112" s="8" t="inlineStr">
        <is>
          <t>INW.MI</t>
        </is>
      </c>
      <c r="D112" s="9" t="inlineStr">
        <is>
          <t>Italia</t>
        </is>
      </c>
      <c r="E112" s="8" t="inlineStr">
        <is>
          <t>Torri / Infrastrutture</t>
        </is>
      </c>
      <c r="F112" s="9" t="inlineStr">
        <is>
          <t>Industriale</t>
        </is>
      </c>
      <c r="G112" s="10" t="n">
        <v>6.47</v>
      </c>
      <c r="H112" s="11" t="inlineStr">
        <is>
          <t>EUR</t>
        </is>
      </c>
      <c r="I112" s="12" t="n">
        <v>5841.5</v>
      </c>
      <c r="J112" s="10" t="n">
        <v>0.37</v>
      </c>
      <c r="K112" s="10" t="n">
        <v>0.3566</v>
      </c>
      <c r="L112" s="13">
        <f>IF(OR(G112="",J112="",J112&lt;=0),"",G112/J112)</f>
        <v/>
      </c>
      <c r="M112" s="14" t="n">
        <v>1.8694018</v>
      </c>
      <c r="N112" s="15">
        <f>IF(OR(M112="",L112="",L112&lt;=0),"",M112/L112)</f>
        <v/>
      </c>
      <c r="O112" s="16" t="n">
        <v>0.09859</v>
      </c>
      <c r="P112" s="16" t="n">
        <v>0.08375718905919846</v>
      </c>
      <c r="Q112" s="16" t="n">
        <v>0.01401549999798546</v>
      </c>
      <c r="R112" s="17" t="n">
        <v>4</v>
      </c>
      <c r="S112" s="16" t="n"/>
      <c r="T112" s="16" t="n">
        <v>0.1042395007229944</v>
      </c>
      <c r="U112" s="16" t="n">
        <v>0.0868230114415488</v>
      </c>
      <c r="V112" s="16" t="n">
        <v>0.0782900743220354</v>
      </c>
      <c r="W112" s="16" t="n">
        <v>0.06567616975021522</v>
      </c>
      <c r="X112" s="10" t="n">
        <v>0.55</v>
      </c>
      <c r="Y112" s="15">
        <f>IF(OR(X112="",G112="",G112=0),"",X112/G112)</f>
        <v/>
      </c>
      <c r="Z112" s="18" t="n">
        <v>176.703</v>
      </c>
      <c r="AA112" s="16" t="n">
        <v>-0.008</v>
      </c>
      <c r="AB112" s="16" t="n">
        <v>0.3132534184705564</v>
      </c>
      <c r="AC112" s="9">
        <f>IF(AND(O112="",P112=""),"DATI MANCANTI",IF(AND(N(O112)&gt;=PARAMETRI!$B$4,N(P112)&gt;=PARAMETRI!$B$4),"OK","NO"))</f>
        <v/>
      </c>
      <c r="AD112" s="9">
        <f>IF(L112="","N/D",IF(L112&lt;PARAMETRI!$B$6,"OTTIMO",IF(L112&lt;PARAMETRI!$B$5,"OK","NO")))</f>
        <v/>
      </c>
      <c r="AE112" s="9">
        <f>IF(OR(AC112="DATI MANCANTI",AD112="N/D"),"DA COMPLETARE",IF(AND(AC112="OK",AD112="OTTIMO"),"PASSA FORTE",IF(AND(AC112="OK",AD112="OK"),"PASSA","SCARTA")))</f>
        <v/>
      </c>
      <c r="AF112" s="8" t="inlineStr">
        <is>
          <t>2026-08-04</t>
        </is>
      </c>
      <c r="AG112" s="8" t="inlineStr">
        <is>
          <t>yahoo</t>
        </is>
      </c>
      <c r="AH112" s="19" t="inlineStr"/>
    </row>
    <row r="113">
      <c r="A113" s="8" t="n">
        <v>112</v>
      </c>
      <c r="B113" s="8" t="inlineStr">
        <is>
          <t>Illinois Tool Works</t>
        </is>
      </c>
      <c r="C113" s="8" t="inlineStr">
        <is>
          <t>ITW</t>
        </is>
      </c>
      <c r="D113" s="9" t="inlineStr">
        <is>
          <t>USA</t>
        </is>
      </c>
      <c r="E113" s="8" t="inlineStr">
        <is>
          <t>Componenti industriali</t>
        </is>
      </c>
      <c r="F113" s="9" t="inlineStr">
        <is>
          <t>Industriale</t>
        </is>
      </c>
      <c r="G113" s="10" t="n">
        <v>288.49</v>
      </c>
      <c r="H113" s="11" t="inlineStr">
        <is>
          <t>USD</t>
        </is>
      </c>
      <c r="I113" s="12" t="n">
        <v>82998.60000000001</v>
      </c>
      <c r="J113" s="10" t="n">
        <v>11.05</v>
      </c>
      <c r="K113" s="10" t="n">
        <v>12.3322</v>
      </c>
      <c r="L113" s="13">
        <f>IF(OR(G113="",J113="",J113&lt;=0),"",G113/J113)</f>
        <v/>
      </c>
      <c r="M113" s="14" t="n">
        <v>25.815659</v>
      </c>
      <c r="N113" s="15">
        <f>IF(OR(M113="",L113="",L113&lt;=0),"",M113/L113)</f>
        <v/>
      </c>
      <c r="O113" s="16" t="n">
        <v>1.04618</v>
      </c>
      <c r="P113" s="16" t="n">
        <v>0.9917050145447759</v>
      </c>
      <c r="Q113" s="16" t="n">
        <v>0.03703105237820289</v>
      </c>
      <c r="R113" s="17" t="n">
        <v>4</v>
      </c>
      <c r="S113" s="16" t="n"/>
      <c r="T113" s="16" t="n">
        <v>0.9506976744186046</v>
      </c>
      <c r="U113" s="16" t="n">
        <v>1.051869722557298</v>
      </c>
      <c r="V113" s="16" t="n">
        <v>0.9817397078353254</v>
      </c>
      <c r="W113" s="16" t="n">
        <v>0.9825129533678757</v>
      </c>
      <c r="X113" s="10" t="n">
        <v>6.44</v>
      </c>
      <c r="Y113" s="15">
        <f>IF(OR(X113="",G113="",G113=0),"",X113/G113)</f>
        <v/>
      </c>
      <c r="Z113" s="18" t="n">
        <v>334.853</v>
      </c>
      <c r="AA113" s="16" t="n">
        <v>0.061</v>
      </c>
      <c r="AB113" s="16" t="n">
        <v>0.1990775287958115</v>
      </c>
      <c r="AC113" s="9">
        <f>IF(AND(O113="",P113=""),"DATI MANCANTI",IF(AND(N(O113)&gt;=PARAMETRI!$B$4,N(P113)&gt;=PARAMETRI!$B$4),"OK","NO"))</f>
        <v/>
      </c>
      <c r="AD113" s="9">
        <f>IF(L113="","N/D",IF(L113&lt;PARAMETRI!$B$6,"OTTIMO",IF(L113&lt;PARAMETRI!$B$5,"OK","NO")))</f>
        <v/>
      </c>
      <c r="AE113" s="9">
        <f>IF(OR(AC113="DATI MANCANTI",AD113="N/D"),"DA COMPLETARE",IF(AND(AC113="OK",AD113="OTTIMO"),"PASSA FORTE",IF(AND(AC113="OK",AD113="OK"),"PASSA","SCARTA")))</f>
        <v/>
      </c>
      <c r="AF113" s="8" t="inlineStr">
        <is>
          <t>2026-08-04</t>
        </is>
      </c>
      <c r="AG113" s="8" t="inlineStr">
        <is>
          <t>yahoo</t>
        </is>
      </c>
      <c r="AH113" s="19" t="inlineStr"/>
    </row>
    <row r="114">
      <c r="A114" s="8" t="n">
        <v>113</v>
      </c>
      <c r="B114" s="8" t="inlineStr">
        <is>
          <t>Intel</t>
        </is>
      </c>
      <c r="C114" s="8" t="inlineStr">
        <is>
          <t>INTC</t>
        </is>
      </c>
      <c r="D114" s="9" t="inlineStr">
        <is>
          <t>USA</t>
        </is>
      </c>
      <c r="E114" s="8" t="inlineStr">
        <is>
          <t>Semiconduttori</t>
        </is>
      </c>
      <c r="F114" s="9" t="inlineStr">
        <is>
          <t>Tecnologia</t>
        </is>
      </c>
      <c r="G114" s="10" t="n">
        <v>91</v>
      </c>
      <c r="H114" s="11" t="inlineStr">
        <is>
          <t>USD</t>
        </is>
      </c>
      <c r="I114" s="12" t="n">
        <v>459004</v>
      </c>
      <c r="J114" s="10" t="n">
        <v>-2.09</v>
      </c>
      <c r="K114" s="10" t="n">
        <v>2.03736</v>
      </c>
      <c r="L114" s="13">
        <f>IF(OR(G114="",J114="",J114&lt;=0),"",G114/J114)</f>
        <v/>
      </c>
      <c r="M114" s="14" t="n">
        <v>5.2422376</v>
      </c>
      <c r="N114" s="15">
        <f>IF(OR(M114="",L114="",L114&lt;=0),"",M114/L114)</f>
        <v/>
      </c>
      <c r="O114" s="16" t="n">
        <v>-0.10715</v>
      </c>
      <c r="P114" s="16" t="n">
        <v>-0.02406604052723915</v>
      </c>
      <c r="Q114" s="16" t="n">
        <v>0.09985756972463626</v>
      </c>
      <c r="R114" s="17" t="n">
        <v>4</v>
      </c>
      <c r="S114" s="16" t="n"/>
      <c r="T114" s="16" t="n">
        <v>-0.002336346374287939</v>
      </c>
      <c r="U114" s="16" t="n">
        <v>-0.1889392565729828</v>
      </c>
      <c r="V114" s="16" t="n">
        <v>0.01599583293872526</v>
      </c>
      <c r="W114" s="16" t="n">
        <v>0.07901560789958885</v>
      </c>
      <c r="X114" s="10" t="n"/>
      <c r="Y114" s="15">
        <f>IF(OR(X114="",G114="",G114=0),"",X114/G114)</f>
        <v/>
      </c>
      <c r="Z114" s="18" t="n">
        <v>48.997</v>
      </c>
      <c r="AA114" s="16" t="n">
        <v>0.254</v>
      </c>
      <c r="AB114" s="16" t="n">
        <v>-0.213592415492025</v>
      </c>
      <c r="AC114" s="9">
        <f>IF(AND(O114="",P114=""),"DATI MANCANTI",IF(AND(N(O114)&gt;=PARAMETRI!$B$4,N(P114)&gt;=PARAMETRI!$B$4),"OK","NO"))</f>
        <v/>
      </c>
      <c r="AD114" s="9">
        <f>IF(L114="","N/D",IF(L114&lt;PARAMETRI!$B$6,"OTTIMO",IF(L114&lt;PARAMETRI!$B$5,"OK","NO")))</f>
        <v/>
      </c>
      <c r="AE114" s="9">
        <f>IF(OR(AC114="DATI MANCANTI",AD114="N/D"),"DA COMPLETARE",IF(AND(AC114="OK",AD114="OTTIMO"),"PASSA FORTE",IF(AND(AC114="OK",AD114="OK"),"PASSA","SCARTA")))</f>
        <v/>
      </c>
      <c r="AF114" s="8" t="inlineStr">
        <is>
          <t>2026-08-04</t>
        </is>
      </c>
      <c r="AG114" s="8" t="inlineStr">
        <is>
          <t>yahoo</t>
        </is>
      </c>
      <c r="AH114" s="19" t="inlineStr"/>
    </row>
    <row r="115">
      <c r="A115" s="8" t="n">
        <v>114</v>
      </c>
      <c r="B115" s="8" t="inlineStr">
        <is>
          <t>Interpump Group</t>
        </is>
      </c>
      <c r="C115" s="8" t="inlineStr">
        <is>
          <t>IP.MI</t>
        </is>
      </c>
      <c r="D115" s="9" t="inlineStr">
        <is>
          <t>Italia</t>
        </is>
      </c>
      <c r="E115" s="8" t="inlineStr">
        <is>
          <t>Meccanica</t>
        </is>
      </c>
      <c r="F115" s="9" t="inlineStr">
        <is>
          <t>Industriale</t>
        </is>
      </c>
      <c r="G115" s="10" t="n">
        <v>35.62</v>
      </c>
      <c r="H115" s="11" t="inlineStr">
        <is>
          <t>EUR</t>
        </is>
      </c>
      <c r="I115" s="12" t="n">
        <v>3743.5</v>
      </c>
      <c r="J115" s="10" t="n">
        <v>1.96</v>
      </c>
      <c r="K115" s="10" t="n">
        <v>2.34109</v>
      </c>
      <c r="L115" s="13">
        <f>IF(OR(G115="",J115="",J115&lt;=0),"",G115/J115)</f>
        <v/>
      </c>
      <c r="M115" s="14" t="n">
        <v>1.7585782</v>
      </c>
      <c r="N115" s="15">
        <f>IF(OR(M115="",L115="",L115&lt;=0),"",M115/L115)</f>
        <v/>
      </c>
      <c r="O115" s="16" t="n">
        <v>0.09994</v>
      </c>
      <c r="P115" s="16" t="n">
        <v>0.1341707417514897</v>
      </c>
      <c r="Q115" s="16" t="n">
        <v>0.02923547445248708</v>
      </c>
      <c r="R115" s="17" t="n">
        <v>4</v>
      </c>
      <c r="S115" s="16" t="n"/>
      <c r="T115" s="16" t="n">
        <v>0.09917145079023811</v>
      </c>
      <c r="U115" s="16" t="n">
        <v>0.1130533890473383</v>
      </c>
      <c r="V115" s="16" t="n">
        <v>0.1529172414023812</v>
      </c>
      <c r="W115" s="16" t="n">
        <v>0.1715408857660014</v>
      </c>
      <c r="X115" s="10" t="n">
        <v>0.35</v>
      </c>
      <c r="Y115" s="15">
        <f>IF(OR(X115="",G115="",G115=0),"",X115/G115)</f>
        <v/>
      </c>
      <c r="Z115" s="18" t="n">
        <v>31.498</v>
      </c>
      <c r="AA115" s="16" t="n">
        <v>0.006</v>
      </c>
      <c r="AB115" s="16" t="n">
        <v>0.1006841179050014</v>
      </c>
      <c r="AC115" s="9">
        <f>IF(AND(O115="",P115=""),"DATI MANCANTI",IF(AND(N(O115)&gt;=PARAMETRI!$B$4,N(P115)&gt;=PARAMETRI!$B$4),"OK","NO"))</f>
        <v/>
      </c>
      <c r="AD115" s="9">
        <f>IF(L115="","N/D",IF(L115&lt;PARAMETRI!$B$6,"OTTIMO",IF(L115&lt;PARAMETRI!$B$5,"OK","NO")))</f>
        <v/>
      </c>
      <c r="AE115" s="9">
        <f>IF(OR(AC115="DATI MANCANTI",AD115="N/D"),"DA COMPLETARE",IF(AND(AC115="OK",AD115="OTTIMO"),"PASSA FORTE",IF(AND(AC115="OK",AD115="OK"),"PASSA","SCARTA")))</f>
        <v/>
      </c>
      <c r="AF115" s="8" t="inlineStr">
        <is>
          <t>2026-08-04</t>
        </is>
      </c>
      <c r="AG115" s="8" t="inlineStr">
        <is>
          <t>yahoo</t>
        </is>
      </c>
      <c r="AH115" s="19" t="inlineStr"/>
    </row>
    <row r="116">
      <c r="A116" s="8" t="n">
        <v>115</v>
      </c>
      <c r="B116" s="8" t="inlineStr">
        <is>
          <t>Intesa Sanpaolo</t>
        </is>
      </c>
      <c r="C116" s="8" t="inlineStr">
        <is>
          <t>ISP.MI</t>
        </is>
      </c>
      <c r="D116" s="9" t="inlineStr">
        <is>
          <t>Italia</t>
        </is>
      </c>
      <c r="E116" s="8" t="inlineStr">
        <is>
          <t>Banca</t>
        </is>
      </c>
      <c r="F116" s="9" t="inlineStr">
        <is>
          <t>Finanziario</t>
        </is>
      </c>
      <c r="G116" s="10" t="n">
        <v>6.758</v>
      </c>
      <c r="H116" s="11" t="inlineStr">
        <is>
          <t>EUR</t>
        </is>
      </c>
      <c r="I116" s="12" t="n">
        <v>118470.4</v>
      </c>
      <c r="J116" s="10" t="n">
        <v>0.5600000000000001</v>
      </c>
      <c r="K116" s="10" t="n">
        <v>0.6415</v>
      </c>
      <c r="L116" s="13">
        <f>IF(OR(G116="",J116="",J116&lt;=0),"",G116/J116)</f>
        <v/>
      </c>
      <c r="M116" s="14" t="n">
        <v>1.7022669</v>
      </c>
      <c r="N116" s="15">
        <f>IF(OR(M116="",L116="",L116&lt;=0),"",M116/L116)</f>
        <v/>
      </c>
      <c r="O116" s="16" t="n">
        <v>0.14273</v>
      </c>
      <c r="P116" s="16" t="n">
        <v>0.1170723447862178</v>
      </c>
      <c r="Q116" s="16" t="n">
        <v>0.0273636203726556</v>
      </c>
      <c r="R116" s="17" t="n">
        <v>4</v>
      </c>
      <c r="S116" s="16" t="n"/>
      <c r="T116" s="16" t="n">
        <v>0.1429031367859443</v>
      </c>
      <c r="U116" s="16" t="n">
        <v>0.1329630538848656</v>
      </c>
      <c r="V116" s="16" t="n">
        <v>0.1207573128214749</v>
      </c>
      <c r="W116" s="16" t="n">
        <v>0.07166587565258661</v>
      </c>
      <c r="X116" s="10" t="n">
        <v>0.38</v>
      </c>
      <c r="Y116" s="15">
        <f>IF(OR(X116="",G116="",G116=0),"",X116/G116)</f>
        <v/>
      </c>
      <c r="Z116" s="18" t="n"/>
      <c r="AA116" s="16" t="n">
        <v>0.037</v>
      </c>
      <c r="AB116" s="16" t="n">
        <v>0.3385677664131235</v>
      </c>
      <c r="AC116" s="9">
        <f>IF(AND(O116="",P116=""),"DATI MANCANTI",IF(AND(N(O116)&gt;=PARAMETRI!$B$4,N(P116)&gt;=PARAMETRI!$B$4),"OK","NO"))</f>
        <v/>
      </c>
      <c r="AD116" s="9">
        <f>IF(L116="","N/D",IF(L116&lt;PARAMETRI!$B$6,"OTTIMO",IF(L116&lt;PARAMETRI!$B$5,"OK","NO")))</f>
        <v/>
      </c>
      <c r="AE116" s="9">
        <f>IF(OR(AC116="DATI MANCANTI",AD116="N/D"),"DA COMPLETARE",IF(AND(AC116="OK",AD116="OTTIMO"),"PASSA FORTE",IF(AND(AC116="OK",AD116="OK"),"PASSA","SCARTA")))</f>
        <v/>
      </c>
      <c r="AF116" s="8" t="inlineStr">
        <is>
          <t>2026-08-04</t>
        </is>
      </c>
      <c r="AG116" s="8" t="inlineStr">
        <is>
          <t>yahoo</t>
        </is>
      </c>
      <c r="AH116" s="19" t="inlineStr"/>
    </row>
    <row r="117">
      <c r="A117" s="8" t="n">
        <v>116</v>
      </c>
      <c r="B117" s="8" t="inlineStr">
        <is>
          <t>Intuit</t>
        </is>
      </c>
      <c r="C117" s="8" t="inlineStr">
        <is>
          <t>INTU</t>
        </is>
      </c>
      <c r="D117" s="9" t="inlineStr">
        <is>
          <t>USA</t>
        </is>
      </c>
      <c r="E117" s="8" t="inlineStr">
        <is>
          <t>Software</t>
        </is>
      </c>
      <c r="F117" s="9" t="inlineStr">
        <is>
          <t>Tecnologia</t>
        </is>
      </c>
      <c r="G117" s="10" t="n">
        <v>318.39</v>
      </c>
      <c r="H117" s="11" t="inlineStr">
        <is>
          <t>USD</t>
        </is>
      </c>
      <c r="I117" s="12" t="n">
        <v>87091.39999999999</v>
      </c>
      <c r="J117" s="10" t="n">
        <v>16.4</v>
      </c>
      <c r="K117" s="10" t="n">
        <v>27.36035</v>
      </c>
      <c r="L117" s="13">
        <f>IF(OR(G117="",J117="",J117&lt;=0),"",G117/J117)</f>
        <v/>
      </c>
      <c r="M117" s="14" t="n">
        <v>4.2330656</v>
      </c>
      <c r="N117" s="15">
        <f>IF(OR(M117="",L117="",L117&lt;=0),"",M117/L117)</f>
        <v/>
      </c>
      <c r="O117" s="16" t="n">
        <v>0.22496</v>
      </c>
      <c r="P117" s="16" t="n">
        <v>0.1551816887709601</v>
      </c>
      <c r="Q117" s="16" t="n">
        <v>0.02686062869345323</v>
      </c>
      <c r="R117" s="17" t="n">
        <v>4</v>
      </c>
      <c r="S117" s="16" t="n"/>
      <c r="T117" s="16" t="n">
        <v>0.1962962962962963</v>
      </c>
      <c r="U117" s="16" t="n">
        <v>0.1607181601215014</v>
      </c>
      <c r="V117" s="16" t="n">
        <v>0.1380508425502345</v>
      </c>
      <c r="W117" s="16" t="n">
        <v>0.125661456115808</v>
      </c>
      <c r="X117" s="10" t="n">
        <v>4.8</v>
      </c>
      <c r="Y117" s="15">
        <f>IF(OR(X117="",G117="",G117=0),"",X117/G117)</f>
        <v/>
      </c>
      <c r="Z117" s="18" t="n">
        <v>33.448</v>
      </c>
      <c r="AA117" s="16" t="n">
        <v>0.104</v>
      </c>
      <c r="AB117" s="16" t="n">
        <v>0.2434283893579736</v>
      </c>
      <c r="AC117" s="9">
        <f>IF(AND(O117="",P117=""),"DATI MANCANTI",IF(AND(N(O117)&gt;=PARAMETRI!$B$4,N(P117)&gt;=PARAMETRI!$B$4),"OK","NO"))</f>
        <v/>
      </c>
      <c r="AD117" s="9">
        <f>IF(L117="","N/D",IF(L117&lt;PARAMETRI!$B$6,"OTTIMO",IF(L117&lt;PARAMETRI!$B$5,"OK","NO")))</f>
        <v/>
      </c>
      <c r="AE117" s="9">
        <f>IF(OR(AC117="DATI MANCANTI",AD117="N/D"),"DA COMPLETARE",IF(AND(AC117="OK",AD117="OTTIMO"),"PASSA FORTE",IF(AND(AC117="OK",AD117="OK"),"PASSA","SCARTA")))</f>
        <v/>
      </c>
      <c r="AF117" s="8" t="inlineStr">
        <is>
          <t>2026-08-04</t>
        </is>
      </c>
      <c r="AG117" s="8" t="inlineStr">
        <is>
          <t>yahoo</t>
        </is>
      </c>
      <c r="AH117" s="19" t="inlineStr"/>
    </row>
    <row r="118">
      <c r="A118" s="8" t="n">
        <v>117</v>
      </c>
      <c r="B118" s="8" t="inlineStr">
        <is>
          <t>Intuitive Surgical</t>
        </is>
      </c>
      <c r="C118" s="8" t="inlineStr">
        <is>
          <t>ISRG</t>
        </is>
      </c>
      <c r="D118" s="9" t="inlineStr">
        <is>
          <t>USA</t>
        </is>
      </c>
      <c r="E118" s="8" t="inlineStr">
        <is>
          <t>Dispositivi medicali</t>
        </is>
      </c>
      <c r="F118" s="9" t="inlineStr">
        <is>
          <t>Salute</t>
        </is>
      </c>
      <c r="G118" s="10" t="n">
        <v>375.41</v>
      </c>
      <c r="H118" s="11" t="inlineStr">
        <is>
          <t>USD</t>
        </is>
      </c>
      <c r="I118" s="12" t="n">
        <v>134501.2</v>
      </c>
      <c r="J118" s="10" t="n">
        <v>8.73</v>
      </c>
      <c r="K118" s="10" t="n">
        <v>12.07083</v>
      </c>
      <c r="L118" s="13">
        <f>IF(OR(G118="",J118="",J118&lt;=0),"",G118/J118)</f>
        <v/>
      </c>
      <c r="M118" s="14" t="n">
        <v>7.312517</v>
      </c>
      <c r="N118" s="15">
        <f>IF(OR(M118="",L118="",L118&lt;=0),"",M118/L118)</f>
        <v/>
      </c>
      <c r="O118" s="16" t="n">
        <v>0.17423001</v>
      </c>
      <c r="P118" s="16" t="n">
        <v>0.1391071575445574</v>
      </c>
      <c r="Q118" s="16" t="n">
        <v>0.01450708906843886</v>
      </c>
      <c r="R118" s="17" t="n">
        <v>4</v>
      </c>
      <c r="S118" s="16" t="n"/>
      <c r="T118" s="16" t="n">
        <v>0.1602333931777379</v>
      </c>
      <c r="U118" s="16" t="n">
        <v>0.1413315321564833</v>
      </c>
      <c r="V118" s="16" t="n">
        <v>0.135110763774084</v>
      </c>
      <c r="W118" s="16" t="n">
        <v>0.1197529410699246</v>
      </c>
      <c r="X118" s="10" t="n"/>
      <c r="Y118" s="15">
        <f>IF(OR(X118="",G118="",G118=0),"",X118/G118)</f>
        <v/>
      </c>
      <c r="Z118" s="18" t="n"/>
      <c r="AA118" s="16" t="n">
        <v>0.185</v>
      </c>
      <c r="AB118" s="16" t="n">
        <v>0.3118622639522291</v>
      </c>
      <c r="AC118" s="9">
        <f>IF(AND(O118="",P118=""),"DATI MANCANTI",IF(AND(N(O118)&gt;=PARAMETRI!$B$4,N(P118)&gt;=PARAMETRI!$B$4),"OK","NO"))</f>
        <v/>
      </c>
      <c r="AD118" s="9">
        <f>IF(L118="","N/D",IF(L118&lt;PARAMETRI!$B$6,"OTTIMO",IF(L118&lt;PARAMETRI!$B$5,"OK","NO")))</f>
        <v/>
      </c>
      <c r="AE118" s="9">
        <f>IF(OR(AC118="DATI MANCANTI",AD118="N/D"),"DA COMPLETARE",IF(AND(AC118="OK",AD118="OTTIMO"),"PASSA FORTE",IF(AND(AC118="OK",AD118="OK"),"PASSA","SCARTA")))</f>
        <v/>
      </c>
      <c r="AF118" s="8" t="inlineStr">
        <is>
          <t>2026-08-04</t>
        </is>
      </c>
      <c r="AG118" s="8" t="inlineStr">
        <is>
          <t>yahoo</t>
        </is>
      </c>
      <c r="AH118" s="19" t="inlineStr"/>
    </row>
    <row r="119">
      <c r="A119" s="8" t="n">
        <v>118</v>
      </c>
      <c r="B119" s="8" t="inlineStr">
        <is>
          <t>Iren</t>
        </is>
      </c>
      <c r="C119" s="8" t="inlineStr">
        <is>
          <t>IRE.MI</t>
        </is>
      </c>
      <c r="D119" s="9" t="inlineStr">
        <is>
          <t>Italia</t>
        </is>
      </c>
      <c r="E119" s="8" t="inlineStr">
        <is>
          <t>Utility</t>
        </is>
      </c>
      <c r="F119" s="9" t="inlineStr">
        <is>
          <t>Utility</t>
        </is>
      </c>
      <c r="G119" s="10" t="n">
        <v>2.564</v>
      </c>
      <c r="H119" s="11" t="inlineStr">
        <is>
          <t>EUR</t>
        </is>
      </c>
      <c r="I119" s="12" t="n">
        <v>3289.8</v>
      </c>
      <c r="J119" s="10" t="n">
        <v>0.23</v>
      </c>
      <c r="K119" s="10" t="n">
        <v>0.24707</v>
      </c>
      <c r="L119" s="13">
        <f>IF(OR(G119="",J119="",J119&lt;=0),"",G119/J119)</f>
        <v/>
      </c>
      <c r="M119" s="14" t="n">
        <v>1.0661123</v>
      </c>
      <c r="N119" s="15">
        <f>IF(OR(M119="",L119="",L119&lt;=0),"",M119/L119)</f>
        <v/>
      </c>
      <c r="O119" s="16" t="n">
        <v>0.08586001</v>
      </c>
      <c r="P119" s="16" t="n">
        <v>0.08833789201631842</v>
      </c>
      <c r="Q119" s="16" t="n">
        <v>0.004159652247824652</v>
      </c>
      <c r="R119" s="17" t="n">
        <v>4</v>
      </c>
      <c r="S119" s="16" t="n"/>
      <c r="T119" s="16" t="n">
        <v>0.086886861999682</v>
      </c>
      <c r="U119" s="16" t="n">
        <v>0.09334796927981129</v>
      </c>
      <c r="V119" s="16" t="n">
        <v>0.09078158140807809</v>
      </c>
      <c r="W119" s="16" t="n">
        <v>0.08233515537770233</v>
      </c>
      <c r="X119" s="10" t="n">
        <v>0.14</v>
      </c>
      <c r="Y119" s="15">
        <f>IF(OR(X119="",G119="",G119=0),"",X119/G119)</f>
        <v/>
      </c>
      <c r="Z119" s="18" t="n">
        <v>128.903</v>
      </c>
      <c r="AA119" s="16" t="n">
        <v>0.049</v>
      </c>
      <c r="AB119" s="16" t="n">
        <v>0.04642093273543158</v>
      </c>
      <c r="AC119" s="9">
        <f>IF(AND(O119="",P119=""),"DATI MANCANTI",IF(AND(N(O119)&gt;=PARAMETRI!$B$4,N(P119)&gt;=PARAMETRI!$B$4),"OK","NO"))</f>
        <v/>
      </c>
      <c r="AD119" s="9">
        <f>IF(L119="","N/D",IF(L119&lt;PARAMETRI!$B$6,"OTTIMO",IF(L119&lt;PARAMETRI!$B$5,"OK","NO")))</f>
        <v/>
      </c>
      <c r="AE119" s="9">
        <f>IF(OR(AC119="DATI MANCANTI",AD119="N/D"),"DA COMPLETARE",IF(AND(AC119="OK",AD119="OTTIMO"),"PASSA FORTE",IF(AND(AC119="OK",AD119="OK"),"PASSA","SCARTA")))</f>
        <v/>
      </c>
      <c r="AF119" s="8" t="inlineStr">
        <is>
          <t>2026-08-04</t>
        </is>
      </c>
      <c r="AG119" s="8" t="inlineStr">
        <is>
          <t>yahoo</t>
        </is>
      </c>
      <c r="AH119" s="19" t="inlineStr"/>
    </row>
    <row r="120">
      <c r="A120" s="8" t="n">
        <v>119</v>
      </c>
      <c r="B120" s="8" t="inlineStr">
        <is>
          <t>Italgas</t>
        </is>
      </c>
      <c r="C120" s="8" t="inlineStr">
        <is>
          <t>IG.MI</t>
        </is>
      </c>
      <c r="D120" s="9" t="inlineStr">
        <is>
          <t>Italia</t>
        </is>
      </c>
      <c r="E120" s="8" t="inlineStr">
        <is>
          <t>Utility / Reti</t>
        </is>
      </c>
      <c r="F120" s="9" t="inlineStr">
        <is>
          <t>Utility</t>
        </is>
      </c>
      <c r="G120" s="10" t="n">
        <v>9.102</v>
      </c>
      <c r="H120" s="11" t="inlineStr">
        <is>
          <t>EUR</t>
        </is>
      </c>
      <c r="I120" s="12" t="n">
        <v>9252.4</v>
      </c>
      <c r="J120" s="10" t="n">
        <v>0.7</v>
      </c>
      <c r="K120" s="10" t="n">
        <v>0.79984</v>
      </c>
      <c r="L120" s="13">
        <f>IF(OR(G120="",J120="",J120&lt;=0),"",G120/J120)</f>
        <v/>
      </c>
      <c r="M120" s="14" t="n">
        <v>2.4207447</v>
      </c>
      <c r="N120" s="15">
        <f>IF(OR(M120="",L120="",L120&lt;=0),"",M120/L120)</f>
        <v/>
      </c>
      <c r="O120" s="16" t="n">
        <v>0.19063</v>
      </c>
      <c r="P120" s="16" t="n">
        <v>0.1892111669010866</v>
      </c>
      <c r="Q120" s="16" t="n">
        <v>0.007636666953879905</v>
      </c>
      <c r="R120" s="17" t="n">
        <v>4</v>
      </c>
      <c r="S120" s="16" t="n"/>
      <c r="T120" s="16" t="n">
        <v>0.1760500959304389</v>
      </c>
      <c r="U120" s="16" t="n">
        <v>0.194821061899161</v>
      </c>
      <c r="V120" s="16" t="n">
        <v>0.1927868944489472</v>
      </c>
      <c r="W120" s="16" t="n">
        <v>0.1931866153257992</v>
      </c>
      <c r="X120" s="10" t="n">
        <v>0.43</v>
      </c>
      <c r="Y120" s="15">
        <f>IF(OR(X120="",G120="",G120=0),"",X120/G120)</f>
        <v/>
      </c>
      <c r="Z120" s="18" t="n">
        <v>294.061</v>
      </c>
      <c r="AA120" s="16" t="n">
        <v>0.306</v>
      </c>
      <c r="AB120" s="16" t="n">
        <v>0.2063045888567778</v>
      </c>
      <c r="AC120" s="9">
        <f>IF(AND(O120="",P120=""),"DATI MANCANTI",IF(AND(N(O120)&gt;=PARAMETRI!$B$4,N(P120)&gt;=PARAMETRI!$B$4),"OK","NO"))</f>
        <v/>
      </c>
      <c r="AD120" s="9">
        <f>IF(L120="","N/D",IF(L120&lt;PARAMETRI!$B$6,"OTTIMO",IF(L120&lt;PARAMETRI!$B$5,"OK","NO")))</f>
        <v/>
      </c>
      <c r="AE120" s="9">
        <f>IF(OR(AC120="DATI MANCANTI",AD120="N/D"),"DA COMPLETARE",IF(AND(AC120="OK",AD120="OTTIMO"),"PASSA FORTE",IF(AND(AC120="OK",AD120="OK"),"PASSA","SCARTA")))</f>
        <v/>
      </c>
      <c r="AF120" s="8" t="inlineStr">
        <is>
          <t>2026-08-04</t>
        </is>
      </c>
      <c r="AG120" s="8" t="inlineStr">
        <is>
          <t>yahoo</t>
        </is>
      </c>
      <c r="AH120" s="19" t="inlineStr"/>
    </row>
    <row r="121">
      <c r="A121" s="8" t="n">
        <v>120</v>
      </c>
      <c r="B121" s="8" t="inlineStr">
        <is>
          <t>Iveco Group</t>
        </is>
      </c>
      <c r="C121" s="8" t="inlineStr">
        <is>
          <t>IVG.MI</t>
        </is>
      </c>
      <c r="D121" s="9" t="inlineStr">
        <is>
          <t>Italia</t>
        </is>
      </c>
      <c r="E121" s="8" t="inlineStr">
        <is>
          <t>Veicoli industriali</t>
        </is>
      </c>
      <c r="F121" s="9" t="inlineStr">
        <is>
          <t>Industriale</t>
        </is>
      </c>
      <c r="G121" s="10" t="n">
        <v>13.895</v>
      </c>
      <c r="H121" s="11" t="inlineStr">
        <is>
          <t>EUR</t>
        </is>
      </c>
      <c r="I121" s="12" t="n">
        <v>3700.9</v>
      </c>
      <c r="J121" s="10" t="n">
        <v>0.04</v>
      </c>
      <c r="K121" s="10" t="n">
        <v>2.04293</v>
      </c>
      <c r="L121" s="13">
        <f>IF(OR(G121="",J121="",J121&lt;=0),"",G121/J121)</f>
        <v/>
      </c>
      <c r="M121" s="14" t="n">
        <v>1.488006</v>
      </c>
      <c r="N121" s="15">
        <f>IF(OR(M121="",L121="",L121&lt;=0),"",M121/L121)</f>
        <v/>
      </c>
      <c r="O121" s="16" t="n">
        <v>0.02429</v>
      </c>
      <c r="P121" s="16" t="n">
        <v>0.09726813021820266</v>
      </c>
      <c r="Q121" s="16" t="n">
        <v>0.02406301283286296</v>
      </c>
      <c r="R121" s="17" t="n">
        <v>4</v>
      </c>
      <c r="S121" s="16" t="n"/>
      <c r="T121" s="16" t="n">
        <v>0.1047101449275362</v>
      </c>
      <c r="U121" s="16" t="n">
        <v>0.1293071507965913</v>
      </c>
      <c r="V121" s="16" t="n">
        <v>0.09260832625318606</v>
      </c>
      <c r="W121" s="16" t="n">
        <v>0.06244689889549702</v>
      </c>
      <c r="X121" s="10" t="n">
        <v>0.33</v>
      </c>
      <c r="Y121" s="15">
        <f>IF(OR(X121="",G121="",G121=0),"",X121/G121)</f>
        <v/>
      </c>
      <c r="Z121" s="18" t="n">
        <v>242.829</v>
      </c>
      <c r="AA121" s="16" t="n"/>
      <c r="AB121" s="16" t="n">
        <v>0.004691689008042895</v>
      </c>
      <c r="AC121" s="9">
        <f>IF(AND(O121="",P121=""),"DATI MANCANTI",IF(AND(N(O121)&gt;=PARAMETRI!$B$4,N(P121)&gt;=PARAMETRI!$B$4),"OK","NO"))</f>
        <v/>
      </c>
      <c r="AD121" s="9">
        <f>IF(L121="","N/D",IF(L121&lt;PARAMETRI!$B$6,"OTTIMO",IF(L121&lt;PARAMETRI!$B$5,"OK","NO")))</f>
        <v/>
      </c>
      <c r="AE121" s="9">
        <f>IF(OR(AC121="DATI MANCANTI",AD121="N/D"),"DA COMPLETARE",IF(AND(AC121="OK",AD121="OTTIMO"),"PASSA FORTE",IF(AND(AC121="OK",AD121="OK"),"PASSA","SCARTA")))</f>
        <v/>
      </c>
      <c r="AF121" s="8" t="inlineStr">
        <is>
          <t>2026-08-04</t>
        </is>
      </c>
      <c r="AG121" s="8" t="inlineStr">
        <is>
          <t>yahoo</t>
        </is>
      </c>
      <c r="AH121" s="19" t="inlineStr"/>
    </row>
    <row r="122">
      <c r="A122" s="8" t="n">
        <v>121</v>
      </c>
      <c r="B122" s="8" t="inlineStr">
        <is>
          <t>JPMorgan Chase</t>
        </is>
      </c>
      <c r="C122" s="8" t="inlineStr">
        <is>
          <t>JPM</t>
        </is>
      </c>
      <c r="D122" s="9" t="inlineStr">
        <is>
          <t>USA</t>
        </is>
      </c>
      <c r="E122" s="8" t="inlineStr">
        <is>
          <t>Banca</t>
        </is>
      </c>
      <c r="F122" s="9" t="inlineStr">
        <is>
          <t>Finanziario</t>
        </is>
      </c>
      <c r="G122" s="10" t="n">
        <v>352.64</v>
      </c>
      <c r="H122" s="11" t="inlineStr">
        <is>
          <t>USD</t>
        </is>
      </c>
      <c r="I122" s="12" t="n">
        <v>937387.7</v>
      </c>
      <c r="J122" s="10" t="n">
        <v>23.32</v>
      </c>
      <c r="K122" s="10" t="n">
        <v>24.89449</v>
      </c>
      <c r="L122" s="13">
        <f>IF(OR(G122="",J122="",J122&lt;=0),"",G122/J122)</f>
        <v/>
      </c>
      <c r="M122" s="14" t="n">
        <v>2.651289</v>
      </c>
      <c r="N122" s="15">
        <f>IF(OR(M122="",L122="",L122&lt;=0),"",M122/L122)</f>
        <v/>
      </c>
      <c r="O122" s="16" t="n">
        <v>0.17789</v>
      </c>
      <c r="P122" s="16" t="n">
        <v>0.1517527710837262</v>
      </c>
      <c r="Q122" s="16" t="n">
        <v>0.01478123957270239</v>
      </c>
      <c r="R122" s="17" t="n">
        <v>4</v>
      </c>
      <c r="S122" s="16" t="n"/>
      <c r="T122" s="16" t="n">
        <v>0.1574007140531622</v>
      </c>
      <c r="U122" s="16" t="n">
        <v>0.1696001253052866</v>
      </c>
      <c r="V122" s="16" t="n">
        <v>0.1511293834902006</v>
      </c>
      <c r="W122" s="16" t="n">
        <v>0.1288808614862554</v>
      </c>
      <c r="X122" s="10" t="n">
        <v>6</v>
      </c>
      <c r="Y122" s="15">
        <f>IF(OR(X122="",G122="",G122=0),"",X122/G122)</f>
        <v/>
      </c>
      <c r="Z122" s="18" t="n"/>
      <c r="AA122" s="16" t="n">
        <v>0.304</v>
      </c>
      <c r="AB122" s="16" t="n">
        <v>0.349931546409894</v>
      </c>
      <c r="AC122" s="9">
        <f>IF(AND(O122="",P122=""),"DATI MANCANTI",IF(AND(N(O122)&gt;=PARAMETRI!$B$4,N(P122)&gt;=PARAMETRI!$B$4),"OK","NO"))</f>
        <v/>
      </c>
      <c r="AD122" s="9">
        <f>IF(L122="","N/D",IF(L122&lt;PARAMETRI!$B$6,"OTTIMO",IF(L122&lt;PARAMETRI!$B$5,"OK","NO")))</f>
        <v/>
      </c>
      <c r="AE122" s="9">
        <f>IF(OR(AC122="DATI MANCANTI",AD122="N/D"),"DA COMPLETARE",IF(AND(AC122="OK",AD122="OTTIMO"),"PASSA FORTE",IF(AND(AC122="OK",AD122="OK"),"PASSA","SCARTA")))</f>
        <v/>
      </c>
      <c r="AF122" s="8" t="inlineStr">
        <is>
          <t>2026-08-04</t>
        </is>
      </c>
      <c r="AG122" s="8" t="inlineStr">
        <is>
          <t>yahoo</t>
        </is>
      </c>
      <c r="AH122" s="19" t="inlineStr"/>
    </row>
    <row r="123">
      <c r="A123" s="8" t="n">
        <v>122</v>
      </c>
      <c r="B123" s="8" t="inlineStr">
        <is>
          <t>Johnson &amp; Johnson</t>
        </is>
      </c>
      <c r="C123" s="8" t="inlineStr">
        <is>
          <t>JNJ</t>
        </is>
      </c>
      <c r="D123" s="9" t="inlineStr">
        <is>
          <t>USA</t>
        </is>
      </c>
      <c r="E123" s="8" t="inlineStr">
        <is>
          <t>Farmaceutica</t>
        </is>
      </c>
      <c r="F123" s="9" t="inlineStr">
        <is>
          <t>Salute</t>
        </is>
      </c>
      <c r="G123" s="10" t="n">
        <v>254.41</v>
      </c>
      <c r="H123" s="11" t="inlineStr">
        <is>
          <t>USD</t>
        </is>
      </c>
      <c r="I123" s="12" t="n">
        <v>613102.3</v>
      </c>
      <c r="J123" s="10" t="n">
        <v>8.609999999999999</v>
      </c>
      <c r="K123" s="10" t="n">
        <v>12.77305</v>
      </c>
      <c r="L123" s="13">
        <f>IF(OR(G123="",J123="",J123&lt;=0),"",G123/J123)</f>
        <v/>
      </c>
      <c r="M123" s="14" t="n">
        <v>7.2103505</v>
      </c>
      <c r="N123" s="15">
        <f>IF(OR(M123="",L123="",L123&lt;=0),"",M123/L123)</f>
        <v/>
      </c>
      <c r="O123" s="16" t="n">
        <v>0.25742</v>
      </c>
      <c r="P123" s="16" t="n">
        <v>0.3175483250119345</v>
      </c>
      <c r="Q123" s="16" t="n">
        <v>0.1216970967224712</v>
      </c>
      <c r="R123" s="17" t="n">
        <v>4</v>
      </c>
      <c r="S123" s="16" t="n"/>
      <c r="T123" s="16" t="n">
        <v>0.3287059746885117</v>
      </c>
      <c r="U123" s="16" t="n">
        <v>0.1967547908798433</v>
      </c>
      <c r="V123" s="16" t="n">
        <v>0.5111379300316981</v>
      </c>
      <c r="W123" s="16" t="n">
        <v>0.233594604447685</v>
      </c>
      <c r="X123" s="10" t="n">
        <v>5.36</v>
      </c>
      <c r="Y123" s="15">
        <f>IF(OR(X123="",G123="",G123=0),"",X123/G123)</f>
        <v/>
      </c>
      <c r="Z123" s="18" t="n">
        <v>57.709</v>
      </c>
      <c r="AA123" s="16" t="n">
        <v>0.066</v>
      </c>
      <c r="AB123" s="16" t="n">
        <v>0.2233393214357755</v>
      </c>
      <c r="AC123" s="9">
        <f>IF(AND(O123="",P123=""),"DATI MANCANTI",IF(AND(N(O123)&gt;=PARAMETRI!$B$4,N(P123)&gt;=PARAMETRI!$B$4),"OK","NO"))</f>
        <v/>
      </c>
      <c r="AD123" s="9">
        <f>IF(L123="","N/D",IF(L123&lt;PARAMETRI!$B$6,"OTTIMO",IF(L123&lt;PARAMETRI!$B$5,"OK","NO")))</f>
        <v/>
      </c>
      <c r="AE123" s="9">
        <f>IF(OR(AC123="DATI MANCANTI",AD123="N/D"),"DA COMPLETARE",IF(AND(AC123="OK",AD123="OTTIMO"),"PASSA FORTE",IF(AND(AC123="OK",AD123="OK"),"PASSA","SCARTA")))</f>
        <v/>
      </c>
      <c r="AF123" s="8" t="inlineStr">
        <is>
          <t>2026-08-04</t>
        </is>
      </c>
      <c r="AG123" s="8" t="inlineStr">
        <is>
          <t>yahoo</t>
        </is>
      </c>
      <c r="AH123" s="19" t="inlineStr"/>
    </row>
    <row r="124">
      <c r="A124" s="8" t="n">
        <v>123</v>
      </c>
      <c r="B124" s="8" t="inlineStr">
        <is>
          <t>Juventus FC</t>
        </is>
      </c>
      <c r="C124" s="8" t="inlineStr">
        <is>
          <t>JUVE.MI</t>
        </is>
      </c>
      <c r="D124" s="9" t="inlineStr">
        <is>
          <t>Italia</t>
        </is>
      </c>
      <c r="E124" s="8" t="inlineStr">
        <is>
          <t>Sport / Intrattenimento</t>
        </is>
      </c>
      <c r="F124" s="9" t="inlineStr">
        <is>
          <t>Consumi</t>
        </is>
      </c>
      <c r="G124" s="10" t="n">
        <v>2.056</v>
      </c>
      <c r="H124" s="11" t="inlineStr">
        <is>
          <t>EUR</t>
        </is>
      </c>
      <c r="I124" s="12" t="n">
        <v>857.4</v>
      </c>
      <c r="J124" s="10" t="n">
        <v>-0.26</v>
      </c>
      <c r="K124" s="10" t="n">
        <v>-0.10025</v>
      </c>
      <c r="L124" s="13">
        <f>IF(OR(G124="",J124="",J124&lt;=0),"",G124/J124)</f>
        <v/>
      </c>
      <c r="M124" s="14" t="n">
        <v>10.994652</v>
      </c>
      <c r="N124" s="15">
        <f>IF(OR(M124="",L124="",L124&lt;=0),"",M124/L124)</f>
        <v/>
      </c>
      <c r="O124" s="16" t="n">
        <v>-1.1478701</v>
      </c>
      <c r="P124" s="16" t="n">
        <v>-3.115727151459425</v>
      </c>
      <c r="Q124" s="16" t="n">
        <v>1.435930396899337</v>
      </c>
      <c r="R124" s="17" t="n">
        <v>3</v>
      </c>
      <c r="S124" s="16" t="n"/>
      <c r="T124" s="16" t="n"/>
      <c r="U124" s="16" t="n">
        <v>-4.956438451587222</v>
      </c>
      <c r="V124" s="16" t="n">
        <v>-2.938123538952883</v>
      </c>
      <c r="W124" s="16" t="n">
        <v>-1.45261946383817</v>
      </c>
      <c r="X124" s="10" t="n"/>
      <c r="Y124" s="15">
        <f>IF(OR(X124="",G124="",G124=0),"",X124/G124)</f>
        <v/>
      </c>
      <c r="Z124" s="18" t="n">
        <v>436.114</v>
      </c>
      <c r="AA124" s="16" t="n">
        <v>-0.091</v>
      </c>
      <c r="AB124" s="16" t="n">
        <v>-0.1970811575327133</v>
      </c>
      <c r="AC124" s="9">
        <f>IF(AND(O124="",P124=""),"DATI MANCANTI",IF(AND(N(O124)&gt;=PARAMETRI!$B$4,N(P124)&gt;=PARAMETRI!$B$4),"OK","NO"))</f>
        <v/>
      </c>
      <c r="AD124" s="9">
        <f>IF(L124="","N/D",IF(L124&lt;PARAMETRI!$B$6,"OTTIMO",IF(L124&lt;PARAMETRI!$B$5,"OK","NO")))</f>
        <v/>
      </c>
      <c r="AE124" s="9">
        <f>IF(OR(AC124="DATI MANCANTI",AD124="N/D"),"DA COMPLETARE",IF(AND(AC124="OK",AD124="OTTIMO"),"PASSA FORTE",IF(AND(AC124="OK",AD124="OK"),"PASSA","SCARTA")))</f>
        <v/>
      </c>
      <c r="AF124" s="8" t="inlineStr">
        <is>
          <t>2026-08-04</t>
        </is>
      </c>
      <c r="AG124" s="8" t="inlineStr">
        <is>
          <t>yahoo</t>
        </is>
      </c>
      <c r="AH124" s="19" t="inlineStr"/>
    </row>
    <row r="125">
      <c r="A125" s="8" t="n">
        <v>124</v>
      </c>
      <c r="B125" s="8" t="inlineStr">
        <is>
          <t>KKR &amp; Co.</t>
        </is>
      </c>
      <c r="C125" s="8" t="inlineStr">
        <is>
          <t>KKR</t>
        </is>
      </c>
      <c r="D125" s="9" t="inlineStr">
        <is>
          <t>USA</t>
        </is>
      </c>
      <c r="E125" s="8" t="inlineStr">
        <is>
          <t>Private equity</t>
        </is>
      </c>
      <c r="F125" s="9" t="inlineStr">
        <is>
          <t>Finanziario</t>
        </is>
      </c>
      <c r="G125" s="10" t="n">
        <v>106.56</v>
      </c>
      <c r="H125" s="11" t="inlineStr">
        <is>
          <t>USD</t>
        </is>
      </c>
      <c r="I125" s="12" t="n">
        <v>99361</v>
      </c>
      <c r="J125" s="10" t="n">
        <v>2.94</v>
      </c>
      <c r="K125" s="10" t="n">
        <v>7.38864</v>
      </c>
      <c r="L125" s="13">
        <f>IF(OR(G125="",J125="",J125&lt;=0),"",G125/J125)</f>
        <v/>
      </c>
      <c r="M125" s="14" t="n">
        <v>3.390607</v>
      </c>
      <c r="N125" s="15">
        <f>IF(OR(M125="",L125="",L125&lt;=0),"",M125/L125)</f>
        <v/>
      </c>
      <c r="O125" s="16" t="n">
        <v>0.07670765539464512</v>
      </c>
      <c r="P125" s="16" t="n">
        <v>0.08557788220889605</v>
      </c>
      <c r="Q125" s="16" t="n">
        <v>0.07234443895318442</v>
      </c>
      <c r="R125" s="17" t="n">
        <v>4</v>
      </c>
      <c r="S125" s="16" t="n"/>
      <c r="T125" s="16" t="n">
        <v>0.07670765539464512</v>
      </c>
      <c r="U125" s="16" t="n">
        <v>0.130065161007507</v>
      </c>
      <c r="V125" s="16" t="n">
        <v>0.1632753384773426</v>
      </c>
      <c r="W125" s="16" t="n">
        <v>-0.02773662604391048</v>
      </c>
      <c r="X125" s="10" t="n">
        <v>0.75</v>
      </c>
      <c r="Y125" s="15">
        <f>IF(OR(X125="",G125="",G125=0),"",X125/G125)</f>
        <v/>
      </c>
      <c r="Z125" s="18" t="n">
        <v>69.029</v>
      </c>
      <c r="AA125" s="16" t="n">
        <v>0.022</v>
      </c>
      <c r="AB125" s="16" t="n">
        <v>0.1549796792343675</v>
      </c>
      <c r="AC125" s="9">
        <f>IF(AND(O125="",P125=""),"DATI MANCANTI",IF(AND(N(O125)&gt;=PARAMETRI!$B$4,N(P125)&gt;=PARAMETRI!$B$4),"OK","NO"))</f>
        <v/>
      </c>
      <c r="AD125" s="9">
        <f>IF(L125="","N/D",IF(L125&lt;PARAMETRI!$B$6,"OTTIMO",IF(L125&lt;PARAMETRI!$B$5,"OK","NO")))</f>
        <v/>
      </c>
      <c r="AE125" s="9">
        <f>IF(OR(AC125="DATI MANCANTI",AD125="N/D"),"DA COMPLETARE",IF(AND(AC125="OK",AD125="OTTIMO"),"PASSA FORTE",IF(AND(AC125="OK",AD125="OK"),"PASSA","SCARTA")))</f>
        <v/>
      </c>
      <c r="AF125" s="8" t="inlineStr">
        <is>
          <t>2026-08-04</t>
        </is>
      </c>
      <c r="AG125" s="8" t="inlineStr">
        <is>
          <t>yahoo</t>
        </is>
      </c>
      <c r="AH125" s="19" t="inlineStr"/>
    </row>
    <row r="126">
      <c r="A126" s="8" t="n">
        <v>125</v>
      </c>
      <c r="B126" s="8" t="inlineStr">
        <is>
          <t>KLA Corporation</t>
        </is>
      </c>
      <c r="C126" s="8" t="inlineStr">
        <is>
          <t>KLAC</t>
        </is>
      </c>
      <c r="D126" s="9" t="inlineStr">
        <is>
          <t>USA</t>
        </is>
      </c>
      <c r="E126" s="8" t="inlineStr">
        <is>
          <t>Apparecchiature semicond.</t>
        </is>
      </c>
      <c r="F126" s="9" t="inlineStr">
        <is>
          <t>Tecnologia</t>
        </is>
      </c>
      <c r="G126" s="10" t="n">
        <v>182.75</v>
      </c>
      <c r="H126" s="11" t="inlineStr">
        <is>
          <t>USD</t>
        </is>
      </c>
      <c r="I126" s="12" t="n">
        <v>238721.8</v>
      </c>
      <c r="J126" s="10" t="n">
        <v>3.66</v>
      </c>
      <c r="K126" s="10" t="n">
        <v>6.54928</v>
      </c>
      <c r="L126" s="13">
        <f>IF(OR(G126="",J126="",J126&lt;=0),"",G126/J126)</f>
        <v/>
      </c>
      <c r="M126" s="14" t="n">
        <v>40.966152</v>
      </c>
      <c r="N126" s="15">
        <f>IF(OR(M126="",L126="",L126&lt;=0),"",M126/L126)</f>
        <v/>
      </c>
      <c r="O126" s="16" t="n">
        <v>0.87496</v>
      </c>
      <c r="P126" s="16" t="n">
        <v>1.304021523503468</v>
      </c>
      <c r="Q126" s="16" t="n">
        <v>0.6293831742631367</v>
      </c>
      <c r="R126" s="17" t="n">
        <v>4</v>
      </c>
      <c r="S126" s="16" t="n"/>
      <c r="T126" s="16" t="n">
        <v>0.8655692449130551</v>
      </c>
      <c r="U126" s="16" t="n">
        <v>0.8199605264095421</v>
      </c>
      <c r="V126" s="16" t="n">
        <v>1.160124503682332</v>
      </c>
      <c r="W126" s="16" t="n">
        <v>2.370431819008942</v>
      </c>
      <c r="X126" s="10" t="n">
        <v>0.92</v>
      </c>
      <c r="Y126" s="15">
        <f>IF(OR(X126="",G126="",G126=0),"",X126/G126)</f>
        <v/>
      </c>
      <c r="Z126" s="18" t="n">
        <v>92.718</v>
      </c>
      <c r="AA126" s="16" t="n">
        <v>0.152</v>
      </c>
      <c r="AB126" s="16" t="n">
        <v>0.3973927955221393</v>
      </c>
      <c r="AC126" s="9">
        <f>IF(AND(O126="",P126=""),"DATI MANCANTI",IF(AND(N(O126)&gt;=PARAMETRI!$B$4,N(P126)&gt;=PARAMETRI!$B$4),"OK","NO"))</f>
        <v/>
      </c>
      <c r="AD126" s="9">
        <f>IF(L126="","N/D",IF(L126&lt;PARAMETRI!$B$6,"OTTIMO",IF(L126&lt;PARAMETRI!$B$5,"OK","NO")))</f>
        <v/>
      </c>
      <c r="AE126" s="9">
        <f>IF(OR(AC126="DATI MANCANTI",AD126="N/D"),"DA COMPLETARE",IF(AND(AC126="OK",AD126="OTTIMO"),"PASSA FORTE",IF(AND(AC126="OK",AD126="OK"),"PASSA","SCARTA")))</f>
        <v/>
      </c>
      <c r="AF126" s="8" t="inlineStr">
        <is>
          <t>2026-08-04</t>
        </is>
      </c>
      <c r="AG126" s="8" t="inlineStr">
        <is>
          <t>yahoo</t>
        </is>
      </c>
      <c r="AH126" s="19" t="inlineStr"/>
    </row>
    <row r="127">
      <c r="A127" s="8" t="n">
        <v>126</v>
      </c>
      <c r="B127" s="8" t="inlineStr">
        <is>
          <t>Kimberly-Clark</t>
        </is>
      </c>
      <c r="C127" s="8" t="inlineStr">
        <is>
          <t>KMB</t>
        </is>
      </c>
      <c r="D127" s="9" t="inlineStr">
        <is>
          <t>USA</t>
        </is>
      </c>
      <c r="E127" s="8" t="inlineStr">
        <is>
          <t>Beni per la casa</t>
        </is>
      </c>
      <c r="F127" s="9" t="inlineStr">
        <is>
          <t>Consumi</t>
        </is>
      </c>
      <c r="G127" s="10" t="n">
        <v>107.56</v>
      </c>
      <c r="H127" s="11" t="inlineStr">
        <is>
          <t>USD</t>
        </is>
      </c>
      <c r="I127" s="12" t="n">
        <v>35703.5</v>
      </c>
      <c r="J127" s="10" t="n">
        <v>5.17</v>
      </c>
      <c r="K127" s="10" t="n">
        <v>7.55722</v>
      </c>
      <c r="L127" s="13">
        <f>IF(OR(G127="",J127="",J127&lt;=0),"",G127/J127)</f>
        <v/>
      </c>
      <c r="M127" s="14" t="n">
        <v>19.878027</v>
      </c>
      <c r="N127" s="15">
        <f>IF(OR(M127="",L127="",L127&lt;=0),"",M127/L127)</f>
        <v/>
      </c>
      <c r="O127" s="16" t="n">
        <v>1.11727</v>
      </c>
      <c r="P127" s="16" t="n">
        <v>2.459704758173796</v>
      </c>
      <c r="Q127" s="16" t="n">
        <v>0.8670114317756352</v>
      </c>
      <c r="R127" s="17" t="n">
        <v>4</v>
      </c>
      <c r="S127" s="16" t="n"/>
      <c r="T127" s="16" t="n">
        <v>1.345539280958722</v>
      </c>
      <c r="U127" s="16" t="n">
        <v>3.029761904761905</v>
      </c>
      <c r="V127" s="16" t="n">
        <v>1.927868852459016</v>
      </c>
      <c r="W127" s="16" t="n">
        <v>3.535648994515539</v>
      </c>
      <c r="X127" s="10" t="n">
        <v>5.12</v>
      </c>
      <c r="Y127" s="15">
        <f>IF(OR(X127="",G127="",G127=0),"",X127/G127)</f>
        <v/>
      </c>
      <c r="Z127" s="18" t="n">
        <v>371.264</v>
      </c>
      <c r="AA127" s="16" t="n">
        <v>0.027</v>
      </c>
      <c r="AB127" s="16" t="n">
        <v>0.1046391400255366</v>
      </c>
      <c r="AC127" s="9">
        <f>IF(AND(O127="",P127=""),"DATI MANCANTI",IF(AND(N(O127)&gt;=PARAMETRI!$B$4,N(P127)&gt;=PARAMETRI!$B$4),"OK","NO"))</f>
        <v/>
      </c>
      <c r="AD127" s="9">
        <f>IF(L127="","N/D",IF(L127&lt;PARAMETRI!$B$6,"OTTIMO",IF(L127&lt;PARAMETRI!$B$5,"OK","NO")))</f>
        <v/>
      </c>
      <c r="AE127" s="9">
        <f>IF(OR(AC127="DATI MANCANTI",AD127="N/D"),"DA COMPLETARE",IF(AND(AC127="OK",AD127="OTTIMO"),"PASSA FORTE",IF(AND(AC127="OK",AD127="OK"),"PASSA","SCARTA")))</f>
        <v/>
      </c>
      <c r="AF127" s="8" t="inlineStr">
        <is>
          <t>2026-08-04</t>
        </is>
      </c>
      <c r="AG127" s="8" t="inlineStr">
        <is>
          <t>yahoo</t>
        </is>
      </c>
      <c r="AH127" s="19" t="inlineStr"/>
    </row>
    <row r="128">
      <c r="A128" s="8" t="n">
        <v>127</v>
      </c>
      <c r="B128" s="8" t="inlineStr">
        <is>
          <t>Kinder Morgan</t>
        </is>
      </c>
      <c r="C128" s="8" t="inlineStr">
        <is>
          <t>KMI</t>
        </is>
      </c>
      <c r="D128" s="9" t="inlineStr">
        <is>
          <t>USA</t>
        </is>
      </c>
      <c r="E128" s="8" t="inlineStr">
        <is>
          <t>Gasdotti</t>
        </is>
      </c>
      <c r="F128" s="9" t="inlineStr">
        <is>
          <t>Energia</t>
        </is>
      </c>
      <c r="G128" s="10" t="n">
        <v>31.4</v>
      </c>
      <c r="H128" s="11" t="inlineStr">
        <is>
          <t>USD</t>
        </is>
      </c>
      <c r="I128" s="12" t="n">
        <v>69859.5</v>
      </c>
      <c r="J128" s="10" t="n">
        <v>1.55</v>
      </c>
      <c r="K128" s="10" t="n">
        <v>1.53814</v>
      </c>
      <c r="L128" s="13">
        <f>IF(OR(G128="",J128="",J128&lt;=0),"",G128/J128)</f>
        <v/>
      </c>
      <c r="M128" s="14" t="n">
        <v>2.2086234</v>
      </c>
      <c r="N128" s="15">
        <f>IF(OR(M128="",L128="",L128&lt;=0),"",M128/L128)</f>
        <v/>
      </c>
      <c r="O128" s="16" t="n">
        <v>0.109910004</v>
      </c>
      <c r="P128" s="16" t="n">
        <v>0.08635798073446269</v>
      </c>
      <c r="Q128" s="16" t="n">
        <v>0.007167473388274325</v>
      </c>
      <c r="R128" s="17" t="n">
        <v>4</v>
      </c>
      <c r="S128" s="16" t="n"/>
      <c r="T128" s="16" t="n">
        <v>0.0980681599383865</v>
      </c>
      <c r="U128" s="16" t="n">
        <v>0.08558514296944089</v>
      </c>
      <c r="V128" s="16" t="n">
        <v>0.07889526826371016</v>
      </c>
      <c r="W128" s="16" t="n">
        <v>0.08288335176631319</v>
      </c>
      <c r="X128" s="10" t="n">
        <v>1.18</v>
      </c>
      <c r="Y128" s="15">
        <f>IF(OR(X128="",G128="",G128=0),"",X128/G128)</f>
        <v/>
      </c>
      <c r="Z128" s="18" t="n">
        <v>98.619</v>
      </c>
      <c r="AA128" s="16" t="n">
        <v>0.108</v>
      </c>
      <c r="AB128" s="16" t="n">
        <v>0.2036370039558363</v>
      </c>
      <c r="AC128" s="9">
        <f>IF(AND(O128="",P128=""),"DATI MANCANTI",IF(AND(N(O128)&gt;=PARAMETRI!$B$4,N(P128)&gt;=PARAMETRI!$B$4),"OK","NO"))</f>
        <v/>
      </c>
      <c r="AD128" s="9">
        <f>IF(L128="","N/D",IF(L128&lt;PARAMETRI!$B$6,"OTTIMO",IF(L128&lt;PARAMETRI!$B$5,"OK","NO")))</f>
        <v/>
      </c>
      <c r="AE128" s="9">
        <f>IF(OR(AC128="DATI MANCANTI",AD128="N/D"),"DA COMPLETARE",IF(AND(AC128="OK",AD128="OTTIMO"),"PASSA FORTE",IF(AND(AC128="OK",AD128="OK"),"PASSA","SCARTA")))</f>
        <v/>
      </c>
      <c r="AF128" s="8" t="inlineStr">
        <is>
          <t>2026-08-04</t>
        </is>
      </c>
      <c r="AG128" s="8" t="inlineStr">
        <is>
          <t>yahoo</t>
        </is>
      </c>
      <c r="AH128" s="19" t="inlineStr"/>
    </row>
    <row r="129">
      <c r="A129" s="8" t="n">
        <v>128</v>
      </c>
      <c r="B129" s="8" t="inlineStr">
        <is>
          <t>Lam Research</t>
        </is>
      </c>
      <c r="C129" s="8" t="inlineStr">
        <is>
          <t>LRCX</t>
        </is>
      </c>
      <c r="D129" s="9" t="inlineStr">
        <is>
          <t>USA</t>
        </is>
      </c>
      <c r="E129" s="8" t="inlineStr">
        <is>
          <t>Apparecchiature semicond.</t>
        </is>
      </c>
      <c r="F129" s="9" t="inlineStr">
        <is>
          <t>Tecnologia</t>
        </is>
      </c>
      <c r="G129" s="10" t="n">
        <v>294.61</v>
      </c>
      <c r="H129" s="11" t="inlineStr">
        <is>
          <t>USD</t>
        </is>
      </c>
      <c r="I129" s="12" t="n">
        <v>368639</v>
      </c>
      <c r="J129" s="10" t="n">
        <v>5.77</v>
      </c>
      <c r="K129" s="10" t="n">
        <v>11.52522</v>
      </c>
      <c r="L129" s="13">
        <f>IF(OR(G129="",J129="",J129&lt;=0),"",G129/J129)</f>
        <v/>
      </c>
      <c r="M129" s="14" t="n">
        <v>34.80742</v>
      </c>
      <c r="N129" s="15">
        <f>IF(OR(M129="",L129="",L129&lt;=0),"",M129/L129)</f>
        <v/>
      </c>
      <c r="O129" s="16" t="n">
        <v>0.65066004</v>
      </c>
      <c r="P129" s="16" t="n">
        <v>0.5686336609788991</v>
      </c>
      <c r="Q129" s="16" t="n">
        <v>0.1033055583573132</v>
      </c>
      <c r="R129" s="17" t="n">
        <v>4</v>
      </c>
      <c r="S129" s="16" t="n"/>
      <c r="T129" s="16" t="n">
        <v>0.5433405001754783</v>
      </c>
      <c r="U129" s="16" t="n">
        <v>0.4482455201468384</v>
      </c>
      <c r="V129" s="16" t="n">
        <v>0.5494319729233443</v>
      </c>
      <c r="W129" s="16" t="n">
        <v>0.7335166506699354</v>
      </c>
      <c r="X129" s="10" t="n">
        <v>1.04</v>
      </c>
      <c r="Y129" s="15">
        <f>IF(OR(X129="",G129="",G129=0),"",X129/G129)</f>
        <v/>
      </c>
      <c r="Z129" s="18" t="n">
        <v>29.946</v>
      </c>
      <c r="AA129" s="16" t="n">
        <v>0.3</v>
      </c>
      <c r="AB129" s="16" t="n">
        <v>0.3940961927393594</v>
      </c>
      <c r="AC129" s="9">
        <f>IF(AND(O129="",P129=""),"DATI MANCANTI",IF(AND(N(O129)&gt;=PARAMETRI!$B$4,N(P129)&gt;=PARAMETRI!$B$4),"OK","NO"))</f>
        <v/>
      </c>
      <c r="AD129" s="9">
        <f>IF(L129="","N/D",IF(L129&lt;PARAMETRI!$B$6,"OTTIMO",IF(L129&lt;PARAMETRI!$B$5,"OK","NO")))</f>
        <v/>
      </c>
      <c r="AE129" s="9">
        <f>IF(OR(AC129="DATI MANCANTI",AD129="N/D"),"DA COMPLETARE",IF(AND(AC129="OK",AD129="OTTIMO"),"PASSA FORTE",IF(AND(AC129="OK",AD129="OK"),"PASSA","SCARTA")))</f>
        <v/>
      </c>
      <c r="AF129" s="8" t="inlineStr">
        <is>
          <t>2026-08-04</t>
        </is>
      </c>
      <c r="AG129" s="8" t="inlineStr">
        <is>
          <t>yahoo</t>
        </is>
      </c>
      <c r="AH129" s="19" t="inlineStr"/>
    </row>
    <row r="130">
      <c r="A130" s="8" t="n">
        <v>129</v>
      </c>
      <c r="B130" s="8" t="inlineStr">
        <is>
          <t>Leonardo</t>
        </is>
      </c>
      <c r="C130" s="8" t="inlineStr">
        <is>
          <t>LDO.MI</t>
        </is>
      </c>
      <c r="D130" s="9" t="inlineStr">
        <is>
          <t>Italia</t>
        </is>
      </c>
      <c r="E130" s="8" t="inlineStr">
        <is>
          <t>Difesa / Aerospazio</t>
        </is>
      </c>
      <c r="F130" s="9" t="inlineStr">
        <is>
          <t>Industriale</t>
        </is>
      </c>
      <c r="G130" s="10" t="n">
        <v>56.55</v>
      </c>
      <c r="H130" s="11" t="inlineStr">
        <is>
          <t>EUR</t>
        </is>
      </c>
      <c r="I130" s="12" t="n">
        <v>32622.9</v>
      </c>
      <c r="J130" s="10" t="n">
        <v>1.95</v>
      </c>
      <c r="K130" s="10" t="n">
        <v>2.82756</v>
      </c>
      <c r="L130" s="13">
        <f>IF(OR(G130="",J130="",J130&lt;=0),"",G130/J130)</f>
        <v/>
      </c>
      <c r="M130" s="14" t="n">
        <v>3.3392384</v>
      </c>
      <c r="N130" s="15">
        <f>IF(OR(M130="",L130="",L130&lt;=0),"",M130/L130)</f>
        <v/>
      </c>
      <c r="O130" s="16" t="n">
        <v>0.11893</v>
      </c>
      <c r="P130" s="16" t="n">
        <v>0.1152283082732223</v>
      </c>
      <c r="Q130" s="16" t="n">
        <v>0.01820725214457366</v>
      </c>
      <c r="R130" s="17" t="n">
        <v>4</v>
      </c>
      <c r="S130" s="16" t="n"/>
      <c r="T130" s="16" t="n">
        <v>0.1280334728033473</v>
      </c>
      <c r="U130" s="16" t="n">
        <v>0.1194660734149054</v>
      </c>
      <c r="V130" s="16" t="n">
        <v>0.08435897435897435</v>
      </c>
      <c r="W130" s="16" t="n">
        <v>0.129054712515662</v>
      </c>
      <c r="X130" s="10" t="n">
        <v>0.63</v>
      </c>
      <c r="Y130" s="15">
        <f>IF(OR(X130="",G130="",G130=0),"",X130/G130)</f>
        <v/>
      </c>
      <c r="Z130" s="18" t="n">
        <v>41.533</v>
      </c>
      <c r="AA130" s="16" t="n">
        <v>0.167</v>
      </c>
      <c r="AB130" s="16" t="n">
        <v>0.05773470748090037</v>
      </c>
      <c r="AC130" s="9">
        <f>IF(AND(O130="",P130=""),"DATI MANCANTI",IF(AND(N(O130)&gt;=PARAMETRI!$B$4,N(P130)&gt;=PARAMETRI!$B$4),"OK","NO"))</f>
        <v/>
      </c>
      <c r="AD130" s="9">
        <f>IF(L130="","N/D",IF(L130&lt;PARAMETRI!$B$6,"OTTIMO",IF(L130&lt;PARAMETRI!$B$5,"OK","NO")))</f>
        <v/>
      </c>
      <c r="AE130" s="9">
        <f>IF(OR(AC130="DATI MANCANTI",AD130="N/D"),"DA COMPLETARE",IF(AND(AC130="OK",AD130="OTTIMO"),"PASSA FORTE",IF(AND(AC130="OK",AD130="OK"),"PASSA","SCARTA")))</f>
        <v/>
      </c>
      <c r="AF130" s="8" t="inlineStr">
        <is>
          <t>2026-08-04</t>
        </is>
      </c>
      <c r="AG130" s="8" t="inlineStr">
        <is>
          <t>yahoo</t>
        </is>
      </c>
      <c r="AH130" s="19" t="inlineStr"/>
    </row>
    <row r="131">
      <c r="A131" s="8" t="n">
        <v>130</v>
      </c>
      <c r="B131" s="8" t="inlineStr">
        <is>
          <t>Linde</t>
        </is>
      </c>
      <c r="C131" s="8" t="inlineStr">
        <is>
          <t>LIN</t>
        </is>
      </c>
      <c r="D131" s="9" t="inlineStr">
        <is>
          <t>USA</t>
        </is>
      </c>
      <c r="E131" s="8" t="inlineStr">
        <is>
          <t>Gas industriali</t>
        </is>
      </c>
      <c r="F131" s="9" t="inlineStr">
        <is>
          <t>Materiali</t>
        </is>
      </c>
      <c r="G131" s="10" t="n">
        <v>480.46</v>
      </c>
      <c r="H131" s="11" t="inlineStr">
        <is>
          <t>USD</t>
        </is>
      </c>
      <c r="I131" s="12" t="n">
        <v>221482.5</v>
      </c>
      <c r="J131" s="10" t="n">
        <v>15.5</v>
      </c>
      <c r="K131" s="10" t="n">
        <v>19.59709</v>
      </c>
      <c r="L131" s="13">
        <f>IF(OR(G131="",J131="",J131&lt;=0),"",G131/J131)</f>
        <v/>
      </c>
      <c r="M131" s="14" t="n">
        <v>5.7631226</v>
      </c>
      <c r="N131" s="15">
        <f>IF(OR(M131="",L131="",L131&lt;=0),"",M131/L131)</f>
        <v/>
      </c>
      <c r="O131" s="16" t="n">
        <v>0.18400998</v>
      </c>
      <c r="P131" s="16" t="n">
        <v>0.1530948240437311</v>
      </c>
      <c r="Q131" s="16" t="n">
        <v>0.02988524127892265</v>
      </c>
      <c r="R131" s="17" t="n">
        <v>4</v>
      </c>
      <c r="S131" s="16" t="n"/>
      <c r="T131" s="16" t="n">
        <v>0.1803634462021179</v>
      </c>
      <c r="U131" s="16" t="n">
        <v>0.1723458994014491</v>
      </c>
      <c r="V131" s="16" t="n">
        <v>0.156067472306143</v>
      </c>
      <c r="W131" s="16" t="n">
        <v>0.1036024782652143</v>
      </c>
      <c r="X131" s="10" t="n">
        <v>6.4</v>
      </c>
      <c r="Y131" s="15">
        <f>IF(OR(X131="",G131="",G131=0),"",X131/G131)</f>
        <v/>
      </c>
      <c r="Z131" s="18" t="n">
        <v>68.947</v>
      </c>
      <c r="AA131" s="16" t="n">
        <v>0.093</v>
      </c>
      <c r="AB131" s="16" t="n">
        <v>0.2131465973047726</v>
      </c>
      <c r="AC131" s="9">
        <f>IF(AND(O131="",P131=""),"DATI MANCANTI",IF(AND(N(O131)&gt;=PARAMETRI!$B$4,N(P131)&gt;=PARAMETRI!$B$4),"OK","NO"))</f>
        <v/>
      </c>
      <c r="AD131" s="9">
        <f>IF(L131="","N/D",IF(L131&lt;PARAMETRI!$B$6,"OTTIMO",IF(L131&lt;PARAMETRI!$B$5,"OK","NO")))</f>
        <v/>
      </c>
      <c r="AE131" s="9">
        <f>IF(OR(AC131="DATI MANCANTI",AD131="N/D"),"DA COMPLETARE",IF(AND(AC131="OK",AD131="OTTIMO"),"PASSA FORTE",IF(AND(AC131="OK",AD131="OK"),"PASSA","SCARTA")))</f>
        <v/>
      </c>
      <c r="AF131" s="8" t="inlineStr">
        <is>
          <t>2026-08-04</t>
        </is>
      </c>
      <c r="AG131" s="8" t="inlineStr">
        <is>
          <t>yahoo</t>
        </is>
      </c>
      <c r="AH131" s="19" t="inlineStr"/>
    </row>
    <row r="132">
      <c r="A132" s="8" t="n">
        <v>131</v>
      </c>
      <c r="B132" s="8" t="inlineStr">
        <is>
          <t>Lockheed Martin</t>
        </is>
      </c>
      <c r="C132" s="8" t="inlineStr">
        <is>
          <t>LMT</t>
        </is>
      </c>
      <c r="D132" s="9" t="inlineStr">
        <is>
          <t>USA</t>
        </is>
      </c>
      <c r="E132" s="8" t="inlineStr">
        <is>
          <t>Difesa</t>
        </is>
      </c>
      <c r="F132" s="9" t="inlineStr">
        <is>
          <t>Industriale</t>
        </is>
      </c>
      <c r="G132" s="10" t="n">
        <v>586.29</v>
      </c>
      <c r="H132" s="11" t="inlineStr">
        <is>
          <t>USD</t>
        </is>
      </c>
      <c r="I132" s="12" t="n">
        <v>135310.3</v>
      </c>
      <c r="J132" s="10" t="n">
        <v>27.1</v>
      </c>
      <c r="K132" s="10" t="n">
        <v>32.71283</v>
      </c>
      <c r="L132" s="13">
        <f>IF(OR(G132="",J132="",J132&lt;=0),"",G132/J132)</f>
        <v/>
      </c>
      <c r="M132" s="14" t="n">
        <v>15.379308</v>
      </c>
      <c r="N132" s="15">
        <f>IF(OR(M132="",L132="",L132&lt;=0),"",M132/L132)</f>
        <v/>
      </c>
      <c r="O132" s="16" t="n">
        <v>0.8916500000000001</v>
      </c>
      <c r="P132" s="16" t="n">
        <v>0.8050196518940778</v>
      </c>
      <c r="Q132" s="16" t="n">
        <v>0.1437100287177017</v>
      </c>
      <c r="R132" s="17" t="n">
        <v>4</v>
      </c>
      <c r="S132" s="16" t="n"/>
      <c r="T132" s="16" t="n">
        <v>0.746466299657789</v>
      </c>
      <c r="U132" s="16" t="n">
        <v>0.8425706616137691</v>
      </c>
      <c r="V132" s="16" t="n">
        <v>1.012435991221653</v>
      </c>
      <c r="W132" s="16" t="n">
        <v>0.6186056550830995</v>
      </c>
      <c r="X132" s="10" t="n">
        <v>13.8</v>
      </c>
      <c r="Y132" s="15">
        <f>IF(OR(X132="",G132="",G132=0),"",X132/G132)</f>
        <v/>
      </c>
      <c r="Z132" s="18" t="n">
        <v>234.238</v>
      </c>
      <c r="AA132" s="16" t="n">
        <v>0.105</v>
      </c>
      <c r="AB132" s="16" t="n">
        <v>0.08377305276622961</v>
      </c>
      <c r="AC132" s="9">
        <f>IF(AND(O132="",P132=""),"DATI MANCANTI",IF(AND(N(O132)&gt;=PARAMETRI!$B$4,N(P132)&gt;=PARAMETRI!$B$4),"OK","NO"))</f>
        <v/>
      </c>
      <c r="AD132" s="9">
        <f>IF(L132="","N/D",IF(L132&lt;PARAMETRI!$B$6,"OTTIMO",IF(L132&lt;PARAMETRI!$B$5,"OK","NO")))</f>
        <v/>
      </c>
      <c r="AE132" s="9">
        <f>IF(OR(AC132="DATI MANCANTI",AD132="N/D"),"DA COMPLETARE",IF(AND(AC132="OK",AD132="OTTIMO"),"PASSA FORTE",IF(AND(AC132="OK",AD132="OK"),"PASSA","SCARTA")))</f>
        <v/>
      </c>
      <c r="AF132" s="8" t="inlineStr">
        <is>
          <t>2026-08-04</t>
        </is>
      </c>
      <c r="AG132" s="8" t="inlineStr">
        <is>
          <t>yahoo</t>
        </is>
      </c>
      <c r="AH132" s="19" t="inlineStr"/>
    </row>
    <row r="133">
      <c r="A133" s="8" t="n">
        <v>132</v>
      </c>
      <c r="B133" s="8" t="inlineStr">
        <is>
          <t>Lottomatica Group</t>
        </is>
      </c>
      <c r="C133" s="8" t="inlineStr">
        <is>
          <t>LTMC.MI</t>
        </is>
      </c>
      <c r="D133" s="9" t="inlineStr">
        <is>
          <t>Italia</t>
        </is>
      </c>
      <c r="E133" s="8" t="inlineStr">
        <is>
          <t>Gaming / Concessioni</t>
        </is>
      </c>
      <c r="F133" s="9" t="inlineStr">
        <is>
          <t>Consumi</t>
        </is>
      </c>
      <c r="G133" s="10" t="n">
        <v>24.2</v>
      </c>
      <c r="H133" s="11" t="inlineStr">
        <is>
          <t>EUR</t>
        </is>
      </c>
      <c r="I133" s="12" t="n">
        <v>5648.7</v>
      </c>
      <c r="J133" s="10" t="n">
        <v>0.91</v>
      </c>
      <c r="K133" s="10" t="n">
        <v>2.25351</v>
      </c>
      <c r="L133" s="13">
        <f>IF(OR(G133="",J133="",J133&lt;=0),"",G133/J133)</f>
        <v/>
      </c>
      <c r="M133" s="14" t="n">
        <v>25.234621</v>
      </c>
      <c r="N133" s="15">
        <f>IF(OR(M133="",L133="",L133&lt;=0),"",M133/L133)</f>
        <v/>
      </c>
      <c r="O133" s="16" t="n">
        <v>0.54611</v>
      </c>
      <c r="P133" s="16" t="n">
        <v>0.5665811918142258</v>
      </c>
      <c r="Q133" s="16" t="n">
        <v>0.5068808803966198</v>
      </c>
      <c r="R133" s="17" t="n">
        <v>4</v>
      </c>
      <c r="S133" s="16" t="n"/>
      <c r="T133" s="16" t="n">
        <v>0.53617682345341</v>
      </c>
      <c r="U133" s="16" t="n">
        <v>0.1903530906289759</v>
      </c>
      <c r="V133" s="16" t="n">
        <v>0.136428439475354</v>
      </c>
      <c r="W133" s="16" t="n">
        <v>1.403366413699163</v>
      </c>
      <c r="X133" s="10" t="n">
        <v>0.44</v>
      </c>
      <c r="Y133" s="15">
        <f>IF(OR(X133="",G133="",G133=0),"",X133/G133)</f>
        <v/>
      </c>
      <c r="Z133" s="18" t="n">
        <v>905.193</v>
      </c>
      <c r="AA133" s="16" t="n">
        <v>0.043</v>
      </c>
      <c r="AB133" s="16" t="n">
        <v>0.09803410237833739</v>
      </c>
      <c r="AC133" s="9">
        <f>IF(AND(O133="",P133=""),"DATI MANCANTI",IF(AND(N(O133)&gt;=PARAMETRI!$B$4,N(P133)&gt;=PARAMETRI!$B$4),"OK","NO"))</f>
        <v/>
      </c>
      <c r="AD133" s="9">
        <f>IF(L133="","N/D",IF(L133&lt;PARAMETRI!$B$6,"OTTIMO",IF(L133&lt;PARAMETRI!$B$5,"OK","NO")))</f>
        <v/>
      </c>
      <c r="AE133" s="9">
        <f>IF(OR(AC133="DATI MANCANTI",AD133="N/D"),"DA COMPLETARE",IF(AND(AC133="OK",AD133="OTTIMO"),"PASSA FORTE",IF(AND(AC133="OK",AD133="OK"),"PASSA","SCARTA")))</f>
        <v/>
      </c>
      <c r="AF133" s="8" t="inlineStr">
        <is>
          <t>2026-08-04</t>
        </is>
      </c>
      <c r="AG133" s="8" t="inlineStr">
        <is>
          <t>yahoo</t>
        </is>
      </c>
      <c r="AH133" s="19" t="inlineStr"/>
    </row>
    <row r="134">
      <c r="A134" s="8" t="n">
        <v>133</v>
      </c>
      <c r="B134" s="8" t="inlineStr">
        <is>
          <t>Lowe's</t>
        </is>
      </c>
      <c r="C134" s="8" t="inlineStr">
        <is>
          <t>LOW</t>
        </is>
      </c>
      <c r="D134" s="9" t="inlineStr">
        <is>
          <t>USA</t>
        </is>
      </c>
      <c r="E134" s="8" t="inlineStr">
        <is>
          <t>Distribuzione specializzata</t>
        </is>
      </c>
      <c r="F134" s="9" t="inlineStr">
        <is>
          <t>Consumi</t>
        </is>
      </c>
      <c r="G134" s="10" t="n">
        <v>212.06</v>
      </c>
      <c r="H134" s="11" t="inlineStr">
        <is>
          <t>USD</t>
        </is>
      </c>
      <c r="I134" s="12" t="n">
        <v>118965.7</v>
      </c>
      <c r="J134" s="10" t="n">
        <v>11.82</v>
      </c>
      <c r="K134" s="10" t="n">
        <v>13.45927</v>
      </c>
      <c r="L134" s="13">
        <f>IF(OR(G134="",J134="",J134&lt;=0),"",G134/J134)</f>
        <v/>
      </c>
      <c r="M134" s="14" t="n">
        <v>-12.833454</v>
      </c>
      <c r="N134" s="15">
        <f>IF(OR(M134="",L134="",L134&lt;=0),"",M134/L134)</f>
        <v/>
      </c>
      <c r="O134" s="16" t="n"/>
      <c r="P134" s="16" t="n"/>
      <c r="Q134" s="16" t="n"/>
      <c r="R134" s="17" t="n">
        <v>0</v>
      </c>
      <c r="S134" s="16" t="n"/>
      <c r="T134" s="16" t="n"/>
      <c r="U134" s="16" t="n"/>
      <c r="V134" s="16" t="n"/>
      <c r="W134" s="16" t="n"/>
      <c r="X134" s="10" t="n">
        <v>5</v>
      </c>
      <c r="Y134" s="15">
        <f>IF(OR(X134="",G134="",G134=0),"",X134/G134)</f>
        <v/>
      </c>
      <c r="Z134" s="18" t="n"/>
      <c r="AA134" s="16" t="n">
        <v>0.103</v>
      </c>
      <c r="AB134" s="16" t="n">
        <v>0.07675636909811558</v>
      </c>
      <c r="AC134" s="9">
        <f>IF(AND(O134="",P134=""),"DATI MANCANTI",IF(AND(N(O134)&gt;=PARAMETRI!$B$4,N(P134)&gt;=PARAMETRI!$B$4),"OK","NO"))</f>
        <v/>
      </c>
      <c r="AD134" s="9">
        <f>IF(L134="","N/D",IF(L134&lt;PARAMETRI!$B$6,"OTTIMO",IF(L134&lt;PARAMETRI!$B$5,"OK","NO")))</f>
        <v/>
      </c>
      <c r="AE134" s="9">
        <f>IF(OR(AC134="DATI MANCANTI",AD134="N/D"),"DA COMPLETARE",IF(AND(AC134="OK",AD134="OTTIMO"),"PASSA FORTE",IF(AND(AC134="OK",AD134="OK"),"PASSA","SCARTA")))</f>
        <v/>
      </c>
      <c r="AF134" s="8" t="inlineStr">
        <is>
          <t>2026-08-04</t>
        </is>
      </c>
      <c r="AG134" s="8" t="inlineStr">
        <is>
          <t>yahoo</t>
        </is>
      </c>
      <c r="AH134" s="19" t="inlineStr"/>
    </row>
    <row r="135">
      <c r="A135" s="8" t="n">
        <v>134</v>
      </c>
      <c r="B135" s="8" t="inlineStr">
        <is>
          <t>MFE-MediaForEurope A</t>
        </is>
      </c>
      <c r="C135" s="8" t="inlineStr">
        <is>
          <t>MFEA.MI</t>
        </is>
      </c>
      <c r="D135" s="9" t="inlineStr">
        <is>
          <t>Italia</t>
        </is>
      </c>
      <c r="E135" s="8" t="inlineStr">
        <is>
          <t>Media / TV</t>
        </is>
      </c>
      <c r="F135" s="9" t="inlineStr">
        <is>
          <t>Industriale</t>
        </is>
      </c>
      <c r="G135" s="10" t="n">
        <v>2.658</v>
      </c>
      <c r="H135" s="11" t="inlineStr">
        <is>
          <t>EUR</t>
        </is>
      </c>
      <c r="I135" s="12" t="n">
        <v>1859.6</v>
      </c>
      <c r="J135" s="10" t="n">
        <v>0.3</v>
      </c>
      <c r="K135" s="10" t="n">
        <v>0.50581</v>
      </c>
      <c r="L135" s="13">
        <f>IF(OR(G135="",J135="",J135&lt;=0),"",G135/J135)</f>
        <v/>
      </c>
      <c r="M135" s="14" t="n">
        <v>0.53384215</v>
      </c>
      <c r="N135" s="15">
        <f>IF(OR(M135="",L135="",L135&lt;=0),"",M135/L135)</f>
        <v/>
      </c>
      <c r="O135" s="16" t="n">
        <v>0.07248</v>
      </c>
      <c r="P135" s="16" t="n">
        <v>0.07215163334997049</v>
      </c>
      <c r="Q135" s="16" t="n">
        <v>0.01470500804818441</v>
      </c>
      <c r="R135" s="17" t="n">
        <v>4</v>
      </c>
      <c r="S135" s="16" t="n"/>
      <c r="T135" s="16" t="n">
        <v>0.08632122864934692</v>
      </c>
      <c r="U135" s="16" t="n">
        <v>0.04807055460661624</v>
      </c>
      <c r="V135" s="16" t="n">
        <v>0.07291485134711234</v>
      </c>
      <c r="W135" s="16" t="n">
        <v>0.08129989879680648</v>
      </c>
      <c r="X135" s="10" t="n">
        <v>0.22</v>
      </c>
      <c r="Y135" s="15">
        <f>IF(OR(X135="",G135="",G135=0),"",X135/G135)</f>
        <v/>
      </c>
      <c r="Z135" s="18" t="n">
        <v>77.363</v>
      </c>
      <c r="AA135" s="16" t="n">
        <v>1.178</v>
      </c>
      <c r="AB135" s="16" t="n">
        <v>0.05589782118707739</v>
      </c>
      <c r="AC135" s="9">
        <f>IF(AND(O135="",P135=""),"DATI MANCANTI",IF(AND(N(O135)&gt;=PARAMETRI!$B$4,N(P135)&gt;=PARAMETRI!$B$4),"OK","NO"))</f>
        <v/>
      </c>
      <c r="AD135" s="9">
        <f>IF(L135="","N/D",IF(L135&lt;PARAMETRI!$B$6,"OTTIMO",IF(L135&lt;PARAMETRI!$B$5,"OK","NO")))</f>
        <v/>
      </c>
      <c r="AE135" s="9">
        <f>IF(OR(AC135="DATI MANCANTI",AD135="N/D"),"DA COMPLETARE",IF(AND(AC135="OK",AD135="OTTIMO"),"PASSA FORTE",IF(AND(AC135="OK",AD135="OK"),"PASSA","SCARTA")))</f>
        <v/>
      </c>
      <c r="AF135" s="8" t="inlineStr">
        <is>
          <t>2026-08-04</t>
        </is>
      </c>
      <c r="AG135" s="8" t="inlineStr">
        <is>
          <t>yahoo</t>
        </is>
      </c>
      <c r="AH135" s="19" t="inlineStr"/>
    </row>
    <row r="136">
      <c r="A136" s="8" t="n">
        <v>135</v>
      </c>
      <c r="B136" s="8" t="inlineStr">
        <is>
          <t>MFE-MediaForEurope B</t>
        </is>
      </c>
      <c r="C136" s="8" t="inlineStr">
        <is>
          <t>MFEB.MI</t>
        </is>
      </c>
      <c r="D136" s="9" t="inlineStr">
        <is>
          <t>Italia</t>
        </is>
      </c>
      <c r="E136" s="8" t="inlineStr">
        <is>
          <t>Media / TV</t>
        </is>
      </c>
      <c r="F136" s="9" t="inlineStr">
        <is>
          <t>Industriale</t>
        </is>
      </c>
      <c r="G136" s="10" t="n">
        <v>3.638</v>
      </c>
      <c r="H136" s="11" t="inlineStr">
        <is>
          <t>EUR</t>
        </is>
      </c>
      <c r="I136" s="12" t="n">
        <v>2545.3</v>
      </c>
      <c r="J136" s="10" t="n">
        <v>0.3</v>
      </c>
      <c r="K136" s="10" t="n">
        <v>0.55927</v>
      </c>
      <c r="L136" s="13">
        <f>IF(OR(G136="",J136="",J136&lt;=0),"",G136/J136)</f>
        <v/>
      </c>
      <c r="M136" s="14" t="n">
        <v>0.7306688</v>
      </c>
      <c r="N136" s="15">
        <f>IF(OR(M136="",L136="",L136&lt;=0),"",M136/L136)</f>
        <v/>
      </c>
      <c r="O136" s="16" t="n">
        <v>0.07248</v>
      </c>
      <c r="P136" s="16" t="n">
        <v>0.07215163334997049</v>
      </c>
      <c r="Q136" s="16" t="n">
        <v>0.01470500804818441</v>
      </c>
      <c r="R136" s="17" t="n">
        <v>4</v>
      </c>
      <c r="S136" s="16" t="n"/>
      <c r="T136" s="16" t="n">
        <v>0.08632122864934692</v>
      </c>
      <c r="U136" s="16" t="n">
        <v>0.04807055460661624</v>
      </c>
      <c r="V136" s="16" t="n">
        <v>0.07291485134711234</v>
      </c>
      <c r="W136" s="16" t="n">
        <v>0.08129989879680648</v>
      </c>
      <c r="X136" s="10" t="n">
        <v>0.22</v>
      </c>
      <c r="Y136" s="15">
        <f>IF(OR(X136="",G136="",G136=0),"",X136/G136)</f>
        <v/>
      </c>
      <c r="Z136" s="18" t="n">
        <v>77.363</v>
      </c>
      <c r="AA136" s="16" t="n">
        <v>1.178</v>
      </c>
      <c r="AB136" s="16" t="n">
        <v>0.05589782118707739</v>
      </c>
      <c r="AC136" s="9">
        <f>IF(AND(O136="",P136=""),"DATI MANCANTI",IF(AND(N(O136)&gt;=PARAMETRI!$B$4,N(P136)&gt;=PARAMETRI!$B$4),"OK","NO"))</f>
        <v/>
      </c>
      <c r="AD136" s="9">
        <f>IF(L136="","N/D",IF(L136&lt;PARAMETRI!$B$6,"OTTIMO",IF(L136&lt;PARAMETRI!$B$5,"OK","NO")))</f>
        <v/>
      </c>
      <c r="AE136" s="9">
        <f>IF(OR(AC136="DATI MANCANTI",AD136="N/D"),"DA COMPLETARE",IF(AND(AC136="OK",AD136="OTTIMO"),"PASSA FORTE",IF(AND(AC136="OK",AD136="OK"),"PASSA","SCARTA")))</f>
        <v/>
      </c>
      <c r="AF136" s="8" t="inlineStr">
        <is>
          <t>2026-08-04</t>
        </is>
      </c>
      <c r="AG136" s="8" t="inlineStr">
        <is>
          <t>yahoo</t>
        </is>
      </c>
      <c r="AH136" s="19" t="inlineStr">
        <is>
          <t>Stessa societa' di MFEA, voto multiplo</t>
        </is>
      </c>
    </row>
    <row r="137">
      <c r="A137" s="8" t="n">
        <v>136</v>
      </c>
      <c r="B137" s="8" t="inlineStr">
        <is>
          <t>Maire</t>
        </is>
      </c>
      <c r="C137" s="8" t="inlineStr">
        <is>
          <t>MAIRE.MI</t>
        </is>
      </c>
      <c r="D137" s="9" t="inlineStr">
        <is>
          <t>Italia</t>
        </is>
      </c>
      <c r="E137" s="8" t="inlineStr">
        <is>
          <t>Impiantistica</t>
        </is>
      </c>
      <c r="F137" s="9" t="inlineStr">
        <is>
          <t>Industriale</t>
        </is>
      </c>
      <c r="G137" s="10" t="n">
        <v>12.98</v>
      </c>
      <c r="H137" s="11" t="inlineStr">
        <is>
          <t>EUR</t>
        </is>
      </c>
      <c r="I137" s="12" t="n">
        <v>4227.2</v>
      </c>
      <c r="J137" s="10" t="n">
        <v>0.83</v>
      </c>
      <c r="K137" s="10" t="n">
        <v>1.02029</v>
      </c>
      <c r="L137" s="13">
        <f>IF(OR(G137="",J137="",J137&lt;=0),"",G137/J137)</f>
        <v/>
      </c>
      <c r="M137" s="14" t="n">
        <v>5.948671</v>
      </c>
      <c r="N137" s="15">
        <f>IF(OR(M137="",L137="",L137&lt;=0),"",M137/L137)</f>
        <v/>
      </c>
      <c r="O137" s="16" t="n">
        <v>0.48770002</v>
      </c>
      <c r="P137" s="16" t="n">
        <v>0.2798475537626282</v>
      </c>
      <c r="Q137" s="16" t="n">
        <v>0.07298807403400039</v>
      </c>
      <c r="R137" s="17" t="n">
        <v>4</v>
      </c>
      <c r="S137" s="16" t="n"/>
      <c r="T137" s="16" t="n">
        <v>0.3651153492743763</v>
      </c>
      <c r="U137" s="16" t="n">
        <v>0.3334743216615139</v>
      </c>
      <c r="V137" s="16" t="n">
        <v>0.2379389607111064</v>
      </c>
      <c r="W137" s="16" t="n">
        <v>0.182861583403516</v>
      </c>
      <c r="X137" s="10" t="n">
        <v>0.59</v>
      </c>
      <c r="Y137" s="15">
        <f>IF(OR(X137="",G137="",G137=0),"",X137/G137)</f>
        <v/>
      </c>
      <c r="Z137" s="18" t="n">
        <v>235.473</v>
      </c>
      <c r="AA137" s="16" t="n">
        <v>0.066</v>
      </c>
      <c r="AB137" s="16" t="n">
        <v>0.03901697042341981</v>
      </c>
      <c r="AC137" s="9">
        <f>IF(AND(O137="",P137=""),"DATI MANCANTI",IF(AND(N(O137)&gt;=PARAMETRI!$B$4,N(P137)&gt;=PARAMETRI!$B$4),"OK","NO"))</f>
        <v/>
      </c>
      <c r="AD137" s="9">
        <f>IF(L137="","N/D",IF(L137&lt;PARAMETRI!$B$6,"OTTIMO",IF(L137&lt;PARAMETRI!$B$5,"OK","NO")))</f>
        <v/>
      </c>
      <c r="AE137" s="9">
        <f>IF(OR(AC137="DATI MANCANTI",AD137="N/D"),"DA COMPLETARE",IF(AND(AC137="OK",AD137="OTTIMO"),"PASSA FORTE",IF(AND(AC137="OK",AD137="OK"),"PASSA","SCARTA")))</f>
        <v/>
      </c>
      <c r="AF137" s="8" t="inlineStr">
        <is>
          <t>2026-08-04</t>
        </is>
      </c>
      <c r="AG137" s="8" t="inlineStr">
        <is>
          <t>yahoo</t>
        </is>
      </c>
      <c r="AH137" s="19" t="inlineStr"/>
    </row>
    <row r="138">
      <c r="A138" s="8" t="n">
        <v>137</v>
      </c>
      <c r="B138" s="8" t="inlineStr">
        <is>
          <t>Marathon Petroleum</t>
        </is>
      </c>
      <c r="C138" s="8" t="inlineStr">
        <is>
          <t>MPC</t>
        </is>
      </c>
      <c r="D138" s="9" t="inlineStr">
        <is>
          <t>USA</t>
        </is>
      </c>
      <c r="E138" s="8" t="inlineStr">
        <is>
          <t>Raffinazione</t>
        </is>
      </c>
      <c r="F138" s="9" t="inlineStr">
        <is>
          <t>Energia</t>
        </is>
      </c>
      <c r="G138" s="10" t="n">
        <v>307.03</v>
      </c>
      <c r="H138" s="11" t="inlineStr">
        <is>
          <t>USD</t>
        </is>
      </c>
      <c r="I138" s="12" t="n">
        <v>89633.3</v>
      </c>
      <c r="J138" s="10" t="n">
        <v>15.19</v>
      </c>
      <c r="K138" s="10" t="n">
        <v>27.76904</v>
      </c>
      <c r="L138" s="13">
        <f>IF(OR(G138="",J138="",J138&lt;=0),"",G138/J138)</f>
        <v/>
      </c>
      <c r="M138" s="14" t="n">
        <v>5.369817</v>
      </c>
      <c r="N138" s="15">
        <f>IF(OR(M138="",L138="",L138&lt;=0),"",M138/L138)</f>
        <v/>
      </c>
      <c r="O138" s="16" t="n">
        <v>0.27458</v>
      </c>
      <c r="P138" s="16" t="n">
        <v>0.3370844086701393</v>
      </c>
      <c r="Q138" s="16" t="n">
        <v>0.1318279662032452</v>
      </c>
      <c r="R138" s="17" t="n">
        <v>4</v>
      </c>
      <c r="S138" s="16" t="n"/>
      <c r="T138" s="16" t="n">
        <v>0.2337414808825228</v>
      </c>
      <c r="U138" s="16" t="n">
        <v>0.1941391941391941</v>
      </c>
      <c r="V138" s="16" t="n">
        <v>0.3966972627438125</v>
      </c>
      <c r="W138" s="16" t="n">
        <v>0.523759696915028</v>
      </c>
      <c r="X138" s="10" t="n">
        <v>4</v>
      </c>
      <c r="Y138" s="15">
        <f>IF(OR(X138="",G138="",G138=0),"",X138/G138)</f>
        <v/>
      </c>
      <c r="Z138" s="18" t="n">
        <v>146.523</v>
      </c>
      <c r="AA138" s="16" t="n">
        <v>0.08799999999999999</v>
      </c>
      <c r="AB138" s="16" t="n">
        <v>0.0348759202706878</v>
      </c>
      <c r="AC138" s="9">
        <f>IF(AND(O138="",P138=""),"DATI MANCANTI",IF(AND(N(O138)&gt;=PARAMETRI!$B$4,N(P138)&gt;=PARAMETRI!$B$4),"OK","NO"))</f>
        <v/>
      </c>
      <c r="AD138" s="9">
        <f>IF(L138="","N/D",IF(L138&lt;PARAMETRI!$B$6,"OTTIMO",IF(L138&lt;PARAMETRI!$B$5,"OK","NO")))</f>
        <v/>
      </c>
      <c r="AE138" s="9">
        <f>IF(OR(AC138="DATI MANCANTI",AD138="N/D"),"DA COMPLETARE",IF(AND(AC138="OK",AD138="OTTIMO"),"PASSA FORTE",IF(AND(AC138="OK",AD138="OK"),"PASSA","SCARTA")))</f>
        <v/>
      </c>
      <c r="AF138" s="8" t="inlineStr">
        <is>
          <t>2026-08-04</t>
        </is>
      </c>
      <c r="AG138" s="8" t="inlineStr">
        <is>
          <t>yahoo</t>
        </is>
      </c>
      <c r="AH138" s="19" t="inlineStr"/>
    </row>
    <row r="139">
      <c r="A139" s="8" t="n">
        <v>138</v>
      </c>
      <c r="B139" s="8" t="inlineStr">
        <is>
          <t>Marriott International</t>
        </is>
      </c>
      <c r="C139" s="8" t="inlineStr">
        <is>
          <t>MAR</t>
        </is>
      </c>
      <c r="D139" s="9" t="inlineStr">
        <is>
          <t>USA</t>
        </is>
      </c>
      <c r="E139" s="8" t="inlineStr">
        <is>
          <t>Alberghiero</t>
        </is>
      </c>
      <c r="F139" s="9" t="inlineStr">
        <is>
          <t>Consumi</t>
        </is>
      </c>
      <c r="G139" s="10" t="n">
        <v>346.83</v>
      </c>
      <c r="H139" s="11" t="inlineStr">
        <is>
          <t>USD</t>
        </is>
      </c>
      <c r="I139" s="12" t="n">
        <v>90441.60000000001</v>
      </c>
      <c r="J139" s="10" t="n">
        <v>9.539999999999999</v>
      </c>
      <c r="K139" s="10" t="n">
        <v>13.1172</v>
      </c>
      <c r="L139" s="13">
        <f>IF(OR(G139="",J139="",J139&lt;=0),"",G139/J139)</f>
        <v/>
      </c>
      <c r="M139" s="14" t="n">
        <v>-22.435474</v>
      </c>
      <c r="N139" s="15">
        <f>IF(OR(M139="",L139="",L139&lt;=0),"",M139/L139)</f>
        <v/>
      </c>
      <c r="O139" s="16" t="n">
        <v>4.151408450704225</v>
      </c>
      <c r="P139" s="16" t="n">
        <v>4.151408450704225</v>
      </c>
      <c r="Q139" s="16" t="n"/>
      <c r="R139" s="17" t="n">
        <v>1</v>
      </c>
      <c r="S139" s="16" t="n"/>
      <c r="T139" s="16" t="n"/>
      <c r="U139" s="16" t="n"/>
      <c r="V139" s="16" t="n"/>
      <c r="W139" s="16" t="n">
        <v>4.151408450704225</v>
      </c>
      <c r="X139" s="10" t="n">
        <v>2.92</v>
      </c>
      <c r="Y139" s="15">
        <f>IF(OR(X139="",G139="",G139=0),"",X139/G139)</f>
        <v/>
      </c>
      <c r="Z139" s="18" t="n"/>
      <c r="AA139" s="16" t="n">
        <v>0.126</v>
      </c>
      <c r="AB139" s="16" t="n">
        <v>0.09867868326586726</v>
      </c>
      <c r="AC139" s="9">
        <f>IF(AND(O139="",P139=""),"DATI MANCANTI",IF(AND(N(O139)&gt;=PARAMETRI!$B$4,N(P139)&gt;=PARAMETRI!$B$4),"OK","NO"))</f>
        <v/>
      </c>
      <c r="AD139" s="9">
        <f>IF(L139="","N/D",IF(L139&lt;PARAMETRI!$B$6,"OTTIMO",IF(L139&lt;PARAMETRI!$B$5,"OK","NO")))</f>
        <v/>
      </c>
      <c r="AE139" s="9">
        <f>IF(OR(AC139="DATI MANCANTI",AD139="N/D"),"DA COMPLETARE",IF(AND(AC139="OK",AD139="OTTIMO"),"PASSA FORTE",IF(AND(AC139="OK",AD139="OK"),"PASSA","SCARTA")))</f>
        <v/>
      </c>
      <c r="AF139" s="8" t="inlineStr">
        <is>
          <t>2026-08-04</t>
        </is>
      </c>
      <c r="AG139" s="8" t="inlineStr">
        <is>
          <t>yahoo</t>
        </is>
      </c>
      <c r="AH139" s="19" t="inlineStr"/>
    </row>
    <row r="140">
      <c r="A140" s="8" t="n">
        <v>139</v>
      </c>
      <c r="B140" s="8" t="inlineStr">
        <is>
          <t>Marvell Technology</t>
        </is>
      </c>
      <c r="C140" s="8" t="inlineStr">
        <is>
          <t>MRVL</t>
        </is>
      </c>
      <c r="D140" s="9" t="inlineStr">
        <is>
          <t>USA</t>
        </is>
      </c>
      <c r="E140" s="8" t="inlineStr">
        <is>
          <t>Semiconduttori</t>
        </is>
      </c>
      <c r="F140" s="9" t="inlineStr">
        <is>
          <t>Tecnologia</t>
        </is>
      </c>
      <c r="G140" s="10" t="n">
        <v>193.775</v>
      </c>
      <c r="H140" s="11" t="inlineStr">
        <is>
          <t>USD</t>
        </is>
      </c>
      <c r="I140" s="12" t="n">
        <v>173921.7</v>
      </c>
      <c r="J140" s="10" t="n">
        <v>2.91</v>
      </c>
      <c r="K140" s="10" t="n">
        <v>6.24094</v>
      </c>
      <c r="L140" s="13">
        <f>IF(OR(G140="",J140="",J140&lt;=0),"",G140/J140)</f>
        <v/>
      </c>
      <c r="M140" s="14" t="n">
        <v>9.314314</v>
      </c>
      <c r="N140" s="15">
        <f>IF(OR(M140="",L140="",L140&lt;=0),"",M140/L140)</f>
        <v/>
      </c>
      <c r="O140" s="16" t="n">
        <v>0.16028</v>
      </c>
      <c r="P140" s="16" t="n">
        <v>0.01182720310676225</v>
      </c>
      <c r="Q140" s="16" t="n">
        <v>0.1032937733974441</v>
      </c>
      <c r="R140" s="17" t="n">
        <v>4</v>
      </c>
      <c r="S140" s="16" t="n">
        <v>0.1866106622683179</v>
      </c>
      <c r="T140" s="16" t="n">
        <v>-0.06591196842183659</v>
      </c>
      <c r="U140" s="16" t="n">
        <v>-0.06293404533624607</v>
      </c>
      <c r="V140" s="16" t="n">
        <v>-0.01045583608318625</v>
      </c>
      <c r="W140" s="16" t="n"/>
      <c r="X140" s="10" t="n">
        <v>0.24</v>
      </c>
      <c r="Y140" s="15">
        <f>IF(OR(X140="",G140="",G140=0),"",X140/G140)</f>
        <v/>
      </c>
      <c r="Z140" s="18" t="n">
        <v>28.97</v>
      </c>
      <c r="AA140" s="16" t="n">
        <v>0.276</v>
      </c>
      <c r="AB140" s="16" t="n">
        <v>0.3083372015717668</v>
      </c>
      <c r="AC140" s="9">
        <f>IF(AND(O140="",P140=""),"DATI MANCANTI",IF(AND(N(O140)&gt;=PARAMETRI!$B$4,N(P140)&gt;=PARAMETRI!$B$4),"OK","NO"))</f>
        <v/>
      </c>
      <c r="AD140" s="9">
        <f>IF(L140="","N/D",IF(L140&lt;PARAMETRI!$B$6,"OTTIMO",IF(L140&lt;PARAMETRI!$B$5,"OK","NO")))</f>
        <v/>
      </c>
      <c r="AE140" s="9">
        <f>IF(OR(AC140="DATI MANCANTI",AD140="N/D"),"DA COMPLETARE",IF(AND(AC140="OK",AD140="OTTIMO"),"PASSA FORTE",IF(AND(AC140="OK",AD140="OK"),"PASSA","SCARTA")))</f>
        <v/>
      </c>
      <c r="AF140" s="8" t="inlineStr">
        <is>
          <t>2026-08-04</t>
        </is>
      </c>
      <c r="AG140" s="8" t="inlineStr">
        <is>
          <t>yahoo</t>
        </is>
      </c>
      <c r="AH140" s="19" t="inlineStr"/>
    </row>
    <row r="141">
      <c r="A141" s="8" t="n">
        <v>140</v>
      </c>
      <c r="B141" s="8" t="inlineStr">
        <is>
          <t>Mastercard</t>
        </is>
      </c>
      <c r="C141" s="8" t="inlineStr">
        <is>
          <t>MA</t>
        </is>
      </c>
      <c r="D141" s="9" t="inlineStr">
        <is>
          <t>USA</t>
        </is>
      </c>
      <c r="E141" s="8" t="inlineStr">
        <is>
          <t>Pagamenti</t>
        </is>
      </c>
      <c r="F141" s="9" t="inlineStr">
        <is>
          <t>Finanziario</t>
        </is>
      </c>
      <c r="G141" s="10" t="n">
        <v>570.97</v>
      </c>
      <c r="H141" s="11" t="inlineStr">
        <is>
          <t>USD</t>
        </is>
      </c>
      <c r="I141" s="12" t="n">
        <v>500175.4</v>
      </c>
      <c r="J141" s="10" t="n">
        <v>18.17</v>
      </c>
      <c r="K141" s="10" t="n">
        <v>22.97241</v>
      </c>
      <c r="L141" s="13">
        <f>IF(OR(G141="",J141="",J141&lt;=0),"",G141/J141)</f>
        <v/>
      </c>
      <c r="M141" s="14" t="n">
        <v>89.26985000000001</v>
      </c>
      <c r="N141" s="15">
        <f>IF(OR(M141="",L141="",L141&lt;=0),"",M141/L141)</f>
        <v/>
      </c>
      <c r="O141" s="16" t="n">
        <v>2.41202</v>
      </c>
      <c r="P141" s="16" t="n">
        <v>1.778040213012595</v>
      </c>
      <c r="Q141" s="16" t="n">
        <v>0.1832547811414374</v>
      </c>
      <c r="R141" s="17" t="n">
        <v>4</v>
      </c>
      <c r="S141" s="16" t="n"/>
      <c r="T141" s="16" t="n">
        <v>1.934599974150187</v>
      </c>
      <c r="U141" s="16" t="n">
        <v>1.985196607555898</v>
      </c>
      <c r="V141" s="16" t="n">
        <v>1.615673257324289</v>
      </c>
      <c r="W141" s="16" t="n">
        <v>1.576691013020006</v>
      </c>
      <c r="X141" s="10" t="n">
        <v>3.48</v>
      </c>
      <c r="Y141" s="15">
        <f>IF(OR(X141="",G141="",G141=0),"",X141/G141)</f>
        <v/>
      </c>
      <c r="Z141" s="18" t="n">
        <v>439.583</v>
      </c>
      <c r="AA141" s="16" t="n">
        <v>0.141</v>
      </c>
      <c r="AB141" s="16" t="n">
        <v>0.4957762937391357</v>
      </c>
      <c r="AC141" s="9">
        <f>IF(AND(O141="",P141=""),"DATI MANCANTI",IF(AND(N(O141)&gt;=PARAMETRI!$B$4,N(P141)&gt;=PARAMETRI!$B$4),"OK","NO"))</f>
        <v/>
      </c>
      <c r="AD141" s="9">
        <f>IF(L141="","N/D",IF(L141&lt;PARAMETRI!$B$6,"OTTIMO",IF(L141&lt;PARAMETRI!$B$5,"OK","NO")))</f>
        <v/>
      </c>
      <c r="AE141" s="9">
        <f>IF(OR(AC141="DATI MANCANTI",AD141="N/D"),"DA COMPLETARE",IF(AND(AC141="OK",AD141="OTTIMO"),"PASSA FORTE",IF(AND(AC141="OK",AD141="OK"),"PASSA","SCARTA")))</f>
        <v/>
      </c>
      <c r="AF141" s="8" t="inlineStr">
        <is>
          <t>2026-08-04</t>
        </is>
      </c>
      <c r="AG141" s="8" t="inlineStr">
        <is>
          <t>yahoo</t>
        </is>
      </c>
      <c r="AH141" s="19" t="inlineStr"/>
    </row>
    <row r="142">
      <c r="A142" s="8" t="n">
        <v>141</v>
      </c>
      <c r="B142" s="8" t="inlineStr">
        <is>
          <t>McDonald's</t>
        </is>
      </c>
      <c r="C142" s="8" t="inlineStr">
        <is>
          <t>MCD</t>
        </is>
      </c>
      <c r="D142" s="9" t="inlineStr">
        <is>
          <t>USA</t>
        </is>
      </c>
      <c r="E142" s="8" t="inlineStr">
        <is>
          <t>Ristorazione</t>
        </is>
      </c>
      <c r="F142" s="9" t="inlineStr">
        <is>
          <t>Consumi</t>
        </is>
      </c>
      <c r="G142" s="10" t="n">
        <v>265.23</v>
      </c>
      <c r="H142" s="11" t="inlineStr">
        <is>
          <t>USD</t>
        </is>
      </c>
      <c r="I142" s="12" t="n">
        <v>188447.5</v>
      </c>
      <c r="J142" s="10" t="n">
        <v>12.12</v>
      </c>
      <c r="K142" s="10" t="n">
        <v>14.1144</v>
      </c>
      <c r="L142" s="13">
        <f>IF(OR(G142="",J142="",J142&lt;=0),"",G142/J142)</f>
        <v/>
      </c>
      <c r="M142" s="14" t="n">
        <v>-146.53592</v>
      </c>
      <c r="N142" s="15">
        <f>IF(OR(M142="",L142="",L142&lt;=0),"",M142/L142)</f>
        <v/>
      </c>
      <c r="O142" s="16" t="n"/>
      <c r="P142" s="16" t="n"/>
      <c r="Q142" s="16" t="n"/>
      <c r="R142" s="17" t="n">
        <v>0</v>
      </c>
      <c r="S142" s="16" t="n"/>
      <c r="T142" s="16" t="n"/>
      <c r="U142" s="16" t="n"/>
      <c r="V142" s="16" t="n"/>
      <c r="W142" s="16" t="n"/>
      <c r="X142" s="10" t="n">
        <v>7.44</v>
      </c>
      <c r="Y142" s="15">
        <f>IF(OR(X142="",G142="",G142=0),"",X142/G142)</f>
        <v/>
      </c>
      <c r="Z142" s="18" t="n"/>
      <c r="AA142" s="16" t="n">
        <v>0.094</v>
      </c>
      <c r="AB142" s="16" t="n">
        <v>0.3227822062860331</v>
      </c>
      <c r="AC142" s="9">
        <f>IF(AND(O142="",P142=""),"DATI MANCANTI",IF(AND(N(O142)&gt;=PARAMETRI!$B$4,N(P142)&gt;=PARAMETRI!$B$4),"OK","NO"))</f>
        <v/>
      </c>
      <c r="AD142" s="9">
        <f>IF(L142="","N/D",IF(L142&lt;PARAMETRI!$B$6,"OTTIMO",IF(L142&lt;PARAMETRI!$B$5,"OK","NO")))</f>
        <v/>
      </c>
      <c r="AE142" s="9">
        <f>IF(OR(AC142="DATI MANCANTI",AD142="N/D"),"DA COMPLETARE",IF(AND(AC142="OK",AD142="OTTIMO"),"PASSA FORTE",IF(AND(AC142="OK",AD142="OK"),"PASSA","SCARTA")))</f>
        <v/>
      </c>
      <c r="AF142" s="8" t="inlineStr">
        <is>
          <t>2026-08-04</t>
        </is>
      </c>
      <c r="AG142" s="8" t="inlineStr">
        <is>
          <t>yahoo</t>
        </is>
      </c>
      <c r="AH142" s="19" t="inlineStr"/>
    </row>
    <row r="143">
      <c r="A143" s="8" t="n">
        <v>142</v>
      </c>
      <c r="B143" s="8" t="inlineStr">
        <is>
          <t>McKesson</t>
        </is>
      </c>
      <c r="C143" s="8" t="inlineStr">
        <is>
          <t>MCK</t>
        </is>
      </c>
      <c r="D143" s="9" t="inlineStr">
        <is>
          <t>USA</t>
        </is>
      </c>
      <c r="E143" s="8" t="inlineStr">
        <is>
          <t>Distribuzione farmaceutica</t>
        </is>
      </c>
      <c r="F143" s="9" t="inlineStr">
        <is>
          <t>Salute</t>
        </is>
      </c>
      <c r="G143" s="10" t="n">
        <v>827.14</v>
      </c>
      <c r="H143" s="11" t="inlineStr">
        <is>
          <t>USD</t>
        </is>
      </c>
      <c r="I143" s="12" t="n">
        <v>96839.7</v>
      </c>
      <c r="J143" s="10" t="n">
        <v>38.36</v>
      </c>
      <c r="K143" s="10" t="n">
        <v>50.37593</v>
      </c>
      <c r="L143" s="13">
        <f>IF(OR(G143="",J143="",J143&lt;=0),"",G143/J143)</f>
        <v/>
      </c>
      <c r="M143" s="14" t="n">
        <v>-45.69834</v>
      </c>
      <c r="N143" s="15">
        <f>IF(OR(M143="",L143="",L143&lt;=0),"",M143/L143)</f>
        <v/>
      </c>
      <c r="O143" s="16" t="n"/>
      <c r="P143" s="16" t="n"/>
      <c r="Q143" s="16" t="n"/>
      <c r="R143" s="17" t="n">
        <v>0</v>
      </c>
      <c r="S143" s="16" t="n"/>
      <c r="T143" s="16" t="n"/>
      <c r="U143" s="16" t="n"/>
      <c r="V143" s="16" t="n"/>
      <c r="W143" s="16" t="n"/>
      <c r="X143" s="10" t="n">
        <v>3.76</v>
      </c>
      <c r="Y143" s="15">
        <f>IF(OR(X143="",G143="",G143=0),"",X143/G143)</f>
        <v/>
      </c>
      <c r="Z143" s="18" t="n"/>
      <c r="AA143" s="16" t="n">
        <v>0.06</v>
      </c>
      <c r="AB143" s="16" t="n">
        <v>0.01180378224723</v>
      </c>
      <c r="AC143" s="9">
        <f>IF(AND(O143="",P143=""),"DATI MANCANTI",IF(AND(N(O143)&gt;=PARAMETRI!$B$4,N(P143)&gt;=PARAMETRI!$B$4),"OK","NO"))</f>
        <v/>
      </c>
      <c r="AD143" s="9">
        <f>IF(L143="","N/D",IF(L143&lt;PARAMETRI!$B$6,"OTTIMO",IF(L143&lt;PARAMETRI!$B$5,"OK","NO")))</f>
        <v/>
      </c>
      <c r="AE143" s="9">
        <f>IF(OR(AC143="DATI MANCANTI",AD143="N/D"),"DA COMPLETARE",IF(AND(AC143="OK",AD143="OTTIMO"),"PASSA FORTE",IF(AND(AC143="OK",AD143="OK"),"PASSA","SCARTA")))</f>
        <v/>
      </c>
      <c r="AF143" s="8" t="inlineStr">
        <is>
          <t>2026-08-04</t>
        </is>
      </c>
      <c r="AG143" s="8" t="inlineStr">
        <is>
          <t>yahoo</t>
        </is>
      </c>
      <c r="AH143" s="19" t="inlineStr"/>
    </row>
    <row r="144">
      <c r="A144" s="8" t="n">
        <v>143</v>
      </c>
      <c r="B144" s="8" t="inlineStr">
        <is>
          <t>Mediobanca</t>
        </is>
      </c>
      <c r="C144" s="8" t="inlineStr">
        <is>
          <t>MB.MI</t>
        </is>
      </c>
      <c r="D144" s="9" t="inlineStr">
        <is>
          <t>Italia</t>
        </is>
      </c>
      <c r="E144" s="8" t="inlineStr">
        <is>
          <t>Banca</t>
        </is>
      </c>
      <c r="F144" s="9" t="inlineStr">
        <is>
          <t>Finanziario</t>
        </is>
      </c>
      <c r="G144" s="10" t="n">
        <v>28.13</v>
      </c>
      <c r="H144" s="11" t="inlineStr">
        <is>
          <t>EUR</t>
        </is>
      </c>
      <c r="I144" s="12" t="n">
        <v>22687.8</v>
      </c>
      <c r="J144" s="10" t="n">
        <v>1.47</v>
      </c>
      <c r="K144" s="10" t="n">
        <v>1.80068</v>
      </c>
      <c r="L144" s="13">
        <f>IF(OR(G144="",J144="",J144&lt;=0),"",G144/J144)</f>
        <v/>
      </c>
      <c r="M144" s="14" t="n">
        <v>1.9843397</v>
      </c>
      <c r="N144" s="15">
        <f>IF(OR(M144="",L144="",L144&lt;=0),"",M144/L144)</f>
        <v/>
      </c>
      <c r="O144" s="16" t="n">
        <v>0.1171754223438182</v>
      </c>
      <c r="P144" s="16" t="n">
        <v>0.1017707532112722</v>
      </c>
      <c r="Q144" s="16" t="n">
        <v>0.01405535340424778</v>
      </c>
      <c r="R144" s="17" t="n">
        <v>4</v>
      </c>
      <c r="S144" s="16" t="n"/>
      <c r="T144" s="16" t="n">
        <v>0.1171754223438182</v>
      </c>
      <c r="U144" s="16" t="n">
        <v>0.1141322843602949</v>
      </c>
      <c r="V144" s="16" t="n">
        <v>0.09059131861966614</v>
      </c>
      <c r="W144" s="16" t="n">
        <v>0.08518398752130946</v>
      </c>
      <c r="X144" s="10" t="n">
        <v>1.26</v>
      </c>
      <c r="Y144" s="15">
        <f>IF(OR(X144="",G144="",G144=0),"",X144/G144)</f>
        <v/>
      </c>
      <c r="Z144" s="18" t="n"/>
      <c r="AA144" s="16" t="n">
        <v>0.005</v>
      </c>
      <c r="AB144" s="16" t="n">
        <v>0.3120885315982499</v>
      </c>
      <c r="AC144" s="9">
        <f>IF(AND(O144="",P144=""),"DATI MANCANTI",IF(AND(N(O144)&gt;=PARAMETRI!$B$4,N(P144)&gt;=PARAMETRI!$B$4),"OK","NO"))</f>
        <v/>
      </c>
      <c r="AD144" s="9">
        <f>IF(L144="","N/D",IF(L144&lt;PARAMETRI!$B$6,"OTTIMO",IF(L144&lt;PARAMETRI!$B$5,"OK","NO")))</f>
        <v/>
      </c>
      <c r="AE144" s="9">
        <f>IF(OR(AC144="DATI MANCANTI",AD144="N/D"),"DA COMPLETARE",IF(AND(AC144="OK",AD144="OTTIMO"),"PASSA FORTE",IF(AND(AC144="OK",AD144="OK"),"PASSA","SCARTA")))</f>
        <v/>
      </c>
      <c r="AF144" s="8" t="inlineStr">
        <is>
          <t>2026-08-04</t>
        </is>
      </c>
      <c r="AG144" s="8" t="inlineStr">
        <is>
          <t>yahoo</t>
        </is>
      </c>
      <c r="AH144" s="19" t="inlineStr">
        <is>
          <t>Coinvolta nel risiko bancario: verificare se ancora quotata</t>
        </is>
      </c>
    </row>
    <row r="145">
      <c r="A145" s="8" t="n">
        <v>144</v>
      </c>
      <c r="B145" s="8" t="inlineStr">
        <is>
          <t>Medtronic</t>
        </is>
      </c>
      <c r="C145" s="8" t="inlineStr">
        <is>
          <t>MDT</t>
        </is>
      </c>
      <c r="D145" s="9" t="inlineStr">
        <is>
          <t>USA</t>
        </is>
      </c>
      <c r="E145" s="8" t="inlineStr">
        <is>
          <t>Dispositivi medicali</t>
        </is>
      </c>
      <c r="F145" s="9" t="inlineStr">
        <is>
          <t>Salute</t>
        </is>
      </c>
      <c r="G145" s="10" t="n">
        <v>86.68000000000001</v>
      </c>
      <c r="H145" s="11" t="inlineStr">
        <is>
          <t>USD</t>
        </is>
      </c>
      <c r="I145" s="12" t="n">
        <v>110954.3</v>
      </c>
      <c r="J145" s="10" t="n">
        <v>3.73</v>
      </c>
      <c r="K145" s="10" t="n">
        <v>6.41248</v>
      </c>
      <c r="L145" s="13">
        <f>IF(OR(G145="",J145="",J145&lt;=0),"",G145/J145)</f>
        <v/>
      </c>
      <c r="M145" s="14" t="n">
        <v>2.2433872</v>
      </c>
      <c r="N145" s="15">
        <f>IF(OR(M145="",L145="",L145&lt;=0),"",M145/L145)</f>
        <v/>
      </c>
      <c r="O145" s="16" t="n">
        <v>0.098409995</v>
      </c>
      <c r="P145" s="16" t="n">
        <v>0.08508513928303943</v>
      </c>
      <c r="Q145" s="16" t="n">
        <v>0.01198455172386248</v>
      </c>
      <c r="R145" s="17" t="n">
        <v>4</v>
      </c>
      <c r="S145" s="16" t="n">
        <v>0.09706245072074075</v>
      </c>
      <c r="T145" s="16" t="n">
        <v>0.09707646176911544</v>
      </c>
      <c r="U145" s="16" t="n">
        <v>0.07320667542916318</v>
      </c>
      <c r="V145" s="16" t="n">
        <v>0.07299496921313832</v>
      </c>
      <c r="W145" s="16" t="n"/>
      <c r="X145" s="10" t="n">
        <v>2.88</v>
      </c>
      <c r="Y145" s="15">
        <f>IF(OR(X145="",G145="",G145=0),"",X145/G145)</f>
        <v/>
      </c>
      <c r="Z145" s="18" t="n">
        <v>58.214</v>
      </c>
      <c r="AA145" s="16" t="n">
        <v>0.099</v>
      </c>
      <c r="AB145" s="16" t="n">
        <v>0.1320261779782202</v>
      </c>
      <c r="AC145" s="9">
        <f>IF(AND(O145="",P145=""),"DATI MANCANTI",IF(AND(N(O145)&gt;=PARAMETRI!$B$4,N(P145)&gt;=PARAMETRI!$B$4),"OK","NO"))</f>
        <v/>
      </c>
      <c r="AD145" s="9">
        <f>IF(L145="","N/D",IF(L145&lt;PARAMETRI!$B$6,"OTTIMO",IF(L145&lt;PARAMETRI!$B$5,"OK","NO")))</f>
        <v/>
      </c>
      <c r="AE145" s="9">
        <f>IF(OR(AC145="DATI MANCANTI",AD145="N/D"),"DA COMPLETARE",IF(AND(AC145="OK",AD145="OTTIMO"),"PASSA FORTE",IF(AND(AC145="OK",AD145="OK"),"PASSA","SCARTA")))</f>
        <v/>
      </c>
      <c r="AF145" s="8" t="inlineStr">
        <is>
          <t>2026-08-04</t>
        </is>
      </c>
      <c r="AG145" s="8" t="inlineStr">
        <is>
          <t>yahoo</t>
        </is>
      </c>
      <c r="AH145" s="19" t="inlineStr"/>
    </row>
    <row r="146">
      <c r="A146" s="8" t="n">
        <v>145</v>
      </c>
      <c r="B146" s="8" t="inlineStr">
        <is>
          <t>Merck &amp; Co.</t>
        </is>
      </c>
      <c r="C146" s="8" t="inlineStr">
        <is>
          <t>MRK</t>
        </is>
      </c>
      <c r="D146" s="9" t="inlineStr">
        <is>
          <t>USA</t>
        </is>
      </c>
      <c r="E146" s="8" t="inlineStr">
        <is>
          <t>Farmaceutica</t>
        </is>
      </c>
      <c r="F146" s="9" t="inlineStr">
        <is>
          <t>Salute</t>
        </is>
      </c>
      <c r="G146" s="10" t="n">
        <v>127.77</v>
      </c>
      <c r="H146" s="11" t="inlineStr">
        <is>
          <t>USD</t>
        </is>
      </c>
      <c r="I146" s="12" t="n">
        <v>315569.5</v>
      </c>
      <c r="J146" s="10" t="n">
        <v>3.55</v>
      </c>
      <c r="K146" s="10" t="n">
        <v>9.64568</v>
      </c>
      <c r="L146" s="13">
        <f>IF(OR(G146="",J146="",J146&lt;=0),"",G146/J146)</f>
        <v/>
      </c>
      <c r="M146" s="14" t="n">
        <v>6.8782296</v>
      </c>
      <c r="N146" s="15">
        <f>IF(OR(M146="",L146="",L146&lt;=0),"",M146/L146)</f>
        <v/>
      </c>
      <c r="O146" s="16" t="n">
        <v>0.18944</v>
      </c>
      <c r="P146" s="16" t="n">
        <v>0.2604982613071798</v>
      </c>
      <c r="Q146" s="16" t="n">
        <v>0.1460508583775003</v>
      </c>
      <c r="R146" s="17" t="n">
        <v>4</v>
      </c>
      <c r="S146" s="16" t="n"/>
      <c r="T146" s="16" t="n">
        <v>0.3469946393947458</v>
      </c>
      <c r="U146" s="16" t="n">
        <v>0.3695938505387256</v>
      </c>
      <c r="V146" s="16" t="n">
        <v>0.009712354647295175</v>
      </c>
      <c r="W146" s="16" t="n">
        <v>0.3156922006479528</v>
      </c>
      <c r="X146" s="10" t="n">
        <v>3.4</v>
      </c>
      <c r="Y146" s="15">
        <f>IF(OR(X146="",G146="",G146=0),"",X146/G146)</f>
        <v/>
      </c>
      <c r="Z146" s="18" t="n">
        <v>106.936</v>
      </c>
      <c r="AA146" s="16" t="n">
        <v>0.049</v>
      </c>
      <c r="AB146" s="16" t="n">
        <v>0.137438280660196</v>
      </c>
      <c r="AC146" s="9">
        <f>IF(AND(O146="",P146=""),"DATI MANCANTI",IF(AND(N(O146)&gt;=PARAMETRI!$B$4,N(P146)&gt;=PARAMETRI!$B$4),"OK","NO"))</f>
        <v/>
      </c>
      <c r="AD146" s="9">
        <f>IF(L146="","N/D",IF(L146&lt;PARAMETRI!$B$6,"OTTIMO",IF(L146&lt;PARAMETRI!$B$5,"OK","NO")))</f>
        <v/>
      </c>
      <c r="AE146" s="9">
        <f>IF(OR(AC146="DATI MANCANTI",AD146="N/D"),"DA COMPLETARE",IF(AND(AC146="OK",AD146="OTTIMO"),"PASSA FORTE",IF(AND(AC146="OK",AD146="OK"),"PASSA","SCARTA")))</f>
        <v/>
      </c>
      <c r="AF146" s="8" t="inlineStr">
        <is>
          <t>2026-08-04</t>
        </is>
      </c>
      <c r="AG146" s="8" t="inlineStr">
        <is>
          <t>yahoo</t>
        </is>
      </c>
      <c r="AH146" s="19" t="inlineStr"/>
    </row>
    <row r="147">
      <c r="A147" s="8" t="n">
        <v>146</v>
      </c>
      <c r="B147" s="8" t="inlineStr">
        <is>
          <t>MetLife</t>
        </is>
      </c>
      <c r="C147" s="8" t="inlineStr">
        <is>
          <t>MET</t>
        </is>
      </c>
      <c r="D147" s="9" t="inlineStr">
        <is>
          <t>USA</t>
        </is>
      </c>
      <c r="E147" s="8" t="inlineStr">
        <is>
          <t>Assicurazione vita</t>
        </is>
      </c>
      <c r="F147" s="9" t="inlineStr">
        <is>
          <t>Finanziario</t>
        </is>
      </c>
      <c r="G147" s="10" t="n">
        <v>96.31</v>
      </c>
      <c r="H147" s="11" t="inlineStr">
        <is>
          <t>USD</t>
        </is>
      </c>
      <c r="I147" s="12" t="n">
        <v>61969.4</v>
      </c>
      <c r="J147" s="10" t="n">
        <v>5.17</v>
      </c>
      <c r="K147" s="10" t="n">
        <v>10.98767</v>
      </c>
      <c r="L147" s="13">
        <f>IF(OR(G147="",J147="",J147&lt;=0),"",G147/J147)</f>
        <v/>
      </c>
      <c r="M147" s="14" t="n">
        <v>2.2770474</v>
      </c>
      <c r="N147" s="15">
        <f>IF(OR(M147="",L147="",L147&lt;=0),"",M147/L147)</f>
        <v/>
      </c>
      <c r="O147" s="16" t="n">
        <v>0.13014</v>
      </c>
      <c r="P147" s="16" t="n">
        <v>0.1274159335614763</v>
      </c>
      <c r="Q147" s="16" t="n">
        <v>0.04811596554463902</v>
      </c>
      <c r="R147" s="17" t="n">
        <v>4</v>
      </c>
      <c r="S147" s="16" t="n"/>
      <c r="T147" s="16" t="n">
        <v>0.1189872526234242</v>
      </c>
      <c r="U147" s="16" t="n">
        <v>0.1612679905265076</v>
      </c>
      <c r="V147" s="16" t="n">
        <v>0.05257371314342828</v>
      </c>
      <c r="W147" s="16" t="n">
        <v>0.1768347779525451</v>
      </c>
      <c r="X147" s="10" t="n">
        <v>2.37</v>
      </c>
      <c r="Y147" s="15">
        <f>IF(OR(X147="",G147="",G147=0),"",X147/G147)</f>
        <v/>
      </c>
      <c r="Z147" s="18" t="n">
        <v>178.019</v>
      </c>
      <c r="AA147" s="16" t="n">
        <v>0.027</v>
      </c>
      <c r="AB147" s="16" t="n">
        <v>0.04539085668966611</v>
      </c>
      <c r="AC147" s="9">
        <f>IF(AND(O147="",P147=""),"DATI MANCANTI",IF(AND(N(O147)&gt;=PARAMETRI!$B$4,N(P147)&gt;=PARAMETRI!$B$4),"OK","NO"))</f>
        <v/>
      </c>
      <c r="AD147" s="9">
        <f>IF(L147="","N/D",IF(L147&lt;PARAMETRI!$B$6,"OTTIMO",IF(L147&lt;PARAMETRI!$B$5,"OK","NO")))</f>
        <v/>
      </c>
      <c r="AE147" s="9">
        <f>IF(OR(AC147="DATI MANCANTI",AD147="N/D"),"DA COMPLETARE",IF(AND(AC147="OK",AD147="OTTIMO"),"PASSA FORTE",IF(AND(AC147="OK",AD147="OK"),"PASSA","SCARTA")))</f>
        <v/>
      </c>
      <c r="AF147" s="8" t="inlineStr">
        <is>
          <t>2026-08-04</t>
        </is>
      </c>
      <c r="AG147" s="8" t="inlineStr">
        <is>
          <t>yahoo</t>
        </is>
      </c>
      <c r="AH147" s="19" t="inlineStr"/>
    </row>
    <row r="148">
      <c r="A148" s="8" t="n">
        <v>147</v>
      </c>
      <c r="B148" s="8" t="inlineStr">
        <is>
          <t>Meta Platforms</t>
        </is>
      </c>
      <c r="C148" s="8" t="inlineStr">
        <is>
          <t>META</t>
        </is>
      </c>
      <c r="D148" s="9" t="inlineStr">
        <is>
          <t>USA</t>
        </is>
      </c>
      <c r="E148" s="8" t="inlineStr">
        <is>
          <t>Internet / Pubblicita'</t>
        </is>
      </c>
      <c r="F148" s="9" t="inlineStr">
        <is>
          <t>Tecnologia</t>
        </is>
      </c>
      <c r="G148" s="10" t="n">
        <v>590.24</v>
      </c>
      <c r="H148" s="11" t="inlineStr">
        <is>
          <t>USD</t>
        </is>
      </c>
      <c r="I148" s="12" t="n">
        <v>1503640</v>
      </c>
      <c r="J148" s="10" t="n">
        <v>26.56</v>
      </c>
      <c r="K148" s="10" t="n">
        <v>34.89882</v>
      </c>
      <c r="L148" s="13">
        <f>IF(OR(G148="",J148="",J148&lt;=0),"",G148/J148)</f>
        <v/>
      </c>
      <c r="M148" s="14" t="n">
        <v>6.1475005</v>
      </c>
      <c r="N148" s="15">
        <f>IF(OR(M148="",L148="",L148&lt;=0),"",M148/L148)</f>
        <v/>
      </c>
      <c r="O148" s="16" t="n">
        <v>0.29848</v>
      </c>
      <c r="P148" s="16" t="n">
        <v>0.2648871265585463</v>
      </c>
      <c r="Q148" s="16" t="n">
        <v>0.05609730945851681</v>
      </c>
      <c r="R148" s="17" t="n">
        <v>4</v>
      </c>
      <c r="S148" s="16" t="n"/>
      <c r="T148" s="16" t="n">
        <v>0.2782966539773433</v>
      </c>
      <c r="U148" s="16" t="n">
        <v>0.3414423145364849</v>
      </c>
      <c r="V148" s="16" t="n">
        <v>0.2552621957589052</v>
      </c>
      <c r="W148" s="16" t="n">
        <v>0.1845473419614519</v>
      </c>
      <c r="X148" s="10" t="n">
        <v>2.1</v>
      </c>
      <c r="Y148" s="15">
        <f>IF(OR(X148="",G148="",G148=0),"",X148/G148)</f>
        <v/>
      </c>
      <c r="Z148" s="18" t="n">
        <v>42.997</v>
      </c>
      <c r="AA148" s="16" t="n">
        <v>0.28</v>
      </c>
      <c r="AB148" s="16" t="n">
        <v>0.3388533326433327</v>
      </c>
      <c r="AC148" s="9">
        <f>IF(AND(O148="",P148=""),"DATI MANCANTI",IF(AND(N(O148)&gt;=PARAMETRI!$B$4,N(P148)&gt;=PARAMETRI!$B$4),"OK","NO"))</f>
        <v/>
      </c>
      <c r="AD148" s="9">
        <f>IF(L148="","N/D",IF(L148&lt;PARAMETRI!$B$6,"OTTIMO",IF(L148&lt;PARAMETRI!$B$5,"OK","NO")))</f>
        <v/>
      </c>
      <c r="AE148" s="9">
        <f>IF(OR(AC148="DATI MANCANTI",AD148="N/D"),"DA COMPLETARE",IF(AND(AC148="OK",AD148="OTTIMO"),"PASSA FORTE",IF(AND(AC148="OK",AD148="OK"),"PASSA","SCARTA")))</f>
        <v/>
      </c>
      <c r="AF148" s="8" t="inlineStr">
        <is>
          <t>2026-08-04</t>
        </is>
      </c>
      <c r="AG148" s="8" t="inlineStr">
        <is>
          <t>yahoo</t>
        </is>
      </c>
      <c r="AH148" s="19" t="inlineStr"/>
    </row>
    <row r="149">
      <c r="A149" s="8" t="n">
        <v>148</v>
      </c>
      <c r="B149" s="8" t="inlineStr">
        <is>
          <t>Micron Technology</t>
        </is>
      </c>
      <c r="C149" s="8" t="inlineStr">
        <is>
          <t>MU</t>
        </is>
      </c>
      <c r="D149" s="9" t="inlineStr">
        <is>
          <t>USA</t>
        </is>
      </c>
      <c r="E149" s="8" t="inlineStr">
        <is>
          <t>Semiconduttori / Memorie</t>
        </is>
      </c>
      <c r="F149" s="9" t="inlineStr">
        <is>
          <t>Tecnologia</t>
        </is>
      </c>
      <c r="G149" s="10" t="n">
        <v>829.5</v>
      </c>
      <c r="H149" s="11" t="inlineStr">
        <is>
          <t>USD</t>
        </is>
      </c>
      <c r="I149" s="12" t="n">
        <v>936831.6</v>
      </c>
      <c r="J149" s="10" t="n">
        <v>44.28</v>
      </c>
      <c r="K149" s="10" t="n">
        <v>155.56306</v>
      </c>
      <c r="L149" s="13">
        <f>IF(OR(G149="",J149="",J149&lt;=0),"",G149/J149)</f>
        <v/>
      </c>
      <c r="M149" s="14" t="n">
        <v>9.297764000000001</v>
      </c>
      <c r="N149" s="15">
        <f>IF(OR(M149="",L149="",L149&lt;=0),"",M149/L149)</f>
        <v/>
      </c>
      <c r="O149" s="16" t="n">
        <v>0.66638</v>
      </c>
      <c r="P149" s="16" t="n">
        <v>0.05418569393215231</v>
      </c>
      <c r="Q149" s="16" t="n">
        <v>0.1236757150852483</v>
      </c>
      <c r="R149" s="17" t="n">
        <v>4</v>
      </c>
      <c r="S149" s="16" t="n"/>
      <c r="T149" s="16" t="n">
        <v>0.1576479276285424</v>
      </c>
      <c r="U149" s="16" t="n">
        <v>0.0172387051029226</v>
      </c>
      <c r="V149" s="16" t="n">
        <v>-0.132207615593835</v>
      </c>
      <c r="W149" s="16" t="n">
        <v>0.1740637585909792</v>
      </c>
      <c r="X149" s="10" t="n">
        <v>0.53</v>
      </c>
      <c r="Y149" s="15">
        <f>IF(OR(X149="",G149="",G149=0),"",X149/G149)</f>
        <v/>
      </c>
      <c r="Z149" s="18" t="n">
        <v>6.33</v>
      </c>
      <c r="AA149" s="16" t="n">
        <v>3.457</v>
      </c>
      <c r="AB149" s="16" t="n">
        <v>1.350232734977795</v>
      </c>
      <c r="AC149" s="9">
        <f>IF(AND(O149="",P149=""),"DATI MANCANTI",IF(AND(N(O149)&gt;=PARAMETRI!$B$4,N(P149)&gt;=PARAMETRI!$B$4),"OK","NO"))</f>
        <v/>
      </c>
      <c r="AD149" s="9">
        <f>IF(L149="","N/D",IF(L149&lt;PARAMETRI!$B$6,"OTTIMO",IF(L149&lt;PARAMETRI!$B$5,"OK","NO")))</f>
        <v/>
      </c>
      <c r="AE149" s="9">
        <f>IF(OR(AC149="DATI MANCANTI",AD149="N/D"),"DA COMPLETARE",IF(AND(AC149="OK",AD149="OTTIMO"),"PASSA FORTE",IF(AND(AC149="OK",AD149="OK"),"PASSA","SCARTA")))</f>
        <v/>
      </c>
      <c r="AF149" s="8" t="inlineStr">
        <is>
          <t>2026-08-04</t>
        </is>
      </c>
      <c r="AG149" s="8" t="inlineStr">
        <is>
          <t>yahoo</t>
        </is>
      </c>
      <c r="AH149" s="19" t="inlineStr"/>
    </row>
    <row r="150">
      <c r="A150" s="8" t="n">
        <v>149</v>
      </c>
      <c r="B150" s="8" t="inlineStr">
        <is>
          <t>Microsoft</t>
        </is>
      </c>
      <c r="C150" s="8" t="inlineStr">
        <is>
          <t>MSFT</t>
        </is>
      </c>
      <c r="D150" s="9" t="inlineStr">
        <is>
          <t>USA</t>
        </is>
      </c>
      <c r="E150" s="8" t="inlineStr">
        <is>
          <t>Software / Cloud</t>
        </is>
      </c>
      <c r="F150" s="9" t="inlineStr">
        <is>
          <t>Tecnologia</t>
        </is>
      </c>
      <c r="G150" s="10" t="n">
        <v>487.65</v>
      </c>
      <c r="H150" s="11" t="inlineStr">
        <is>
          <t>USD</t>
        </is>
      </c>
      <c r="I150" s="12" t="n">
        <v>3621067.4</v>
      </c>
      <c r="J150" s="10" t="n">
        <v>17.94</v>
      </c>
      <c r="K150" s="10" t="n">
        <v>23.46875</v>
      </c>
      <c r="L150" s="13">
        <f>IF(OR(G150="",J150="",J150&lt;=0),"",G150/J150)</f>
        <v/>
      </c>
      <c r="M150" s="14" t="n">
        <v>8.186854</v>
      </c>
      <c r="N150" s="15">
        <f>IF(OR(M150="",L150="",L150&lt;=0),"",M150/L150)</f>
        <v/>
      </c>
      <c r="O150" s="16" t="n">
        <v>0.34039003</v>
      </c>
      <c r="P150" s="16" t="n">
        <v>0.3194939082909419</v>
      </c>
      <c r="Q150" s="16" t="n">
        <v>0.0217208688577156</v>
      </c>
      <c r="R150" s="17" t="n">
        <v>4</v>
      </c>
      <c r="S150" s="16" t="n">
        <v>0.30233483352811</v>
      </c>
      <c r="T150" s="16" t="n">
        <v>0.2964722734140952</v>
      </c>
      <c r="U150" s="16" t="n">
        <v>0.3282813797829982</v>
      </c>
      <c r="V150" s="16" t="n">
        <v>0.3508871464385641</v>
      </c>
      <c r="W150" s="16" t="n"/>
      <c r="X150" s="10" t="n">
        <v>3.64</v>
      </c>
      <c r="Y150" s="15">
        <f>IF(OR(X150="",G150="",G150=0),"",X150/G150)</f>
        <v/>
      </c>
      <c r="Z150" s="18" t="n">
        <v>29.118</v>
      </c>
      <c r="AA150" s="16" t="n">
        <v>0.177</v>
      </c>
      <c r="AB150" s="16" t="n">
        <v>0.403053884998448</v>
      </c>
      <c r="AC150" s="9">
        <f>IF(AND(O150="",P150=""),"DATI MANCANTI",IF(AND(N(O150)&gt;=PARAMETRI!$B$4,N(P150)&gt;=PARAMETRI!$B$4),"OK","NO"))</f>
        <v/>
      </c>
      <c r="AD150" s="9">
        <f>IF(L150="","N/D",IF(L150&lt;PARAMETRI!$B$6,"OTTIMO",IF(L150&lt;PARAMETRI!$B$5,"OK","NO")))</f>
        <v/>
      </c>
      <c r="AE150" s="9">
        <f>IF(OR(AC150="DATI MANCANTI",AD150="N/D"),"DA COMPLETARE",IF(AND(AC150="OK",AD150="OTTIMO"),"PASSA FORTE",IF(AND(AC150="OK",AD150="OK"),"PASSA","SCARTA")))</f>
        <v/>
      </c>
      <c r="AF150" s="8" t="inlineStr">
        <is>
          <t>2026-08-04</t>
        </is>
      </c>
      <c r="AG150" s="8" t="inlineStr">
        <is>
          <t>yahoo</t>
        </is>
      </c>
      <c r="AH150" s="19" t="inlineStr"/>
    </row>
    <row r="151">
      <c r="A151" s="8" t="n">
        <v>150</v>
      </c>
      <c r="B151" s="8" t="inlineStr">
        <is>
          <t>Moderna</t>
        </is>
      </c>
      <c r="C151" s="8" t="inlineStr">
        <is>
          <t>MRNA</t>
        </is>
      </c>
      <c r="D151" s="9" t="inlineStr">
        <is>
          <t>USA</t>
        </is>
      </c>
      <c r="E151" s="8" t="inlineStr">
        <is>
          <t>Biotecnologie</t>
        </is>
      </c>
      <c r="F151" s="9" t="inlineStr">
        <is>
          <t>Salute</t>
        </is>
      </c>
      <c r="G151" s="10" t="n">
        <v>55.14</v>
      </c>
      <c r="H151" s="11" t="inlineStr">
        <is>
          <t>USD</t>
        </is>
      </c>
      <c r="I151" s="12" t="n">
        <v>22013.9</v>
      </c>
      <c r="J151" s="10" t="n">
        <v>-7.98</v>
      </c>
      <c r="K151" s="10" t="n">
        <v>-4.87622</v>
      </c>
      <c r="L151" s="13">
        <f>IF(OR(G151="",J151="",J151&lt;=0),"",G151/J151)</f>
        <v/>
      </c>
      <c r="M151" s="14" t="n">
        <v>2.954984</v>
      </c>
      <c r="N151" s="15">
        <f>IF(OR(M151="",L151="",L151&lt;=0),"",M151/L151)</f>
        <v/>
      </c>
      <c r="O151" s="16" t="n">
        <v>-0.38998002</v>
      </c>
      <c r="P151" s="16" t="n">
        <v>-0.1389745766449837</v>
      </c>
      <c r="Q151" s="16" t="n">
        <v>0.3327453363096257</v>
      </c>
      <c r="R151" s="17" t="n">
        <v>4</v>
      </c>
      <c r="S151" s="16" t="n"/>
      <c r="T151" s="16" t="n">
        <v>-0.326242774566474</v>
      </c>
      <c r="U151" s="16" t="n">
        <v>-0.3266672782313549</v>
      </c>
      <c r="V151" s="16" t="n">
        <v>-0.3402627400028873</v>
      </c>
      <c r="W151" s="16" t="n">
        <v>0.4372744862207812</v>
      </c>
      <c r="X151" s="10" t="n"/>
      <c r="Y151" s="15">
        <f>IF(OR(X151="",G151="",G151=0),"",X151/G151)</f>
        <v/>
      </c>
      <c r="Z151" s="18" t="n">
        <v>19.036</v>
      </c>
      <c r="AA151" s="16" t="n">
        <v>0.021</v>
      </c>
      <c r="AB151" s="16" t="n">
        <v>-1.639438118626431</v>
      </c>
      <c r="AC151" s="9">
        <f>IF(AND(O151="",P151=""),"DATI MANCANTI",IF(AND(N(O151)&gt;=PARAMETRI!$B$4,N(P151)&gt;=PARAMETRI!$B$4),"OK","NO"))</f>
        <v/>
      </c>
      <c r="AD151" s="9">
        <f>IF(L151="","N/D",IF(L151&lt;PARAMETRI!$B$6,"OTTIMO",IF(L151&lt;PARAMETRI!$B$5,"OK","NO")))</f>
        <v/>
      </c>
      <c r="AE151" s="9">
        <f>IF(OR(AC151="DATI MANCANTI",AD151="N/D"),"DA COMPLETARE",IF(AND(AC151="OK",AD151="OTTIMO"),"PASSA FORTE",IF(AND(AC151="OK",AD151="OK"),"PASSA","SCARTA")))</f>
        <v/>
      </c>
      <c r="AF151" s="8" t="inlineStr">
        <is>
          <t>2026-08-04</t>
        </is>
      </c>
      <c r="AG151" s="8" t="inlineStr">
        <is>
          <t>yahoo</t>
        </is>
      </c>
      <c r="AH151" s="19" t="inlineStr"/>
    </row>
    <row r="152">
      <c r="A152" s="8" t="n">
        <v>151</v>
      </c>
      <c r="B152" s="8" t="inlineStr">
        <is>
          <t>Moncler</t>
        </is>
      </c>
      <c r="C152" s="8" t="inlineStr">
        <is>
          <t>MONC.MI</t>
        </is>
      </c>
      <c r="D152" s="9" t="inlineStr">
        <is>
          <t>Italia</t>
        </is>
      </c>
      <c r="E152" s="8" t="inlineStr">
        <is>
          <t>Lusso</t>
        </is>
      </c>
      <c r="F152" s="9" t="inlineStr">
        <is>
          <t>Consumi</t>
        </is>
      </c>
      <c r="G152" s="10" t="n">
        <v>50.04</v>
      </c>
      <c r="H152" s="11" t="inlineStr">
        <is>
          <t>EUR</t>
        </is>
      </c>
      <c r="I152" s="12" t="n">
        <v>13610.4</v>
      </c>
      <c r="J152" s="10" t="n">
        <v>2.35</v>
      </c>
      <c r="K152" s="10" t="n">
        <v>2.60085</v>
      </c>
      <c r="L152" s="13">
        <f>IF(OR(G152="",J152="",J152&lt;=0),"",G152/J152)</f>
        <v/>
      </c>
      <c r="M152" s="14" t="n">
        <v>3.7301528</v>
      </c>
      <c r="N152" s="15">
        <f>IF(OR(M152="",L152="",L152&lt;=0),"",M152/L152)</f>
        <v/>
      </c>
      <c r="O152" s="16" t="n">
        <v>0.18122</v>
      </c>
      <c r="P152" s="16" t="n">
        <v>0.1851349369556408</v>
      </c>
      <c r="Q152" s="16" t="n">
        <v>0.01692053914808814</v>
      </c>
      <c r="R152" s="17" t="n">
        <v>4</v>
      </c>
      <c r="S152" s="16" t="n"/>
      <c r="T152" s="16" t="n">
        <v>0.1627843667574618</v>
      </c>
      <c r="U152" s="16" t="n">
        <v>0.1783303314020599</v>
      </c>
      <c r="V152" s="16" t="n">
        <v>0.1903756142405816</v>
      </c>
      <c r="W152" s="16" t="n">
        <v>0.2090494354224597</v>
      </c>
      <c r="X152" s="10" t="n">
        <v>1.4</v>
      </c>
      <c r="Y152" s="15">
        <f>IF(OR(X152="",G152="",G152=0),"",X152/G152)</f>
        <v/>
      </c>
      <c r="Z152" s="18" t="n">
        <v>33.88</v>
      </c>
      <c r="AA152" s="16" t="n">
        <v>0.052</v>
      </c>
      <c r="AB152" s="16" t="n">
        <v>0.2036704706831905</v>
      </c>
      <c r="AC152" s="9">
        <f>IF(AND(O152="",P152=""),"DATI MANCANTI",IF(AND(N(O152)&gt;=PARAMETRI!$B$4,N(P152)&gt;=PARAMETRI!$B$4),"OK","NO"))</f>
        <v/>
      </c>
      <c r="AD152" s="9">
        <f>IF(L152="","N/D",IF(L152&lt;PARAMETRI!$B$6,"OTTIMO",IF(L152&lt;PARAMETRI!$B$5,"OK","NO")))</f>
        <v/>
      </c>
      <c r="AE152" s="9">
        <f>IF(OR(AC152="DATI MANCANTI",AD152="N/D"),"DA COMPLETARE",IF(AND(AC152="OK",AD152="OTTIMO"),"PASSA FORTE",IF(AND(AC152="OK",AD152="OK"),"PASSA","SCARTA")))</f>
        <v/>
      </c>
      <c r="AF152" s="8" t="inlineStr">
        <is>
          <t>2026-08-04</t>
        </is>
      </c>
      <c r="AG152" s="8" t="inlineStr">
        <is>
          <t>yahoo</t>
        </is>
      </c>
      <c r="AH152" s="19" t="inlineStr"/>
    </row>
    <row r="153">
      <c r="A153" s="8" t="n">
        <v>152</v>
      </c>
      <c r="B153" s="8" t="inlineStr">
        <is>
          <t>Mondadori Editore</t>
        </is>
      </c>
      <c r="C153" s="8" t="inlineStr">
        <is>
          <t>MN.MI</t>
        </is>
      </c>
      <c r="D153" s="9" t="inlineStr">
        <is>
          <t>Italia</t>
        </is>
      </c>
      <c r="E153" s="8" t="inlineStr">
        <is>
          <t>Editoria / Media</t>
        </is>
      </c>
      <c r="F153" s="9" t="inlineStr">
        <is>
          <t>Industriale</t>
        </is>
      </c>
      <c r="G153" s="10" t="n">
        <v>2.135</v>
      </c>
      <c r="H153" s="11" t="inlineStr">
        <is>
          <t>EUR</t>
        </is>
      </c>
      <c r="I153" s="12" t="n">
        <v>553.3</v>
      </c>
      <c r="J153" s="10" t="n">
        <v>0.2</v>
      </c>
      <c r="K153" s="10" t="n">
        <v>0.23696</v>
      </c>
      <c r="L153" s="13">
        <f>IF(OR(G153="",J153="",J153&lt;=0),"",G153/J153)</f>
        <v/>
      </c>
      <c r="M153" s="14" t="n">
        <v>1.7557566</v>
      </c>
      <c r="N153" s="15">
        <f>IF(OR(M153="",L153="",L153&lt;=0),"",M153/L153)</f>
        <v/>
      </c>
      <c r="O153" s="16" t="n">
        <v>0.16627</v>
      </c>
      <c r="P153" s="16" t="n">
        <v>0.1927118381206158</v>
      </c>
      <c r="Q153" s="16" t="n">
        <v>0.0194685841625853</v>
      </c>
      <c r="R153" s="17" t="n">
        <v>4</v>
      </c>
      <c r="S153" s="16" t="n"/>
      <c r="T153" s="16" t="n">
        <v>0.1631079567581275</v>
      </c>
      <c r="U153" s="16" t="n">
        <v>0.1905013509836553</v>
      </c>
      <c r="V153" s="16" t="n">
        <v>0.2166424259675163</v>
      </c>
      <c r="W153" s="16" t="n">
        <v>0.200595618773164</v>
      </c>
      <c r="X153" s="10" t="n">
        <v>0.15</v>
      </c>
      <c r="Y153" s="15">
        <f>IF(OR(X153="",G153="",G153=0),"",X153/G153)</f>
        <v/>
      </c>
      <c r="Z153" s="18" t="n">
        <v>91.563</v>
      </c>
      <c r="AA153" s="16" t="n">
        <v>0.039</v>
      </c>
      <c r="AB153" s="16" t="n">
        <v>0.05445895290071321</v>
      </c>
      <c r="AC153" s="9">
        <f>IF(AND(O153="",P153=""),"DATI MANCANTI",IF(AND(N(O153)&gt;=PARAMETRI!$B$4,N(P153)&gt;=PARAMETRI!$B$4),"OK","NO"))</f>
        <v/>
      </c>
      <c r="AD153" s="9">
        <f>IF(L153="","N/D",IF(L153&lt;PARAMETRI!$B$6,"OTTIMO",IF(L153&lt;PARAMETRI!$B$5,"OK","NO")))</f>
        <v/>
      </c>
      <c r="AE153" s="9">
        <f>IF(OR(AC153="DATI MANCANTI",AD153="N/D"),"DA COMPLETARE",IF(AND(AC153="OK",AD153="OTTIMO"),"PASSA FORTE",IF(AND(AC153="OK",AD153="OK"),"PASSA","SCARTA")))</f>
        <v/>
      </c>
      <c r="AF153" s="8" t="inlineStr">
        <is>
          <t>2026-08-04</t>
        </is>
      </c>
      <c r="AG153" s="8" t="inlineStr">
        <is>
          <t>yahoo</t>
        </is>
      </c>
      <c r="AH153" s="19" t="inlineStr"/>
    </row>
    <row r="154">
      <c r="A154" s="8" t="n">
        <v>153</v>
      </c>
      <c r="B154" s="8" t="inlineStr">
        <is>
          <t>Mondelez International</t>
        </is>
      </c>
      <c r="C154" s="8" t="inlineStr">
        <is>
          <t>MDLZ</t>
        </is>
      </c>
      <c r="D154" s="9" t="inlineStr">
        <is>
          <t>USA</t>
        </is>
      </c>
      <c r="E154" s="8" t="inlineStr">
        <is>
          <t>Alimentare</t>
        </is>
      </c>
      <c r="F154" s="9" t="inlineStr">
        <is>
          <t>Consumi</t>
        </is>
      </c>
      <c r="G154" s="10" t="n">
        <v>61.73</v>
      </c>
      <c r="H154" s="11" t="inlineStr">
        <is>
          <t>USD</t>
        </is>
      </c>
      <c r="I154" s="12" t="n">
        <v>79239.7</v>
      </c>
      <c r="J154" s="10" t="n">
        <v>1.64</v>
      </c>
      <c r="K154" s="10" t="n">
        <v>3.35907</v>
      </c>
      <c r="L154" s="13">
        <f>IF(OR(G154="",J154="",J154&lt;=0),"",G154/J154)</f>
        <v/>
      </c>
      <c r="M154" s="14" t="n">
        <v>2.9673605</v>
      </c>
      <c r="N154" s="15">
        <f>IF(OR(M154="",L154="",L154&lt;=0),"",M154/L154)</f>
        <v/>
      </c>
      <c r="O154" s="16" t="n">
        <v>0.13340001</v>
      </c>
      <c r="P154" s="16" t="n">
        <v>0.1355421523570761</v>
      </c>
      <c r="Q154" s="16" t="n">
        <v>0.03766650206384878</v>
      </c>
      <c r="R154" s="17" t="n">
        <v>4</v>
      </c>
      <c r="S154" s="16" t="n"/>
      <c r="T154" s="16" t="n">
        <v>0.09486028330366128</v>
      </c>
      <c r="U154" s="16" t="n">
        <v>0.1712089707411258</v>
      </c>
      <c r="V154" s="16" t="n">
        <v>0.1750317662007624</v>
      </c>
      <c r="W154" s="16" t="n">
        <v>0.1010675891827549</v>
      </c>
      <c r="X154" s="10" t="n">
        <v>2</v>
      </c>
      <c r="Y154" s="15">
        <f>IF(OR(X154="",G154="",G154=0),"",X154/G154)</f>
        <v/>
      </c>
      <c r="Z154" s="18" t="n">
        <v>82.643</v>
      </c>
      <c r="AA154" s="16" t="n">
        <v>0.041</v>
      </c>
      <c r="AB154" s="16" t="n">
        <v>0.09123699301969536</v>
      </c>
      <c r="AC154" s="9">
        <f>IF(AND(O154="",P154=""),"DATI MANCANTI",IF(AND(N(O154)&gt;=PARAMETRI!$B$4,N(P154)&gt;=PARAMETRI!$B$4),"OK","NO"))</f>
        <v/>
      </c>
      <c r="AD154" s="9">
        <f>IF(L154="","N/D",IF(L154&lt;PARAMETRI!$B$6,"OTTIMO",IF(L154&lt;PARAMETRI!$B$5,"OK","NO")))</f>
        <v/>
      </c>
      <c r="AE154" s="9">
        <f>IF(OR(AC154="DATI MANCANTI",AD154="N/D"),"DA COMPLETARE",IF(AND(AC154="OK",AD154="OTTIMO"),"PASSA FORTE",IF(AND(AC154="OK",AD154="OK"),"PASSA","SCARTA")))</f>
        <v/>
      </c>
      <c r="AF154" s="8" t="inlineStr">
        <is>
          <t>2026-08-04</t>
        </is>
      </c>
      <c r="AG154" s="8" t="inlineStr">
        <is>
          <t>yahoo</t>
        </is>
      </c>
      <c r="AH154" s="19" t="inlineStr"/>
    </row>
    <row r="155">
      <c r="A155" s="8" t="n">
        <v>154</v>
      </c>
      <c r="B155" s="8" t="inlineStr">
        <is>
          <t>Moody's</t>
        </is>
      </c>
      <c r="C155" s="8" t="inlineStr">
        <is>
          <t>MCO</t>
        </is>
      </c>
      <c r="D155" s="9" t="inlineStr">
        <is>
          <t>USA</t>
        </is>
      </c>
      <c r="E155" s="8" t="inlineStr">
        <is>
          <t>Dati e rating</t>
        </is>
      </c>
      <c r="F155" s="9" t="inlineStr">
        <is>
          <t>Finanziario</t>
        </is>
      </c>
      <c r="G155" s="10" t="n">
        <v>483.36</v>
      </c>
      <c r="H155" s="11" t="inlineStr">
        <is>
          <t>USD</t>
        </is>
      </c>
      <c r="I155" s="12" t="n">
        <v>83708.8</v>
      </c>
      <c r="J155" s="10" t="n">
        <v>15.74</v>
      </c>
      <c r="K155" s="10" t="n">
        <v>18.90331</v>
      </c>
      <c r="L155" s="13">
        <f>IF(OR(G155="",J155="",J155&lt;=0),"",G155/J155)</f>
        <v/>
      </c>
      <c r="M155" s="14" t="n">
        <v>27.672754</v>
      </c>
      <c r="N155" s="15">
        <f>IF(OR(M155="",L155="",L155&lt;=0),"",M155/L155)</f>
        <v/>
      </c>
      <c r="O155" s="16" t="n">
        <v>0.76932</v>
      </c>
      <c r="P155" s="16" t="n">
        <v>0.5534057442590806</v>
      </c>
      <c r="Q155" s="16" t="n">
        <v>0.04536086460562505</v>
      </c>
      <c r="R155" s="17" t="n">
        <v>4</v>
      </c>
      <c r="S155" s="16" t="n"/>
      <c r="T155" s="16" t="n">
        <v>0.6065614208189443</v>
      </c>
      <c r="U155" s="16" t="n">
        <v>0.5772791023842917</v>
      </c>
      <c r="V155" s="16" t="n">
        <v>0.4843279083785413</v>
      </c>
      <c r="W155" s="16" t="n">
        <v>0.5454545454545454</v>
      </c>
      <c r="X155" s="10" t="n">
        <v>4.12</v>
      </c>
      <c r="Y155" s="15">
        <f>IF(OR(X155="",G155="",G155=0),"",X155/G155)</f>
        <v/>
      </c>
      <c r="Z155" s="18" t="n">
        <v>240.682</v>
      </c>
      <c r="AA155" s="16" t="n">
        <v>0.151</v>
      </c>
      <c r="AB155" s="16" t="n">
        <v>0.3621404591863177</v>
      </c>
      <c r="AC155" s="9">
        <f>IF(AND(O155="",P155=""),"DATI MANCANTI",IF(AND(N(O155)&gt;=PARAMETRI!$B$4,N(P155)&gt;=PARAMETRI!$B$4),"OK","NO"))</f>
        <v/>
      </c>
      <c r="AD155" s="9">
        <f>IF(L155="","N/D",IF(L155&lt;PARAMETRI!$B$6,"OTTIMO",IF(L155&lt;PARAMETRI!$B$5,"OK","NO")))</f>
        <v/>
      </c>
      <c r="AE155" s="9">
        <f>IF(OR(AC155="DATI MANCANTI",AD155="N/D"),"DA COMPLETARE",IF(AND(AC155="OK",AD155="OTTIMO"),"PASSA FORTE",IF(AND(AC155="OK",AD155="OK"),"PASSA","SCARTA")))</f>
        <v/>
      </c>
      <c r="AF155" s="8" t="inlineStr">
        <is>
          <t>2026-08-04</t>
        </is>
      </c>
      <c r="AG155" s="8" t="inlineStr">
        <is>
          <t>yahoo</t>
        </is>
      </c>
      <c r="AH155" s="19" t="inlineStr"/>
    </row>
    <row r="156">
      <c r="A156" s="8" t="n">
        <v>155</v>
      </c>
      <c r="B156" s="8" t="inlineStr">
        <is>
          <t>Morgan Stanley</t>
        </is>
      </c>
      <c r="C156" s="8" t="inlineStr">
        <is>
          <t>MS</t>
        </is>
      </c>
      <c r="D156" s="9" t="inlineStr">
        <is>
          <t>USA</t>
        </is>
      </c>
      <c r="E156" s="8" t="inlineStr">
        <is>
          <t>Banca d'investimento</t>
        </is>
      </c>
      <c r="F156" s="9" t="inlineStr">
        <is>
          <t>Finanziario</t>
        </is>
      </c>
      <c r="G156" s="10" t="n">
        <v>211.23</v>
      </c>
      <c r="H156" s="11" t="inlineStr">
        <is>
          <t>USD</t>
        </is>
      </c>
      <c r="I156" s="12" t="n">
        <v>332053.5</v>
      </c>
      <c r="J156" s="10" t="n">
        <v>12.37</v>
      </c>
      <c r="K156" s="10" t="n">
        <v>13.6344</v>
      </c>
      <c r="L156" s="13">
        <f>IF(OR(G156="",J156="",J156&lt;=0),"",G156/J156)</f>
        <v/>
      </c>
      <c r="M156" s="14" t="n">
        <v>3.1918461</v>
      </c>
      <c r="N156" s="15">
        <f>IF(OR(M156="",L156="",L156&lt;=0),"",M156/L156)</f>
        <v/>
      </c>
      <c r="O156" s="16" t="n">
        <v>0.1510409201662606</v>
      </c>
      <c r="P156" s="16" t="n">
        <v>0.1202621939362582</v>
      </c>
      <c r="Q156" s="16" t="n">
        <v>0.02193423207360017</v>
      </c>
      <c r="R156" s="17" t="n">
        <v>4</v>
      </c>
      <c r="S156" s="16" t="n"/>
      <c r="T156" s="16" t="n">
        <v>0.1510409201662606</v>
      </c>
      <c r="U156" s="16" t="n">
        <v>0.1281204849250318</v>
      </c>
      <c r="V156" s="16" t="n">
        <v>0.09175266059492317</v>
      </c>
      <c r="W156" s="16" t="n">
        <v>0.1101347100588171</v>
      </c>
      <c r="X156" s="10" t="n">
        <v>4.6</v>
      </c>
      <c r="Y156" s="15">
        <f>IF(OR(X156="",G156="",G156=0),"",X156/G156)</f>
        <v/>
      </c>
      <c r="Z156" s="18" t="n">
        <v>502.246</v>
      </c>
      <c r="AA156" s="16" t="n">
        <v>0.28</v>
      </c>
      <c r="AB156" s="16" t="n">
        <v>0.2963193286238365</v>
      </c>
      <c r="AC156" s="9">
        <f>IF(AND(O156="",P156=""),"DATI MANCANTI",IF(AND(N(O156)&gt;=PARAMETRI!$B$4,N(P156)&gt;=PARAMETRI!$B$4),"OK","NO"))</f>
        <v/>
      </c>
      <c r="AD156" s="9">
        <f>IF(L156="","N/D",IF(L156&lt;PARAMETRI!$B$6,"OTTIMO",IF(L156&lt;PARAMETRI!$B$5,"OK","NO")))</f>
        <v/>
      </c>
      <c r="AE156" s="9">
        <f>IF(OR(AC156="DATI MANCANTI",AD156="N/D"),"DA COMPLETARE",IF(AND(AC156="OK",AD156="OTTIMO"),"PASSA FORTE",IF(AND(AC156="OK",AD156="OK"),"PASSA","SCARTA")))</f>
        <v/>
      </c>
      <c r="AF156" s="8" t="inlineStr">
        <is>
          <t>2026-08-04</t>
        </is>
      </c>
      <c r="AG156" s="8" t="inlineStr">
        <is>
          <t>yahoo</t>
        </is>
      </c>
      <c r="AH156" s="19" t="inlineStr"/>
    </row>
    <row r="157">
      <c r="A157" s="8" t="n">
        <v>156</v>
      </c>
      <c r="B157" s="8" t="inlineStr">
        <is>
          <t>NVIDIA</t>
        </is>
      </c>
      <c r="C157" s="8" t="inlineStr">
        <is>
          <t>NVDA</t>
        </is>
      </c>
      <c r="D157" s="9" t="inlineStr">
        <is>
          <t>USA</t>
        </is>
      </c>
      <c r="E157" s="8" t="inlineStr">
        <is>
          <t>Semiconduttori</t>
        </is>
      </c>
      <c r="F157" s="9" t="inlineStr">
        <is>
          <t>Tecnologia</t>
        </is>
      </c>
      <c r="G157" s="10" t="n">
        <v>206.64</v>
      </c>
      <c r="H157" s="11" t="inlineStr">
        <is>
          <t>USD</t>
        </is>
      </c>
      <c r="I157" s="12" t="n">
        <v>5005027.3</v>
      </c>
      <c r="J157" s="10" t="n">
        <v>6.52</v>
      </c>
      <c r="K157" s="10" t="n">
        <v>12.89043</v>
      </c>
      <c r="L157" s="13">
        <f>IF(OR(G157="",J157="",J157&lt;=0),"",G157/J157)</f>
        <v/>
      </c>
      <c r="M157" s="14" t="n">
        <v>25.60595</v>
      </c>
      <c r="N157" s="15">
        <f>IF(OR(M157="",L157="",L157&lt;=0),"",M157/L157)</f>
        <v/>
      </c>
      <c r="O157" s="16" t="n">
        <v>1.14288</v>
      </c>
      <c r="P157" s="16" t="n">
        <v>0.6430369043825913</v>
      </c>
      <c r="Q157" s="16" t="n">
        <v>0.2698604910859732</v>
      </c>
      <c r="R157" s="17" t="n">
        <v>4</v>
      </c>
      <c r="S157" s="16" t="n">
        <v>0.7633333969089534</v>
      </c>
      <c r="T157" s="16" t="n">
        <v>0.9187288060811577</v>
      </c>
      <c r="U157" s="16" t="n">
        <v>0.6924472986178976</v>
      </c>
      <c r="V157" s="16" t="n">
        <v>0.1976381159223564</v>
      </c>
      <c r="W157" s="16" t="n"/>
      <c r="X157" s="10" t="n">
        <v>1</v>
      </c>
      <c r="Y157" s="15">
        <f>IF(OR(X157="",G157="",G157=0),"",X157/G157)</f>
        <v/>
      </c>
      <c r="Z157" s="18" t="n">
        <v>6.555</v>
      </c>
      <c r="AA157" s="16" t="n">
        <v>0.852</v>
      </c>
      <c r="AB157" s="16" t="n">
        <v>0.7391612107919866</v>
      </c>
      <c r="AC157" s="9">
        <f>IF(AND(O157="",P157=""),"DATI MANCANTI",IF(AND(N(O157)&gt;=PARAMETRI!$B$4,N(P157)&gt;=PARAMETRI!$B$4),"OK","NO"))</f>
        <v/>
      </c>
      <c r="AD157" s="9">
        <f>IF(L157="","N/D",IF(L157&lt;PARAMETRI!$B$6,"OTTIMO",IF(L157&lt;PARAMETRI!$B$5,"OK","NO")))</f>
        <v/>
      </c>
      <c r="AE157" s="9">
        <f>IF(OR(AC157="DATI MANCANTI",AD157="N/D"),"DA COMPLETARE",IF(AND(AC157="OK",AD157="OTTIMO"),"PASSA FORTE",IF(AND(AC157="OK",AD157="OK"),"PASSA","SCARTA")))</f>
        <v/>
      </c>
      <c r="AF157" s="8" t="inlineStr">
        <is>
          <t>2026-08-04</t>
        </is>
      </c>
      <c r="AG157" s="8" t="inlineStr">
        <is>
          <t>yahoo</t>
        </is>
      </c>
      <c r="AH157" s="19" t="inlineStr"/>
    </row>
    <row r="158">
      <c r="A158" s="8" t="n">
        <v>157</v>
      </c>
      <c r="B158" s="8" t="inlineStr">
        <is>
          <t>Netflix</t>
        </is>
      </c>
      <c r="C158" s="8" t="inlineStr">
        <is>
          <t>NFLX</t>
        </is>
      </c>
      <c r="D158" s="9" t="inlineStr">
        <is>
          <t>USA</t>
        </is>
      </c>
      <c r="E158" s="8" t="inlineStr">
        <is>
          <t>Streaming</t>
        </is>
      </c>
      <c r="F158" s="9" t="inlineStr">
        <is>
          <t>Consumi</t>
        </is>
      </c>
      <c r="G158" s="10" t="n">
        <v>73.33</v>
      </c>
      <c r="H158" s="11" t="inlineStr">
        <is>
          <t>USD</t>
        </is>
      </c>
      <c r="I158" s="12" t="n">
        <v>305341.7</v>
      </c>
      <c r="J158" s="10" t="n">
        <v>3.18</v>
      </c>
      <c r="K158" s="10" t="n">
        <v>3.81756</v>
      </c>
      <c r="L158" s="13">
        <f>IF(OR(G158="",J158="",J158&lt;=0),"",G158/J158)</f>
        <v/>
      </c>
      <c r="M158" s="14" t="n">
        <v>10.127054</v>
      </c>
      <c r="N158" s="15">
        <f>IF(OR(M158="",L158="",L158&lt;=0),"",M158/L158)</f>
        <v/>
      </c>
      <c r="O158" s="16" t="n">
        <v>0.49541</v>
      </c>
      <c r="P158" s="16" t="n">
        <v>0.3108822652973959</v>
      </c>
      <c r="Q158" s="16" t="n">
        <v>0.07637252776064919</v>
      </c>
      <c r="R158" s="17" t="n">
        <v>4</v>
      </c>
      <c r="S158" s="16" t="n"/>
      <c r="T158" s="16" t="n">
        <v>0.4125868742290204</v>
      </c>
      <c r="U158" s="16" t="n">
        <v>0.3520766023750739</v>
      </c>
      <c r="V158" s="16" t="n">
        <v>0.262672808597771</v>
      </c>
      <c r="W158" s="16" t="n">
        <v>0.2161927759877186</v>
      </c>
      <c r="X158" s="10" t="n"/>
      <c r="Y158" s="15">
        <f>IF(OR(X158="",G158="",G158=0),"",X158/G158)</f>
        <v/>
      </c>
      <c r="Z158" s="18" t="n">
        <v>55.236</v>
      </c>
      <c r="AA158" s="16" t="n">
        <v>0.134</v>
      </c>
      <c r="AB158" s="16" t="n">
        <v>0.3020966208645209</v>
      </c>
      <c r="AC158" s="9">
        <f>IF(AND(O158="",P158=""),"DATI MANCANTI",IF(AND(N(O158)&gt;=PARAMETRI!$B$4,N(P158)&gt;=PARAMETRI!$B$4),"OK","NO"))</f>
        <v/>
      </c>
      <c r="AD158" s="9">
        <f>IF(L158="","N/D",IF(L158&lt;PARAMETRI!$B$6,"OTTIMO",IF(L158&lt;PARAMETRI!$B$5,"OK","NO")))</f>
        <v/>
      </c>
      <c r="AE158" s="9">
        <f>IF(OR(AC158="DATI MANCANTI",AD158="N/D"),"DA COMPLETARE",IF(AND(AC158="OK",AD158="OTTIMO"),"PASSA FORTE",IF(AND(AC158="OK",AD158="OK"),"PASSA","SCARTA")))</f>
        <v/>
      </c>
      <c r="AF158" s="8" t="inlineStr">
        <is>
          <t>2026-08-04</t>
        </is>
      </c>
      <c r="AG158" s="8" t="inlineStr">
        <is>
          <t>yahoo</t>
        </is>
      </c>
      <c r="AH158" s="19" t="inlineStr"/>
    </row>
    <row r="159">
      <c r="A159" s="8" t="n">
        <v>158</v>
      </c>
      <c r="B159" s="8" t="inlineStr">
        <is>
          <t>Nexi</t>
        </is>
      </c>
      <c r="C159" s="8" t="inlineStr">
        <is>
          <t>NEXI.MI</t>
        </is>
      </c>
      <c r="D159" s="9" t="inlineStr">
        <is>
          <t>Italia</t>
        </is>
      </c>
      <c r="E159" s="8" t="inlineStr">
        <is>
          <t>Pagamenti / Tech</t>
        </is>
      </c>
      <c r="F159" s="9" t="inlineStr">
        <is>
          <t>Tecnologia</t>
        </is>
      </c>
      <c r="G159" s="10" t="n">
        <v>4.365</v>
      </c>
      <c r="H159" s="11" t="inlineStr">
        <is>
          <t>EUR</t>
        </is>
      </c>
      <c r="I159" s="12" t="n">
        <v>5118</v>
      </c>
      <c r="J159" s="10" t="n">
        <v>-2.79</v>
      </c>
      <c r="K159" s="10" t="n">
        <v>0.66259</v>
      </c>
      <c r="L159" s="13">
        <f>IF(OR(G159="",J159="",J159&lt;=0),"",G159/J159)</f>
        <v/>
      </c>
      <c r="M159" s="14" t="n">
        <v>0.72484225</v>
      </c>
      <c r="N159" s="15">
        <f>IF(OR(M159="",L159="",L159&lt;=0),"",M159/L159)</f>
        <v/>
      </c>
      <c r="O159" s="16" t="n">
        <v>-0.3861</v>
      </c>
      <c r="P159" s="16" t="n">
        <v>-0.1352643854154521</v>
      </c>
      <c r="Q159" s="16" t="n">
        <v>0.202525332351745</v>
      </c>
      <c r="R159" s="17" t="n">
        <v>4</v>
      </c>
      <c r="S159" s="16" t="n"/>
      <c r="T159" s="16" t="n">
        <v>-0.4784641541513177</v>
      </c>
      <c r="U159" s="16" t="n">
        <v>0.01527345893543077</v>
      </c>
      <c r="V159" s="16" t="n">
        <v>-0.08922760072252085</v>
      </c>
      <c r="W159" s="16" t="n">
        <v>0.0113607542765992</v>
      </c>
      <c r="X159" s="10" t="n">
        <v>0.3</v>
      </c>
      <c r="Y159" s="15">
        <f>IF(OR(X159="",G159="",G159=0),"",X159/G159)</f>
        <v/>
      </c>
      <c r="Z159" s="18" t="n">
        <v>86.669</v>
      </c>
      <c r="AA159" s="16" t="n">
        <v>0.016</v>
      </c>
      <c r="AB159" s="16" t="n">
        <v>-0.5361810647115078</v>
      </c>
      <c r="AC159" s="9">
        <f>IF(AND(O159="",P159=""),"DATI MANCANTI",IF(AND(N(O159)&gt;=PARAMETRI!$B$4,N(P159)&gt;=PARAMETRI!$B$4),"OK","NO"))</f>
        <v/>
      </c>
      <c r="AD159" s="9">
        <f>IF(L159="","N/D",IF(L159&lt;PARAMETRI!$B$6,"OTTIMO",IF(L159&lt;PARAMETRI!$B$5,"OK","NO")))</f>
        <v/>
      </c>
      <c r="AE159" s="9">
        <f>IF(OR(AC159="DATI MANCANTI",AD159="N/D"),"DA COMPLETARE",IF(AND(AC159="OK",AD159="OTTIMO"),"PASSA FORTE",IF(AND(AC159="OK",AD159="OK"),"PASSA","SCARTA")))</f>
        <v/>
      </c>
      <c r="AF159" s="8" t="inlineStr">
        <is>
          <t>2026-08-04</t>
        </is>
      </c>
      <c r="AG159" s="8" t="inlineStr">
        <is>
          <t>yahoo</t>
        </is>
      </c>
      <c r="AH159" s="19" t="inlineStr"/>
    </row>
    <row r="160">
      <c r="A160" s="8" t="n">
        <v>159</v>
      </c>
      <c r="B160" s="8" t="inlineStr">
        <is>
          <t>NextEra Energy</t>
        </is>
      </c>
      <c r="C160" s="8" t="inlineStr">
        <is>
          <t>NEE</t>
        </is>
      </c>
      <c r="D160" s="9" t="inlineStr">
        <is>
          <t>USA</t>
        </is>
      </c>
      <c r="E160" s="8" t="inlineStr">
        <is>
          <t>Utility / Rinnovabili</t>
        </is>
      </c>
      <c r="F160" s="9" t="inlineStr">
        <is>
          <t>Utility</t>
        </is>
      </c>
      <c r="G160" s="10" t="n">
        <v>86.55</v>
      </c>
      <c r="H160" s="11" t="inlineStr">
        <is>
          <t>USD</t>
        </is>
      </c>
      <c r="I160" s="12" t="n">
        <v>180509.1</v>
      </c>
      <c r="J160" s="10" t="n">
        <v>4.45</v>
      </c>
      <c r="K160" s="10" t="n">
        <v>4.41948</v>
      </c>
      <c r="L160" s="13">
        <f>IF(OR(G160="",J160="",J160&lt;=0),"",G160/J160)</f>
        <v/>
      </c>
      <c r="M160" s="14" t="n">
        <v>3.268381</v>
      </c>
      <c r="N160" s="15">
        <f>IF(OR(M160="",L160="",L160&lt;=0),"",M160/L160)</f>
        <v/>
      </c>
      <c r="O160" s="16" t="n">
        <v>0.11677</v>
      </c>
      <c r="P160" s="16" t="n">
        <v>0.1308789630201321</v>
      </c>
      <c r="Q160" s="16" t="n">
        <v>0.01775346387851813</v>
      </c>
      <c r="R160" s="17" t="n">
        <v>4</v>
      </c>
      <c r="S160" s="16" t="n"/>
      <c r="T160" s="16" t="n">
        <v>0.1251648110167008</v>
      </c>
      <c r="U160" s="16" t="n">
        <v>0.138639947306441</v>
      </c>
      <c r="V160" s="16" t="n">
        <v>0.1539984831886745</v>
      </c>
      <c r="W160" s="16" t="n">
        <v>0.1057126105687119</v>
      </c>
      <c r="X160" s="10" t="n">
        <v>2.49</v>
      </c>
      <c r="Y160" s="15">
        <f>IF(OR(X160="",G160="",G160=0),"",X160/G160)</f>
        <v/>
      </c>
      <c r="Z160" s="18" t="n">
        <v>161.676</v>
      </c>
      <c r="AA160" s="16" t="n">
        <v>0.124</v>
      </c>
      <c r="AB160" s="16" t="n">
        <v>0.3392310053990953</v>
      </c>
      <c r="AC160" s="9">
        <f>IF(AND(O160="",P160=""),"DATI MANCANTI",IF(AND(N(O160)&gt;=PARAMETRI!$B$4,N(P160)&gt;=PARAMETRI!$B$4),"OK","NO"))</f>
        <v/>
      </c>
      <c r="AD160" s="9">
        <f>IF(L160="","N/D",IF(L160&lt;PARAMETRI!$B$6,"OTTIMO",IF(L160&lt;PARAMETRI!$B$5,"OK","NO")))</f>
        <v/>
      </c>
      <c r="AE160" s="9">
        <f>IF(OR(AC160="DATI MANCANTI",AD160="N/D"),"DA COMPLETARE",IF(AND(AC160="OK",AD160="OTTIMO"),"PASSA FORTE",IF(AND(AC160="OK",AD160="OK"),"PASSA","SCARTA")))</f>
        <v/>
      </c>
      <c r="AF160" s="8" t="inlineStr">
        <is>
          <t>2026-08-04</t>
        </is>
      </c>
      <c r="AG160" s="8" t="inlineStr">
        <is>
          <t>yahoo</t>
        </is>
      </c>
      <c r="AH160" s="19" t="inlineStr"/>
    </row>
    <row r="161">
      <c r="A161" s="8" t="n">
        <v>160</v>
      </c>
      <c r="B161" s="8" t="inlineStr">
        <is>
          <t>Nike</t>
        </is>
      </c>
      <c r="C161" s="8" t="inlineStr">
        <is>
          <t>NKE</t>
        </is>
      </c>
      <c r="D161" s="9" t="inlineStr">
        <is>
          <t>USA</t>
        </is>
      </c>
      <c r="E161" s="8" t="inlineStr">
        <is>
          <t>Abbigliamento sportivo</t>
        </is>
      </c>
      <c r="F161" s="9" t="inlineStr">
        <is>
          <t>Consumi</t>
        </is>
      </c>
      <c r="G161" s="10" t="n">
        <v>42.64</v>
      </c>
      <c r="H161" s="11" t="inlineStr">
        <is>
          <t>USD</t>
        </is>
      </c>
      <c r="I161" s="12" t="n">
        <v>63256.4</v>
      </c>
      <c r="J161" s="10" t="n">
        <v>2.1</v>
      </c>
      <c r="K161" s="10" t="n">
        <v>2.29669</v>
      </c>
      <c r="L161" s="13">
        <f>IF(OR(G161="",J161="",J161&lt;=0),"",G161/J161)</f>
        <v/>
      </c>
      <c r="M161" s="14" t="n">
        <v>4.253791</v>
      </c>
      <c r="N161" s="15">
        <f>IF(OR(M161="",L161="",L161&lt;=0),"",M161/L161)</f>
        <v/>
      </c>
      <c r="O161" s="16" t="n">
        <v>0.22138001</v>
      </c>
      <c r="P161" s="16" t="n">
        <v>0.3024388129670675</v>
      </c>
      <c r="Q161" s="16" t="n">
        <v>0.07793665822629463</v>
      </c>
      <c r="R161" s="17" t="n">
        <v>4</v>
      </c>
      <c r="S161" s="16" t="n">
        <v>0.2090817356205853</v>
      </c>
      <c r="T161" s="16" t="n">
        <v>0.2436237039279497</v>
      </c>
      <c r="U161" s="16" t="n">
        <v>0.395010395010395</v>
      </c>
      <c r="V161" s="16" t="n">
        <v>0.3620394173093402</v>
      </c>
      <c r="W161" s="16" t="n"/>
      <c r="X161" s="10" t="n">
        <v>1.64</v>
      </c>
      <c r="Y161" s="15">
        <f>IF(OR(X161="",G161="",G161=0),"",X161/G161)</f>
        <v/>
      </c>
      <c r="Z161" s="18" t="n">
        <v>74.289</v>
      </c>
      <c r="AA161" s="16" t="n">
        <v>-0.011</v>
      </c>
      <c r="AB161" s="16" t="n">
        <v>0.06698564593301436</v>
      </c>
      <c r="AC161" s="9">
        <f>IF(AND(O161="",P161=""),"DATI MANCANTI",IF(AND(N(O161)&gt;=PARAMETRI!$B$4,N(P161)&gt;=PARAMETRI!$B$4),"OK","NO"))</f>
        <v/>
      </c>
      <c r="AD161" s="9">
        <f>IF(L161="","N/D",IF(L161&lt;PARAMETRI!$B$6,"OTTIMO",IF(L161&lt;PARAMETRI!$B$5,"OK","NO")))</f>
        <v/>
      </c>
      <c r="AE161" s="9">
        <f>IF(OR(AC161="DATI MANCANTI",AD161="N/D"),"DA COMPLETARE",IF(AND(AC161="OK",AD161="OTTIMO"),"PASSA FORTE",IF(AND(AC161="OK",AD161="OK"),"PASSA","SCARTA")))</f>
        <v/>
      </c>
      <c r="AF161" s="8" t="inlineStr">
        <is>
          <t>2026-08-04</t>
        </is>
      </c>
      <c r="AG161" s="8" t="inlineStr">
        <is>
          <t>yahoo</t>
        </is>
      </c>
      <c r="AH161" s="19" t="inlineStr"/>
    </row>
    <row r="162">
      <c r="A162" s="8" t="n">
        <v>161</v>
      </c>
      <c r="B162" s="8" t="inlineStr">
        <is>
          <t>Norfolk Southern</t>
        </is>
      </c>
      <c r="C162" s="8" t="inlineStr">
        <is>
          <t>NSC</t>
        </is>
      </c>
      <c r="D162" s="9" t="inlineStr">
        <is>
          <t>USA</t>
        </is>
      </c>
      <c r="E162" s="8" t="inlineStr">
        <is>
          <t>Ferrovie</t>
        </is>
      </c>
      <c r="F162" s="9" t="inlineStr">
        <is>
          <t>Industriale</t>
        </is>
      </c>
      <c r="G162" s="10" t="n">
        <v>336.65</v>
      </c>
      <c r="H162" s="11" t="inlineStr">
        <is>
          <t>USD</t>
        </is>
      </c>
      <c r="I162" s="12" t="n">
        <v>75614.39999999999</v>
      </c>
      <c r="J162" s="10" t="n">
        <v>11.71</v>
      </c>
      <c r="K162" s="10" t="n">
        <v>14.26433</v>
      </c>
      <c r="L162" s="13">
        <f>IF(OR(G162="",J162="",J162&lt;=0),"",G162/J162)</f>
        <v/>
      </c>
      <c r="M162" s="14" t="n">
        <v>4.6523037</v>
      </c>
      <c r="N162" s="15">
        <f>IF(OR(M162="",L162="",L162&lt;=0),"",M162/L162)</f>
        <v/>
      </c>
      <c r="O162" s="16" t="n">
        <v>0.16985</v>
      </c>
      <c r="P162" s="16" t="n">
        <v>0.1919584509394721</v>
      </c>
      <c r="Q162" s="16" t="n">
        <v>0.04103328172323672</v>
      </c>
      <c r="R162" s="17" t="n">
        <v>4</v>
      </c>
      <c r="S162" s="16" t="n"/>
      <c r="T162" s="16" t="n">
        <v>0.1847944941146202</v>
      </c>
      <c r="U162" s="16" t="n">
        <v>0.1832797427652733</v>
      </c>
      <c r="V162" s="16" t="n">
        <v>0.1429465613019326</v>
      </c>
      <c r="W162" s="16" t="n">
        <v>0.2568130055760622</v>
      </c>
      <c r="X162" s="10" t="n">
        <v>5.4</v>
      </c>
      <c r="Y162" s="15">
        <f>IF(OR(X162="",G162="",G162=0),"",X162/G162)</f>
        <v/>
      </c>
      <c r="Z162" s="18" t="n">
        <v>105.519</v>
      </c>
      <c r="AA162" s="16" t="n">
        <v>0.114</v>
      </c>
      <c r="AB162" s="16" t="n">
        <v>0.2161740505747126</v>
      </c>
      <c r="AC162" s="9">
        <f>IF(AND(O162="",P162=""),"DATI MANCANTI",IF(AND(N(O162)&gt;=PARAMETRI!$B$4,N(P162)&gt;=PARAMETRI!$B$4),"OK","NO"))</f>
        <v/>
      </c>
      <c r="AD162" s="9">
        <f>IF(L162="","N/D",IF(L162&lt;PARAMETRI!$B$6,"OTTIMO",IF(L162&lt;PARAMETRI!$B$5,"OK","NO")))</f>
        <v/>
      </c>
      <c r="AE162" s="9">
        <f>IF(OR(AC162="DATI MANCANTI",AD162="N/D"),"DA COMPLETARE",IF(AND(AC162="OK",AD162="OTTIMO"),"PASSA FORTE",IF(AND(AC162="OK",AD162="OK"),"PASSA","SCARTA")))</f>
        <v/>
      </c>
      <c r="AF162" s="8" t="inlineStr">
        <is>
          <t>2026-08-04</t>
        </is>
      </c>
      <c r="AG162" s="8" t="inlineStr">
        <is>
          <t>yahoo</t>
        </is>
      </c>
      <c r="AH162" s="19" t="inlineStr"/>
    </row>
    <row r="163">
      <c r="A163" s="8" t="n">
        <v>162</v>
      </c>
      <c r="B163" s="8" t="inlineStr">
        <is>
          <t>Northrop Grumman</t>
        </is>
      </c>
      <c r="C163" s="8" t="inlineStr">
        <is>
          <t>NOC</t>
        </is>
      </c>
      <c r="D163" s="9" t="inlineStr">
        <is>
          <t>USA</t>
        </is>
      </c>
      <c r="E163" s="8" t="inlineStr">
        <is>
          <t>Difesa</t>
        </is>
      </c>
      <c r="F163" s="9" t="inlineStr">
        <is>
          <t>Industriale</t>
        </is>
      </c>
      <c r="G163" s="10" t="n">
        <v>548.47</v>
      </c>
      <c r="H163" s="11" t="inlineStr">
        <is>
          <t>USD</t>
        </is>
      </c>
      <c r="I163" s="12" t="n">
        <v>77917.3</v>
      </c>
      <c r="J163" s="10" t="n">
        <v>31.46</v>
      </c>
      <c r="K163" s="10" t="n">
        <v>30.36815</v>
      </c>
      <c r="L163" s="13">
        <f>IF(OR(G163="",J163="",J163&lt;=0),"",G163/J163)</f>
        <v/>
      </c>
      <c r="M163" s="14" t="n">
        <v>4.356809</v>
      </c>
      <c r="N163" s="15">
        <f>IF(OR(M163="",L163="",L163&lt;=0),"",M163/L163)</f>
        <v/>
      </c>
      <c r="O163" s="16" t="n">
        <v>0.26958</v>
      </c>
      <c r="P163" s="16" t="n">
        <v>0.2456284021316426</v>
      </c>
      <c r="Q163" s="16" t="n">
        <v>0.06641956155607608</v>
      </c>
      <c r="R163" s="17" t="n">
        <v>4</v>
      </c>
      <c r="S163" s="16" t="n"/>
      <c r="T163" s="16" t="n">
        <v>0.250809643756747</v>
      </c>
      <c r="U163" s="16" t="n">
        <v>0.2729888816219752</v>
      </c>
      <c r="V163" s="16" t="n">
        <v>0.1389658668469077</v>
      </c>
      <c r="W163" s="16" t="n">
        <v>0.3197492163009404</v>
      </c>
      <c r="X163" s="10" t="n">
        <v>9.4</v>
      </c>
      <c r="Y163" s="15">
        <f>IF(OR(X163="",G163="",G163=0),"",X163/G163)</f>
        <v/>
      </c>
      <c r="Z163" s="18" t="n">
        <v>95.348</v>
      </c>
      <c r="AA163" s="16" t="n">
        <v>0.051</v>
      </c>
      <c r="AB163" s="16" t="n">
        <v>0.1071649902273919</v>
      </c>
      <c r="AC163" s="9">
        <f>IF(AND(O163="",P163=""),"DATI MANCANTI",IF(AND(N(O163)&gt;=PARAMETRI!$B$4,N(P163)&gt;=PARAMETRI!$B$4),"OK","NO"))</f>
        <v/>
      </c>
      <c r="AD163" s="9">
        <f>IF(L163="","N/D",IF(L163&lt;PARAMETRI!$B$6,"OTTIMO",IF(L163&lt;PARAMETRI!$B$5,"OK","NO")))</f>
        <v/>
      </c>
      <c r="AE163" s="9">
        <f>IF(OR(AC163="DATI MANCANTI",AD163="N/D"),"DA COMPLETARE",IF(AND(AC163="OK",AD163="OTTIMO"),"PASSA FORTE",IF(AND(AC163="OK",AD163="OK"),"PASSA","SCARTA")))</f>
        <v/>
      </c>
      <c r="AF163" s="8" t="inlineStr">
        <is>
          <t>2026-08-04</t>
        </is>
      </c>
      <c r="AG163" s="8" t="inlineStr">
        <is>
          <t>yahoo</t>
        </is>
      </c>
      <c r="AH163" s="19" t="inlineStr"/>
    </row>
    <row r="164">
      <c r="A164" s="8" t="n">
        <v>163</v>
      </c>
      <c r="B164" s="8" t="inlineStr">
        <is>
          <t>Nucor</t>
        </is>
      </c>
      <c r="C164" s="8" t="inlineStr">
        <is>
          <t>NUE</t>
        </is>
      </c>
      <c r="D164" s="9" t="inlineStr">
        <is>
          <t>USA</t>
        </is>
      </c>
      <c r="E164" s="8" t="inlineStr">
        <is>
          <t>Acciaio</t>
        </is>
      </c>
      <c r="F164" s="9" t="inlineStr">
        <is>
          <t>Materiali</t>
        </is>
      </c>
      <c r="G164" s="10" t="n">
        <v>261.28</v>
      </c>
      <c r="H164" s="11" t="inlineStr">
        <is>
          <t>USD</t>
        </is>
      </c>
      <c r="I164" s="12" t="n">
        <v>59504.2</v>
      </c>
      <c r="J164" s="10" t="n">
        <v>12.53</v>
      </c>
      <c r="K164" s="10" t="n">
        <v>18.82598</v>
      </c>
      <c r="L164" s="13">
        <f>IF(OR(G164="",J164="",J164&lt;=0),"",G164/J164)</f>
        <v/>
      </c>
      <c r="M164" s="14" t="n">
        <v>2.6968331</v>
      </c>
      <c r="N164" s="15">
        <f>IF(OR(M164="",L164="",L164&lt;=0),"",M164/L164)</f>
        <v/>
      </c>
      <c r="O164" s="16" t="n">
        <v>0.14548999</v>
      </c>
      <c r="P164" s="16" t="n">
        <v>0.2030927127527553</v>
      </c>
      <c r="Q164" s="16" t="n">
        <v>0.1315978865605651</v>
      </c>
      <c r="R164" s="17" t="n">
        <v>4</v>
      </c>
      <c r="S164" s="16" t="n"/>
      <c r="T164" s="16" t="n">
        <v>0.08330149025601834</v>
      </c>
      <c r="U164" s="16" t="n">
        <v>0.09988173844486055</v>
      </c>
      <c r="V164" s="16" t="n">
        <v>0.2160936007640879</v>
      </c>
      <c r="W164" s="16" t="n">
        <v>0.4130940215460545</v>
      </c>
      <c r="X164" s="10" t="n">
        <v>2.24</v>
      </c>
      <c r="Y164" s="15">
        <f>IF(OR(X164="",G164="",G164=0),"",X164/G164)</f>
        <v/>
      </c>
      <c r="Z164" s="18" t="n">
        <v>30.512</v>
      </c>
      <c r="AA164" s="16" t="n">
        <v>0.23</v>
      </c>
      <c r="AB164" s="16" t="n">
        <v>0.08853942069305103</v>
      </c>
      <c r="AC164" s="9">
        <f>IF(AND(O164="",P164=""),"DATI MANCANTI",IF(AND(N(O164)&gt;=PARAMETRI!$B$4,N(P164)&gt;=PARAMETRI!$B$4),"OK","NO"))</f>
        <v/>
      </c>
      <c r="AD164" s="9">
        <f>IF(L164="","N/D",IF(L164&lt;PARAMETRI!$B$6,"OTTIMO",IF(L164&lt;PARAMETRI!$B$5,"OK","NO")))</f>
        <v/>
      </c>
      <c r="AE164" s="9">
        <f>IF(OR(AC164="DATI MANCANTI",AD164="N/D"),"DA COMPLETARE",IF(AND(AC164="OK",AD164="OTTIMO"),"PASSA FORTE",IF(AND(AC164="OK",AD164="OK"),"PASSA","SCARTA")))</f>
        <v/>
      </c>
      <c r="AF164" s="8" t="inlineStr">
        <is>
          <t>2026-08-04</t>
        </is>
      </c>
      <c r="AG164" s="8" t="inlineStr">
        <is>
          <t>yahoo</t>
        </is>
      </c>
      <c r="AH164" s="19" t="inlineStr"/>
    </row>
    <row r="165">
      <c r="A165" s="8" t="n">
        <v>164</v>
      </c>
      <c r="B165" s="8" t="inlineStr">
        <is>
          <t>Occidental Petroleum</t>
        </is>
      </c>
      <c r="C165" s="8" t="inlineStr">
        <is>
          <t>OXY</t>
        </is>
      </c>
      <c r="D165" s="9" t="inlineStr">
        <is>
          <t>USA</t>
        </is>
      </c>
      <c r="E165" s="8" t="inlineStr">
        <is>
          <t>Esplorazione e produzione</t>
        </is>
      </c>
      <c r="F165" s="9" t="inlineStr">
        <is>
          <t>Energia</t>
        </is>
      </c>
      <c r="G165" s="10" t="n">
        <v>55.47</v>
      </c>
      <c r="H165" s="11" t="inlineStr">
        <is>
          <t>USD</t>
        </is>
      </c>
      <c r="I165" s="12" t="n">
        <v>55172.4</v>
      </c>
      <c r="J165" s="10" t="n">
        <v>0.74</v>
      </c>
      <c r="K165" s="10" t="n">
        <v>3.9089</v>
      </c>
      <c r="L165" s="13">
        <f>IF(OR(G165="",J165="",J165&lt;=0),"",G165/J165)</f>
        <v/>
      </c>
      <c r="M165" s="14" t="n">
        <v>1.7941586</v>
      </c>
      <c r="N165" s="15">
        <f>IF(OR(M165="",L165="",L165&lt;=0),"",M165/L165)</f>
        <v/>
      </c>
      <c r="O165" s="16" t="n">
        <v>0.04053</v>
      </c>
      <c r="P165" s="16" t="n">
        <v>0.1878668803897049</v>
      </c>
      <c r="Q165" s="16" t="n">
        <v>0.1505382025614877</v>
      </c>
      <c r="R165" s="17" t="n">
        <v>4</v>
      </c>
      <c r="S165" s="16" t="n"/>
      <c r="T165" s="16" t="n">
        <v>0.06455014708331021</v>
      </c>
      <c r="U165" s="16" t="n">
        <v>0.08946397728270734</v>
      </c>
      <c r="V165" s="16" t="n">
        <v>0.1552396694214876</v>
      </c>
      <c r="W165" s="16" t="n">
        <v>0.4422137277713146</v>
      </c>
      <c r="X165" s="10" t="n">
        <v>1.04</v>
      </c>
      <c r="Y165" s="15">
        <f>IF(OR(X165="",G165="",G165=0),"",X165/G165)</f>
        <v/>
      </c>
      <c r="Z165" s="18" t="n">
        <v>41.989</v>
      </c>
      <c r="AA165" s="16" t="n">
        <v>-0.083</v>
      </c>
      <c r="AB165" s="16" t="n">
        <v>0.03408512017783541</v>
      </c>
      <c r="AC165" s="9">
        <f>IF(AND(O165="",P165=""),"DATI MANCANTI",IF(AND(N(O165)&gt;=PARAMETRI!$B$4,N(P165)&gt;=PARAMETRI!$B$4),"OK","NO"))</f>
        <v/>
      </c>
      <c r="AD165" s="9">
        <f>IF(L165="","N/D",IF(L165&lt;PARAMETRI!$B$6,"OTTIMO",IF(L165&lt;PARAMETRI!$B$5,"OK","NO")))</f>
        <v/>
      </c>
      <c r="AE165" s="9">
        <f>IF(OR(AC165="DATI MANCANTI",AD165="N/D"),"DA COMPLETARE",IF(AND(AC165="OK",AD165="OTTIMO"),"PASSA FORTE",IF(AND(AC165="OK",AD165="OK"),"PASSA","SCARTA")))</f>
        <v/>
      </c>
      <c r="AF165" s="8" t="inlineStr">
        <is>
          <t>2026-08-04</t>
        </is>
      </c>
      <c r="AG165" s="8" t="inlineStr">
        <is>
          <t>yahoo</t>
        </is>
      </c>
      <c r="AH165" s="19" t="inlineStr"/>
    </row>
    <row r="166">
      <c r="A166" s="8" t="n">
        <v>165</v>
      </c>
      <c r="B166" s="8" t="inlineStr">
        <is>
          <t>Oracle</t>
        </is>
      </c>
      <c r="C166" s="8" t="inlineStr">
        <is>
          <t>ORCL</t>
        </is>
      </c>
      <c r="D166" s="9" t="inlineStr">
        <is>
          <t>USA</t>
        </is>
      </c>
      <c r="E166" s="8" t="inlineStr">
        <is>
          <t>Software / Cloud</t>
        </is>
      </c>
      <c r="F166" s="9" t="inlineStr">
        <is>
          <t>Tecnologia</t>
        </is>
      </c>
      <c r="G166" s="10" t="n">
        <v>141.85</v>
      </c>
      <c r="H166" s="11" t="inlineStr">
        <is>
          <t>USD</t>
        </is>
      </c>
      <c r="I166" s="12" t="n">
        <v>408594.8</v>
      </c>
      <c r="J166" s="10" t="n">
        <v>5.83</v>
      </c>
      <c r="K166" s="10" t="n">
        <v>10.89015</v>
      </c>
      <c r="L166" s="13">
        <f>IF(OR(G166="",J166="",J166&lt;=0),"",G166/J166)</f>
        <v/>
      </c>
      <c r="M166" s="14" t="n">
        <v>10.878068</v>
      </c>
      <c r="N166" s="15">
        <f>IF(OR(M166="",L166="",L166&lt;=0),"",M166/L166)</f>
        <v/>
      </c>
      <c r="O166" s="16" t="n">
        <v>0.53376</v>
      </c>
      <c r="P166" s="16" t="n">
        <v>2.534365642083217</v>
      </c>
      <c r="Q166" s="16" t="n">
        <v>3.125849047166543</v>
      </c>
      <c r="R166" s="17" t="n">
        <v>4</v>
      </c>
      <c r="S166" s="16" t="n">
        <v>0.4019713936200245</v>
      </c>
      <c r="T166" s="16" t="n">
        <v>0.6084299056280866</v>
      </c>
      <c r="U166" s="16" t="n">
        <v>1.202550551470588</v>
      </c>
      <c r="V166" s="16" t="n">
        <v>7.924510717614166</v>
      </c>
      <c r="W166" s="16" t="n"/>
      <c r="X166" s="10" t="n">
        <v>2</v>
      </c>
      <c r="Y166" s="15">
        <f>IF(OR(X166="",G166="",G166=0),"",X166/G166)</f>
        <v/>
      </c>
      <c r="Z166" s="18" t="n">
        <v>388.87</v>
      </c>
      <c r="AA166" s="16" t="n">
        <v>0.206</v>
      </c>
      <c r="AB166" s="16" t="n">
        <v>0.2521490047359591</v>
      </c>
      <c r="AC166" s="9">
        <f>IF(AND(O166="",P166=""),"DATI MANCANTI",IF(AND(N(O166)&gt;=PARAMETRI!$B$4,N(P166)&gt;=PARAMETRI!$B$4),"OK","NO"))</f>
        <v/>
      </c>
      <c r="AD166" s="9">
        <f>IF(L166="","N/D",IF(L166&lt;PARAMETRI!$B$6,"OTTIMO",IF(L166&lt;PARAMETRI!$B$5,"OK","NO")))</f>
        <v/>
      </c>
      <c r="AE166" s="9">
        <f>IF(OR(AC166="DATI MANCANTI",AD166="N/D"),"DA COMPLETARE",IF(AND(AC166="OK",AD166="OTTIMO"),"PASSA FORTE",IF(AND(AC166="OK",AD166="OK"),"PASSA","SCARTA")))</f>
        <v/>
      </c>
      <c r="AF166" s="8" t="inlineStr">
        <is>
          <t>2026-08-04</t>
        </is>
      </c>
      <c r="AG166" s="8" t="inlineStr">
        <is>
          <t>yahoo</t>
        </is>
      </c>
      <c r="AH166" s="19" t="inlineStr"/>
    </row>
    <row r="167">
      <c r="A167" s="8" t="n">
        <v>166</v>
      </c>
      <c r="B167" s="8" t="inlineStr">
        <is>
          <t>PACCAR</t>
        </is>
      </c>
      <c r="C167" s="8" t="inlineStr">
        <is>
          <t>PCAR</t>
        </is>
      </c>
      <c r="D167" s="9" t="inlineStr">
        <is>
          <t>USA</t>
        </is>
      </c>
      <c r="E167" s="8" t="inlineStr">
        <is>
          <t>Veicoli industriali</t>
        </is>
      </c>
      <c r="F167" s="9" t="inlineStr">
        <is>
          <t>Industriale</t>
        </is>
      </c>
      <c r="G167" s="10" t="n">
        <v>132.06</v>
      </c>
      <c r="H167" s="11" t="inlineStr">
        <is>
          <t>USD</t>
        </is>
      </c>
      <c r="I167" s="12" t="n">
        <v>69511.8</v>
      </c>
      <c r="J167" s="10" t="n">
        <v>4.75</v>
      </c>
      <c r="K167" s="10" t="n">
        <v>7.15127</v>
      </c>
      <c r="L167" s="13">
        <f>IF(OR(G167="",J167="",J167&lt;=0),"",G167/J167)</f>
        <v/>
      </c>
      <c r="M167" s="14" t="n">
        <v>3.5176601</v>
      </c>
      <c r="N167" s="15">
        <f>IF(OR(M167="",L167="",L167&lt;=0),"",M167/L167)</f>
        <v/>
      </c>
      <c r="O167" s="16" t="n">
        <v>0.12755999</v>
      </c>
      <c r="P167" s="16" t="n">
        <v>0.2198824319294773</v>
      </c>
      <c r="Q167" s="16" t="n">
        <v>0.06041575921139673</v>
      </c>
      <c r="R167" s="17" t="n">
        <v>4</v>
      </c>
      <c r="S167" s="16" t="n"/>
      <c r="T167" s="16" t="n">
        <v>0.123328488372093</v>
      </c>
      <c r="U167" s="16" t="n">
        <v>0.2377348359789569</v>
      </c>
      <c r="V167" s="16" t="n">
        <v>0.2897448169886893</v>
      </c>
      <c r="W167" s="16" t="n">
        <v>0.2287215863781698</v>
      </c>
      <c r="X167" s="10" t="n">
        <v>1.4</v>
      </c>
      <c r="Y167" s="15">
        <f>IF(OR(X167="",G167="",G167=0),"",X167/G167)</f>
        <v/>
      </c>
      <c r="Z167" s="18" t="n">
        <v>72.91</v>
      </c>
      <c r="AA167" s="16" t="n">
        <v>0.005</v>
      </c>
      <c r="AB167" s="16" t="n">
        <v>0.08803717853526831</v>
      </c>
      <c r="AC167" s="9">
        <f>IF(AND(O167="",P167=""),"DATI MANCANTI",IF(AND(N(O167)&gt;=PARAMETRI!$B$4,N(P167)&gt;=PARAMETRI!$B$4),"OK","NO"))</f>
        <v/>
      </c>
      <c r="AD167" s="9">
        <f>IF(L167="","N/D",IF(L167&lt;PARAMETRI!$B$6,"OTTIMO",IF(L167&lt;PARAMETRI!$B$5,"OK","NO")))</f>
        <v/>
      </c>
      <c r="AE167" s="9">
        <f>IF(OR(AC167="DATI MANCANTI",AD167="N/D"),"DA COMPLETARE",IF(AND(AC167="OK",AD167="OTTIMO"),"PASSA FORTE",IF(AND(AC167="OK",AD167="OK"),"PASSA","SCARTA")))</f>
        <v/>
      </c>
      <c r="AF167" s="8" t="inlineStr">
        <is>
          <t>2026-08-04</t>
        </is>
      </c>
      <c r="AG167" s="8" t="inlineStr">
        <is>
          <t>yahoo</t>
        </is>
      </c>
      <c r="AH167" s="19" t="inlineStr"/>
    </row>
    <row r="168">
      <c r="A168" s="8" t="n">
        <v>167</v>
      </c>
      <c r="B168" s="8" t="inlineStr">
        <is>
          <t>Palantir</t>
        </is>
      </c>
      <c r="C168" s="8" t="inlineStr">
        <is>
          <t>PLTR</t>
        </is>
      </c>
      <c r="D168" s="9" t="inlineStr">
        <is>
          <t>USA</t>
        </is>
      </c>
      <c r="E168" s="8" t="inlineStr">
        <is>
          <t>Software / Dati</t>
        </is>
      </c>
      <c r="F168" s="9" t="inlineStr">
        <is>
          <t>Tecnologia</t>
        </is>
      </c>
      <c r="G168" s="10" t="n">
        <v>125.65</v>
      </c>
      <c r="H168" s="11" t="inlineStr">
        <is>
          <t>USD</t>
        </is>
      </c>
      <c r="I168" s="12" t="n">
        <v>301222.3</v>
      </c>
      <c r="J168" s="10" t="n">
        <v>0.89</v>
      </c>
      <c r="K168" s="10" t="n">
        <v>2.09448</v>
      </c>
      <c r="L168" s="13">
        <f>IF(OR(G168="",J168="",J168&lt;=0),"",G168/J168)</f>
        <v/>
      </c>
      <c r="M168" s="14" t="n">
        <v>35.64539</v>
      </c>
      <c r="N168" s="15">
        <f>IF(OR(M168="",L168="",L168&lt;=0),"",M168/L168)</f>
        <v/>
      </c>
      <c r="O168" s="16" t="n">
        <v>0.32587</v>
      </c>
      <c r="P168" s="16" t="n">
        <v>0.0567627833233541</v>
      </c>
      <c r="Q168" s="16" t="n">
        <v>0.1312456864995072</v>
      </c>
      <c r="R168" s="17" t="n">
        <v>4</v>
      </c>
      <c r="S168" s="16" t="n"/>
      <c r="T168" s="16" t="n">
        <v>0.2199775343198595</v>
      </c>
      <c r="U168" s="16" t="n">
        <v>0.09237749274225382</v>
      </c>
      <c r="V168" s="16" t="n">
        <v>0.06037154865070703</v>
      </c>
      <c r="W168" s="16" t="n">
        <v>-0.145675442419404</v>
      </c>
      <c r="X168" s="10" t="n"/>
      <c r="Y168" s="15">
        <f>IF(OR(X168="",G168="",G168=0),"",X168/G168)</f>
        <v/>
      </c>
      <c r="Z168" s="18" t="n">
        <v>2.477</v>
      </c>
      <c r="AA168" s="16" t="n">
        <v>0.847</v>
      </c>
      <c r="AB168" s="16" t="n">
        <v>0.509788094415618</v>
      </c>
      <c r="AC168" s="9">
        <f>IF(AND(O168="",P168=""),"DATI MANCANTI",IF(AND(N(O168)&gt;=PARAMETRI!$B$4,N(P168)&gt;=PARAMETRI!$B$4),"OK","NO"))</f>
        <v/>
      </c>
      <c r="AD168" s="9">
        <f>IF(L168="","N/D",IF(L168&lt;PARAMETRI!$B$6,"OTTIMO",IF(L168&lt;PARAMETRI!$B$5,"OK","NO")))</f>
        <v/>
      </c>
      <c r="AE168" s="9">
        <f>IF(OR(AC168="DATI MANCANTI",AD168="N/D"),"DA COMPLETARE",IF(AND(AC168="OK",AD168="OTTIMO"),"PASSA FORTE",IF(AND(AC168="OK",AD168="OK"),"PASSA","SCARTA")))</f>
        <v/>
      </c>
      <c r="AF168" s="8" t="inlineStr">
        <is>
          <t>2026-08-04</t>
        </is>
      </c>
      <c r="AG168" s="8" t="inlineStr">
        <is>
          <t>yahoo</t>
        </is>
      </c>
      <c r="AH168" s="19" t="inlineStr"/>
    </row>
    <row r="169">
      <c r="A169" s="8" t="n">
        <v>168</v>
      </c>
      <c r="B169" s="8" t="inlineStr">
        <is>
          <t>Palo Alto Networks</t>
        </is>
      </c>
      <c r="C169" s="8" t="inlineStr">
        <is>
          <t>PANW</t>
        </is>
      </c>
      <c r="D169" s="9" t="inlineStr">
        <is>
          <t>USA</t>
        </is>
      </c>
      <c r="E169" s="8" t="inlineStr">
        <is>
          <t>Cybersicurezza</t>
        </is>
      </c>
      <c r="F169" s="9" t="inlineStr">
        <is>
          <t>Tecnologia</t>
        </is>
      </c>
      <c r="G169" s="10" t="n">
        <v>347.13</v>
      </c>
      <c r="H169" s="11" t="inlineStr">
        <is>
          <t>USD</t>
        </is>
      </c>
      <c r="I169" s="12" t="n">
        <v>282910.9</v>
      </c>
      <c r="J169" s="10" t="n">
        <v>1.16</v>
      </c>
      <c r="K169" s="10" t="n">
        <v>4.12498</v>
      </c>
      <c r="L169" s="13">
        <f>IF(OR(G169="",J169="",J169&lt;=0),"",G169/J169)</f>
        <v/>
      </c>
      <c r="M169" s="14" t="n">
        <v>10.200106</v>
      </c>
      <c r="N169" s="15">
        <f>IF(OR(M169="",L169="",L169&lt;=0),"",M169/L169)</f>
        <v/>
      </c>
      <c r="O169" s="16" t="n">
        <v>0.048309997</v>
      </c>
      <c r="P169" s="16" t="n">
        <v>-0.09410635994787687</v>
      </c>
      <c r="Q169" s="16" t="n">
        <v>0.6917284975029041</v>
      </c>
      <c r="R169" s="17" t="n">
        <v>4</v>
      </c>
      <c r="S169" s="16" t="n"/>
      <c r="T169" s="16" t="n">
        <v>0.1449184602014212</v>
      </c>
      <c r="U169" s="16" t="n">
        <v>0.4985975975395091</v>
      </c>
      <c r="V169" s="16" t="n">
        <v>0.2514870738961336</v>
      </c>
      <c r="W169" s="16" t="n">
        <v>-1.271428571428571</v>
      </c>
      <c r="X169" s="10" t="n"/>
      <c r="Y169" s="15">
        <f>IF(OR(X169="",G169="",G169=0),"",X169/G169)</f>
        <v/>
      </c>
      <c r="Z169" s="18" t="n">
        <v>7.698</v>
      </c>
      <c r="AA169" s="16" t="n">
        <v>0.311</v>
      </c>
      <c r="AB169" s="16" t="n">
        <v>0.09140595000813316</v>
      </c>
      <c r="AC169" s="9">
        <f>IF(AND(O169="",P169=""),"DATI MANCANTI",IF(AND(N(O169)&gt;=PARAMETRI!$B$4,N(P169)&gt;=PARAMETRI!$B$4),"OK","NO"))</f>
        <v/>
      </c>
      <c r="AD169" s="9">
        <f>IF(L169="","N/D",IF(L169&lt;PARAMETRI!$B$6,"OTTIMO",IF(L169&lt;PARAMETRI!$B$5,"OK","NO")))</f>
        <v/>
      </c>
      <c r="AE169" s="9">
        <f>IF(OR(AC169="DATI MANCANTI",AD169="N/D"),"DA COMPLETARE",IF(AND(AC169="OK",AD169="OTTIMO"),"PASSA FORTE",IF(AND(AC169="OK",AD169="OK"),"PASSA","SCARTA")))</f>
        <v/>
      </c>
      <c r="AF169" s="8" t="inlineStr">
        <is>
          <t>2026-08-04</t>
        </is>
      </c>
      <c r="AG169" s="8" t="inlineStr">
        <is>
          <t>yahoo</t>
        </is>
      </c>
      <c r="AH169" s="19" t="inlineStr"/>
    </row>
    <row r="170">
      <c r="A170" s="8" t="n">
        <v>169</v>
      </c>
      <c r="B170" s="8" t="inlineStr">
        <is>
          <t>Parker Hannifin</t>
        </is>
      </c>
      <c r="C170" s="8" t="inlineStr">
        <is>
          <t>PH</t>
        </is>
      </c>
      <c r="D170" s="9" t="inlineStr">
        <is>
          <t>USA</t>
        </is>
      </c>
      <c r="E170" s="8" t="inlineStr">
        <is>
          <t>Componenti industriali</t>
        </is>
      </c>
      <c r="F170" s="9" t="inlineStr">
        <is>
          <t>Industriale</t>
        </is>
      </c>
      <c r="G170" s="10" t="n">
        <v>997.52</v>
      </c>
      <c r="H170" s="11" t="inlineStr">
        <is>
          <t>USD</t>
        </is>
      </c>
      <c r="I170" s="12" t="n">
        <v>125773.7</v>
      </c>
      <c r="J170" s="10" t="n">
        <v>27.15</v>
      </c>
      <c r="K170" s="10" t="n">
        <v>34.11247</v>
      </c>
      <c r="L170" s="13">
        <f>IF(OR(G170="",J170="",J170&lt;=0),"",G170/J170)</f>
        <v/>
      </c>
      <c r="M170" s="14" t="n">
        <v>8.60933</v>
      </c>
      <c r="N170" s="15">
        <f>IF(OR(M170="",L170="",L170&lt;=0),"",M170/L170)</f>
        <v/>
      </c>
      <c r="O170" s="16" t="n">
        <v>0.24841999</v>
      </c>
      <c r="P170" s="16" t="n">
        <v>0.2110175513958517</v>
      </c>
      <c r="Q170" s="16" t="n">
        <v>0.04120270220805216</v>
      </c>
      <c r="R170" s="17" t="n">
        <v>4</v>
      </c>
      <c r="S170" s="16" t="n"/>
      <c r="T170" s="16" t="n">
        <v>0.2580763046338255</v>
      </c>
      <c r="U170" s="16" t="n">
        <v>0.2356042909211398</v>
      </c>
      <c r="V170" s="16" t="n">
        <v>0.2017002605237899</v>
      </c>
      <c r="W170" s="16" t="n">
        <v>0.1486893495046514</v>
      </c>
      <c r="X170" s="10" t="n">
        <v>8</v>
      </c>
      <c r="Y170" s="15">
        <f>IF(OR(X170="",G170="",G170=0),"",X170/G170)</f>
        <v/>
      </c>
      <c r="Z170" s="18" t="n">
        <v>65.554</v>
      </c>
      <c r="AA170" s="16" t="n">
        <v>0.106</v>
      </c>
      <c r="AB170" s="16" t="n">
        <v>0.1753148614609572</v>
      </c>
      <c r="AC170" s="9">
        <f>IF(AND(O170="",P170=""),"DATI MANCANTI",IF(AND(N(O170)&gt;=PARAMETRI!$B$4,N(P170)&gt;=PARAMETRI!$B$4),"OK","NO"))</f>
        <v/>
      </c>
      <c r="AD170" s="9">
        <f>IF(L170="","N/D",IF(L170&lt;PARAMETRI!$B$6,"OTTIMO",IF(L170&lt;PARAMETRI!$B$5,"OK","NO")))</f>
        <v/>
      </c>
      <c r="AE170" s="9">
        <f>IF(OR(AC170="DATI MANCANTI",AD170="N/D"),"DA COMPLETARE",IF(AND(AC170="OK",AD170="OTTIMO"),"PASSA FORTE",IF(AND(AC170="OK",AD170="OK"),"PASSA","SCARTA")))</f>
        <v/>
      </c>
      <c r="AF170" s="8" t="inlineStr">
        <is>
          <t>2026-08-04</t>
        </is>
      </c>
      <c r="AG170" s="8" t="inlineStr">
        <is>
          <t>yahoo</t>
        </is>
      </c>
      <c r="AH170" s="19" t="inlineStr"/>
    </row>
    <row r="171">
      <c r="A171" s="8" t="n">
        <v>170</v>
      </c>
      <c r="B171" s="8" t="inlineStr">
        <is>
          <t>PayPal</t>
        </is>
      </c>
      <c r="C171" s="8" t="inlineStr">
        <is>
          <t>PYPL</t>
        </is>
      </c>
      <c r="D171" s="9" t="inlineStr">
        <is>
          <t>USA</t>
        </is>
      </c>
      <c r="E171" s="8" t="inlineStr">
        <is>
          <t>Pagamenti</t>
        </is>
      </c>
      <c r="F171" s="9" t="inlineStr">
        <is>
          <t>Finanziario</t>
        </is>
      </c>
      <c r="G171" s="10" t="n">
        <v>57.87</v>
      </c>
      <c r="H171" s="11" t="inlineStr">
        <is>
          <t>USD</t>
        </is>
      </c>
      <c r="I171" s="12" t="n">
        <v>49883.9</v>
      </c>
      <c r="J171" s="10" t="n">
        <v>5.29</v>
      </c>
      <c r="K171" s="10" t="n">
        <v>5.79152</v>
      </c>
      <c r="L171" s="13">
        <f>IF(OR(G171="",J171="",J171&lt;=0),"",G171/J171)</f>
        <v/>
      </c>
      <c r="M171" s="14" t="n">
        <v>2.5168529</v>
      </c>
      <c r="N171" s="15">
        <f>IF(OR(M171="",L171="",L171&lt;=0),"",M171/L171)</f>
        <v/>
      </c>
      <c r="O171" s="16" t="n">
        <v>0.24497</v>
      </c>
      <c r="P171" s="16" t="n">
        <v>0.1956185673090926</v>
      </c>
      <c r="Q171" s="16" t="n">
        <v>0.04962294251893289</v>
      </c>
      <c r="R171" s="17" t="n">
        <v>4</v>
      </c>
      <c r="S171" s="16" t="n"/>
      <c r="T171" s="16" t="n">
        <v>0.2583432069510269</v>
      </c>
      <c r="U171" s="16" t="n">
        <v>0.2031150511828378</v>
      </c>
      <c r="V171" s="16" t="n">
        <v>0.2017006317989644</v>
      </c>
      <c r="W171" s="16" t="n">
        <v>0.1193153793035415</v>
      </c>
      <c r="X171" s="10" t="n">
        <v>0.5600000000000001</v>
      </c>
      <c r="Y171" s="15">
        <f>IF(OR(X171="",G171="",G171=0),"",X171/G171)</f>
        <v/>
      </c>
      <c r="Z171" s="18" t="n">
        <v>71.751</v>
      </c>
      <c r="AA171" s="16" t="n">
        <v>0.048</v>
      </c>
      <c r="AB171" s="16" t="n">
        <v>0.1477752359821536</v>
      </c>
      <c r="AC171" s="9">
        <f>IF(AND(O171="",P171=""),"DATI MANCANTI",IF(AND(N(O171)&gt;=PARAMETRI!$B$4,N(P171)&gt;=PARAMETRI!$B$4),"OK","NO"))</f>
        <v/>
      </c>
      <c r="AD171" s="9">
        <f>IF(L171="","N/D",IF(L171&lt;PARAMETRI!$B$6,"OTTIMO",IF(L171&lt;PARAMETRI!$B$5,"OK","NO")))</f>
        <v/>
      </c>
      <c r="AE171" s="9">
        <f>IF(OR(AC171="DATI MANCANTI",AD171="N/D"),"DA COMPLETARE",IF(AND(AC171="OK",AD171="OTTIMO"),"PASSA FORTE",IF(AND(AC171="OK",AD171="OK"),"PASSA","SCARTA")))</f>
        <v/>
      </c>
      <c r="AF171" s="8" t="inlineStr">
        <is>
          <t>2026-08-04</t>
        </is>
      </c>
      <c r="AG171" s="8" t="inlineStr">
        <is>
          <t>yahoo</t>
        </is>
      </c>
      <c r="AH171" s="19" t="inlineStr"/>
    </row>
    <row r="172">
      <c r="A172" s="8" t="n">
        <v>171</v>
      </c>
      <c r="B172" s="8" t="inlineStr">
        <is>
          <t>PepsiCo</t>
        </is>
      </c>
      <c r="C172" s="8" t="inlineStr">
        <is>
          <t>PEP</t>
        </is>
      </c>
      <c r="D172" s="9" t="inlineStr">
        <is>
          <t>USA</t>
        </is>
      </c>
      <c r="E172" s="8" t="inlineStr">
        <is>
          <t>Bevande e snack</t>
        </is>
      </c>
      <c r="F172" s="9" t="inlineStr">
        <is>
          <t>Consumi</t>
        </is>
      </c>
      <c r="G172" s="10" t="n">
        <v>139.63</v>
      </c>
      <c r="H172" s="11" t="inlineStr">
        <is>
          <t>USD</t>
        </is>
      </c>
      <c r="I172" s="12" t="n">
        <v>190734.6</v>
      </c>
      <c r="J172" s="10" t="n">
        <v>7.63</v>
      </c>
      <c r="K172" s="10" t="n">
        <v>8.978440000000001</v>
      </c>
      <c r="L172" s="13">
        <f>IF(OR(G172="",J172="",J172&lt;=0),"",G172/J172)</f>
        <v/>
      </c>
      <c r="M172" s="14" t="n">
        <v>8.631391000000001</v>
      </c>
      <c r="N172" s="15">
        <f>IF(OR(M172="",L172="",L172&lt;=0),"",M172/L172)</f>
        <v/>
      </c>
      <c r="O172" s="16" t="n">
        <v>0.51508</v>
      </c>
      <c r="P172" s="16" t="n">
        <v>0.486168855450935</v>
      </c>
      <c r="Q172" s="16" t="n">
        <v>0.04979556056471136</v>
      </c>
      <c r="R172" s="17" t="n">
        <v>4</v>
      </c>
      <c r="S172" s="16" t="n"/>
      <c r="T172" s="16" t="n">
        <v>0.4038028030971283</v>
      </c>
      <c r="U172" s="16" t="n">
        <v>0.5309018347098277</v>
      </c>
      <c r="V172" s="16" t="n">
        <v>0.490406961033346</v>
      </c>
      <c r="W172" s="16" t="n">
        <v>0.5195638229634381</v>
      </c>
      <c r="X172" s="10" t="n">
        <v>5.92</v>
      </c>
      <c r="Y172" s="15">
        <f>IF(OR(X172="",G172="",G172=0),"",X172/G172)</f>
        <v/>
      </c>
      <c r="Z172" s="18" t="n">
        <v>238.949</v>
      </c>
      <c r="AA172" s="16" t="n">
        <v>0.064</v>
      </c>
      <c r="AB172" s="16" t="n">
        <v>0.1112696334309289</v>
      </c>
      <c r="AC172" s="9">
        <f>IF(AND(O172="",P172=""),"DATI MANCANTI",IF(AND(N(O172)&gt;=PARAMETRI!$B$4,N(P172)&gt;=PARAMETRI!$B$4),"OK","NO"))</f>
        <v/>
      </c>
      <c r="AD172" s="9">
        <f>IF(L172="","N/D",IF(L172&lt;PARAMETRI!$B$6,"OTTIMO",IF(L172&lt;PARAMETRI!$B$5,"OK","NO")))</f>
        <v/>
      </c>
      <c r="AE172" s="9">
        <f>IF(OR(AC172="DATI MANCANTI",AD172="N/D"),"DA COMPLETARE",IF(AND(AC172="OK",AD172="OTTIMO"),"PASSA FORTE",IF(AND(AC172="OK",AD172="OK"),"PASSA","SCARTA")))</f>
        <v/>
      </c>
      <c r="AF172" s="8" t="inlineStr">
        <is>
          <t>2026-08-04</t>
        </is>
      </c>
      <c r="AG172" s="8" t="inlineStr">
        <is>
          <t>yahoo</t>
        </is>
      </c>
      <c r="AH172" s="19" t="inlineStr"/>
    </row>
    <row r="173">
      <c r="A173" s="8" t="n">
        <v>172</v>
      </c>
      <c r="B173" s="8" t="inlineStr">
        <is>
          <t>Pfizer</t>
        </is>
      </c>
      <c r="C173" s="8" t="inlineStr">
        <is>
          <t>PFE</t>
        </is>
      </c>
      <c r="D173" s="9" t="inlineStr">
        <is>
          <t>USA</t>
        </is>
      </c>
      <c r="E173" s="8" t="inlineStr">
        <is>
          <t>Farmaceutica</t>
        </is>
      </c>
      <c r="F173" s="9" t="inlineStr">
        <is>
          <t>Salute</t>
        </is>
      </c>
      <c r="G173" s="10" t="n">
        <v>25.03</v>
      </c>
      <c r="H173" s="11" t="inlineStr">
        <is>
          <t>USD</t>
        </is>
      </c>
      <c r="I173" s="12" t="n">
        <v>142657.1</v>
      </c>
      <c r="J173" s="10" t="n">
        <v>1.31</v>
      </c>
      <c r="K173" s="10" t="n">
        <v>2.82662</v>
      </c>
      <c r="L173" s="13">
        <f>IF(OR(G173="",J173="",J173&lt;=0),"",G173/J173)</f>
        <v/>
      </c>
      <c r="M173" s="14" t="n">
        <v>1.5831752</v>
      </c>
      <c r="N173" s="15">
        <f>IF(OR(M173="",L173="",L173&lt;=0),"",M173/L173)</f>
        <v/>
      </c>
      <c r="O173" s="16" t="n">
        <v>0.083100006</v>
      </c>
      <c r="P173" s="16" t="n">
        <v>0.1331673478714483</v>
      </c>
      <c r="Q173" s="16" t="n">
        <v>0.1157035743013489</v>
      </c>
      <c r="R173" s="17" t="n">
        <v>4</v>
      </c>
      <c r="S173" s="16" t="n"/>
      <c r="T173" s="16" t="n">
        <v>0.08986308339886211</v>
      </c>
      <c r="U173" s="16" t="n">
        <v>0.09105132478487127</v>
      </c>
      <c r="V173" s="16" t="n">
        <v>0.02380524411890264</v>
      </c>
      <c r="W173" s="16" t="n">
        <v>0.3279497391831572</v>
      </c>
      <c r="X173" s="10" t="n">
        <v>1.72</v>
      </c>
      <c r="Y173" s="15">
        <f>IF(OR(X173="",G173="",G173=0),"",X173/G173)</f>
        <v/>
      </c>
      <c r="Z173" s="18" t="n">
        <v>71.602</v>
      </c>
      <c r="AA173" s="16" t="n">
        <v>0.054</v>
      </c>
      <c r="AB173" s="16" t="n">
        <v>0.1195129366720465</v>
      </c>
      <c r="AC173" s="9">
        <f>IF(AND(O173="",P173=""),"DATI MANCANTI",IF(AND(N(O173)&gt;=PARAMETRI!$B$4,N(P173)&gt;=PARAMETRI!$B$4),"OK","NO"))</f>
        <v/>
      </c>
      <c r="AD173" s="9">
        <f>IF(L173="","N/D",IF(L173&lt;PARAMETRI!$B$6,"OTTIMO",IF(L173&lt;PARAMETRI!$B$5,"OK","NO")))</f>
        <v/>
      </c>
      <c r="AE173" s="9">
        <f>IF(OR(AC173="DATI MANCANTI",AD173="N/D"),"DA COMPLETARE",IF(AND(AC173="OK",AD173="OTTIMO"),"PASSA FORTE",IF(AND(AC173="OK",AD173="OK"),"PASSA","SCARTA")))</f>
        <v/>
      </c>
      <c r="AF173" s="8" t="inlineStr">
        <is>
          <t>2026-08-04</t>
        </is>
      </c>
      <c r="AG173" s="8" t="inlineStr">
        <is>
          <t>yahoo</t>
        </is>
      </c>
      <c r="AH173" s="19" t="inlineStr"/>
    </row>
    <row r="174">
      <c r="A174" s="8" t="n">
        <v>173</v>
      </c>
      <c r="B174" s="8" t="inlineStr">
        <is>
          <t>Philip Morris International</t>
        </is>
      </c>
      <c r="C174" s="8" t="inlineStr">
        <is>
          <t>PM</t>
        </is>
      </c>
      <c r="D174" s="9" t="inlineStr">
        <is>
          <t>USA</t>
        </is>
      </c>
      <c r="E174" s="8" t="inlineStr">
        <is>
          <t>Tabacco</t>
        </is>
      </c>
      <c r="F174" s="9" t="inlineStr">
        <is>
          <t>Consumi</t>
        </is>
      </c>
      <c r="G174" s="10" t="n">
        <v>187.41</v>
      </c>
      <c r="H174" s="11" t="inlineStr">
        <is>
          <t>USD</t>
        </is>
      </c>
      <c r="I174" s="12" t="n">
        <v>292099.8</v>
      </c>
      <c r="J174" s="10" t="n">
        <v>7.29</v>
      </c>
      <c r="K174" s="10" t="n">
        <v>9.16878</v>
      </c>
      <c r="L174" s="13">
        <f>IF(OR(G174="",J174="",J174&lt;=0),"",G174/J174)</f>
        <v/>
      </c>
      <c r="M174" s="14" t="n">
        <v>-34.031235</v>
      </c>
      <c r="N174" s="15">
        <f>IF(OR(M174="",L174="",L174&lt;=0),"",M174/L174)</f>
        <v/>
      </c>
      <c r="O174" s="16" t="n"/>
      <c r="P174" s="16" t="n"/>
      <c r="Q174" s="16" t="n"/>
      <c r="R174" s="17" t="n">
        <v>0</v>
      </c>
      <c r="S174" s="16" t="n"/>
      <c r="T174" s="16" t="n"/>
      <c r="U174" s="16" t="n"/>
      <c r="V174" s="16" t="n"/>
      <c r="W174" s="16" t="n"/>
      <c r="X174" s="10" t="n">
        <v>5.88</v>
      </c>
      <c r="Y174" s="15">
        <f>IF(OR(X174="",G174="",G174=0),"",X174/G174)</f>
        <v/>
      </c>
      <c r="Z174" s="18" t="n"/>
      <c r="AA174" s="16" t="n">
        <v>0.104</v>
      </c>
      <c r="AB174" s="16" t="n">
        <v>0.2667781995670144</v>
      </c>
      <c r="AC174" s="9">
        <f>IF(AND(O174="",P174=""),"DATI MANCANTI",IF(AND(N(O174)&gt;=PARAMETRI!$B$4,N(P174)&gt;=PARAMETRI!$B$4),"OK","NO"))</f>
        <v/>
      </c>
      <c r="AD174" s="9">
        <f>IF(L174="","N/D",IF(L174&lt;PARAMETRI!$B$6,"OTTIMO",IF(L174&lt;PARAMETRI!$B$5,"OK","NO")))</f>
        <v/>
      </c>
      <c r="AE174" s="9">
        <f>IF(OR(AC174="DATI MANCANTI",AD174="N/D"),"DA COMPLETARE",IF(AND(AC174="OK",AD174="OTTIMO"),"PASSA FORTE",IF(AND(AC174="OK",AD174="OK"),"PASSA","SCARTA")))</f>
        <v/>
      </c>
      <c r="AF174" s="8" t="inlineStr">
        <is>
          <t>2026-08-04</t>
        </is>
      </c>
      <c r="AG174" s="8" t="inlineStr">
        <is>
          <t>yahoo</t>
        </is>
      </c>
      <c r="AH174" s="19" t="inlineStr"/>
    </row>
    <row r="175">
      <c r="A175" s="8" t="n">
        <v>174</v>
      </c>
      <c r="B175" s="8" t="inlineStr">
        <is>
          <t>Phillips 66</t>
        </is>
      </c>
      <c r="C175" s="8" t="inlineStr">
        <is>
          <t>PSX</t>
        </is>
      </c>
      <c r="D175" s="9" t="inlineStr">
        <is>
          <t>USA</t>
        </is>
      </c>
      <c r="E175" s="8" t="inlineStr">
        <is>
          <t>Raffinazione</t>
        </is>
      </c>
      <c r="F175" s="9" t="inlineStr">
        <is>
          <t>Energia</t>
        </is>
      </c>
      <c r="G175" s="10" t="n">
        <v>206.19</v>
      </c>
      <c r="H175" s="11" t="inlineStr">
        <is>
          <t>USD</t>
        </is>
      </c>
      <c r="I175" s="12" t="n">
        <v>82668.8</v>
      </c>
      <c r="J175" s="10" t="n">
        <v>10.12</v>
      </c>
      <c r="K175" s="10" t="n">
        <v>18.97818</v>
      </c>
      <c r="L175" s="13">
        <f>IF(OR(G175="",J175="",J175&lt;=0),"",G175/J175)</f>
        <v/>
      </c>
      <c r="M175" s="14" t="n">
        <v>2.8977993</v>
      </c>
      <c r="N175" s="15">
        <f>IF(OR(M175="",L175="",L175&lt;=0),"",M175/L175)</f>
        <v/>
      </c>
      <c r="O175" s="16" t="n">
        <v>0.14547</v>
      </c>
      <c r="P175" s="16" t="n">
        <v>0.2079323006455208</v>
      </c>
      <c r="Q175" s="16" t="n">
        <v>0.1098238706639464</v>
      </c>
      <c r="R175" s="17" t="n">
        <v>4</v>
      </c>
      <c r="S175" s="16" t="n"/>
      <c r="T175" s="16" t="n">
        <v>0.151342247275977</v>
      </c>
      <c r="U175" s="16" t="n">
        <v>0.07724022183304145</v>
      </c>
      <c r="V175" s="16" t="n">
        <v>0.2293757970114116</v>
      </c>
      <c r="W175" s="16" t="n">
        <v>0.3737709364616532</v>
      </c>
      <c r="X175" s="10" t="n">
        <v>5.08</v>
      </c>
      <c r="Y175" s="15">
        <f>IF(OR(X175="",G175="",G175=0),"",X175/G175)</f>
        <v/>
      </c>
      <c r="Z175" s="18" t="n">
        <v>91.38500000000001</v>
      </c>
      <c r="AA175" s="16" t="n">
        <v>0.06900000000000001</v>
      </c>
      <c r="AB175" s="16" t="n">
        <v>0.03107814008581616</v>
      </c>
      <c r="AC175" s="9">
        <f>IF(AND(O175="",P175=""),"DATI MANCANTI",IF(AND(N(O175)&gt;=PARAMETRI!$B$4,N(P175)&gt;=PARAMETRI!$B$4),"OK","NO"))</f>
        <v/>
      </c>
      <c r="AD175" s="9">
        <f>IF(L175="","N/D",IF(L175&lt;PARAMETRI!$B$6,"OTTIMO",IF(L175&lt;PARAMETRI!$B$5,"OK","NO")))</f>
        <v/>
      </c>
      <c r="AE175" s="9">
        <f>IF(OR(AC175="DATI MANCANTI",AD175="N/D"),"DA COMPLETARE",IF(AND(AC175="OK",AD175="OTTIMO"),"PASSA FORTE",IF(AND(AC175="OK",AD175="OK"),"PASSA","SCARTA")))</f>
        <v/>
      </c>
      <c r="AF175" s="8" t="inlineStr">
        <is>
          <t>2026-08-04</t>
        </is>
      </c>
      <c r="AG175" s="8" t="inlineStr">
        <is>
          <t>yahoo</t>
        </is>
      </c>
      <c r="AH175" s="19" t="inlineStr"/>
    </row>
    <row r="176">
      <c r="A176" s="8" t="n">
        <v>175</v>
      </c>
      <c r="B176" s="8" t="inlineStr">
        <is>
          <t>Pirelli &amp; C.</t>
        </is>
      </c>
      <c r="C176" s="8" t="inlineStr">
        <is>
          <t>PIRC.MI</t>
        </is>
      </c>
      <c r="D176" s="9" t="inlineStr">
        <is>
          <t>Italia</t>
        </is>
      </c>
      <c r="E176" s="8" t="inlineStr">
        <is>
          <t>Componentistica auto</t>
        </is>
      </c>
      <c r="F176" s="9" t="inlineStr">
        <is>
          <t>Industriale</t>
        </is>
      </c>
      <c r="G176" s="10" t="n">
        <v>6.54</v>
      </c>
      <c r="H176" s="11" t="inlineStr">
        <is>
          <t>EUR</t>
        </is>
      </c>
      <c r="I176" s="12" t="n">
        <v>7095.1</v>
      </c>
      <c r="J176" s="10" t="n">
        <v>0.51</v>
      </c>
      <c r="K176" s="10" t="n">
        <v>0.58297</v>
      </c>
      <c r="L176" s="13">
        <f>IF(OR(G176="",J176="",J176&lt;=0),"",G176/J176)</f>
        <v/>
      </c>
      <c r="M176" s="14" t="n">
        <v>1.0783182</v>
      </c>
      <c r="N176" s="15">
        <f>IF(OR(M176="",L176="",L176&lt;=0),"",M176/L176)</f>
        <v/>
      </c>
      <c r="O176" s="16" t="n">
        <v>0.09134</v>
      </c>
      <c r="P176" s="16" t="n">
        <v>0.08155451507945152</v>
      </c>
      <c r="Q176" s="16" t="n">
        <v>0.003416455326785165</v>
      </c>
      <c r="R176" s="17" t="n">
        <v>4</v>
      </c>
      <c r="S176" s="16" t="n"/>
      <c r="T176" s="16" t="n">
        <v>0.07925120200425369</v>
      </c>
      <c r="U176" s="16" t="n">
        <v>0.08130215905953905</v>
      </c>
      <c r="V176" s="16" t="n">
        <v>0.08719434521702397</v>
      </c>
      <c r="W176" s="16" t="n">
        <v>0.0784703540369894</v>
      </c>
      <c r="X176" s="10" t="n">
        <v>0.24</v>
      </c>
      <c r="Y176" s="15">
        <f>IF(OR(X176="",G176="",G176=0),"",X176/G176)</f>
        <v/>
      </c>
      <c r="Z176" s="18" t="n">
        <v>46.887</v>
      </c>
      <c r="AA176" s="16" t="n">
        <v>0.005</v>
      </c>
      <c r="AB176" s="16" t="n">
        <v>0.07636557921605651</v>
      </c>
      <c r="AC176" s="9">
        <f>IF(AND(O176="",P176=""),"DATI MANCANTI",IF(AND(N(O176)&gt;=PARAMETRI!$B$4,N(P176)&gt;=PARAMETRI!$B$4),"OK","NO"))</f>
        <v/>
      </c>
      <c r="AD176" s="9">
        <f>IF(L176="","N/D",IF(L176&lt;PARAMETRI!$B$6,"OTTIMO",IF(L176&lt;PARAMETRI!$B$5,"OK","NO")))</f>
        <v/>
      </c>
      <c r="AE176" s="9">
        <f>IF(OR(AC176="DATI MANCANTI",AD176="N/D"),"DA COMPLETARE",IF(AND(AC176="OK",AD176="OTTIMO"),"PASSA FORTE",IF(AND(AC176="OK",AD176="OK"),"PASSA","SCARTA")))</f>
        <v/>
      </c>
      <c r="AF176" s="8" t="inlineStr">
        <is>
          <t>2026-08-04</t>
        </is>
      </c>
      <c r="AG176" s="8" t="inlineStr">
        <is>
          <t>yahoo</t>
        </is>
      </c>
      <c r="AH176" s="19" t="inlineStr"/>
    </row>
    <row r="177">
      <c r="A177" s="8" t="n">
        <v>176</v>
      </c>
      <c r="B177" s="8" t="inlineStr">
        <is>
          <t>Poste Italiane</t>
        </is>
      </c>
      <c r="C177" s="8" t="inlineStr">
        <is>
          <t>PST.MI</t>
        </is>
      </c>
      <c r="D177" s="9" t="inlineStr">
        <is>
          <t>Italia</t>
        </is>
      </c>
      <c r="E177" s="8" t="inlineStr">
        <is>
          <t>Servizi finanziari</t>
        </is>
      </c>
      <c r="F177" s="9" t="inlineStr">
        <is>
          <t>Finanziario</t>
        </is>
      </c>
      <c r="G177" s="10" t="n">
        <v>27.03</v>
      </c>
      <c r="H177" s="11" t="inlineStr">
        <is>
          <t>EUR</t>
        </is>
      </c>
      <c r="I177" s="12" t="n">
        <v>34960.3</v>
      </c>
      <c r="J177" s="10" t="n">
        <v>1.85</v>
      </c>
      <c r="K177" s="10" t="n">
        <v>1.97021</v>
      </c>
      <c r="L177" s="13">
        <f>IF(OR(G177="",J177="",J177&lt;=0),"",G177/J177)</f>
        <v/>
      </c>
      <c r="M177" s="14" t="n">
        <v>2.5630572</v>
      </c>
      <c r="N177" s="15">
        <f>IF(OR(M177="",L177="",L177&lt;=0),"",M177/L177)</f>
        <v/>
      </c>
      <c r="O177" s="16" t="n">
        <v>0.18174</v>
      </c>
      <c r="P177" s="16" t="n">
        <v>0.1799413465174911</v>
      </c>
      <c r="Q177" s="16" t="n">
        <v>0.01549228779776163</v>
      </c>
      <c r="R177" s="17" t="n">
        <v>4</v>
      </c>
      <c r="S177" s="16" t="n"/>
      <c r="T177" s="16" t="n">
        <v>0.1599826577064817</v>
      </c>
      <c r="U177" s="16" t="n">
        <v>0.1721488388155055</v>
      </c>
      <c r="V177" s="16" t="n">
        <v>0.1862042239875993</v>
      </c>
      <c r="W177" s="16" t="n">
        <v>0.2014296655603778</v>
      </c>
      <c r="X177" s="10" t="n">
        <v>1.25</v>
      </c>
      <c r="Y177" s="15">
        <f>IF(OR(X177="",G177="",G177=0),"",X177/G177)</f>
        <v/>
      </c>
      <c r="Z177" s="18" t="n">
        <v>726.309</v>
      </c>
      <c r="AA177" s="16" t="n">
        <v>0.034</v>
      </c>
      <c r="AB177" s="16" t="n">
        <v>0.1031947370684095</v>
      </c>
      <c r="AC177" s="9">
        <f>IF(AND(O177="",P177=""),"DATI MANCANTI",IF(AND(N(O177)&gt;=PARAMETRI!$B$4,N(P177)&gt;=PARAMETRI!$B$4),"OK","NO"))</f>
        <v/>
      </c>
      <c r="AD177" s="9">
        <f>IF(L177="","N/D",IF(L177&lt;PARAMETRI!$B$6,"OTTIMO",IF(L177&lt;PARAMETRI!$B$5,"OK","NO")))</f>
        <v/>
      </c>
      <c r="AE177" s="9">
        <f>IF(OR(AC177="DATI MANCANTI",AD177="N/D"),"DA COMPLETARE",IF(AND(AC177="OK",AD177="OTTIMO"),"PASSA FORTE",IF(AND(AC177="OK",AD177="OK"),"PASSA","SCARTA")))</f>
        <v/>
      </c>
      <c r="AF177" s="8" t="inlineStr">
        <is>
          <t>2026-08-04</t>
        </is>
      </c>
      <c r="AG177" s="8" t="inlineStr">
        <is>
          <t>yahoo</t>
        </is>
      </c>
      <c r="AH177" s="19" t="inlineStr"/>
    </row>
    <row r="178">
      <c r="A178" s="8" t="n">
        <v>177</v>
      </c>
      <c r="B178" s="8" t="inlineStr">
        <is>
          <t>Procter &amp; Gamble</t>
        </is>
      </c>
      <c r="C178" s="8" t="inlineStr">
        <is>
          <t>PG</t>
        </is>
      </c>
      <c r="D178" s="9" t="inlineStr">
        <is>
          <t>USA</t>
        </is>
      </c>
      <c r="E178" s="8" t="inlineStr">
        <is>
          <t>Beni per la casa</t>
        </is>
      </c>
      <c r="F178" s="9" t="inlineStr">
        <is>
          <t>Consumi</t>
        </is>
      </c>
      <c r="G178" s="10" t="n">
        <v>144.97</v>
      </c>
      <c r="H178" s="11" t="inlineStr">
        <is>
          <t>USD</t>
        </is>
      </c>
      <c r="I178" s="12" t="n">
        <v>337577</v>
      </c>
      <c r="J178" s="10" t="n">
        <v>6.62</v>
      </c>
      <c r="K178" s="10" t="n">
        <v>7.4101</v>
      </c>
      <c r="L178" s="13">
        <f>IF(OR(G178="",J178="",J178&lt;=0),"",G178/J178)</f>
        <v/>
      </c>
      <c r="M178" s="14" t="n">
        <v>6.280924</v>
      </c>
      <c r="N178" s="15">
        <f>IF(OR(M178="",L178="",L178&lt;=0),"",M178/L178)</f>
        <v/>
      </c>
      <c r="O178" s="16" t="n">
        <v>0.30290002</v>
      </c>
      <c r="P178" s="16" t="n">
        <v>0.3081719551351361</v>
      </c>
      <c r="Q178" s="16" t="n">
        <v>0.007841551352208636</v>
      </c>
      <c r="R178" s="17" t="n">
        <v>4</v>
      </c>
      <c r="S178" s="16" t="n"/>
      <c r="T178" s="16" t="n">
        <v>0.3071214335153426</v>
      </c>
      <c r="U178" s="16" t="n">
        <v>0.2958875233663445</v>
      </c>
      <c r="V178" s="16" t="n">
        <v>0.3132522393483977</v>
      </c>
      <c r="W178" s="16" t="n">
        <v>0.3164266243104595</v>
      </c>
      <c r="X178" s="10" t="n">
        <v>4.35</v>
      </c>
      <c r="Y178" s="15">
        <f>IF(OR(X178="",G178="",G178=0),"",X178/G178)</f>
        <v/>
      </c>
      <c r="Z178" s="18" t="n">
        <v>62.857</v>
      </c>
      <c r="AA178" s="16" t="n">
        <v>0.015</v>
      </c>
      <c r="AB178" s="16" t="n">
        <v>0.1903801448436239</v>
      </c>
      <c r="AC178" s="9">
        <f>IF(AND(O178="",P178=""),"DATI MANCANTI",IF(AND(N(O178)&gt;=PARAMETRI!$B$4,N(P178)&gt;=PARAMETRI!$B$4),"OK","NO"))</f>
        <v/>
      </c>
      <c r="AD178" s="9">
        <f>IF(L178="","N/D",IF(L178&lt;PARAMETRI!$B$6,"OTTIMO",IF(L178&lt;PARAMETRI!$B$5,"OK","NO")))</f>
        <v/>
      </c>
      <c r="AE178" s="9">
        <f>IF(OR(AC178="DATI MANCANTI",AD178="N/D"),"DA COMPLETARE",IF(AND(AC178="OK",AD178="OTTIMO"),"PASSA FORTE",IF(AND(AC178="OK",AD178="OK"),"PASSA","SCARTA")))</f>
        <v/>
      </c>
      <c r="AF178" s="8" t="inlineStr">
        <is>
          <t>2026-08-04</t>
        </is>
      </c>
      <c r="AG178" s="8" t="inlineStr">
        <is>
          <t>yahoo</t>
        </is>
      </c>
      <c r="AH178" s="19" t="inlineStr"/>
    </row>
    <row r="179">
      <c r="A179" s="8" t="n">
        <v>178</v>
      </c>
      <c r="B179" s="8" t="inlineStr">
        <is>
          <t>Progressive</t>
        </is>
      </c>
      <c r="C179" s="8" t="inlineStr">
        <is>
          <t>PGR</t>
        </is>
      </c>
      <c r="D179" s="9" t="inlineStr">
        <is>
          <t>USA</t>
        </is>
      </c>
      <c r="E179" s="8" t="inlineStr">
        <is>
          <t>Assicurazione</t>
        </is>
      </c>
      <c r="F179" s="9" t="inlineStr">
        <is>
          <t>Finanziario</t>
        </is>
      </c>
      <c r="G179" s="10" t="n">
        <v>210.46</v>
      </c>
      <c r="H179" s="11" t="inlineStr">
        <is>
          <t>USD</t>
        </is>
      </c>
      <c r="I179" s="12" t="n">
        <v>122355.5</v>
      </c>
      <c r="J179" s="10" t="n">
        <v>19.94</v>
      </c>
      <c r="K179" s="10" t="n">
        <v>16.29031</v>
      </c>
      <c r="L179" s="13">
        <f>IF(OR(G179="",J179="",J179&lt;=0),"",G179/J179)</f>
        <v/>
      </c>
      <c r="M179" s="14" t="n">
        <v>3.5639777</v>
      </c>
      <c r="N179" s="15">
        <f>IF(OR(M179="",L179="",L179&lt;=0),"",M179/L179)</f>
        <v/>
      </c>
      <c r="O179" s="16" t="n">
        <v>0.34943</v>
      </c>
      <c r="P179" s="16" t="n">
        <v>0.2355508402188087</v>
      </c>
      <c r="Q179" s="16" t="n">
        <v>0.128500392044818</v>
      </c>
      <c r="R179" s="17" t="n">
        <v>4</v>
      </c>
      <c r="S179" s="16" t="n"/>
      <c r="T179" s="16" t="n">
        <v>0.3729182468753092</v>
      </c>
      <c r="U179" s="16" t="n">
        <v>0.3313664960337619</v>
      </c>
      <c r="V179" s="16" t="n">
        <v>0.1924840952803669</v>
      </c>
      <c r="W179" s="16" t="n">
        <v>0.04543452268579699</v>
      </c>
      <c r="X179" s="10" t="n">
        <v>13.9</v>
      </c>
      <c r="Y179" s="15">
        <f>IF(OR(X179="",G179="",G179=0),"",X179/G179)</f>
        <v/>
      </c>
      <c r="Z179" s="18" t="n">
        <v>24.428</v>
      </c>
      <c r="AA179" s="16" t="n">
        <v>0.073</v>
      </c>
      <c r="AB179" s="16" t="n">
        <v>0.1334481959902781</v>
      </c>
      <c r="AC179" s="9">
        <f>IF(AND(O179="",P179=""),"DATI MANCANTI",IF(AND(N(O179)&gt;=PARAMETRI!$B$4,N(P179)&gt;=PARAMETRI!$B$4),"OK","NO"))</f>
        <v/>
      </c>
      <c r="AD179" s="9">
        <f>IF(L179="","N/D",IF(L179&lt;PARAMETRI!$B$6,"OTTIMO",IF(L179&lt;PARAMETRI!$B$5,"OK","NO")))</f>
        <v/>
      </c>
      <c r="AE179" s="9">
        <f>IF(OR(AC179="DATI MANCANTI",AD179="N/D"),"DA COMPLETARE",IF(AND(AC179="OK",AD179="OTTIMO"),"PASSA FORTE",IF(AND(AC179="OK",AD179="OK"),"PASSA","SCARTA")))</f>
        <v/>
      </c>
      <c r="AF179" s="8" t="inlineStr">
        <is>
          <t>2026-08-04</t>
        </is>
      </c>
      <c r="AG179" s="8" t="inlineStr">
        <is>
          <t>yahoo</t>
        </is>
      </c>
      <c r="AH179" s="19" t="inlineStr"/>
    </row>
    <row r="180">
      <c r="A180" s="8" t="n">
        <v>179</v>
      </c>
      <c r="B180" s="8" t="inlineStr">
        <is>
          <t>Prologis</t>
        </is>
      </c>
      <c r="C180" s="8" t="inlineStr">
        <is>
          <t>PLD</t>
        </is>
      </c>
      <c r="D180" s="9" t="inlineStr">
        <is>
          <t>USA</t>
        </is>
      </c>
      <c r="E180" s="8" t="inlineStr">
        <is>
          <t>REIT / Logistica</t>
        </is>
      </c>
      <c r="F180" s="9" t="inlineStr">
        <is>
          <t>Immobiliare</t>
        </is>
      </c>
      <c r="G180" s="10" t="n">
        <v>144.15</v>
      </c>
      <c r="H180" s="11" t="inlineStr">
        <is>
          <t>USD</t>
        </is>
      </c>
      <c r="I180" s="12" t="n">
        <v>137639.3</v>
      </c>
      <c r="J180" s="10" t="n">
        <v>4.48</v>
      </c>
      <c r="K180" s="10" t="n">
        <v>3.4025</v>
      </c>
      <c r="L180" s="13">
        <f>IF(OR(G180="",J180="",J180&lt;=0),"",G180/J180)</f>
        <v/>
      </c>
      <c r="M180" s="14" t="n">
        <v>2.5035603</v>
      </c>
      <c r="N180" s="15">
        <f>IF(OR(M180="",L180="",L180&lt;=0),"",M180/L180)</f>
        <v/>
      </c>
      <c r="O180" s="16" t="n">
        <v>0.07749</v>
      </c>
      <c r="P180" s="16" t="n">
        <v>0.06311608942280056</v>
      </c>
      <c r="Q180" s="16" t="n">
        <v>0.004128986030073493</v>
      </c>
      <c r="R180" s="17" t="n">
        <v>4</v>
      </c>
      <c r="S180" s="16" t="n"/>
      <c r="T180" s="16" t="n">
        <v>0.06256875646722969</v>
      </c>
      <c r="U180" s="16" t="n">
        <v>0.06916693768350168</v>
      </c>
      <c r="V180" s="16" t="n">
        <v>0.05752378392246178</v>
      </c>
      <c r="W180" s="16" t="n">
        <v>0.06320487961800905</v>
      </c>
      <c r="X180" s="10" t="n">
        <v>4.28</v>
      </c>
      <c r="Y180" s="15">
        <f>IF(OR(X180="",G180="",G180=0),"",X180/G180)</f>
        <v/>
      </c>
      <c r="Z180" s="18" t="n">
        <v>63.823</v>
      </c>
      <c r="AA180" s="16" t="n">
        <v>0.123</v>
      </c>
      <c r="AB180" s="16" t="n">
        <v>0.4780868390183668</v>
      </c>
      <c r="AC180" s="9">
        <f>IF(AND(O180="",P180=""),"DATI MANCANTI",IF(AND(N(O180)&gt;=PARAMETRI!$B$4,N(P180)&gt;=PARAMETRI!$B$4),"OK","NO"))</f>
        <v/>
      </c>
      <c r="AD180" s="9">
        <f>IF(L180="","N/D",IF(L180&lt;PARAMETRI!$B$6,"OTTIMO",IF(L180&lt;PARAMETRI!$B$5,"OK","NO")))</f>
        <v/>
      </c>
      <c r="AE180" s="9">
        <f>IF(OR(AC180="DATI MANCANTI",AD180="N/D"),"DA COMPLETARE",IF(AND(AC180="OK",AD180="OTTIMO"),"PASSA FORTE",IF(AND(AC180="OK",AD180="OK"),"PASSA","SCARTA")))</f>
        <v/>
      </c>
      <c r="AF180" s="8" t="inlineStr">
        <is>
          <t>2026-08-04</t>
        </is>
      </c>
      <c r="AG180" s="8" t="inlineStr">
        <is>
          <t>yahoo</t>
        </is>
      </c>
      <c r="AH180" s="19" t="inlineStr"/>
    </row>
    <row r="181">
      <c r="A181" s="8" t="n">
        <v>180</v>
      </c>
      <c r="B181" s="8" t="inlineStr">
        <is>
          <t>Prysmian</t>
        </is>
      </c>
      <c r="C181" s="8" t="inlineStr">
        <is>
          <t>PRY.MI</t>
        </is>
      </c>
      <c r="D181" s="9" t="inlineStr">
        <is>
          <t>Italia</t>
        </is>
      </c>
      <c r="E181" s="8" t="inlineStr">
        <is>
          <t>Cavi / Elettrificazione</t>
        </is>
      </c>
      <c r="F181" s="9" t="inlineStr">
        <is>
          <t>Industriale</t>
        </is>
      </c>
      <c r="G181" s="10" t="n">
        <v>121.35</v>
      </c>
      <c r="H181" s="11" t="inlineStr">
        <is>
          <t>EUR</t>
        </is>
      </c>
      <c r="I181" s="12" t="n">
        <v>35463.9</v>
      </c>
      <c r="J181" s="10" t="n">
        <v>4.81</v>
      </c>
      <c r="K181" s="10" t="n">
        <v>6.0931</v>
      </c>
      <c r="L181" s="13">
        <f>IF(OR(G181="",J181="",J181&lt;=0),"",G181/J181)</f>
        <v/>
      </c>
      <c r="M181" s="14" t="n">
        <v>5.039661</v>
      </c>
      <c r="N181" s="15">
        <f>IF(OR(M181="",L181="",L181&lt;=0),"",M181/L181)</f>
        <v/>
      </c>
      <c r="O181" s="16" t="n">
        <v>0.22361</v>
      </c>
      <c r="P181" s="16" t="n">
        <v>0.154992902694697</v>
      </c>
      <c r="Q181" s="16" t="n">
        <v>0.02380716722865209</v>
      </c>
      <c r="R181" s="17" t="n">
        <v>4</v>
      </c>
      <c r="S181" s="16" t="n"/>
      <c r="T181" s="16" t="n">
        <v>0.1961692925548347</v>
      </c>
      <c r="U181" s="16" t="n">
        <v>0.14330646746609</v>
      </c>
      <c r="V181" s="16" t="n">
        <v>0.1399100766992859</v>
      </c>
      <c r="W181" s="16" t="n">
        <v>0.1405857740585774</v>
      </c>
      <c r="X181" s="10" t="n">
        <v>0.9</v>
      </c>
      <c r="Y181" s="15">
        <f>IF(OR(X181="",G181="",G181=0),"",X181/G181)</f>
        <v/>
      </c>
      <c r="Z181" s="18" t="n">
        <v>74.976</v>
      </c>
      <c r="AA181" s="16" t="n">
        <v>0.226</v>
      </c>
      <c r="AB181" s="16" t="n">
        <v>0.06936387094147582</v>
      </c>
      <c r="AC181" s="9">
        <f>IF(AND(O181="",P181=""),"DATI MANCANTI",IF(AND(N(O181)&gt;=PARAMETRI!$B$4,N(P181)&gt;=PARAMETRI!$B$4),"OK","NO"))</f>
        <v/>
      </c>
      <c r="AD181" s="9">
        <f>IF(L181="","N/D",IF(L181&lt;PARAMETRI!$B$6,"OTTIMO",IF(L181&lt;PARAMETRI!$B$5,"OK","NO")))</f>
        <v/>
      </c>
      <c r="AE181" s="9">
        <f>IF(OR(AC181="DATI MANCANTI",AD181="N/D"),"DA COMPLETARE",IF(AND(AC181="OK",AD181="OTTIMO"),"PASSA FORTE",IF(AND(AC181="OK",AD181="OK"),"PASSA","SCARTA")))</f>
        <v/>
      </c>
      <c r="AF181" s="8" t="inlineStr">
        <is>
          <t>2026-08-04</t>
        </is>
      </c>
      <c r="AG181" s="8" t="inlineStr">
        <is>
          <t>yahoo</t>
        </is>
      </c>
      <c r="AH181" s="19" t="inlineStr"/>
    </row>
    <row r="182">
      <c r="A182" s="8" t="n">
        <v>181</v>
      </c>
      <c r="B182" s="8" t="inlineStr">
        <is>
          <t>Qualcomm</t>
        </is>
      </c>
      <c r="C182" s="8" t="inlineStr">
        <is>
          <t>QCOM</t>
        </is>
      </c>
      <c r="D182" s="9" t="inlineStr">
        <is>
          <t>USA</t>
        </is>
      </c>
      <c r="E182" s="8" t="inlineStr">
        <is>
          <t>Semiconduttori</t>
        </is>
      </c>
      <c r="F182" s="9" t="inlineStr">
        <is>
          <t>Tecnologia</t>
        </is>
      </c>
      <c r="G182" s="10" t="n">
        <v>151.57</v>
      </c>
      <c r="H182" s="11" t="inlineStr">
        <is>
          <t>USD</t>
        </is>
      </c>
      <c r="I182" s="12" t="n">
        <v>159148.5</v>
      </c>
      <c r="J182" s="10" t="n">
        <v>8.75</v>
      </c>
      <c r="K182" s="10" t="n">
        <v>10.29606</v>
      </c>
      <c r="L182" s="13">
        <f>IF(OR(G182="",J182="",J182&lt;=0),"",G182/J182)</f>
        <v/>
      </c>
      <c r="M182" s="14" t="n">
        <v>5.884386</v>
      </c>
      <c r="N182" s="15">
        <f>IF(OR(M182="",L182="",L182&lt;=0),"",M182/L182)</f>
        <v/>
      </c>
      <c r="O182" s="16" t="n">
        <v>0.33754003</v>
      </c>
      <c r="P182" s="16" t="n">
        <v>0.4251401367558992</v>
      </c>
      <c r="Q182" s="16" t="n">
        <v>0.1748827626991776</v>
      </c>
      <c r="R182" s="17" t="n">
        <v>4</v>
      </c>
      <c r="S182" s="16" t="n"/>
      <c r="T182" s="16" t="n">
        <v>0.2612939734037537</v>
      </c>
      <c r="U182" s="16" t="n">
        <v>0.386008982263835</v>
      </c>
      <c r="V182" s="16" t="n">
        <v>0.3351095871368333</v>
      </c>
      <c r="W182" s="16" t="n">
        <v>0.718148004219175</v>
      </c>
      <c r="X182" s="10" t="n">
        <v>3.68</v>
      </c>
      <c r="Y182" s="15">
        <f>IF(OR(X182="",G182="",G182=0),"",X182/G182)</f>
        <v/>
      </c>
      <c r="Z182" s="18" t="n">
        <v>55.21</v>
      </c>
      <c r="AA182" s="16" t="n">
        <v>-0.04</v>
      </c>
      <c r="AB182" s="16" t="n">
        <v>0.2091048743564267</v>
      </c>
      <c r="AC182" s="9">
        <f>IF(AND(O182="",P182=""),"DATI MANCANTI",IF(AND(N(O182)&gt;=PARAMETRI!$B$4,N(P182)&gt;=PARAMETRI!$B$4),"OK","NO"))</f>
        <v/>
      </c>
      <c r="AD182" s="9">
        <f>IF(L182="","N/D",IF(L182&lt;PARAMETRI!$B$6,"OTTIMO",IF(L182&lt;PARAMETRI!$B$5,"OK","NO")))</f>
        <v/>
      </c>
      <c r="AE182" s="9">
        <f>IF(OR(AC182="DATI MANCANTI",AD182="N/D"),"DA COMPLETARE",IF(AND(AC182="OK",AD182="OTTIMO"),"PASSA FORTE",IF(AND(AC182="OK",AD182="OK"),"PASSA","SCARTA")))</f>
        <v/>
      </c>
      <c r="AF182" s="8" t="inlineStr">
        <is>
          <t>2026-08-04</t>
        </is>
      </c>
      <c r="AG182" s="8" t="inlineStr">
        <is>
          <t>yahoo</t>
        </is>
      </c>
      <c r="AH182" s="19" t="inlineStr"/>
    </row>
    <row r="183">
      <c r="A183" s="8" t="n">
        <v>182</v>
      </c>
      <c r="B183" s="8" t="inlineStr">
        <is>
          <t>RCS MediaGroup</t>
        </is>
      </c>
      <c r="C183" s="8" t="inlineStr">
        <is>
          <t>RCS.MI</t>
        </is>
      </c>
      <c r="D183" s="9" t="inlineStr">
        <is>
          <t>Italia</t>
        </is>
      </c>
      <c r="E183" s="8" t="inlineStr">
        <is>
          <t>Editoria / Media</t>
        </is>
      </c>
      <c r="F183" s="9" t="inlineStr">
        <is>
          <t>Industriale</t>
        </is>
      </c>
      <c r="G183" s="10" t="n">
        <v>0.9370000000000001</v>
      </c>
      <c r="H183" s="11" t="inlineStr">
        <is>
          <t>EUR</t>
        </is>
      </c>
      <c r="I183" s="12" t="n">
        <v>484.8</v>
      </c>
      <c r="J183" s="10" t="n">
        <v>0.11</v>
      </c>
      <c r="K183" s="10" t="n">
        <v>0.11</v>
      </c>
      <c r="L183" s="13">
        <f>IF(OR(G183="",J183="",J183&lt;=0),"",G183/J183)</f>
        <v/>
      </c>
      <c r="M183" s="14" t="n">
        <v>1.0539932</v>
      </c>
      <c r="N183" s="15">
        <f>IF(OR(M183="",L183="",L183&lt;=0),"",M183/L183)</f>
        <v/>
      </c>
      <c r="O183" s="16" t="n">
        <v>0.12212</v>
      </c>
      <c r="P183" s="16" t="n">
        <v>0.1313459415807887</v>
      </c>
      <c r="Q183" s="16" t="n">
        <v>0.008353501327388812</v>
      </c>
      <c r="R183" s="17" t="n">
        <v>4</v>
      </c>
      <c r="S183" s="16" t="n"/>
      <c r="T183" s="16" t="n">
        <v>0.1190786614515428</v>
      </c>
      <c r="U183" s="16" t="n">
        <v>0.1404939950147292</v>
      </c>
      <c r="V183" s="16" t="n">
        <v>0.1373825018076645</v>
      </c>
      <c r="W183" s="16" t="n">
        <v>0.1284286080492182</v>
      </c>
      <c r="X183" s="10" t="n">
        <v>0.07000000000000001</v>
      </c>
      <c r="Y183" s="15">
        <f>IF(OR(X183="",G183="",G183=0),"",X183/G183)</f>
        <v/>
      </c>
      <c r="Z183" s="18" t="n">
        <v>30.876</v>
      </c>
      <c r="AA183" s="16" t="n">
        <v>0.004</v>
      </c>
      <c r="AB183" s="16" t="n">
        <v>0.06982353687952265</v>
      </c>
      <c r="AC183" s="9">
        <f>IF(AND(O183="",P183=""),"DATI MANCANTI",IF(AND(N(O183)&gt;=PARAMETRI!$B$4,N(P183)&gt;=PARAMETRI!$B$4),"OK","NO"))</f>
        <v/>
      </c>
      <c r="AD183" s="9">
        <f>IF(L183="","N/D",IF(L183&lt;PARAMETRI!$B$6,"OTTIMO",IF(L183&lt;PARAMETRI!$B$5,"OK","NO")))</f>
        <v/>
      </c>
      <c r="AE183" s="9">
        <f>IF(OR(AC183="DATI MANCANTI",AD183="N/D"),"DA COMPLETARE",IF(AND(AC183="OK",AD183="OTTIMO"),"PASSA FORTE",IF(AND(AC183="OK",AD183="OK"),"PASSA","SCARTA")))</f>
        <v/>
      </c>
      <c r="AF183" s="8" t="inlineStr">
        <is>
          <t>2026-08-04</t>
        </is>
      </c>
      <c r="AG183" s="8" t="inlineStr">
        <is>
          <t>yahoo</t>
        </is>
      </c>
      <c r="AH183" s="19" t="inlineStr"/>
    </row>
    <row r="184">
      <c r="A184" s="8" t="n">
        <v>183</v>
      </c>
      <c r="B184" s="8" t="inlineStr">
        <is>
          <t>RTX Corporation</t>
        </is>
      </c>
      <c r="C184" s="8" t="inlineStr">
        <is>
          <t>RTX</t>
        </is>
      </c>
      <c r="D184" s="9" t="inlineStr">
        <is>
          <t>USA</t>
        </is>
      </c>
      <c r="E184" s="8" t="inlineStr">
        <is>
          <t>Difesa / Aerospazio</t>
        </is>
      </c>
      <c r="F184" s="9" t="inlineStr">
        <is>
          <t>Industriale</t>
        </is>
      </c>
      <c r="G184" s="10" t="n">
        <v>216.65</v>
      </c>
      <c r="H184" s="11" t="inlineStr">
        <is>
          <t>USD</t>
        </is>
      </c>
      <c r="I184" s="12" t="n">
        <v>291991.8</v>
      </c>
      <c r="J184" s="10" t="n">
        <v>5.68</v>
      </c>
      <c r="K184" s="10" t="n">
        <v>7.82607</v>
      </c>
      <c r="L184" s="13">
        <f>IF(OR(G184="",J184="",J184&lt;=0),"",G184/J184)</f>
        <v/>
      </c>
      <c r="M184" s="14" t="n">
        <v>4.401934</v>
      </c>
      <c r="N184" s="15">
        <f>IF(OR(M184="",L184="",L184&lt;=0),"",M184/L184)</f>
        <v/>
      </c>
      <c r="O184" s="16" t="n">
        <v>0.12274</v>
      </c>
      <c r="P184" s="16" t="n">
        <v>0.07688075362298834</v>
      </c>
      <c r="Q184" s="16" t="n">
        <v>0.01786161675583029</v>
      </c>
      <c r="R184" s="17" t="n">
        <v>4</v>
      </c>
      <c r="S184" s="16" t="n"/>
      <c r="T184" s="16" t="n">
        <v>0.1031803203310599</v>
      </c>
      <c r="U184" s="16" t="n">
        <v>0.07936032980916284</v>
      </c>
      <c r="V184" s="16" t="n">
        <v>0.05342988059801331</v>
      </c>
      <c r="W184" s="16" t="n">
        <v>0.07155248375371737</v>
      </c>
      <c r="X184" s="10" t="n">
        <v>2.92</v>
      </c>
      <c r="Y184" s="15">
        <f>IF(OR(X184="",G184="",G184=0),"",X184/G184)</f>
        <v/>
      </c>
      <c r="Z184" s="18" t="n">
        <v>57.02</v>
      </c>
      <c r="AA184" s="16" t="n">
        <v>0.145</v>
      </c>
      <c r="AB184" s="16" t="n">
        <v>0.08733338455808494</v>
      </c>
      <c r="AC184" s="9">
        <f>IF(AND(O184="",P184=""),"DATI MANCANTI",IF(AND(N(O184)&gt;=PARAMETRI!$B$4,N(P184)&gt;=PARAMETRI!$B$4),"OK","NO"))</f>
        <v/>
      </c>
      <c r="AD184" s="9">
        <f>IF(L184="","N/D",IF(L184&lt;PARAMETRI!$B$6,"OTTIMO",IF(L184&lt;PARAMETRI!$B$5,"OK","NO")))</f>
        <v/>
      </c>
      <c r="AE184" s="9">
        <f>IF(OR(AC184="DATI MANCANTI",AD184="N/D"),"DA COMPLETARE",IF(AND(AC184="OK",AD184="OTTIMO"),"PASSA FORTE",IF(AND(AC184="OK",AD184="OK"),"PASSA","SCARTA")))</f>
        <v/>
      </c>
      <c r="AF184" s="8" t="inlineStr">
        <is>
          <t>2026-08-04</t>
        </is>
      </c>
      <c r="AG184" s="8" t="inlineStr">
        <is>
          <t>yahoo</t>
        </is>
      </c>
      <c r="AH184" s="19" t="inlineStr"/>
    </row>
    <row r="185">
      <c r="A185" s="8" t="n">
        <v>184</v>
      </c>
      <c r="B185" s="8" t="inlineStr">
        <is>
          <t>Realty Income</t>
        </is>
      </c>
      <c r="C185" s="8" t="inlineStr">
        <is>
          <t>O</t>
        </is>
      </c>
      <c r="D185" s="9" t="inlineStr">
        <is>
          <t>USA</t>
        </is>
      </c>
      <c r="E185" s="8" t="inlineStr">
        <is>
          <t>REIT / Retail</t>
        </is>
      </c>
      <c r="F185" s="9" t="inlineStr">
        <is>
          <t>Immobiliare</t>
        </is>
      </c>
      <c r="G185" s="10" t="n">
        <v>63.48</v>
      </c>
      <c r="H185" s="11" t="inlineStr">
        <is>
          <t>USD</t>
        </is>
      </c>
      <c r="I185" s="12" t="n">
        <v>59194.6</v>
      </c>
      <c r="J185" s="10" t="n">
        <v>1.22</v>
      </c>
      <c r="K185" s="10" t="n">
        <v>1.70715</v>
      </c>
      <c r="L185" s="13">
        <f>IF(OR(G185="",J185="",J185&lt;=0),"",G185/J185)</f>
        <v/>
      </c>
      <c r="M185" s="14" t="n">
        <v>1.5120766</v>
      </c>
      <c r="N185" s="15">
        <f>IF(OR(M185="",L185="",L185&lt;=0),"",M185/L185)</f>
        <v/>
      </c>
      <c r="O185" s="16" t="n">
        <v>0.02831</v>
      </c>
      <c r="P185" s="16" t="n">
        <v>0.02644066170262016</v>
      </c>
      <c r="Q185" s="16" t="n">
        <v>0.00288124458790436</v>
      </c>
      <c r="R185" s="17" t="n">
        <v>4</v>
      </c>
      <c r="S185" s="16" t="n"/>
      <c r="T185" s="16" t="n">
        <v>0.02684140537611602</v>
      </c>
      <c r="U185" s="16" t="n">
        <v>0.02216157684748421</v>
      </c>
      <c r="V185" s="16" t="n">
        <v>0.02648057537935393</v>
      </c>
      <c r="W185" s="16" t="n">
        <v>0.03027908920752649</v>
      </c>
      <c r="X185" s="10" t="n">
        <v>3.25</v>
      </c>
      <c r="Y185" s="15">
        <f>IF(OR(X185="",G185="",G185=0),"",X185/G185)</f>
        <v/>
      </c>
      <c r="Z185" s="18" t="n">
        <v>73.467</v>
      </c>
      <c r="AA185" s="16" t="n">
        <v>0.12</v>
      </c>
      <c r="AB185" s="16" t="n">
        <v>0.194897822146643</v>
      </c>
      <c r="AC185" s="9">
        <f>IF(AND(O185="",P185=""),"DATI MANCANTI",IF(AND(N(O185)&gt;=PARAMETRI!$B$4,N(P185)&gt;=PARAMETRI!$B$4),"OK","NO"))</f>
        <v/>
      </c>
      <c r="AD185" s="9">
        <f>IF(L185="","N/D",IF(L185&lt;PARAMETRI!$B$6,"OTTIMO",IF(L185&lt;PARAMETRI!$B$5,"OK","NO")))</f>
        <v/>
      </c>
      <c r="AE185" s="9">
        <f>IF(OR(AC185="DATI MANCANTI",AD185="N/D"),"DA COMPLETARE",IF(AND(AC185="OK",AD185="OTTIMO"),"PASSA FORTE",IF(AND(AC185="OK",AD185="OK"),"PASSA","SCARTA")))</f>
        <v/>
      </c>
      <c r="AF185" s="8" t="inlineStr">
        <is>
          <t>2026-08-04</t>
        </is>
      </c>
      <c r="AG185" s="8" t="inlineStr">
        <is>
          <t>yahoo</t>
        </is>
      </c>
      <c r="AH185" s="19" t="inlineStr"/>
    </row>
    <row r="186">
      <c r="A186" s="8" t="n">
        <v>185</v>
      </c>
      <c r="B186" s="8" t="inlineStr">
        <is>
          <t>Recordati</t>
        </is>
      </c>
      <c r="C186" s="8" t="inlineStr">
        <is>
          <t>REC.MI</t>
        </is>
      </c>
      <c r="D186" s="9" t="inlineStr">
        <is>
          <t>Italia</t>
        </is>
      </c>
      <c r="E186" s="8" t="inlineStr">
        <is>
          <t>Farmaceutica</t>
        </is>
      </c>
      <c r="F186" s="9" t="inlineStr">
        <is>
          <t>Salute</t>
        </is>
      </c>
      <c r="G186" s="10" t="n">
        <v>51.65</v>
      </c>
      <c r="H186" s="11" t="inlineStr">
        <is>
          <t>EUR</t>
        </is>
      </c>
      <c r="I186" s="12" t="n">
        <v>10508.9</v>
      </c>
      <c r="J186" s="10" t="n">
        <v>2.38</v>
      </c>
      <c r="K186" s="10" t="n">
        <v>3.78</v>
      </c>
      <c r="L186" s="13">
        <f>IF(OR(G186="",J186="",J186&lt;=0),"",G186/J186)</f>
        <v/>
      </c>
      <c r="M186" s="14" t="n">
        <v>4.933142</v>
      </c>
      <c r="N186" s="15">
        <f>IF(OR(M186="",L186="",L186&lt;=0),"",M186/L186)</f>
        <v/>
      </c>
      <c r="O186" s="16" t="n">
        <v>0.24851999</v>
      </c>
      <c r="P186" s="16" t="n">
        <v>0.2214495065575219</v>
      </c>
      <c r="Q186" s="16" t="n">
        <v>0.01181960198165553</v>
      </c>
      <c r="R186" s="17" t="n">
        <v>4</v>
      </c>
      <c r="S186" s="16" t="n"/>
      <c r="T186" s="16" t="n">
        <v>0.2310816076075701</v>
      </c>
      <c r="U186" s="16" t="n">
        <v>0.2219234882185667</v>
      </c>
      <c r="V186" s="16" t="n">
        <v>0.2307968728504405</v>
      </c>
      <c r="W186" s="16" t="n">
        <v>0.2019960575535102</v>
      </c>
      <c r="X186" s="10" t="n">
        <v>1.42</v>
      </c>
      <c r="Y186" s="15">
        <f>IF(OR(X186="",G186="",G186=0),"",X186/G186)</f>
        <v/>
      </c>
      <c r="Z186" s="18" t="n">
        <v>108.586</v>
      </c>
      <c r="AA186" s="16" t="n">
        <v>0.083</v>
      </c>
      <c r="AB186" s="16" t="n">
        <v>0.1898793996141894</v>
      </c>
      <c r="AC186" s="9">
        <f>IF(AND(O186="",P186=""),"DATI MANCANTI",IF(AND(N(O186)&gt;=PARAMETRI!$B$4,N(P186)&gt;=PARAMETRI!$B$4),"OK","NO"))</f>
        <v/>
      </c>
      <c r="AD186" s="9">
        <f>IF(L186="","N/D",IF(L186&lt;PARAMETRI!$B$6,"OTTIMO",IF(L186&lt;PARAMETRI!$B$5,"OK","NO")))</f>
        <v/>
      </c>
      <c r="AE186" s="9">
        <f>IF(OR(AC186="DATI MANCANTI",AD186="N/D"),"DA COMPLETARE",IF(AND(AC186="OK",AD186="OTTIMO"),"PASSA FORTE",IF(AND(AC186="OK",AD186="OK"),"PASSA","SCARTA")))</f>
        <v/>
      </c>
      <c r="AF186" s="8" t="inlineStr">
        <is>
          <t>2026-08-04</t>
        </is>
      </c>
      <c r="AG186" s="8" t="inlineStr">
        <is>
          <t>yahoo</t>
        </is>
      </c>
      <c r="AH186" s="19" t="inlineStr"/>
    </row>
    <row r="187">
      <c r="A187" s="8" t="n">
        <v>186</v>
      </c>
      <c r="B187" s="8" t="inlineStr">
        <is>
          <t>Regeneron</t>
        </is>
      </c>
      <c r="C187" s="8" t="inlineStr">
        <is>
          <t>REGN</t>
        </is>
      </c>
      <c r="D187" s="9" t="inlineStr">
        <is>
          <t>USA</t>
        </is>
      </c>
      <c r="E187" s="8" t="inlineStr">
        <is>
          <t>Biotecnologie</t>
        </is>
      </c>
      <c r="F187" s="9" t="inlineStr">
        <is>
          <t>Salute</t>
        </is>
      </c>
      <c r="G187" s="10" t="n">
        <v>759.24</v>
      </c>
      <c r="H187" s="11" t="inlineStr">
        <is>
          <t>USD</t>
        </is>
      </c>
      <c r="I187" s="12" t="n">
        <v>78167.5</v>
      </c>
      <c r="J187" s="10" t="n">
        <v>40.42</v>
      </c>
      <c r="K187" s="10" t="n">
        <v>59.6714</v>
      </c>
      <c r="L187" s="13">
        <f>IF(OR(G187="",J187="",J187&lt;=0),"",G187/J187)</f>
        <v/>
      </c>
      <c r="M187" s="14" t="n">
        <v>2.4018145</v>
      </c>
      <c r="N187" s="15">
        <f>IF(OR(M187="",L187="",L187&lt;=0),"",M187/L187)</f>
        <v/>
      </c>
      <c r="O187" s="16" t="n">
        <v>0.14043</v>
      </c>
      <c r="P187" s="16" t="n">
        <v>0.1595230520456649</v>
      </c>
      <c r="Q187" s="16" t="n">
        <v>0.01865889297829353</v>
      </c>
      <c r="R187" s="17" t="n">
        <v>4</v>
      </c>
      <c r="S187" s="16" t="n"/>
      <c r="T187" s="16" t="n">
        <v>0.1441249772050331</v>
      </c>
      <c r="U187" s="16" t="n">
        <v>0.1503256840728224</v>
      </c>
      <c r="V187" s="16" t="n">
        <v>0.1522190266082986</v>
      </c>
      <c r="W187" s="16" t="n">
        <v>0.1914225202965055</v>
      </c>
      <c r="X187" s="10" t="n">
        <v>3.76</v>
      </c>
      <c r="Y187" s="15">
        <f>IF(OR(X187="",G187="",G187=0),"",X187/G187)</f>
        <v/>
      </c>
      <c r="Z187" s="18" t="n">
        <v>8.535</v>
      </c>
      <c r="AA187" s="16" t="n">
        <v>0.167</v>
      </c>
      <c r="AB187" s="16" t="n">
        <v>0.301800884339987</v>
      </c>
      <c r="AC187" s="9">
        <f>IF(AND(O187="",P187=""),"DATI MANCANTI",IF(AND(N(O187)&gt;=PARAMETRI!$B$4,N(P187)&gt;=PARAMETRI!$B$4),"OK","NO"))</f>
        <v/>
      </c>
      <c r="AD187" s="9">
        <f>IF(L187="","N/D",IF(L187&lt;PARAMETRI!$B$6,"OTTIMO",IF(L187&lt;PARAMETRI!$B$5,"OK","NO")))</f>
        <v/>
      </c>
      <c r="AE187" s="9">
        <f>IF(OR(AC187="DATI MANCANTI",AD187="N/D"),"DA COMPLETARE",IF(AND(AC187="OK",AD187="OTTIMO"),"PASSA FORTE",IF(AND(AC187="OK",AD187="OK"),"PASSA","SCARTA")))</f>
        <v/>
      </c>
      <c r="AF187" s="8" t="inlineStr">
        <is>
          <t>2026-08-04</t>
        </is>
      </c>
      <c r="AG187" s="8" t="inlineStr">
        <is>
          <t>yahoo</t>
        </is>
      </c>
      <c r="AH187" s="19" t="inlineStr"/>
    </row>
    <row r="188">
      <c r="A188" s="8" t="n">
        <v>187</v>
      </c>
      <c r="B188" s="8" t="inlineStr">
        <is>
          <t>Risanamento</t>
        </is>
      </c>
      <c r="C188" s="8" t="inlineStr">
        <is>
          <t>RN.MI</t>
        </is>
      </c>
      <c r="D188" s="9" t="inlineStr">
        <is>
          <t>Italia</t>
        </is>
      </c>
      <c r="E188" s="8" t="inlineStr">
        <is>
          <t>Immobiliare</t>
        </is>
      </c>
      <c r="F188" s="9" t="inlineStr">
        <is>
          <t>Immobiliare</t>
        </is>
      </c>
      <c r="G188" s="10" t="n">
        <v>0.0175</v>
      </c>
      <c r="H188" s="11" t="inlineStr">
        <is>
          <t>EUR</t>
        </is>
      </c>
      <c r="I188" s="12" t="n">
        <v>31.5</v>
      </c>
      <c r="J188" s="10" t="n">
        <v>-0.01</v>
      </c>
      <c r="K188" s="10" t="n"/>
      <c r="L188" s="13">
        <f>IF(OR(G188="",J188="",J188&lt;=0),"",G188/J188)</f>
        <v/>
      </c>
      <c r="M188" s="14" t="n"/>
      <c r="N188" s="15">
        <f>IF(OR(M188="",L188="",L188&lt;=0),"",M188/L188)</f>
        <v/>
      </c>
      <c r="O188" s="16" t="n">
        <v>-2.12318</v>
      </c>
      <c r="P188" s="16" t="n">
        <v>-2.631412626629395</v>
      </c>
      <c r="Q188" s="16" t="n">
        <v>3.822301984946608</v>
      </c>
      <c r="R188" s="17" t="n">
        <v>4</v>
      </c>
      <c r="S188" s="16" t="n"/>
      <c r="T188" s="16" t="n"/>
      <c r="U188" s="16" t="n">
        <v>-9.186217576461479</v>
      </c>
      <c r="V188" s="16" t="n">
        <v>0.2023488274866026</v>
      </c>
      <c r="W188" s="16" t="n">
        <v>-1.281388478581979</v>
      </c>
      <c r="X188" s="10" t="n"/>
      <c r="Y188" s="15">
        <f>IF(OR(X188="",G188="",G188=0),"",X188/G188)</f>
        <v/>
      </c>
      <c r="Z188" s="18" t="n"/>
      <c r="AA188" s="16" t="n">
        <v>369.333</v>
      </c>
      <c r="AB188" s="16" t="n">
        <v>-193.2014925373134</v>
      </c>
      <c r="AC188" s="9">
        <f>IF(AND(O188="",P188=""),"DATI MANCANTI",IF(AND(N(O188)&gt;=PARAMETRI!$B$4,N(P188)&gt;=PARAMETRI!$B$4),"OK","NO"))</f>
        <v/>
      </c>
      <c r="AD188" s="9">
        <f>IF(L188="","N/D",IF(L188&lt;PARAMETRI!$B$6,"OTTIMO",IF(L188&lt;PARAMETRI!$B$5,"OK","NO")))</f>
        <v/>
      </c>
      <c r="AE188" s="9">
        <f>IF(OR(AC188="DATI MANCANTI",AD188="N/D"),"DA COMPLETARE",IF(AND(AC188="OK",AD188="OTTIMO"),"PASSA FORTE",IF(AND(AC188="OK",AD188="OK"),"PASSA","SCARTA")))</f>
        <v/>
      </c>
      <c r="AF188" s="8" t="inlineStr">
        <is>
          <t>2026-08-04</t>
        </is>
      </c>
      <c r="AG188" s="8" t="inlineStr">
        <is>
          <t>yahoo</t>
        </is>
      </c>
      <c r="AH188" s="19" t="inlineStr"/>
    </row>
    <row r="189">
      <c r="A189" s="8" t="n">
        <v>188</v>
      </c>
      <c r="B189" s="8" t="inlineStr">
        <is>
          <t>S&amp;P Global</t>
        </is>
      </c>
      <c r="C189" s="8" t="inlineStr">
        <is>
          <t>SPGI</t>
        </is>
      </c>
      <c r="D189" s="9" t="inlineStr">
        <is>
          <t>USA</t>
        </is>
      </c>
      <c r="E189" s="8" t="inlineStr">
        <is>
          <t>Dati e rating</t>
        </is>
      </c>
      <c r="F189" s="9" t="inlineStr">
        <is>
          <t>Finanziario</t>
        </is>
      </c>
      <c r="G189" s="10" t="n">
        <v>416.25</v>
      </c>
      <c r="H189" s="11" t="inlineStr">
        <is>
          <t>USD</t>
        </is>
      </c>
      <c r="I189" s="12" t="n">
        <v>122710.5</v>
      </c>
      <c r="J189" s="10" t="n">
        <v>16.44</v>
      </c>
      <c r="K189" s="10" t="n">
        <v>20.21965</v>
      </c>
      <c r="L189" s="13">
        <f>IF(OR(G189="",J189="",J189&lt;=0),"",G189/J189)</f>
        <v/>
      </c>
      <c r="M189" s="14" t="n">
        <v>3.8954656</v>
      </c>
      <c r="N189" s="15">
        <f>IF(OR(M189="",L189="",L189&lt;=0),"",M189/L189)</f>
        <v/>
      </c>
      <c r="O189" s="16" t="n">
        <v>0.14255</v>
      </c>
      <c r="P189" s="16" t="n">
        <v>0.1064621835887914</v>
      </c>
      <c r="Q189" s="16" t="n">
        <v>0.02575321793401057</v>
      </c>
      <c r="R189" s="17" t="n">
        <v>4</v>
      </c>
      <c r="S189" s="16" t="n"/>
      <c r="T189" s="16" t="n">
        <v>0.1436373566357182</v>
      </c>
      <c r="U189" s="16" t="n">
        <v>0.1161675563195513</v>
      </c>
      <c r="V189" s="16" t="n">
        <v>0.07678362573099415</v>
      </c>
      <c r="W189" s="16" t="n">
        <v>0.08926019566890184</v>
      </c>
      <c r="X189" s="10" t="n">
        <v>3.88</v>
      </c>
      <c r="Y189" s="15">
        <f>IF(OR(X189="",G189="",G189=0),"",X189/G189)</f>
        <v/>
      </c>
      <c r="Z189" s="18" t="n">
        <v>42.98</v>
      </c>
      <c r="AA189" s="16" t="n">
        <v>0.104</v>
      </c>
      <c r="AB189" s="16" t="n">
        <v>0.3210093771517997</v>
      </c>
      <c r="AC189" s="9">
        <f>IF(AND(O189="",P189=""),"DATI MANCANTI",IF(AND(N(O189)&gt;=PARAMETRI!$B$4,N(P189)&gt;=PARAMETRI!$B$4),"OK","NO"))</f>
        <v/>
      </c>
      <c r="AD189" s="9">
        <f>IF(L189="","N/D",IF(L189&lt;PARAMETRI!$B$6,"OTTIMO",IF(L189&lt;PARAMETRI!$B$5,"OK","NO")))</f>
        <v/>
      </c>
      <c r="AE189" s="9">
        <f>IF(OR(AC189="DATI MANCANTI",AD189="N/D"),"DA COMPLETARE",IF(AND(AC189="OK",AD189="OTTIMO"),"PASSA FORTE",IF(AND(AC189="OK",AD189="OK"),"PASSA","SCARTA")))</f>
        <v/>
      </c>
      <c r="AF189" s="8" t="inlineStr">
        <is>
          <t>2026-08-04</t>
        </is>
      </c>
      <c r="AG189" s="8" t="inlineStr">
        <is>
          <t>yahoo</t>
        </is>
      </c>
      <c r="AH189" s="19" t="inlineStr"/>
    </row>
    <row r="190">
      <c r="A190" s="8" t="n">
        <v>189</v>
      </c>
      <c r="B190" s="8" t="inlineStr">
        <is>
          <t>SLB (Schlumberger)</t>
        </is>
      </c>
      <c r="C190" s="8" t="inlineStr">
        <is>
          <t>SLB</t>
        </is>
      </c>
      <c r="D190" s="9" t="inlineStr">
        <is>
          <t>USA</t>
        </is>
      </c>
      <c r="E190" s="8" t="inlineStr">
        <is>
          <t>Oil service</t>
        </is>
      </c>
      <c r="F190" s="9" t="inlineStr">
        <is>
          <t>Energia</t>
        </is>
      </c>
      <c r="G190" s="10" t="n">
        <v>49.31</v>
      </c>
      <c r="H190" s="11" t="inlineStr">
        <is>
          <t>USD</t>
        </is>
      </c>
      <c r="I190" s="12" t="n">
        <v>73183.10000000001</v>
      </c>
      <c r="J190" s="10" t="n">
        <v>2.05</v>
      </c>
      <c r="K190" s="10" t="n">
        <v>3.25904</v>
      </c>
      <c r="L190" s="13">
        <f>IF(OR(G190="",J190="",J190&lt;=0),"",G190/J190)</f>
        <v/>
      </c>
      <c r="M190" s="14" t="n">
        <v>2.6849988</v>
      </c>
      <c r="N190" s="15">
        <f>IF(OR(M190="",L190="",L190&lt;=0),"",M190/L190)</f>
        <v/>
      </c>
      <c r="O190" s="16" t="n">
        <v>0.12909001</v>
      </c>
      <c r="P190" s="16" t="n">
        <v>0.1857758605281961</v>
      </c>
      <c r="Q190" s="16" t="n">
        <v>0.03323988575793588</v>
      </c>
      <c r="R190" s="17" t="n">
        <v>4</v>
      </c>
      <c r="S190" s="16" t="n"/>
      <c r="T190" s="16" t="n">
        <v>0.1292274694549772</v>
      </c>
      <c r="U190" s="16" t="n">
        <v>0.2111216280170374</v>
      </c>
      <c r="V190" s="16" t="n">
        <v>0.2081826737332211</v>
      </c>
      <c r="W190" s="16" t="n">
        <v>0.1945716709075488</v>
      </c>
      <c r="X190" s="10" t="n">
        <v>1.18</v>
      </c>
      <c r="Y190" s="15">
        <f>IF(OR(X190="",G190="",G190=0),"",X190/G190)</f>
        <v/>
      </c>
      <c r="Z190" s="18" t="n">
        <v>47.002</v>
      </c>
      <c r="AA190" s="16" t="n">
        <v>0.05</v>
      </c>
      <c r="AB190" s="16" t="n">
        <v>0.08684328262574213</v>
      </c>
      <c r="AC190" s="9">
        <f>IF(AND(O190="",P190=""),"DATI MANCANTI",IF(AND(N(O190)&gt;=PARAMETRI!$B$4,N(P190)&gt;=PARAMETRI!$B$4),"OK","NO"))</f>
        <v/>
      </c>
      <c r="AD190" s="9">
        <f>IF(L190="","N/D",IF(L190&lt;PARAMETRI!$B$6,"OTTIMO",IF(L190&lt;PARAMETRI!$B$5,"OK","NO")))</f>
        <v/>
      </c>
      <c r="AE190" s="9">
        <f>IF(OR(AC190="DATI MANCANTI",AD190="N/D"),"DA COMPLETARE",IF(AND(AC190="OK",AD190="OTTIMO"),"PASSA FORTE",IF(AND(AC190="OK",AD190="OK"),"PASSA","SCARTA")))</f>
        <v/>
      </c>
      <c r="AF190" s="8" t="inlineStr">
        <is>
          <t>2026-08-04</t>
        </is>
      </c>
      <c r="AG190" s="8" t="inlineStr">
        <is>
          <t>yahoo</t>
        </is>
      </c>
      <c r="AH190" s="19" t="inlineStr"/>
    </row>
    <row r="191">
      <c r="A191" s="8" t="n">
        <v>190</v>
      </c>
      <c r="B191" s="8" t="inlineStr">
        <is>
          <t>STMicroelectronics</t>
        </is>
      </c>
      <c r="C191" s="8" t="inlineStr">
        <is>
          <t>STMMI.MI</t>
        </is>
      </c>
      <c r="D191" s="9" t="inlineStr">
        <is>
          <t>Italia</t>
        </is>
      </c>
      <c r="E191" s="8" t="inlineStr">
        <is>
          <t>Semiconduttori</t>
        </is>
      </c>
      <c r="F191" s="9" t="inlineStr">
        <is>
          <t>Tecnologia</t>
        </is>
      </c>
      <c r="G191" s="10" t="n">
        <v>46.31</v>
      </c>
      <c r="H191" s="11" t="inlineStr">
        <is>
          <t>EUR</t>
        </is>
      </c>
      <c r="I191" s="12" t="n">
        <v>41302.8</v>
      </c>
      <c r="J191" s="10" t="n">
        <v>0.44</v>
      </c>
      <c r="K191" s="10" t="n">
        <v>1.42</v>
      </c>
      <c r="L191" s="13">
        <f>IF(OR(G191="",J191="",J191&lt;=0),"",G191/J191)</f>
        <v/>
      </c>
      <c r="M191" s="14" t="n">
        <v>2.6994646</v>
      </c>
      <c r="N191" s="15">
        <f>IF(OR(M191="",L191="",L191&lt;=0),"",M191/L191)</f>
        <v/>
      </c>
      <c r="O191" s="16" t="n">
        <v>0.02686</v>
      </c>
      <c r="P191" s="16" t="n">
        <v>0.1655610564349585</v>
      </c>
      <c r="Q191" s="16" t="n">
        <v>0.1215552570620177</v>
      </c>
      <c r="R191" s="17" t="n">
        <v>4</v>
      </c>
      <c r="S191" s="16" t="n"/>
      <c r="T191" s="16" t="n">
        <v>0.009311195871662552</v>
      </c>
      <c r="U191" s="16" t="n">
        <v>0.08923147458307067</v>
      </c>
      <c r="V191" s="16" t="n">
        <v>0.2517185725387052</v>
      </c>
      <c r="W191" s="16" t="n">
        <v>0.3119829827463956</v>
      </c>
      <c r="X191" s="10" t="n">
        <v>0.31</v>
      </c>
      <c r="Y191" s="15">
        <f>IF(OR(X191="",G191="",G191=0),"",X191/G191)</f>
        <v/>
      </c>
      <c r="Z191" s="18" t="n">
        <v>23.446</v>
      </c>
      <c r="AA191" s="16" t="n">
        <v>0.261</v>
      </c>
      <c r="AB191" s="16" t="n">
        <v>0.03949152542372882</v>
      </c>
      <c r="AC191" s="9">
        <f>IF(AND(O191="",P191=""),"DATI MANCANTI",IF(AND(N(O191)&gt;=PARAMETRI!$B$4,N(P191)&gt;=PARAMETRI!$B$4),"OK","NO"))</f>
        <v/>
      </c>
      <c r="AD191" s="9">
        <f>IF(L191="","N/D",IF(L191&lt;PARAMETRI!$B$6,"OTTIMO",IF(L191&lt;PARAMETRI!$B$5,"OK","NO")))</f>
        <v/>
      </c>
      <c r="AE191" s="9">
        <f>IF(OR(AC191="DATI MANCANTI",AD191="N/D"),"DA COMPLETARE",IF(AND(AC191="OK",AD191="OTTIMO"),"PASSA FORTE",IF(AND(AC191="OK",AD191="OK"),"PASSA","SCARTA")))</f>
        <v/>
      </c>
      <c r="AF191" s="8" t="inlineStr">
        <is>
          <t>2026-08-04</t>
        </is>
      </c>
      <c r="AG191" s="8" t="inlineStr">
        <is>
          <t>yahoo</t>
        </is>
      </c>
      <c r="AH191" s="19" t="inlineStr">
        <is>
          <t>Bilancio in USD</t>
        </is>
      </c>
    </row>
    <row r="192">
      <c r="A192" s="8" t="n">
        <v>191</v>
      </c>
      <c r="B192" s="8" t="inlineStr">
        <is>
          <t>Saipem</t>
        </is>
      </c>
      <c r="C192" s="8" t="inlineStr">
        <is>
          <t>SPM.MI</t>
        </is>
      </c>
      <c r="D192" s="9" t="inlineStr">
        <is>
          <t>Italia</t>
        </is>
      </c>
      <c r="E192" s="8" t="inlineStr">
        <is>
          <t>Oil service</t>
        </is>
      </c>
      <c r="F192" s="9" t="inlineStr">
        <is>
          <t>Energia</t>
        </is>
      </c>
      <c r="G192" s="10" t="n">
        <v>4.328</v>
      </c>
      <c r="H192" s="11" t="inlineStr">
        <is>
          <t>EUR</t>
        </is>
      </c>
      <c r="I192" s="12" t="n">
        <v>8397.5</v>
      </c>
      <c r="J192" s="10" t="n">
        <v>0.13</v>
      </c>
      <c r="K192" s="10" t="n">
        <v>0.29854</v>
      </c>
      <c r="L192" s="13">
        <f>IF(OR(G192="",J192="",J192&lt;=0),"",G192/J192)</f>
        <v/>
      </c>
      <c r="M192" s="14" t="n">
        <v>3.1846948</v>
      </c>
      <c r="N192" s="15">
        <f>IF(OR(M192="",L192="",L192&lt;=0),"",M192/L192)</f>
        <v/>
      </c>
      <c r="O192" s="16" t="n">
        <v>0.108509995</v>
      </c>
      <c r="P192" s="16" t="n">
        <v>0.05312509829599771</v>
      </c>
      <c r="Q192" s="16" t="n">
        <v>0.0908755035974316</v>
      </c>
      <c r="R192" s="17" t="n">
        <v>4</v>
      </c>
      <c r="S192" s="16" t="n"/>
      <c r="T192" s="16" t="n">
        <v>0.1175578308684111</v>
      </c>
      <c r="U192" s="16" t="n">
        <v>0.1212361331220285</v>
      </c>
      <c r="V192" s="16" t="n">
        <v>0.07477025898078529</v>
      </c>
      <c r="W192" s="16" t="n">
        <v>-0.101063829787234</v>
      </c>
      <c r="X192" s="10" t="n">
        <v>0.17</v>
      </c>
      <c r="Y192" s="15">
        <f>IF(OR(X192="",G192="",G192=0),"",X192/G192)</f>
        <v/>
      </c>
      <c r="Z192" s="18" t="n">
        <v>51.319</v>
      </c>
      <c r="AA192" s="16" t="n">
        <v>0.032</v>
      </c>
      <c r="AB192" s="16" t="n">
        <v>0.01722136222910217</v>
      </c>
      <c r="AC192" s="9">
        <f>IF(AND(O192="",P192=""),"DATI MANCANTI",IF(AND(N(O192)&gt;=PARAMETRI!$B$4,N(P192)&gt;=PARAMETRI!$B$4),"OK","NO"))</f>
        <v/>
      </c>
      <c r="AD192" s="9">
        <f>IF(L192="","N/D",IF(L192&lt;PARAMETRI!$B$6,"OTTIMO",IF(L192&lt;PARAMETRI!$B$5,"OK","NO")))</f>
        <v/>
      </c>
      <c r="AE192" s="9">
        <f>IF(OR(AC192="DATI MANCANTI",AD192="N/D"),"DA COMPLETARE",IF(AND(AC192="OK",AD192="OTTIMO"),"PASSA FORTE",IF(AND(AC192="OK",AD192="OK"),"PASSA","SCARTA")))</f>
        <v/>
      </c>
      <c r="AF192" s="8" t="inlineStr">
        <is>
          <t>2026-08-04</t>
        </is>
      </c>
      <c r="AG192" s="8" t="inlineStr">
        <is>
          <t>yahoo</t>
        </is>
      </c>
      <c r="AH192" s="19" t="inlineStr"/>
    </row>
    <row r="193">
      <c r="A193" s="8" t="n">
        <v>192</v>
      </c>
      <c r="B193" s="8" t="inlineStr">
        <is>
          <t>Salesforce</t>
        </is>
      </c>
      <c r="C193" s="8" t="inlineStr">
        <is>
          <t>CRM</t>
        </is>
      </c>
      <c r="D193" s="9" t="inlineStr">
        <is>
          <t>USA</t>
        </is>
      </c>
      <c r="E193" s="8" t="inlineStr">
        <is>
          <t>Software</t>
        </is>
      </c>
      <c r="F193" s="9" t="inlineStr">
        <is>
          <t>Tecnologia</t>
        </is>
      </c>
      <c r="G193" s="10" t="n">
        <v>185.95</v>
      </c>
      <c r="H193" s="11" t="inlineStr">
        <is>
          <t>USD</t>
        </is>
      </c>
      <c r="I193" s="12" t="n">
        <v>152293</v>
      </c>
      <c r="J193" s="10" t="n">
        <v>8.630000000000001</v>
      </c>
      <c r="K193" s="10" t="n">
        <v>15.51229</v>
      </c>
      <c r="L193" s="13">
        <f>IF(OR(G193="",J193="",J193&lt;=0),"",G193/J193)</f>
        <v/>
      </c>
      <c r="M193" s="14" t="n">
        <v>4.448458</v>
      </c>
      <c r="N193" s="15">
        <f>IF(OR(M193="",L193="",L193&lt;=0),"",M193/L193)</f>
        <v/>
      </c>
      <c r="O193" s="16" t="n">
        <v>0.16908</v>
      </c>
      <c r="P193" s="16" t="n">
        <v>0.07507395766191549</v>
      </c>
      <c r="Q193" s="16" t="n">
        <v>0.04592582275632811</v>
      </c>
      <c r="R193" s="17" t="n">
        <v>4</v>
      </c>
      <c r="S193" s="16" t="n">
        <v>0.1260863684014744</v>
      </c>
      <c r="T193" s="16" t="n">
        <v>0.1013028623739231</v>
      </c>
      <c r="U193" s="16" t="n">
        <v>0.06934245381081715</v>
      </c>
      <c r="V193" s="16" t="n">
        <v>0.003564146061447249</v>
      </c>
      <c r="W193" s="16" t="n"/>
      <c r="X193" s="10" t="n">
        <v>1.76</v>
      </c>
      <c r="Y193" s="15">
        <f>IF(OR(X193="",G193="",G193=0),"",X193/G193)</f>
        <v/>
      </c>
      <c r="Z193" s="18" t="n">
        <v>124.282</v>
      </c>
      <c r="AA193" s="16" t="n">
        <v>0.133</v>
      </c>
      <c r="AB193" s="16" t="n">
        <v>0.1932089118362432</v>
      </c>
      <c r="AC193" s="9">
        <f>IF(AND(O193="",P193=""),"DATI MANCANTI",IF(AND(N(O193)&gt;=PARAMETRI!$B$4,N(P193)&gt;=PARAMETRI!$B$4),"OK","NO"))</f>
        <v/>
      </c>
      <c r="AD193" s="9">
        <f>IF(L193="","N/D",IF(L193&lt;PARAMETRI!$B$6,"OTTIMO",IF(L193&lt;PARAMETRI!$B$5,"OK","NO")))</f>
        <v/>
      </c>
      <c r="AE193" s="9">
        <f>IF(OR(AC193="DATI MANCANTI",AD193="N/D"),"DA COMPLETARE",IF(AND(AC193="OK",AD193="OTTIMO"),"PASSA FORTE",IF(AND(AC193="OK",AD193="OK"),"PASSA","SCARTA")))</f>
        <v/>
      </c>
      <c r="AF193" s="8" t="inlineStr">
        <is>
          <t>2026-08-04</t>
        </is>
      </c>
      <c r="AG193" s="8" t="inlineStr">
        <is>
          <t>yahoo</t>
        </is>
      </c>
      <c r="AH193" s="19" t="inlineStr"/>
    </row>
    <row r="194">
      <c r="A194" s="8" t="n">
        <v>193</v>
      </c>
      <c r="B194" s="8" t="inlineStr">
        <is>
          <t>Salvatore Ferragamo</t>
        </is>
      </c>
      <c r="C194" s="8" t="inlineStr">
        <is>
          <t>SFER.MI</t>
        </is>
      </c>
      <c r="D194" s="9" t="inlineStr">
        <is>
          <t>Italia</t>
        </is>
      </c>
      <c r="E194" s="8" t="inlineStr">
        <is>
          <t>Lusso</t>
        </is>
      </c>
      <c r="F194" s="9" t="inlineStr">
        <is>
          <t>Consumi</t>
        </is>
      </c>
      <c r="G194" s="10" t="n">
        <v>9.414999999999999</v>
      </c>
      <c r="H194" s="11" t="inlineStr">
        <is>
          <t>EUR</t>
        </is>
      </c>
      <c r="I194" s="12" t="n">
        <v>1559.8</v>
      </c>
      <c r="J194" s="10" t="n">
        <v>-0.3</v>
      </c>
      <c r="K194" s="10" t="n">
        <v>0.17245</v>
      </c>
      <c r="L194" s="13">
        <f>IF(OR(G194="",J194="",J194&lt;=0),"",G194/J194)</f>
        <v/>
      </c>
      <c r="M194" s="14" t="n">
        <v>2.6379938</v>
      </c>
      <c r="N194" s="15">
        <f>IF(OR(M194="",L194="",L194&lt;=0),"",M194/L194)</f>
        <v/>
      </c>
      <c r="O194" s="16" t="n">
        <v>-0.08108</v>
      </c>
      <c r="P194" s="16" t="n">
        <v>-0.01621397710321158</v>
      </c>
      <c r="Q194" s="16" t="n">
        <v>0.08353359250645503</v>
      </c>
      <c r="R194" s="17" t="n">
        <v>4</v>
      </c>
      <c r="S194" s="16" t="n"/>
      <c r="T194" s="16" t="n">
        <v>-0.08360140037546299</v>
      </c>
      <c r="U194" s="16" t="n">
        <v>-0.109978985318798</v>
      </c>
      <c r="V194" s="16" t="n">
        <v>0.03613592432255542</v>
      </c>
      <c r="W194" s="16" t="n">
        <v>0.09258855295885929</v>
      </c>
      <c r="X194" s="10" t="n"/>
      <c r="Y194" s="15">
        <f>IF(OR(X194="",G194="",G194=0),"",X194/G194)</f>
        <v/>
      </c>
      <c r="Z194" s="18" t="n">
        <v>116.299</v>
      </c>
      <c r="AA194" s="16" t="n">
        <v>-0.018</v>
      </c>
      <c r="AB194" s="16" t="n">
        <v>-0.05061897676571456</v>
      </c>
      <c r="AC194" s="9">
        <f>IF(AND(O194="",P194=""),"DATI MANCANTI",IF(AND(N(O194)&gt;=PARAMETRI!$B$4,N(P194)&gt;=PARAMETRI!$B$4),"OK","NO"))</f>
        <v/>
      </c>
      <c r="AD194" s="9">
        <f>IF(L194="","N/D",IF(L194&lt;PARAMETRI!$B$6,"OTTIMO",IF(L194&lt;PARAMETRI!$B$5,"OK","NO")))</f>
        <v/>
      </c>
      <c r="AE194" s="9">
        <f>IF(OR(AC194="DATI MANCANTI",AD194="N/D"),"DA COMPLETARE",IF(AND(AC194="OK",AD194="OTTIMO"),"PASSA FORTE",IF(AND(AC194="OK",AD194="OK"),"PASSA","SCARTA")))</f>
        <v/>
      </c>
      <c r="AF194" s="8" t="inlineStr">
        <is>
          <t>2026-08-04</t>
        </is>
      </c>
      <c r="AG194" s="8" t="inlineStr">
        <is>
          <t>yahoo</t>
        </is>
      </c>
      <c r="AH194" s="19" t="inlineStr"/>
    </row>
    <row r="195">
      <c r="A195" s="8" t="n">
        <v>194</v>
      </c>
      <c r="B195" s="8" t="inlineStr">
        <is>
          <t>Sempra</t>
        </is>
      </c>
      <c r="C195" s="8" t="inlineStr">
        <is>
          <t>SRE</t>
        </is>
      </c>
      <c r="D195" s="9" t="inlineStr">
        <is>
          <t>USA</t>
        </is>
      </c>
      <c r="E195" s="8" t="inlineStr">
        <is>
          <t>Utility</t>
        </is>
      </c>
      <c r="F195" s="9" t="inlineStr">
        <is>
          <t>Utility</t>
        </is>
      </c>
      <c r="G195" s="10" t="n">
        <v>87.73</v>
      </c>
      <c r="H195" s="11" t="inlineStr">
        <is>
          <t>USD</t>
        </is>
      </c>
      <c r="I195" s="12" t="n">
        <v>57349.8</v>
      </c>
      <c r="J195" s="10" t="n">
        <v>2.94</v>
      </c>
      <c r="K195" s="10" t="n">
        <v>5.53686</v>
      </c>
      <c r="L195" s="13">
        <f>IF(OR(G195="",J195="",J195&lt;=0),"",G195/J195)</f>
        <v/>
      </c>
      <c r="M195" s="14" t="n">
        <v>1.7778904</v>
      </c>
      <c r="N195" s="15">
        <f>IF(OR(M195="",L195="",L195&lt;=0),"",M195/L195)</f>
        <v/>
      </c>
      <c r="O195" s="16" t="n">
        <v>0.05689</v>
      </c>
      <c r="P195" s="16" t="n">
        <v>0.0839260568573944</v>
      </c>
      <c r="Q195" s="16" t="n">
        <v>0.01796868981652871</v>
      </c>
      <c r="R195" s="17" t="n">
        <v>4</v>
      </c>
      <c r="S195" s="16" t="n"/>
      <c r="T195" s="16" t="n">
        <v>0.058107167710508</v>
      </c>
      <c r="U195" s="16" t="n">
        <v>0.09160745150758594</v>
      </c>
      <c r="V195" s="16" t="n">
        <v>0.1071615263983272</v>
      </c>
      <c r="W195" s="16" t="n">
        <v>0.07882808181315644</v>
      </c>
      <c r="X195" s="10" t="n">
        <v>2.63</v>
      </c>
      <c r="Y195" s="15">
        <f>IF(OR(X195="",G195="",G195=0),"",X195/G195)</f>
        <v/>
      </c>
      <c r="Z195" s="18" t="n">
        <v>85.267</v>
      </c>
      <c r="AA195" s="16" t="n">
        <v>-0.039</v>
      </c>
      <c r="AB195" s="16" t="n">
        <v>0.1406364081156036</v>
      </c>
      <c r="AC195" s="9">
        <f>IF(AND(O195="",P195=""),"DATI MANCANTI",IF(AND(N(O195)&gt;=PARAMETRI!$B$4,N(P195)&gt;=PARAMETRI!$B$4),"OK","NO"))</f>
        <v/>
      </c>
      <c r="AD195" s="9">
        <f>IF(L195="","N/D",IF(L195&lt;PARAMETRI!$B$6,"OTTIMO",IF(L195&lt;PARAMETRI!$B$5,"OK","NO")))</f>
        <v/>
      </c>
      <c r="AE195" s="9">
        <f>IF(OR(AC195="DATI MANCANTI",AD195="N/D"),"DA COMPLETARE",IF(AND(AC195="OK",AD195="OTTIMO"),"PASSA FORTE",IF(AND(AC195="OK",AD195="OK"),"PASSA","SCARTA")))</f>
        <v/>
      </c>
      <c r="AF195" s="8" t="inlineStr">
        <is>
          <t>2026-08-04</t>
        </is>
      </c>
      <c r="AG195" s="8" t="inlineStr">
        <is>
          <t>yahoo</t>
        </is>
      </c>
      <c r="AH195" s="19" t="inlineStr"/>
    </row>
    <row r="196">
      <c r="A196" s="8" t="n">
        <v>195</v>
      </c>
      <c r="B196" s="8" t="inlineStr">
        <is>
          <t>ServiceNow</t>
        </is>
      </c>
      <c r="C196" s="8" t="inlineStr">
        <is>
          <t>NOW</t>
        </is>
      </c>
      <c r="D196" s="9" t="inlineStr">
        <is>
          <t>USA</t>
        </is>
      </c>
      <c r="E196" s="8" t="inlineStr">
        <is>
          <t>Software</t>
        </is>
      </c>
      <c r="F196" s="9" t="inlineStr">
        <is>
          <t>Tecnologia</t>
        </is>
      </c>
      <c r="G196" s="10" t="n">
        <v>114.19</v>
      </c>
      <c r="H196" s="11" t="inlineStr">
        <is>
          <t>USD</t>
        </is>
      </c>
      <c r="I196" s="12" t="n">
        <v>118056.7</v>
      </c>
      <c r="J196" s="10" t="n">
        <v>1.6</v>
      </c>
      <c r="K196" s="10" t="n">
        <v>5.00619</v>
      </c>
      <c r="L196" s="13">
        <f>IF(OR(G196="",J196="",J196&lt;=0),"",G196/J196)</f>
        <v/>
      </c>
      <c r="M196" s="14" t="n">
        <v>9.432513</v>
      </c>
      <c r="N196" s="15">
        <f>IF(OR(M196="",L196="",L196&lt;=0),"",M196/L196)</f>
        <v/>
      </c>
      <c r="O196" s="16" t="n">
        <v>0.14244</v>
      </c>
      <c r="P196" s="16" t="n">
        <v>0.1436617884474269</v>
      </c>
      <c r="Q196" s="16" t="n">
        <v>0.05763116433316788</v>
      </c>
      <c r="R196" s="17" t="n">
        <v>4</v>
      </c>
      <c r="S196" s="16" t="n"/>
      <c r="T196" s="16" t="n">
        <v>0.134834927491515</v>
      </c>
      <c r="U196" s="16" t="n">
        <v>0.1482984701842023</v>
      </c>
      <c r="V196" s="16" t="n">
        <v>0.2269271106449921</v>
      </c>
      <c r="W196" s="16" t="n">
        <v>0.06458664546899841</v>
      </c>
      <c r="X196" s="10" t="n"/>
      <c r="Y196" s="15">
        <f>IF(OR(X196="",G196="",G196=0),"",X196/G196)</f>
        <v/>
      </c>
      <c r="Z196" s="18" t="n">
        <v>67.538</v>
      </c>
      <c r="AA196" s="16" t="n">
        <v>0.24</v>
      </c>
      <c r="AB196" s="16" t="n">
        <v>0.125771953607471</v>
      </c>
      <c r="AC196" s="9">
        <f>IF(AND(O196="",P196=""),"DATI MANCANTI",IF(AND(N(O196)&gt;=PARAMETRI!$B$4,N(P196)&gt;=PARAMETRI!$B$4),"OK","NO"))</f>
        <v/>
      </c>
      <c r="AD196" s="9">
        <f>IF(L196="","N/D",IF(L196&lt;PARAMETRI!$B$6,"OTTIMO",IF(L196&lt;PARAMETRI!$B$5,"OK","NO")))</f>
        <v/>
      </c>
      <c r="AE196" s="9">
        <f>IF(OR(AC196="DATI MANCANTI",AD196="N/D"),"DA COMPLETARE",IF(AND(AC196="OK",AD196="OTTIMO"),"PASSA FORTE",IF(AND(AC196="OK",AD196="OK"),"PASSA","SCARTA")))</f>
        <v/>
      </c>
      <c r="AF196" s="8" t="inlineStr">
        <is>
          <t>2026-08-04</t>
        </is>
      </c>
      <c r="AG196" s="8" t="inlineStr">
        <is>
          <t>yahoo</t>
        </is>
      </c>
      <c r="AH196" s="19" t="inlineStr"/>
    </row>
    <row r="197">
      <c r="A197" s="8" t="n">
        <v>196</v>
      </c>
      <c r="B197" s="8" t="inlineStr">
        <is>
          <t>Sherwin-Williams</t>
        </is>
      </c>
      <c r="C197" s="8" t="inlineStr">
        <is>
          <t>SHW</t>
        </is>
      </c>
      <c r="D197" s="9" t="inlineStr">
        <is>
          <t>USA</t>
        </is>
      </c>
      <c r="E197" s="8" t="inlineStr">
        <is>
          <t>Vernici</t>
        </is>
      </c>
      <c r="F197" s="9" t="inlineStr">
        <is>
          <t>Materiali</t>
        </is>
      </c>
      <c r="G197" s="10" t="n">
        <v>354.22</v>
      </c>
      <c r="H197" s="11" t="inlineStr">
        <is>
          <t>USD</t>
        </is>
      </c>
      <c r="I197" s="12" t="n">
        <v>85989.8</v>
      </c>
      <c r="J197" s="10" t="n">
        <v>10.84</v>
      </c>
      <c r="K197" s="10" t="n">
        <v>13.59925</v>
      </c>
      <c r="L197" s="13">
        <f>IF(OR(G197="",J197="",J197&lt;=0),"",G197/J197)</f>
        <v/>
      </c>
      <c r="M197" s="14" t="n">
        <v>18.971668</v>
      </c>
      <c r="N197" s="15">
        <f>IF(OR(M197="",L197="",L197&lt;=0),"",M197/L197)</f>
        <v/>
      </c>
      <c r="O197" s="16" t="n">
        <v>0.65124</v>
      </c>
      <c r="P197" s="16" t="n">
        <v>0.628633586608092</v>
      </c>
      <c r="Q197" s="16" t="n">
        <v>0.04100468246861673</v>
      </c>
      <c r="R197" s="17" t="n">
        <v>4</v>
      </c>
      <c r="S197" s="16" t="n"/>
      <c r="T197" s="16" t="n">
        <v>0.5585759954765892</v>
      </c>
      <c r="U197" s="16" t="n">
        <v>0.661877962085308</v>
      </c>
      <c r="V197" s="16" t="n">
        <v>0.642876365789332</v>
      </c>
      <c r="W197" s="16" t="n">
        <v>0.6512040230811386</v>
      </c>
      <c r="X197" s="10" t="n">
        <v>3.2</v>
      </c>
      <c r="Y197" s="15">
        <f>IF(OR(X197="",G197="",G197=0),"",X197/G197)</f>
        <v/>
      </c>
      <c r="Z197" s="18" t="n">
        <v>389.958</v>
      </c>
      <c r="AA197" s="16" t="n">
        <v>0.075</v>
      </c>
      <c r="AB197" s="16" t="n">
        <v>0.1140309547261212</v>
      </c>
      <c r="AC197" s="9">
        <f>IF(AND(O197="",P197=""),"DATI MANCANTI",IF(AND(N(O197)&gt;=PARAMETRI!$B$4,N(P197)&gt;=PARAMETRI!$B$4),"OK","NO"))</f>
        <v/>
      </c>
      <c r="AD197" s="9">
        <f>IF(L197="","N/D",IF(L197&lt;PARAMETRI!$B$6,"OTTIMO",IF(L197&lt;PARAMETRI!$B$5,"OK","NO")))</f>
        <v/>
      </c>
      <c r="AE197" s="9">
        <f>IF(OR(AC197="DATI MANCANTI",AD197="N/D"),"DA COMPLETARE",IF(AND(AC197="OK",AD197="OTTIMO"),"PASSA FORTE",IF(AND(AC197="OK",AD197="OK"),"PASSA","SCARTA")))</f>
        <v/>
      </c>
      <c r="AF197" s="8" t="inlineStr">
        <is>
          <t>2026-08-04</t>
        </is>
      </c>
      <c r="AG197" s="8" t="inlineStr">
        <is>
          <t>yahoo</t>
        </is>
      </c>
      <c r="AH197" s="19" t="inlineStr"/>
    </row>
    <row r="198">
      <c r="A198" s="8" t="n">
        <v>197</v>
      </c>
      <c r="B198" s="8" t="inlineStr">
        <is>
          <t>Simon Property Group</t>
        </is>
      </c>
      <c r="C198" s="8" t="inlineStr">
        <is>
          <t>SPG</t>
        </is>
      </c>
      <c r="D198" s="9" t="inlineStr">
        <is>
          <t>USA</t>
        </is>
      </c>
      <c r="E198" s="8" t="inlineStr">
        <is>
          <t>REIT / Centri commerciali</t>
        </is>
      </c>
      <c r="F198" s="9" t="inlineStr">
        <is>
          <t>Immobiliare</t>
        </is>
      </c>
      <c r="G198" s="10" t="n">
        <v>229.16</v>
      </c>
      <c r="H198" s="11" t="inlineStr">
        <is>
          <t>USD</t>
        </is>
      </c>
      <c r="I198" s="12" t="n">
        <v>87076.10000000001</v>
      </c>
      <c r="J198" s="10" t="n">
        <v>14.38</v>
      </c>
      <c r="K198" s="10" t="n">
        <v>6.74039</v>
      </c>
      <c r="L198" s="13">
        <f>IF(OR(G198="",J198="",J198&lt;=0),"",G198/J198)</f>
        <v/>
      </c>
      <c r="M198" s="14" t="n">
        <v>15.423342</v>
      </c>
      <c r="N198" s="15">
        <f>IF(OR(M198="",L198="",L198&lt;=0),"",M198/L198)</f>
        <v/>
      </c>
      <c r="O198" s="16" t="n">
        <v>1.1359</v>
      </c>
      <c r="P198" s="16" t="n">
        <v>0.7828516039546615</v>
      </c>
      <c r="Q198" s="16" t="n">
        <v>0.07530997649584731</v>
      </c>
      <c r="R198" s="17" t="n">
        <v>4</v>
      </c>
      <c r="S198" s="16" t="n"/>
      <c r="T198" s="16" t="n">
        <v>0.8885126495026754</v>
      </c>
      <c r="U198" s="16" t="n">
        <v>0.8058995385674346</v>
      </c>
      <c r="V198" s="16" t="n">
        <v>0.7552932116020926</v>
      </c>
      <c r="W198" s="16" t="n">
        <v>0.6817010161464434</v>
      </c>
      <c r="X198" s="10" t="n">
        <v>8.800000000000001</v>
      </c>
      <c r="Y198" s="15">
        <f>IF(OR(X198="",G198="",G198=0),"",X198/G198)</f>
        <v/>
      </c>
      <c r="Z198" s="18" t="n">
        <v>457.473</v>
      </c>
      <c r="AA198" s="16" t="n">
        <v>0.193</v>
      </c>
      <c r="AB198" s="16" t="n">
        <v>0.7369221593823871</v>
      </c>
      <c r="AC198" s="9">
        <f>IF(AND(O198="",P198=""),"DATI MANCANTI",IF(AND(N(O198)&gt;=PARAMETRI!$B$4,N(P198)&gt;=PARAMETRI!$B$4),"OK","NO"))</f>
        <v/>
      </c>
      <c r="AD198" s="9">
        <f>IF(L198="","N/D",IF(L198&lt;PARAMETRI!$B$6,"OTTIMO",IF(L198&lt;PARAMETRI!$B$5,"OK","NO")))</f>
        <v/>
      </c>
      <c r="AE198" s="9">
        <f>IF(OR(AC198="DATI MANCANTI",AD198="N/D"),"DA COMPLETARE",IF(AND(AC198="OK",AD198="OTTIMO"),"PASSA FORTE",IF(AND(AC198="OK",AD198="OK"),"PASSA","SCARTA")))</f>
        <v/>
      </c>
      <c r="AF198" s="8" t="inlineStr">
        <is>
          <t>2026-08-04</t>
        </is>
      </c>
      <c r="AG198" s="8" t="inlineStr">
        <is>
          <t>yahoo</t>
        </is>
      </c>
      <c r="AH198" s="19" t="inlineStr"/>
    </row>
    <row r="199">
      <c r="A199" s="8" t="n">
        <v>198</v>
      </c>
      <c r="B199" s="8" t="inlineStr">
        <is>
          <t>Snam</t>
        </is>
      </c>
      <c r="C199" s="8" t="inlineStr">
        <is>
          <t>SRG.MI</t>
        </is>
      </c>
      <c r="D199" s="9" t="inlineStr">
        <is>
          <t>Italia</t>
        </is>
      </c>
      <c r="E199" s="8" t="inlineStr">
        <is>
          <t>Utility / Reti</t>
        </is>
      </c>
      <c r="F199" s="9" t="inlineStr">
        <is>
          <t>Utility</t>
        </is>
      </c>
      <c r="G199" s="10" t="n">
        <v>5.924</v>
      </c>
      <c r="H199" s="11" t="inlineStr">
        <is>
          <t>EUR</t>
        </is>
      </c>
      <c r="I199" s="12" t="n">
        <v>19879.7</v>
      </c>
      <c r="J199" s="10" t="n">
        <v>0.36</v>
      </c>
      <c r="K199" s="10" t="n">
        <v>0.43761</v>
      </c>
      <c r="L199" s="13">
        <f>IF(OR(G199="",J199="",J199&lt;=0),"",G199/J199)</f>
        <v/>
      </c>
      <c r="M199" s="14" t="n">
        <v>2.4130347</v>
      </c>
      <c r="N199" s="15">
        <f>IF(OR(M199="",L199="",L199&lt;=0),"",M199/L199)</f>
        <v/>
      </c>
      <c r="O199" s="16" t="n">
        <v>0.1238</v>
      </c>
      <c r="P199" s="16" t="n">
        <v>0.1292498210780141</v>
      </c>
      <c r="Q199" s="16" t="n">
        <v>0.02310306594021611</v>
      </c>
      <c r="R199" s="17" t="n">
        <v>4</v>
      </c>
      <c r="S199" s="16" t="n"/>
      <c r="T199" s="16" t="n">
        <v>0.1374905272274548</v>
      </c>
      <c r="U199" s="16" t="n">
        <v>0.1410012319408668</v>
      </c>
      <c r="V199" s="16" t="n">
        <v>0.1486574983628029</v>
      </c>
      <c r="W199" s="16" t="n">
        <v>0.08985002678093197</v>
      </c>
      <c r="X199" s="10" t="n">
        <v>0.3</v>
      </c>
      <c r="Y199" s="15">
        <f>IF(OR(X199="",G199="",G199=0),"",X199/G199)</f>
        <v/>
      </c>
      <c r="Z199" s="18" t="n">
        <v>234.16</v>
      </c>
      <c r="AA199" s="16" t="n">
        <v>0.097</v>
      </c>
      <c r="AB199" s="16" t="n">
        <v>0.2889407933541018</v>
      </c>
      <c r="AC199" s="9">
        <f>IF(AND(O199="",P199=""),"DATI MANCANTI",IF(AND(N(O199)&gt;=PARAMETRI!$B$4,N(P199)&gt;=PARAMETRI!$B$4),"OK","NO"))</f>
        <v/>
      </c>
      <c r="AD199" s="9">
        <f>IF(L199="","N/D",IF(L199&lt;PARAMETRI!$B$6,"OTTIMO",IF(L199&lt;PARAMETRI!$B$5,"OK","NO")))</f>
        <v/>
      </c>
      <c r="AE199" s="9">
        <f>IF(OR(AC199="DATI MANCANTI",AD199="N/D"),"DA COMPLETARE",IF(AND(AC199="OK",AD199="OTTIMO"),"PASSA FORTE",IF(AND(AC199="OK",AD199="OK"),"PASSA","SCARTA")))</f>
        <v/>
      </c>
      <c r="AF199" s="8" t="inlineStr">
        <is>
          <t>2026-08-04</t>
        </is>
      </c>
      <c r="AG199" s="8" t="inlineStr">
        <is>
          <t>yahoo</t>
        </is>
      </c>
      <c r="AH199" s="19" t="inlineStr"/>
    </row>
    <row r="200">
      <c r="A200" s="8" t="n">
        <v>199</v>
      </c>
      <c r="B200" s="8" t="inlineStr">
        <is>
          <t>Southern Company</t>
        </is>
      </c>
      <c r="C200" s="8" t="inlineStr">
        <is>
          <t>SO</t>
        </is>
      </c>
      <c r="D200" s="9" t="inlineStr">
        <is>
          <t>USA</t>
        </is>
      </c>
      <c r="E200" s="8" t="inlineStr">
        <is>
          <t>Utility</t>
        </is>
      </c>
      <c r="F200" s="9" t="inlineStr">
        <is>
          <t>Utility</t>
        </is>
      </c>
      <c r="G200" s="10" t="n">
        <v>92.94</v>
      </c>
      <c r="H200" s="11" t="inlineStr">
        <is>
          <t>USD</t>
        </is>
      </c>
      <c r="I200" s="12" t="n">
        <v>106914.7</v>
      </c>
      <c r="J200" s="10" t="n">
        <v>4.15</v>
      </c>
      <c r="K200" s="10" t="n">
        <v>4.92091</v>
      </c>
      <c r="L200" s="13">
        <f>IF(OR(G200="",J200="",J200&lt;=0),"",G200/J200)</f>
        <v/>
      </c>
      <c r="M200" s="14" t="n">
        <v>2.8223505</v>
      </c>
      <c r="N200" s="15">
        <f>IF(OR(M200="",L200="",L200&lt;=0),"",M200/L200)</f>
        <v/>
      </c>
      <c r="O200" s="16" t="n">
        <v>0.114829995</v>
      </c>
      <c r="P200" s="16" t="n">
        <v>0.123939347481506</v>
      </c>
      <c r="Q200" s="16" t="n">
        <v>0.006139514343077336</v>
      </c>
      <c r="R200" s="17" t="n">
        <v>4</v>
      </c>
      <c r="S200" s="16" t="n"/>
      <c r="T200" s="16" t="n">
        <v>0.1205297645490893</v>
      </c>
      <c r="U200" s="16" t="n">
        <v>0.132528306432185</v>
      </c>
      <c r="V200" s="16" t="n">
        <v>0.1264470169189671</v>
      </c>
      <c r="W200" s="16" t="n">
        <v>0.1162523020257827</v>
      </c>
      <c r="X200" s="10" t="n">
        <v>3.04</v>
      </c>
      <c r="Y200" s="15">
        <f>IF(OR(X200="",G200="",G200=0),"",X200/G200)</f>
        <v/>
      </c>
      <c r="Z200" s="18" t="n">
        <v>182.058</v>
      </c>
      <c r="AA200" s="16" t="n">
        <v>0.001</v>
      </c>
      <c r="AB200" s="16" t="n">
        <v>0.1576151278042838</v>
      </c>
      <c r="AC200" s="9">
        <f>IF(AND(O200="",P200=""),"DATI MANCANTI",IF(AND(N(O200)&gt;=PARAMETRI!$B$4,N(P200)&gt;=PARAMETRI!$B$4),"OK","NO"))</f>
        <v/>
      </c>
      <c r="AD200" s="9">
        <f>IF(L200="","N/D",IF(L200&lt;PARAMETRI!$B$6,"OTTIMO",IF(L200&lt;PARAMETRI!$B$5,"OK","NO")))</f>
        <v/>
      </c>
      <c r="AE200" s="9">
        <f>IF(OR(AC200="DATI MANCANTI",AD200="N/D"),"DA COMPLETARE",IF(AND(AC200="OK",AD200="OTTIMO"),"PASSA FORTE",IF(AND(AC200="OK",AD200="OK"),"PASSA","SCARTA")))</f>
        <v/>
      </c>
      <c r="AF200" s="8" t="inlineStr">
        <is>
          <t>2026-08-04</t>
        </is>
      </c>
      <c r="AG200" s="8" t="inlineStr">
        <is>
          <t>yahoo</t>
        </is>
      </c>
      <c r="AH200" s="19" t="inlineStr"/>
    </row>
    <row r="201">
      <c r="A201" s="8" t="n">
        <v>200</v>
      </c>
      <c r="B201" s="8" t="inlineStr">
        <is>
          <t>Starbucks</t>
        </is>
      </c>
      <c r="C201" s="8" t="inlineStr">
        <is>
          <t>SBUX</t>
        </is>
      </c>
      <c r="D201" s="9" t="inlineStr">
        <is>
          <t>USA</t>
        </is>
      </c>
      <c r="E201" s="8" t="inlineStr">
        <is>
          <t>Ristorazione</t>
        </is>
      </c>
      <c r="F201" s="9" t="inlineStr">
        <is>
          <t>Consumi</t>
        </is>
      </c>
      <c r="G201" s="10" t="n">
        <v>103.37</v>
      </c>
      <c r="H201" s="11" t="inlineStr">
        <is>
          <t>USD</t>
        </is>
      </c>
      <c r="I201" s="12" t="n">
        <v>117841.8</v>
      </c>
      <c r="J201" s="10" t="n">
        <v>1.73</v>
      </c>
      <c r="K201" s="10" t="n">
        <v>3.11011</v>
      </c>
      <c r="L201" s="13">
        <f>IF(OR(G201="",J201="",J201&lt;=0),"",G201/J201)</f>
        <v/>
      </c>
      <c r="M201" s="14" t="n">
        <v>-13.914391</v>
      </c>
      <c r="N201" s="15">
        <f>IF(OR(M201="",L201="",L201&lt;=0),"",M201/L201)</f>
        <v/>
      </c>
      <c r="O201" s="16" t="n"/>
      <c r="P201" s="16" t="n"/>
      <c r="Q201" s="16" t="n"/>
      <c r="R201" s="17" t="n">
        <v>0</v>
      </c>
      <c r="S201" s="16" t="n"/>
      <c r="T201" s="16" t="n"/>
      <c r="U201" s="16" t="n"/>
      <c r="V201" s="16" t="n"/>
      <c r="W201" s="16" t="n"/>
      <c r="X201" s="10" t="n">
        <v>2.48</v>
      </c>
      <c r="Y201" s="15">
        <f>IF(OR(X201="",G201="",G201=0),"",X201/G201)</f>
        <v/>
      </c>
      <c r="Z201" s="18" t="n"/>
      <c r="AA201" s="16" t="n">
        <v>-0.014</v>
      </c>
      <c r="AB201" s="16" t="n">
        <v>0.05332343671001818</v>
      </c>
      <c r="AC201" s="9">
        <f>IF(AND(O201="",P201=""),"DATI MANCANTI",IF(AND(N(O201)&gt;=PARAMETRI!$B$4,N(P201)&gt;=PARAMETRI!$B$4),"OK","NO"))</f>
        <v/>
      </c>
      <c r="AD201" s="9">
        <f>IF(L201="","N/D",IF(L201&lt;PARAMETRI!$B$6,"OTTIMO",IF(L201&lt;PARAMETRI!$B$5,"OK","NO")))</f>
        <v/>
      </c>
      <c r="AE201" s="9">
        <f>IF(OR(AC201="DATI MANCANTI",AD201="N/D"),"DA COMPLETARE",IF(AND(AC201="OK",AD201="OTTIMO"),"PASSA FORTE",IF(AND(AC201="OK",AD201="OK"),"PASSA","SCARTA")))</f>
        <v/>
      </c>
      <c r="AF201" s="8" t="inlineStr">
        <is>
          <t>2026-08-04</t>
        </is>
      </c>
      <c r="AG201" s="8" t="inlineStr">
        <is>
          <t>yahoo</t>
        </is>
      </c>
      <c r="AH201" s="19" t="inlineStr"/>
    </row>
    <row r="202">
      <c r="A202" s="8" t="n">
        <v>201</v>
      </c>
      <c r="B202" s="8" t="inlineStr">
        <is>
          <t>Stellantis</t>
        </is>
      </c>
      <c r="C202" s="8" t="inlineStr">
        <is>
          <t>STLAM.MI</t>
        </is>
      </c>
      <c r="D202" s="9" t="inlineStr">
        <is>
          <t>Italia</t>
        </is>
      </c>
      <c r="E202" s="8" t="inlineStr">
        <is>
          <t>Auto</t>
        </is>
      </c>
      <c r="F202" s="9" t="inlineStr">
        <is>
          <t>Industriale</t>
        </is>
      </c>
      <c r="G202" s="10" t="n">
        <v>4.9015</v>
      </c>
      <c r="H202" s="11" t="inlineStr">
        <is>
          <t>EUR</t>
        </is>
      </c>
      <c r="I202" s="12" t="n">
        <v>18465.5</v>
      </c>
      <c r="J202" s="10" t="n">
        <v>-6.77</v>
      </c>
      <c r="K202" s="10" t="n">
        <v>1.28826</v>
      </c>
      <c r="L202" s="13">
        <f>IF(OR(G202="",J202="",J202&lt;=0),"",G202/J202)</f>
        <v/>
      </c>
      <c r="M202" s="14" t="n">
        <v>0.25583276</v>
      </c>
      <c r="N202" s="15">
        <f>IF(OR(M202="",L202="",L202&lt;=0),"",M202/L202)</f>
        <v/>
      </c>
      <c r="O202" s="16" t="n">
        <v>-0.28694</v>
      </c>
      <c r="P202" s="16" t="n">
        <v>0.02756391766316059</v>
      </c>
      <c r="Q202" s="16" t="n">
        <v>0.2656006420888029</v>
      </c>
      <c r="R202" s="17" t="n">
        <v>4</v>
      </c>
      <c r="S202" s="16" t="n"/>
      <c r="T202" s="16" t="n">
        <v>-0.4176952811338724</v>
      </c>
      <c r="U202" s="16" t="n">
        <v>0.066995544239338</v>
      </c>
      <c r="V202" s="16" t="n">
        <v>0.2276327225098846</v>
      </c>
      <c r="W202" s="16" t="n">
        <v>0.2333226850372922</v>
      </c>
      <c r="X202" s="10" t="n">
        <v>0.68</v>
      </c>
      <c r="Y202" s="15">
        <f>IF(OR(X202="",G202="",G202=0),"",X202/G202)</f>
        <v/>
      </c>
      <c r="Z202" s="18" t="n">
        <v>84.387</v>
      </c>
      <c r="AA202" s="16" t="n">
        <v>0.131</v>
      </c>
      <c r="AB202" s="16" t="n">
        <v>-0.1268468026161503</v>
      </c>
      <c r="AC202" s="9">
        <f>IF(AND(O202="",P202=""),"DATI MANCANTI",IF(AND(N(O202)&gt;=PARAMETRI!$B$4,N(P202)&gt;=PARAMETRI!$B$4),"OK","NO"))</f>
        <v/>
      </c>
      <c r="AD202" s="9">
        <f>IF(L202="","N/D",IF(L202&lt;PARAMETRI!$B$6,"OTTIMO",IF(L202&lt;PARAMETRI!$B$5,"OK","NO")))</f>
        <v/>
      </c>
      <c r="AE202" s="9">
        <f>IF(OR(AC202="DATI MANCANTI",AD202="N/D"),"DA COMPLETARE",IF(AND(AC202="OK",AD202="OTTIMO"),"PASSA FORTE",IF(AND(AC202="OK",AD202="OK"),"PASSA","SCARTA")))</f>
        <v/>
      </c>
      <c r="AF202" s="8" t="inlineStr">
        <is>
          <t>2026-08-04</t>
        </is>
      </c>
      <c r="AG202" s="8" t="inlineStr">
        <is>
          <t>yahoo</t>
        </is>
      </c>
      <c r="AH202" s="19" t="inlineStr"/>
    </row>
    <row r="203">
      <c r="A203" s="8" t="n">
        <v>202</v>
      </c>
      <c r="B203" s="8" t="inlineStr">
        <is>
          <t>Stryker</t>
        </is>
      </c>
      <c r="C203" s="8" t="inlineStr">
        <is>
          <t>SYK</t>
        </is>
      </c>
      <c r="D203" s="9" t="inlineStr">
        <is>
          <t>USA</t>
        </is>
      </c>
      <c r="E203" s="8" t="inlineStr">
        <is>
          <t>Dispositivi medicali</t>
        </is>
      </c>
      <c r="F203" s="9" t="inlineStr">
        <is>
          <t>Salute</t>
        </is>
      </c>
      <c r="G203" s="10" t="n">
        <v>341.2</v>
      </c>
      <c r="H203" s="11" t="inlineStr">
        <is>
          <t>USD</t>
        </is>
      </c>
      <c r="I203" s="12" t="n">
        <v>130875.1</v>
      </c>
      <c r="J203" s="10" t="n">
        <v>8.630000000000001</v>
      </c>
      <c r="K203" s="10" t="n">
        <v>16.75815</v>
      </c>
      <c r="L203" s="13">
        <f>IF(OR(G203="",J203="",J203&lt;=0),"",G203/J203)</f>
        <v/>
      </c>
      <c r="M203" s="14" t="n">
        <v>5.692264</v>
      </c>
      <c r="N203" s="15">
        <f>IF(OR(M203="",L203="",L203&lt;=0),"",M203/L203)</f>
        <v/>
      </c>
      <c r="O203" s="16" t="n">
        <v>0.16508</v>
      </c>
      <c r="P203" s="16" t="n">
        <v>0.150492516403552</v>
      </c>
      <c r="Q203" s="16" t="n">
        <v>0.01145902874477022</v>
      </c>
      <c r="R203" s="17" t="n">
        <v>4</v>
      </c>
      <c r="S203" s="16" t="n"/>
      <c r="T203" s="16" t="n">
        <v>0.1447814451382694</v>
      </c>
      <c r="U203" s="16" t="n">
        <v>0.1450518561597364</v>
      </c>
      <c r="V203" s="16" t="n">
        <v>0.1702253536277094</v>
      </c>
      <c r="W203" s="16" t="n">
        <v>0.141911410688493</v>
      </c>
      <c r="X203" s="10" t="n">
        <v>3.52</v>
      </c>
      <c r="Y203" s="15">
        <f>IF(OR(X203="",G203="",G203=0),"",X203/G203)</f>
        <v/>
      </c>
      <c r="Z203" s="18" t="n">
        <v>64.39100000000001</v>
      </c>
      <c r="AA203" s="16" t="n">
        <v>0.094</v>
      </c>
      <c r="AB203" s="16" t="n">
        <v>0.1484710915750916</v>
      </c>
      <c r="AC203" s="9">
        <f>IF(AND(O203="",P203=""),"DATI MANCANTI",IF(AND(N(O203)&gt;=PARAMETRI!$B$4,N(P203)&gt;=PARAMETRI!$B$4),"OK","NO"))</f>
        <v/>
      </c>
      <c r="AD203" s="9">
        <f>IF(L203="","N/D",IF(L203&lt;PARAMETRI!$B$6,"OTTIMO",IF(L203&lt;PARAMETRI!$B$5,"OK","NO")))</f>
        <v/>
      </c>
      <c r="AE203" s="9">
        <f>IF(OR(AC203="DATI MANCANTI",AD203="N/D"),"DA COMPLETARE",IF(AND(AC203="OK",AD203="OTTIMO"),"PASSA FORTE",IF(AND(AC203="OK",AD203="OK"),"PASSA","SCARTA")))</f>
        <v/>
      </c>
      <c r="AF203" s="8" t="inlineStr">
        <is>
          <t>2026-08-04</t>
        </is>
      </c>
      <c r="AG203" s="8" t="inlineStr">
        <is>
          <t>yahoo</t>
        </is>
      </c>
      <c r="AH203" s="19" t="inlineStr"/>
    </row>
    <row r="204">
      <c r="A204" s="8" t="n">
        <v>203</v>
      </c>
      <c r="B204" s="8" t="inlineStr">
        <is>
          <t>Synopsys</t>
        </is>
      </c>
      <c r="C204" s="8" t="inlineStr">
        <is>
          <t>SNPS</t>
        </is>
      </c>
      <c r="D204" s="9" t="inlineStr">
        <is>
          <t>USA</t>
        </is>
      </c>
      <c r="E204" s="8" t="inlineStr">
        <is>
          <t>Software EDA</t>
        </is>
      </c>
      <c r="F204" s="9" t="inlineStr">
        <is>
          <t>Tecnologia</t>
        </is>
      </c>
      <c r="G204" s="10" t="n">
        <v>392.07</v>
      </c>
      <c r="H204" s="11" t="inlineStr">
        <is>
          <t>USD</t>
        </is>
      </c>
      <c r="I204" s="12" t="n">
        <v>75073.3</v>
      </c>
      <c r="J204" s="10" t="n">
        <v>4.35</v>
      </c>
      <c r="K204" s="10" t="n">
        <v>17.28051</v>
      </c>
      <c r="L204" s="13">
        <f>IF(OR(G204="",J204="",J204&lt;=0),"",G204/J204)</f>
        <v/>
      </c>
      <c r="M204" s="14" t="n">
        <v>2.4627357</v>
      </c>
      <c r="N204" s="15">
        <f>IF(OR(M204="",L204="",L204&lt;=0),"",M204/L204)</f>
        <v/>
      </c>
      <c r="O204" s="16" t="n">
        <v>0.03824</v>
      </c>
      <c r="P204" s="16" t="n">
        <v>0.1693379698100742</v>
      </c>
      <c r="Q204" s="16" t="n">
        <v>0.07546384101190132</v>
      </c>
      <c r="R204" s="17" t="n">
        <v>4</v>
      </c>
      <c r="S204" s="16" t="n"/>
      <c r="T204" s="16" t="n">
        <v>0.04702904255714974</v>
      </c>
      <c r="U204" s="16" t="n">
        <v>0.2517467490302759</v>
      </c>
      <c r="V204" s="16" t="n">
        <v>0.2000693636954582</v>
      </c>
      <c r="W204" s="16" t="n">
        <v>0.1785067239574127</v>
      </c>
      <c r="X204" s="10" t="n"/>
      <c r="Y204" s="15">
        <f>IF(OR(X204="",G204="",G204=0),"",X204/G204)</f>
        <v/>
      </c>
      <c r="Z204" s="18" t="n">
        <v>35.574</v>
      </c>
      <c r="AA204" s="16" t="n">
        <v>0.419</v>
      </c>
      <c r="AB204" s="16" t="n">
        <v>0.1096184371871535</v>
      </c>
      <c r="AC204" s="9">
        <f>IF(AND(O204="",P204=""),"DATI MANCANTI",IF(AND(N(O204)&gt;=PARAMETRI!$B$4,N(P204)&gt;=PARAMETRI!$B$4),"OK","NO"))</f>
        <v/>
      </c>
      <c r="AD204" s="9">
        <f>IF(L204="","N/D",IF(L204&lt;PARAMETRI!$B$6,"OTTIMO",IF(L204&lt;PARAMETRI!$B$5,"OK","NO")))</f>
        <v/>
      </c>
      <c r="AE204" s="9">
        <f>IF(OR(AC204="DATI MANCANTI",AD204="N/D"),"DA COMPLETARE",IF(AND(AC204="OK",AD204="OTTIMO"),"PASSA FORTE",IF(AND(AC204="OK",AD204="OK"),"PASSA","SCARTA")))</f>
        <v/>
      </c>
      <c r="AF204" s="8" t="inlineStr">
        <is>
          <t>2026-08-04</t>
        </is>
      </c>
      <c r="AG204" s="8" t="inlineStr">
        <is>
          <t>yahoo</t>
        </is>
      </c>
      <c r="AH204" s="19" t="inlineStr"/>
    </row>
    <row r="205">
      <c r="A205" s="8" t="n">
        <v>204</v>
      </c>
      <c r="B205" s="8" t="inlineStr">
        <is>
          <t>TJX Companies</t>
        </is>
      </c>
      <c r="C205" s="8" t="inlineStr">
        <is>
          <t>TJX</t>
        </is>
      </c>
      <c r="D205" s="9" t="inlineStr">
        <is>
          <t>USA</t>
        </is>
      </c>
      <c r="E205" s="8" t="inlineStr">
        <is>
          <t>Abbigliamento / Retail</t>
        </is>
      </c>
      <c r="F205" s="9" t="inlineStr">
        <is>
          <t>Consumi</t>
        </is>
      </c>
      <c r="G205" s="10" t="n">
        <v>157.5</v>
      </c>
      <c r="H205" s="11" t="inlineStr">
        <is>
          <t>USD</t>
        </is>
      </c>
      <c r="I205" s="12" t="n">
        <v>173990.9</v>
      </c>
      <c r="J205" s="10" t="n">
        <v>5.15</v>
      </c>
      <c r="K205" s="10" t="n">
        <v>5.75951</v>
      </c>
      <c r="L205" s="13">
        <f>IF(OR(G205="",J205="",J205&lt;=0),"",G205/J205)</f>
        <v/>
      </c>
      <c r="M205" s="14" t="n">
        <v>16.730402</v>
      </c>
      <c r="N205" s="15">
        <f>IF(OR(M205="",L205="",L205&lt;=0),"",M205/L205)</f>
        <v/>
      </c>
      <c r="O205" s="16" t="n">
        <v>0.6125</v>
      </c>
      <c r="P205" s="16" t="n">
        <v>0.5702624372175532</v>
      </c>
      <c r="Q205" s="16" t="n">
        <v>0.02863520188802303</v>
      </c>
      <c r="R205" s="17" t="n">
        <v>4</v>
      </c>
      <c r="S205" s="16" t="n">
        <v>0.5391560353287537</v>
      </c>
      <c r="T205" s="16" t="n">
        <v>0.5795305611819374</v>
      </c>
      <c r="U205" s="16" t="n">
        <v>0.6127088468912627</v>
      </c>
      <c r="V205" s="16" t="n">
        <v>0.549654305468259</v>
      </c>
      <c r="W205" s="16" t="n"/>
      <c r="X205" s="10" t="n">
        <v>1.92</v>
      </c>
      <c r="Y205" s="15">
        <f>IF(OR(X205="",G205="",G205=0),"",X205/G205)</f>
        <v/>
      </c>
      <c r="Z205" s="18" t="n">
        <v>136.307</v>
      </c>
      <c r="AA205" s="16" t="n">
        <v>0.092</v>
      </c>
      <c r="AB205" s="16" t="n">
        <v>0.09590538872324919</v>
      </c>
      <c r="AC205" s="9">
        <f>IF(AND(O205="",P205=""),"DATI MANCANTI",IF(AND(N(O205)&gt;=PARAMETRI!$B$4,N(P205)&gt;=PARAMETRI!$B$4),"OK","NO"))</f>
        <v/>
      </c>
      <c r="AD205" s="9">
        <f>IF(L205="","N/D",IF(L205&lt;PARAMETRI!$B$6,"OTTIMO",IF(L205&lt;PARAMETRI!$B$5,"OK","NO")))</f>
        <v/>
      </c>
      <c r="AE205" s="9">
        <f>IF(OR(AC205="DATI MANCANTI",AD205="N/D"),"DA COMPLETARE",IF(AND(AC205="OK",AD205="OTTIMO"),"PASSA FORTE",IF(AND(AC205="OK",AD205="OK"),"PASSA","SCARTA")))</f>
        <v/>
      </c>
      <c r="AF205" s="8" t="inlineStr">
        <is>
          <t>2026-08-04</t>
        </is>
      </c>
      <c r="AG205" s="8" t="inlineStr">
        <is>
          <t>yahoo</t>
        </is>
      </c>
      <c r="AH205" s="19" t="inlineStr"/>
    </row>
    <row r="206">
      <c r="A206" s="8" t="n">
        <v>205</v>
      </c>
      <c r="B206" s="8" t="inlineStr">
        <is>
          <t>Target</t>
        </is>
      </c>
      <c r="C206" s="8" t="inlineStr">
        <is>
          <t>TGT</t>
        </is>
      </c>
      <c r="D206" s="9" t="inlineStr">
        <is>
          <t>USA</t>
        </is>
      </c>
      <c r="E206" s="8" t="inlineStr">
        <is>
          <t>Grande distribuzione</t>
        </is>
      </c>
      <c r="F206" s="9" t="inlineStr">
        <is>
          <t>Consumi</t>
        </is>
      </c>
      <c r="G206" s="10" t="n">
        <v>149.35</v>
      </c>
      <c r="H206" s="11" t="inlineStr">
        <is>
          <t>USD</t>
        </is>
      </c>
      <c r="I206" s="12" t="n">
        <v>67833.39999999999</v>
      </c>
      <c r="J206" s="10" t="n">
        <v>7.57</v>
      </c>
      <c r="K206" s="10" t="n">
        <v>8.96114</v>
      </c>
      <c r="L206" s="13">
        <f>IF(OR(G206="",J206="",J206&lt;=0),"",G206/J206)</f>
        <v/>
      </c>
      <c r="M206" s="14" t="n">
        <v>4.1373487</v>
      </c>
      <c r="N206" s="15">
        <f>IF(OR(M206="",L206="",L206&lt;=0),"",M206/L206)</f>
        <v/>
      </c>
      <c r="O206" s="16" t="n">
        <v>0.22015</v>
      </c>
      <c r="P206" s="16" t="n">
        <v>0.265930196598988</v>
      </c>
      <c r="Q206" s="16" t="n">
        <v>0.03014032785235156</v>
      </c>
      <c r="R206" s="17" t="n">
        <v>4</v>
      </c>
      <c r="S206" s="16" t="n">
        <v>0.2291988864831426</v>
      </c>
      <c r="T206" s="16" t="n">
        <v>0.278944497477158</v>
      </c>
      <c r="U206" s="16" t="n">
        <v>0.3080702799285289</v>
      </c>
      <c r="V206" s="16" t="n">
        <v>0.2475071225071225</v>
      </c>
      <c r="W206" s="16" t="n"/>
      <c r="X206" s="10" t="n">
        <v>4.64</v>
      </c>
      <c r="Y206" s="15">
        <f>IF(OR(X206="",G206="",G206=0),"",X206/G206)</f>
        <v/>
      </c>
      <c r="Z206" s="18" t="n">
        <v>117.548</v>
      </c>
      <c r="AA206" s="16" t="n">
        <v>0.067</v>
      </c>
      <c r="AB206" s="16" t="n">
        <v>0.0329261297194121</v>
      </c>
      <c r="AC206" s="9">
        <f>IF(AND(O206="",P206=""),"DATI MANCANTI",IF(AND(N(O206)&gt;=PARAMETRI!$B$4,N(P206)&gt;=PARAMETRI!$B$4),"OK","NO"))</f>
        <v/>
      </c>
      <c r="AD206" s="9">
        <f>IF(L206="","N/D",IF(L206&lt;PARAMETRI!$B$6,"OTTIMO",IF(L206&lt;PARAMETRI!$B$5,"OK","NO")))</f>
        <v/>
      </c>
      <c r="AE206" s="9">
        <f>IF(OR(AC206="DATI MANCANTI",AD206="N/D"),"DA COMPLETARE",IF(AND(AC206="OK",AD206="OTTIMO"),"PASSA FORTE",IF(AND(AC206="OK",AD206="OK"),"PASSA","SCARTA")))</f>
        <v/>
      </c>
      <c r="AF206" s="8" t="inlineStr">
        <is>
          <t>2026-08-04</t>
        </is>
      </c>
      <c r="AG206" s="8" t="inlineStr">
        <is>
          <t>yahoo</t>
        </is>
      </c>
      <c r="AH206" s="19" t="inlineStr"/>
    </row>
    <row r="207">
      <c r="A207" s="8" t="n">
        <v>206</v>
      </c>
      <c r="B207" s="8" t="inlineStr">
        <is>
          <t>Telecom Italia ord.</t>
        </is>
      </c>
      <c r="C207" s="8" t="inlineStr">
        <is>
          <t>TIT.MI</t>
        </is>
      </c>
      <c r="D207" s="9" t="inlineStr">
        <is>
          <t>Italia</t>
        </is>
      </c>
      <c r="E207" s="8" t="inlineStr">
        <is>
          <t>Telecomunicazioni</t>
        </is>
      </c>
      <c r="F207" s="9" t="inlineStr">
        <is>
          <t>Industriale</t>
        </is>
      </c>
      <c r="G207" s="10" t="n">
        <v>7.542</v>
      </c>
      <c r="H207" s="11" t="inlineStr">
        <is>
          <t>EUR</t>
        </is>
      </c>
      <c r="I207" s="12" t="n">
        <v>16089</v>
      </c>
      <c r="J207" s="10" t="n">
        <v>0.18</v>
      </c>
      <c r="K207" s="10" t="n">
        <v>0.28147</v>
      </c>
      <c r="L207" s="13">
        <f>IF(OR(G207="",J207="",J207&lt;=0),"",G207/J207)</f>
        <v/>
      </c>
      <c r="M207" s="14" t="n">
        <v>1.3127937</v>
      </c>
      <c r="N207" s="15">
        <f>IF(OR(M207="",L207="",L207&lt;=0),"",M207/L207)</f>
        <v/>
      </c>
      <c r="O207" s="16" t="n">
        <v>0.03897</v>
      </c>
      <c r="P207" s="16" t="n">
        <v>-0.08162966379239703</v>
      </c>
      <c r="Q207" s="16" t="n">
        <v>0.07970027299822047</v>
      </c>
      <c r="R207" s="17" t="n">
        <v>4</v>
      </c>
      <c r="S207" s="16" t="n"/>
      <c r="T207" s="16" t="n">
        <v>0.02430640805303216</v>
      </c>
      <c r="U207" s="16" t="n">
        <v>-0.05101614117253492</v>
      </c>
      <c r="V207" s="16" t="n">
        <v>-0.1055987102447604</v>
      </c>
      <c r="W207" s="16" t="n">
        <v>-0.194210211805325</v>
      </c>
      <c r="X207" s="10" t="n"/>
      <c r="Y207" s="15">
        <f>IF(OR(X207="",G207="",G207=0),"",X207/G207)</f>
        <v/>
      </c>
      <c r="Z207" s="18" t="n">
        <v>104.611</v>
      </c>
      <c r="AA207" s="16" t="n">
        <v>0.043</v>
      </c>
      <c r="AB207" s="16" t="n">
        <v>0.02067860783457114</v>
      </c>
      <c r="AC207" s="9">
        <f>IF(AND(O207="",P207=""),"DATI MANCANTI",IF(AND(N(O207)&gt;=PARAMETRI!$B$4,N(P207)&gt;=PARAMETRI!$B$4),"OK","NO"))</f>
        <v/>
      </c>
      <c r="AD207" s="9">
        <f>IF(L207="","N/D",IF(L207&lt;PARAMETRI!$B$6,"OTTIMO",IF(L207&lt;PARAMETRI!$B$5,"OK","NO")))</f>
        <v/>
      </c>
      <c r="AE207" s="9">
        <f>IF(OR(AC207="DATI MANCANTI",AD207="N/D"),"DA COMPLETARE",IF(AND(AC207="OK",AD207="OTTIMO"),"PASSA FORTE",IF(AND(AC207="OK",AD207="OK"),"PASSA","SCARTA")))</f>
        <v/>
      </c>
      <c r="AF207" s="8" t="inlineStr">
        <is>
          <t>2026-08-04</t>
        </is>
      </c>
      <c r="AG207" s="8" t="inlineStr">
        <is>
          <t>yahoo</t>
        </is>
      </c>
      <c r="AH207" s="19" t="inlineStr"/>
    </row>
    <row r="208">
      <c r="A208" s="8" t="n">
        <v>207</v>
      </c>
      <c r="B208" s="8" t="inlineStr">
        <is>
          <t>Tenaris</t>
        </is>
      </c>
      <c r="C208" s="8" t="inlineStr">
        <is>
          <t>TEN.MI</t>
        </is>
      </c>
      <c r="D208" s="9" t="inlineStr">
        <is>
          <t>Italia</t>
        </is>
      </c>
      <c r="E208" s="8" t="inlineStr">
        <is>
          <t>Oil service</t>
        </is>
      </c>
      <c r="F208" s="9" t="inlineStr">
        <is>
          <t>Energia</t>
        </is>
      </c>
      <c r="G208" s="10" t="n">
        <v>25.17</v>
      </c>
      <c r="H208" s="11" t="inlineStr">
        <is>
          <t>EUR</t>
        </is>
      </c>
      <c r="I208" s="12" t="n">
        <v>25412.6</v>
      </c>
      <c r="J208" s="10" t="n">
        <v>1.65</v>
      </c>
      <c r="K208" s="10" t="n">
        <v>1.814443</v>
      </c>
      <c r="L208" s="13">
        <f>IF(OR(G208="",J208="",J208&lt;=0),"",G208/J208)</f>
        <v/>
      </c>
      <c r="M208" s="14" t="n">
        <v>1.7148187</v>
      </c>
      <c r="N208" s="15">
        <f>IF(OR(M208="",L208="",L208&lt;=0),"",M208/L208)</f>
        <v/>
      </c>
      <c r="O208" s="16" t="n">
        <v>0.11625</v>
      </c>
      <c r="P208" s="16" t="n">
        <v>0.163851096927405</v>
      </c>
      <c r="Q208" s="16" t="n">
        <v>0.04758970868898593</v>
      </c>
      <c r="R208" s="17" t="n">
        <v>4</v>
      </c>
      <c r="S208" s="16" t="n"/>
      <c r="T208" s="16" t="n">
        <v>0.1164401927780697</v>
      </c>
      <c r="U208" s="16" t="n">
        <v>0.1227272620438531</v>
      </c>
      <c r="V208" s="16" t="n">
        <v>0.2326231380067603</v>
      </c>
      <c r="W208" s="16" t="n">
        <v>0.183613794880937</v>
      </c>
      <c r="X208" s="10" t="n">
        <v>0.77</v>
      </c>
      <c r="Y208" s="15">
        <f>IF(OR(X208="",G208="",G208=0),"",X208/G208)</f>
        <v/>
      </c>
      <c r="Z208" s="18" t="n">
        <v>2.73</v>
      </c>
      <c r="AA208" s="16" t="n">
        <v>0.061</v>
      </c>
      <c r="AB208" s="16" t="n">
        <v>0.1641396603015886</v>
      </c>
      <c r="AC208" s="9">
        <f>IF(AND(O208="",P208=""),"DATI MANCANTI",IF(AND(N(O208)&gt;=PARAMETRI!$B$4,N(P208)&gt;=PARAMETRI!$B$4),"OK","NO"))</f>
        <v/>
      </c>
      <c r="AD208" s="9">
        <f>IF(L208="","N/D",IF(L208&lt;PARAMETRI!$B$6,"OTTIMO",IF(L208&lt;PARAMETRI!$B$5,"OK","NO")))</f>
        <v/>
      </c>
      <c r="AE208" s="9">
        <f>IF(OR(AC208="DATI MANCANTI",AD208="N/D"),"DA COMPLETARE",IF(AND(AC208="OK",AD208="OTTIMO"),"PASSA FORTE",IF(AND(AC208="OK",AD208="OK"),"PASSA","SCARTA")))</f>
        <v/>
      </c>
      <c r="AF208" s="8" t="inlineStr">
        <is>
          <t>2026-08-04</t>
        </is>
      </c>
      <c r="AG208" s="8" t="inlineStr">
        <is>
          <t>yahoo</t>
        </is>
      </c>
      <c r="AH208" s="19" t="inlineStr">
        <is>
          <t>Bilancio in USD</t>
        </is>
      </c>
    </row>
    <row r="209">
      <c r="A209" s="8" t="n">
        <v>208</v>
      </c>
      <c r="B209" s="8" t="inlineStr">
        <is>
          <t>Terna</t>
        </is>
      </c>
      <c r="C209" s="8" t="inlineStr">
        <is>
          <t>TRN.MI</t>
        </is>
      </c>
      <c r="D209" s="9" t="inlineStr">
        <is>
          <t>Italia</t>
        </is>
      </c>
      <c r="E209" s="8" t="inlineStr">
        <is>
          <t>Utility / Reti</t>
        </is>
      </c>
      <c r="F209" s="9" t="inlineStr">
        <is>
          <t>Utility</t>
        </is>
      </c>
      <c r="G209" s="10" t="n">
        <v>10.12</v>
      </c>
      <c r="H209" s="11" t="inlineStr">
        <is>
          <t>EUR</t>
        </is>
      </c>
      <c r="I209" s="12" t="n">
        <v>20308.4</v>
      </c>
      <c r="J209" s="10" t="n">
        <v>0.5600000000000001</v>
      </c>
      <c r="K209" s="10" t="n">
        <v>0.56179</v>
      </c>
      <c r="L209" s="13">
        <f>IF(OR(G209="",J209="",J209&lt;=0),"",G209/J209)</f>
        <v/>
      </c>
      <c r="M209" s="14" t="n">
        <v>2.2803063</v>
      </c>
      <c r="N209" s="15">
        <f>IF(OR(M209="",L209="",L209&lt;=0),"",M209/L209)</f>
        <v/>
      </c>
      <c r="O209" s="16" t="n">
        <v>0.13828</v>
      </c>
      <c r="P209" s="16" t="n">
        <v>0.1473166531875201</v>
      </c>
      <c r="Q209" s="16" t="n">
        <v>0.01230561727656675</v>
      </c>
      <c r="R209" s="17" t="n">
        <v>4</v>
      </c>
      <c r="S209" s="16" t="n"/>
      <c r="T209" s="16" t="n"/>
      <c r="U209" s="16" t="n">
        <v>0.1411312830599931</v>
      </c>
      <c r="V209" s="16" t="n">
        <v>0.1399974701157422</v>
      </c>
      <c r="W209" s="16" t="n">
        <v>0.1395310973624227</v>
      </c>
      <c r="X209" s="10" t="n">
        <v>0.4</v>
      </c>
      <c r="Y209" s="15">
        <f>IF(OR(X209="",G209="",G209=0),"",X209/G209)</f>
        <v/>
      </c>
      <c r="Z209" s="18" t="n">
        <v>172.37</v>
      </c>
      <c r="AA209" s="16" t="n">
        <v>0.123</v>
      </c>
      <c r="AB209" s="16" t="n">
        <v>0.291854893908282</v>
      </c>
      <c r="AC209" s="9">
        <f>IF(AND(O209="",P209=""),"DATI MANCANTI",IF(AND(N(O209)&gt;=PARAMETRI!$B$4,N(P209)&gt;=PARAMETRI!$B$4),"OK","NO"))</f>
        <v/>
      </c>
      <c r="AD209" s="9">
        <f>IF(L209="","N/D",IF(L209&lt;PARAMETRI!$B$6,"OTTIMO",IF(L209&lt;PARAMETRI!$B$5,"OK","NO")))</f>
        <v/>
      </c>
      <c r="AE209" s="9">
        <f>IF(OR(AC209="DATI MANCANTI",AD209="N/D"),"DA COMPLETARE",IF(AND(AC209="OK",AD209="OTTIMO"),"PASSA FORTE",IF(AND(AC209="OK",AD209="OK"),"PASSA","SCARTA")))</f>
        <v/>
      </c>
      <c r="AF209" s="8" t="inlineStr">
        <is>
          <t>2026-08-04</t>
        </is>
      </c>
      <c r="AG209" s="8" t="inlineStr">
        <is>
          <t>yahoo</t>
        </is>
      </c>
      <c r="AH209" s="19" t="inlineStr"/>
    </row>
    <row r="210">
      <c r="A210" s="8" t="n">
        <v>209</v>
      </c>
      <c r="B210" s="8" t="inlineStr">
        <is>
          <t>Tesla</t>
        </is>
      </c>
      <c r="C210" s="8" t="inlineStr">
        <is>
          <t>TSLA</t>
        </is>
      </c>
      <c r="D210" s="9" t="inlineStr">
        <is>
          <t>USA</t>
        </is>
      </c>
      <c r="E210" s="8" t="inlineStr">
        <is>
          <t>Auto elettriche</t>
        </is>
      </c>
      <c r="F210" s="9" t="inlineStr">
        <is>
          <t>Consumi</t>
        </is>
      </c>
      <c r="G210" s="10" t="n">
        <v>322.08</v>
      </c>
      <c r="H210" s="11" t="inlineStr">
        <is>
          <t>USD</t>
        </is>
      </c>
      <c r="I210" s="12" t="n">
        <v>1272070.3</v>
      </c>
      <c r="J210" s="10" t="n">
        <v>1.09</v>
      </c>
      <c r="K210" s="10" t="n">
        <v>2.21923</v>
      </c>
      <c r="L210" s="13">
        <f>IF(OR(G210="",J210="",J210&lt;=0),"",G210/J210)</f>
        <v/>
      </c>
      <c r="M210" s="14" t="n">
        <v>14.708864</v>
      </c>
      <c r="N210" s="15">
        <f>IF(OR(M210="",L210="",L210&lt;=0),"",M210/L210)</f>
        <v/>
      </c>
      <c r="O210" s="16" t="n">
        <v>0.046669997</v>
      </c>
      <c r="P210" s="16" t="n">
        <v>0.1662307907254467</v>
      </c>
      <c r="Q210" s="16" t="n">
        <v>0.09713259207574809</v>
      </c>
      <c r="R210" s="17" t="n">
        <v>4</v>
      </c>
      <c r="S210" s="16" t="n"/>
      <c r="T210" s="16" t="n">
        <v>0.04619111971462313</v>
      </c>
      <c r="U210" s="16" t="n">
        <v>0.09778777447094482</v>
      </c>
      <c r="V210" s="16" t="n">
        <v>0.2394705750870134</v>
      </c>
      <c r="W210" s="16" t="n">
        <v>0.2814736936292054</v>
      </c>
      <c r="X210" s="10" t="n"/>
      <c r="Y210" s="15">
        <f>IF(OR(X210="",G210="",G210=0),"",X210/G210)</f>
        <v/>
      </c>
      <c r="Z210" s="18" t="n">
        <v>18.373</v>
      </c>
      <c r="AA210" s="16" t="n">
        <v>0.255</v>
      </c>
      <c r="AB210" s="16" t="n">
        <v>0.04013624946481487</v>
      </c>
      <c r="AC210" s="9">
        <f>IF(AND(O210="",P210=""),"DATI MANCANTI",IF(AND(N(O210)&gt;=PARAMETRI!$B$4,N(P210)&gt;=PARAMETRI!$B$4),"OK","NO"))</f>
        <v/>
      </c>
      <c r="AD210" s="9">
        <f>IF(L210="","N/D",IF(L210&lt;PARAMETRI!$B$6,"OTTIMO",IF(L210&lt;PARAMETRI!$B$5,"OK","NO")))</f>
        <v/>
      </c>
      <c r="AE210" s="9">
        <f>IF(OR(AC210="DATI MANCANTI",AD210="N/D"),"DA COMPLETARE",IF(AND(AC210="OK",AD210="OTTIMO"),"PASSA FORTE",IF(AND(AC210="OK",AD210="OK"),"PASSA","SCARTA")))</f>
        <v/>
      </c>
      <c r="AF210" s="8" t="inlineStr">
        <is>
          <t>2026-08-04</t>
        </is>
      </c>
      <c r="AG210" s="8" t="inlineStr">
        <is>
          <t>yahoo</t>
        </is>
      </c>
      <c r="AH210" s="19" t="inlineStr"/>
    </row>
    <row r="211">
      <c r="A211" s="8" t="n">
        <v>210</v>
      </c>
      <c r="B211" s="8" t="inlineStr">
        <is>
          <t>Texas Instruments</t>
        </is>
      </c>
      <c r="C211" s="8" t="inlineStr">
        <is>
          <t>TXN</t>
        </is>
      </c>
      <c r="D211" s="9" t="inlineStr">
        <is>
          <t>USA</t>
        </is>
      </c>
      <c r="E211" s="8" t="inlineStr">
        <is>
          <t>Semiconduttori</t>
        </is>
      </c>
      <c r="F211" s="9" t="inlineStr">
        <is>
          <t>Tecnologia</t>
        </is>
      </c>
      <c r="G211" s="10" t="n">
        <v>269.04</v>
      </c>
      <c r="H211" s="11" t="inlineStr">
        <is>
          <t>USD</t>
        </is>
      </c>
      <c r="I211" s="12" t="n">
        <v>245700.2</v>
      </c>
      <c r="J211" s="10" t="n">
        <v>6.59</v>
      </c>
      <c r="K211" s="10" t="n">
        <v>10.40485</v>
      </c>
      <c r="L211" s="13">
        <f>IF(OR(G211="",J211="",J211&lt;=0),"",G211/J211)</f>
        <v/>
      </c>
      <c r="M211" s="14" t="n">
        <v>13.640927</v>
      </c>
      <c r="N211" s="15">
        <f>IF(OR(M211="",L211="",L211&lt;=0),"",M211/L211)</f>
        <v/>
      </c>
      <c r="O211" s="16" t="n">
        <v>0.35176</v>
      </c>
      <c r="P211" s="16" t="n">
        <v>0.3941751364874861</v>
      </c>
      <c r="Q211" s="16" t="n">
        <v>0.124723387337169</v>
      </c>
      <c r="R211" s="17" t="n">
        <v>4</v>
      </c>
      <c r="S211" s="16" t="n"/>
      <c r="T211" s="16" t="n">
        <v>0.3073188717507528</v>
      </c>
      <c r="U211" s="16" t="n">
        <v>0.2839140980890966</v>
      </c>
      <c r="V211" s="16" t="n">
        <v>0.3852754926910102</v>
      </c>
      <c r="W211" s="16" t="n">
        <v>0.6001920834190848</v>
      </c>
      <c r="X211" s="10" t="n">
        <v>5.68</v>
      </c>
      <c r="Y211" s="15">
        <f>IF(OR(X211="",G211="",G211=0),"",X211/G211)</f>
        <v/>
      </c>
      <c r="Z211" s="18" t="n">
        <v>78.036</v>
      </c>
      <c r="AA211" s="16" t="n">
        <v>0.228</v>
      </c>
      <c r="AB211" s="16" t="n">
        <v>0.3402895563850243</v>
      </c>
      <c r="AC211" s="9">
        <f>IF(AND(O211="",P211=""),"DATI MANCANTI",IF(AND(N(O211)&gt;=PARAMETRI!$B$4,N(P211)&gt;=PARAMETRI!$B$4),"OK","NO"))</f>
        <v/>
      </c>
      <c r="AD211" s="9">
        <f>IF(L211="","N/D",IF(L211&lt;PARAMETRI!$B$6,"OTTIMO",IF(L211&lt;PARAMETRI!$B$5,"OK","NO")))</f>
        <v/>
      </c>
      <c r="AE211" s="9">
        <f>IF(OR(AC211="DATI MANCANTI",AD211="N/D"),"DA COMPLETARE",IF(AND(AC211="OK",AD211="OTTIMO"),"PASSA FORTE",IF(AND(AC211="OK",AD211="OK"),"PASSA","SCARTA")))</f>
        <v/>
      </c>
      <c r="AF211" s="8" t="inlineStr">
        <is>
          <t>2026-08-04</t>
        </is>
      </c>
      <c r="AG211" s="8" t="inlineStr">
        <is>
          <t>yahoo</t>
        </is>
      </c>
      <c r="AH211" s="19" t="inlineStr"/>
    </row>
    <row r="212">
      <c r="A212" s="8" t="n">
        <v>211</v>
      </c>
      <c r="B212" s="8" t="inlineStr">
        <is>
          <t>Thermo Fisher</t>
        </is>
      </c>
      <c r="C212" s="8" t="inlineStr">
        <is>
          <t>TMO</t>
        </is>
      </c>
      <c r="D212" s="9" t="inlineStr">
        <is>
          <t>USA</t>
        </is>
      </c>
      <c r="E212" s="8" t="inlineStr">
        <is>
          <t>Strumentazione life science</t>
        </is>
      </c>
      <c r="F212" s="9" t="inlineStr">
        <is>
          <t>Salute</t>
        </is>
      </c>
      <c r="G212" s="10" t="n">
        <v>574.03</v>
      </c>
      <c r="H212" s="11" t="inlineStr">
        <is>
          <t>USD</t>
        </is>
      </c>
      <c r="I212" s="12" t="n">
        <v>212246.1</v>
      </c>
      <c r="J212" s="10" t="n">
        <v>18.61</v>
      </c>
      <c r="K212" s="10" t="n">
        <v>27.51077</v>
      </c>
      <c r="L212" s="13">
        <f>IF(OR(G212="",J212="",J212&lt;=0),"",G212/J212)</f>
        <v/>
      </c>
      <c r="M212" s="14" t="n">
        <v>4.107549</v>
      </c>
      <c r="N212" s="15">
        <f>IF(OR(M212="",L212="",L212&lt;=0),"",M212/L212)</f>
        <v/>
      </c>
      <c r="O212" s="16" t="n">
        <v>0.13515</v>
      </c>
      <c r="P212" s="16" t="n">
        <v>0.1348992605873013</v>
      </c>
      <c r="Q212" s="16" t="n">
        <v>0.0133965212757604</v>
      </c>
      <c r="R212" s="17" t="n">
        <v>4</v>
      </c>
      <c r="S212" s="16" t="n"/>
      <c r="T212" s="16" t="n">
        <v>0.1255266163611512</v>
      </c>
      <c r="U212" s="16" t="n">
        <v>0.1277604114147424</v>
      </c>
      <c r="V212" s="16" t="n">
        <v>0.1282764523376485</v>
      </c>
      <c r="W212" s="16" t="n">
        <v>0.1580335622356633</v>
      </c>
      <c r="X212" s="10" t="n">
        <v>1.88</v>
      </c>
      <c r="Y212" s="15">
        <f>IF(OR(X212="",G212="",G212=0),"",X212/G212)</f>
        <v/>
      </c>
      <c r="Z212" s="18" t="n">
        <v>80.575</v>
      </c>
      <c r="AA212" s="16" t="n">
        <v>0.105</v>
      </c>
      <c r="AB212" s="16" t="n">
        <v>0.1563615159009808</v>
      </c>
      <c r="AC212" s="9">
        <f>IF(AND(O212="",P212=""),"DATI MANCANTI",IF(AND(N(O212)&gt;=PARAMETRI!$B$4,N(P212)&gt;=PARAMETRI!$B$4),"OK","NO"))</f>
        <v/>
      </c>
      <c r="AD212" s="9">
        <f>IF(L212="","N/D",IF(L212&lt;PARAMETRI!$B$6,"OTTIMO",IF(L212&lt;PARAMETRI!$B$5,"OK","NO")))</f>
        <v/>
      </c>
      <c r="AE212" s="9">
        <f>IF(OR(AC212="DATI MANCANTI",AD212="N/D"),"DA COMPLETARE",IF(AND(AC212="OK",AD212="OTTIMO"),"PASSA FORTE",IF(AND(AC212="OK",AD212="OK"),"PASSA","SCARTA")))</f>
        <v/>
      </c>
      <c r="AF212" s="8" t="inlineStr">
        <is>
          <t>2026-08-04</t>
        </is>
      </c>
      <c r="AG212" s="8" t="inlineStr">
        <is>
          <t>yahoo</t>
        </is>
      </c>
      <c r="AH212" s="19" t="inlineStr"/>
    </row>
    <row r="213">
      <c r="A213" s="8" t="n">
        <v>212</v>
      </c>
      <c r="B213" s="8" t="inlineStr">
        <is>
          <t>Travelers</t>
        </is>
      </c>
      <c r="C213" s="8" t="inlineStr">
        <is>
          <t>TRV</t>
        </is>
      </c>
      <c r="D213" s="9" t="inlineStr">
        <is>
          <t>USA</t>
        </is>
      </c>
      <c r="E213" s="8" t="inlineStr">
        <is>
          <t>Assicurazione</t>
        </is>
      </c>
      <c r="F213" s="9" t="inlineStr">
        <is>
          <t>Finanziario</t>
        </is>
      </c>
      <c r="G213" s="10" t="n">
        <v>373.82</v>
      </c>
      <c r="H213" s="11" t="inlineStr">
        <is>
          <t>USD</t>
        </is>
      </c>
      <c r="I213" s="12" t="n">
        <v>77969.5</v>
      </c>
      <c r="J213" s="10" t="n">
        <v>37.21</v>
      </c>
      <c r="K213" s="10" t="n">
        <v>30.16087</v>
      </c>
      <c r="L213" s="13">
        <f>IF(OR(G213="",J213="",J213&lt;=0),"",G213/J213)</f>
        <v/>
      </c>
      <c r="M213" s="14" t="n">
        <v>2.3543565</v>
      </c>
      <c r="N213" s="15">
        <f>IF(OR(M213="",L213="",L213&lt;=0),"",M213/L213)</f>
        <v/>
      </c>
      <c r="O213" s="16" t="n">
        <v>0.26511</v>
      </c>
      <c r="P213" s="16" t="n">
        <v>0.1556010112383756</v>
      </c>
      <c r="Q213" s="16" t="n">
        <v>0.03026061633724604</v>
      </c>
      <c r="R213" s="17" t="n">
        <v>4</v>
      </c>
      <c r="S213" s="16" t="n"/>
      <c r="T213" s="16" t="n">
        <v>0.1911594819723962</v>
      </c>
      <c r="U213" s="16" t="n">
        <v>0.1794071202985932</v>
      </c>
      <c r="V213" s="16" t="n">
        <v>0.1200192608643313</v>
      </c>
      <c r="W213" s="16" t="n">
        <v>0.1318181818181818</v>
      </c>
      <c r="X213" s="10" t="n">
        <v>5</v>
      </c>
      <c r="Y213" s="15">
        <f>IF(OR(X213="",G213="",G213=0),"",X213/G213)</f>
        <v/>
      </c>
      <c r="Z213" s="18" t="n">
        <v>27.378</v>
      </c>
      <c r="AA213" s="16" t="n">
        <v>0.003</v>
      </c>
      <c r="AB213" s="16" t="n">
        <v>0.1688170682395347</v>
      </c>
      <c r="AC213" s="9">
        <f>IF(AND(O213="",P213=""),"DATI MANCANTI",IF(AND(N(O213)&gt;=PARAMETRI!$B$4,N(P213)&gt;=PARAMETRI!$B$4),"OK","NO"))</f>
        <v/>
      </c>
      <c r="AD213" s="9">
        <f>IF(L213="","N/D",IF(L213&lt;PARAMETRI!$B$6,"OTTIMO",IF(L213&lt;PARAMETRI!$B$5,"OK","NO")))</f>
        <v/>
      </c>
      <c r="AE213" s="9">
        <f>IF(OR(AC213="DATI MANCANTI",AD213="N/D"),"DA COMPLETARE",IF(AND(AC213="OK",AD213="OTTIMO"),"PASSA FORTE",IF(AND(AC213="OK",AD213="OK"),"PASSA","SCARTA")))</f>
        <v/>
      </c>
      <c r="AF213" s="8" t="inlineStr">
        <is>
          <t>2026-08-04</t>
        </is>
      </c>
      <c r="AG213" s="8" t="inlineStr">
        <is>
          <t>yahoo</t>
        </is>
      </c>
      <c r="AH213" s="19" t="inlineStr"/>
    </row>
    <row r="214">
      <c r="A214" s="8" t="n">
        <v>213</v>
      </c>
      <c r="B214" s="8" t="inlineStr">
        <is>
          <t>Uber Technologies</t>
        </is>
      </c>
      <c r="C214" s="8" t="inlineStr">
        <is>
          <t>UBER</t>
        </is>
      </c>
      <c r="D214" s="9" t="inlineStr">
        <is>
          <t>USA</t>
        </is>
      </c>
      <c r="E214" s="8" t="inlineStr">
        <is>
          <t>Piattaforme</t>
        </is>
      </c>
      <c r="F214" s="9" t="inlineStr">
        <is>
          <t>Tecnologia</t>
        </is>
      </c>
      <c r="G214" s="10" t="n">
        <v>71.61</v>
      </c>
      <c r="H214" s="11" t="inlineStr">
        <is>
          <t>USD</t>
        </is>
      </c>
      <c r="I214" s="12" t="n">
        <v>145769.3</v>
      </c>
      <c r="J214" s="10" t="n">
        <v>4.03</v>
      </c>
      <c r="K214" s="10" t="n">
        <v>4.45408</v>
      </c>
      <c r="L214" s="13">
        <f>IF(OR(G214="",J214="",J214&lt;=0),"",G214/J214)</f>
        <v/>
      </c>
      <c r="M214" s="14" t="n">
        <v>5.891887</v>
      </c>
      <c r="N214" s="15">
        <f>IF(OR(M214="",L214="",L214&lt;=0),"",M214/L214)</f>
        <v/>
      </c>
      <c r="O214" s="16" t="n">
        <v>0.3531</v>
      </c>
      <c r="P214" s="16" t="n">
        <v>-0.06216638498507329</v>
      </c>
      <c r="Q214" s="16" t="n">
        <v>0.6911679096695134</v>
      </c>
      <c r="R214" s="17" t="n">
        <v>4</v>
      </c>
      <c r="S214" s="16" t="n"/>
      <c r="T214" s="16" t="n">
        <v>0.3717687955327096</v>
      </c>
      <c r="U214" s="16" t="n">
        <v>0.4571852676500603</v>
      </c>
      <c r="V214" s="16" t="n">
        <v>0.1677482442883812</v>
      </c>
      <c r="W214" s="16" t="n">
        <v>-1.245367847411444</v>
      </c>
      <c r="X214" s="10" t="n"/>
      <c r="Y214" s="15">
        <f>IF(OR(X214="",G214="",G214=0),"",X214/G214)</f>
        <v/>
      </c>
      <c r="Z214" s="18" t="n">
        <v>48.113</v>
      </c>
      <c r="AA214" s="16" t="n">
        <v>0.145</v>
      </c>
      <c r="AB214" s="16" t="n">
        <v>0.1641771008708691</v>
      </c>
      <c r="AC214" s="9">
        <f>IF(AND(O214="",P214=""),"DATI MANCANTI",IF(AND(N(O214)&gt;=PARAMETRI!$B$4,N(P214)&gt;=PARAMETRI!$B$4),"OK","NO"))</f>
        <v/>
      </c>
      <c r="AD214" s="9">
        <f>IF(L214="","N/D",IF(L214&lt;PARAMETRI!$B$6,"OTTIMO",IF(L214&lt;PARAMETRI!$B$5,"OK","NO")))</f>
        <v/>
      </c>
      <c r="AE214" s="9">
        <f>IF(OR(AC214="DATI MANCANTI",AD214="N/D"),"DA COMPLETARE",IF(AND(AC214="OK",AD214="OTTIMO"),"PASSA FORTE",IF(AND(AC214="OK",AD214="OK"),"PASSA","SCARTA")))</f>
        <v/>
      </c>
      <c r="AF214" s="8" t="inlineStr">
        <is>
          <t>2026-08-04</t>
        </is>
      </c>
      <c r="AG214" s="8" t="inlineStr">
        <is>
          <t>yahoo</t>
        </is>
      </c>
      <c r="AH214" s="19" t="inlineStr"/>
    </row>
    <row r="215">
      <c r="A215" s="8" t="n">
        <v>214</v>
      </c>
      <c r="B215" s="8" t="inlineStr">
        <is>
          <t>UniCredit</t>
        </is>
      </c>
      <c r="C215" s="8" t="inlineStr">
        <is>
          <t>UCG.MI</t>
        </is>
      </c>
      <c r="D215" s="9" t="inlineStr">
        <is>
          <t>Italia</t>
        </is>
      </c>
      <c r="E215" s="8" t="inlineStr">
        <is>
          <t>Banca</t>
        </is>
      </c>
      <c r="F215" s="9" t="inlineStr">
        <is>
          <t>Finanziario</t>
        </is>
      </c>
      <c r="G215" s="10" t="n">
        <v>84.77</v>
      </c>
      <c r="H215" s="11" t="inlineStr">
        <is>
          <t>EUR</t>
        </is>
      </c>
      <c r="I215" s="12" t="n">
        <v>127009</v>
      </c>
      <c r="J215" s="10" t="n">
        <v>7.05</v>
      </c>
      <c r="K215" s="10" t="n">
        <v>8.32521</v>
      </c>
      <c r="L215" s="13">
        <f>IF(OR(G215="",J215="",J215&lt;=0),"",G215/J215)</f>
        <v/>
      </c>
      <c r="M215" s="14" t="n">
        <v>1.8817705</v>
      </c>
      <c r="N215" s="15">
        <f>IF(OR(M215="",L215="",L215&lt;=0),"",M215/L215)</f>
        <v/>
      </c>
      <c r="O215" s="16" t="n">
        <v>0.15779</v>
      </c>
      <c r="P215" s="16" t="n">
        <v>0.1417934441062063</v>
      </c>
      <c r="Q215" s="16" t="n">
        <v>0.02344442801155508</v>
      </c>
      <c r="R215" s="17" t="n">
        <v>4</v>
      </c>
      <c r="S215" s="16" t="n"/>
      <c r="T215" s="16" t="n">
        <v>0.1611998050538317</v>
      </c>
      <c r="U215" s="16" t="n">
        <v>0.1556509344821511</v>
      </c>
      <c r="V215" s="16" t="n">
        <v>0.1483637385102764</v>
      </c>
      <c r="W215" s="16" t="n">
        <v>0.1019592983785661</v>
      </c>
      <c r="X215" s="10" t="n">
        <v>3.15</v>
      </c>
      <c r="Y215" s="15">
        <f>IF(OR(X215="",G215="",G215=0),"",X215/G215)</f>
        <v/>
      </c>
      <c r="Z215" s="18" t="n"/>
      <c r="AA215" s="16" t="n">
        <v>-0.092</v>
      </c>
      <c r="AB215" s="16" t="n">
        <v>0.4284915506210312</v>
      </c>
      <c r="AC215" s="9">
        <f>IF(AND(O215="",P215=""),"DATI MANCANTI",IF(AND(N(O215)&gt;=PARAMETRI!$B$4,N(P215)&gt;=PARAMETRI!$B$4),"OK","NO"))</f>
        <v/>
      </c>
      <c r="AD215" s="9">
        <f>IF(L215="","N/D",IF(L215&lt;PARAMETRI!$B$6,"OTTIMO",IF(L215&lt;PARAMETRI!$B$5,"OK","NO")))</f>
        <v/>
      </c>
      <c r="AE215" s="9">
        <f>IF(OR(AC215="DATI MANCANTI",AD215="N/D"),"DA COMPLETARE",IF(AND(AC215="OK",AD215="OTTIMO"),"PASSA FORTE",IF(AND(AC215="OK",AD215="OK"),"PASSA","SCARTA")))</f>
        <v/>
      </c>
      <c r="AF215" s="8" t="inlineStr">
        <is>
          <t>2026-08-04</t>
        </is>
      </c>
      <c r="AG215" s="8" t="inlineStr">
        <is>
          <t>yahoo</t>
        </is>
      </c>
      <c r="AH215" s="19" t="inlineStr"/>
    </row>
    <row r="216">
      <c r="A216" s="8" t="n">
        <v>215</v>
      </c>
      <c r="B216" s="8" t="inlineStr">
        <is>
          <t>Union Pacific</t>
        </is>
      </c>
      <c r="C216" s="8" t="inlineStr">
        <is>
          <t>UNP</t>
        </is>
      </c>
      <c r="D216" s="9" t="inlineStr">
        <is>
          <t>USA</t>
        </is>
      </c>
      <c r="E216" s="8" t="inlineStr">
        <is>
          <t>Ferrovie</t>
        </is>
      </c>
      <c r="F216" s="9" t="inlineStr">
        <is>
          <t>Industriale</t>
        </is>
      </c>
      <c r="G216" s="10" t="n">
        <v>291.23</v>
      </c>
      <c r="H216" s="11" t="inlineStr">
        <is>
          <t>USD</t>
        </is>
      </c>
      <c r="I216" s="12" t="n">
        <v>173012.6</v>
      </c>
      <c r="J216" s="10" t="n">
        <v>12.36</v>
      </c>
      <c r="K216" s="10" t="n">
        <v>14.11641</v>
      </c>
      <c r="L216" s="13">
        <f>IF(OR(G216="",J216="",J216&lt;=0),"",G216/J216)</f>
        <v/>
      </c>
      <c r="M216" s="14" t="n">
        <v>8.903938</v>
      </c>
      <c r="N216" s="15">
        <f>IF(OR(M216="",L216="",L216&lt;=0),"",M216/L216)</f>
        <v/>
      </c>
      <c r="O216" s="16" t="n">
        <v>0.39696</v>
      </c>
      <c r="P216" s="16" t="n">
        <v>0.4481773006556505</v>
      </c>
      <c r="Q216" s="16" t="n">
        <v>0.07521532837259973</v>
      </c>
      <c r="R216" s="17" t="n">
        <v>4</v>
      </c>
      <c r="S216" s="16" t="n"/>
      <c r="T216" s="16" t="n">
        <v>0.3865273190014621</v>
      </c>
      <c r="U216" s="16" t="n">
        <v>0.3994671403197158</v>
      </c>
      <c r="V216" s="16" t="n">
        <v>0.4313632675142007</v>
      </c>
      <c r="W216" s="16" t="n">
        <v>0.5753514757872236</v>
      </c>
      <c r="X216" s="10" t="n">
        <v>5.68</v>
      </c>
      <c r="Y216" s="15">
        <f>IF(OR(X216="",G216="",G216=0),"",X216/G216)</f>
        <v/>
      </c>
      <c r="Z216" s="18" t="n">
        <v>150.772</v>
      </c>
      <c r="AA216" s="16" t="n">
        <v>0.115</v>
      </c>
      <c r="AB216" s="16" t="n">
        <v>0.2990616022847817</v>
      </c>
      <c r="AC216" s="9">
        <f>IF(AND(O216="",P216=""),"DATI MANCANTI",IF(AND(N(O216)&gt;=PARAMETRI!$B$4,N(P216)&gt;=PARAMETRI!$B$4),"OK","NO"))</f>
        <v/>
      </c>
      <c r="AD216" s="9">
        <f>IF(L216="","N/D",IF(L216&lt;PARAMETRI!$B$6,"OTTIMO",IF(L216&lt;PARAMETRI!$B$5,"OK","NO")))</f>
        <v/>
      </c>
      <c r="AE216" s="9">
        <f>IF(OR(AC216="DATI MANCANTI",AD216="N/D"),"DA COMPLETARE",IF(AND(AC216="OK",AD216="OTTIMO"),"PASSA FORTE",IF(AND(AC216="OK",AD216="OK"),"PASSA","SCARTA")))</f>
        <v/>
      </c>
      <c r="AF216" s="8" t="inlineStr">
        <is>
          <t>2026-08-04</t>
        </is>
      </c>
      <c r="AG216" s="8" t="inlineStr">
        <is>
          <t>yahoo</t>
        </is>
      </c>
      <c r="AH216" s="19" t="inlineStr"/>
    </row>
    <row r="217">
      <c r="A217" s="8" t="n">
        <v>216</v>
      </c>
      <c r="B217" s="8" t="inlineStr">
        <is>
          <t>Unipol</t>
        </is>
      </c>
      <c r="C217" s="8" t="inlineStr">
        <is>
          <t>UNI.MI</t>
        </is>
      </c>
      <c r="D217" s="9" t="inlineStr">
        <is>
          <t>Italia</t>
        </is>
      </c>
      <c r="E217" s="8" t="inlineStr">
        <is>
          <t>Assicurazione</t>
        </is>
      </c>
      <c r="F217" s="9" t="inlineStr">
        <is>
          <t>Finanziario</t>
        </is>
      </c>
      <c r="G217" s="10" t="n">
        <v>28.37</v>
      </c>
      <c r="H217" s="11" t="inlineStr">
        <is>
          <t>EUR</t>
        </is>
      </c>
      <c r="I217" s="12" t="n">
        <v>20347.1</v>
      </c>
      <c r="J217" s="10" t="n">
        <v>2.03</v>
      </c>
      <c r="K217" s="10" t="n">
        <v>2.22391</v>
      </c>
      <c r="L217" s="13">
        <f>IF(OR(G217="",J217="",J217&lt;=0),"",G217/J217)</f>
        <v/>
      </c>
      <c r="M217" s="14" t="n">
        <v>2.040567</v>
      </c>
      <c r="N217" s="15">
        <f>IF(OR(M217="",L217="",L217&lt;=0),"",M217/L217)</f>
        <v/>
      </c>
      <c r="O217" s="16" t="n">
        <v>0.1426234241170244</v>
      </c>
      <c r="P217" s="16" t="n">
        <v>0.1181376184447107</v>
      </c>
      <c r="Q217" s="16" t="n">
        <v>0.02618848036787977</v>
      </c>
      <c r="R217" s="17" t="n">
        <v>4</v>
      </c>
      <c r="S217" s="16" t="n"/>
      <c r="T217" s="16" t="n">
        <v>0.1426234241170244</v>
      </c>
      <c r="U217" s="16" t="n">
        <v>0.1152236884454458</v>
      </c>
      <c r="V217" s="16" t="n">
        <v>0.1381950546002259</v>
      </c>
      <c r="W217" s="16" t="n">
        <v>0.0765083066161469</v>
      </c>
      <c r="X217" s="10" t="n">
        <v>1.12</v>
      </c>
      <c r="Y217" s="15">
        <f>IF(OR(X217="",G217="",G217=0),"",X217/G217)</f>
        <v/>
      </c>
      <c r="Z217" s="18" t="n">
        <v>46.738</v>
      </c>
      <c r="AA217" s="16" t="n">
        <v>-0.021</v>
      </c>
      <c r="AB217" s="16" t="n">
        <v>0.108874785677824</v>
      </c>
      <c r="AC217" s="9">
        <f>IF(AND(O217="",P217=""),"DATI MANCANTI",IF(AND(N(O217)&gt;=PARAMETRI!$B$4,N(P217)&gt;=PARAMETRI!$B$4),"OK","NO"))</f>
        <v/>
      </c>
      <c r="AD217" s="9">
        <f>IF(L217="","N/D",IF(L217&lt;PARAMETRI!$B$6,"OTTIMO",IF(L217&lt;PARAMETRI!$B$5,"OK","NO")))</f>
        <v/>
      </c>
      <c r="AE217" s="9">
        <f>IF(OR(AC217="DATI MANCANTI",AD217="N/D"),"DA COMPLETARE",IF(AND(AC217="OK",AD217="OTTIMO"),"PASSA FORTE",IF(AND(AC217="OK",AD217="OK"),"PASSA","SCARTA")))</f>
        <v/>
      </c>
      <c r="AF217" s="8" t="inlineStr">
        <is>
          <t>2026-08-04</t>
        </is>
      </c>
      <c r="AG217" s="8" t="inlineStr">
        <is>
          <t>yahoo</t>
        </is>
      </c>
      <c r="AH217" s="19" t="inlineStr"/>
    </row>
    <row r="218">
      <c r="A218" s="8" t="n">
        <v>217</v>
      </c>
      <c r="B218" s="8" t="inlineStr">
        <is>
          <t>United Parcel Service</t>
        </is>
      </c>
      <c r="C218" s="8" t="inlineStr">
        <is>
          <t>UPS</t>
        </is>
      </c>
      <c r="D218" s="9" t="inlineStr">
        <is>
          <t>USA</t>
        </is>
      </c>
      <c r="E218" s="8" t="inlineStr">
        <is>
          <t>Logistica</t>
        </is>
      </c>
      <c r="F218" s="9" t="inlineStr">
        <is>
          <t>Industriale</t>
        </is>
      </c>
      <c r="G218" s="10" t="n">
        <v>106.87</v>
      </c>
      <c r="H218" s="11" t="inlineStr">
        <is>
          <t>USD</t>
        </is>
      </c>
      <c r="I218" s="12" t="n">
        <v>90840.2</v>
      </c>
      <c r="J218" s="10" t="n">
        <v>5.38</v>
      </c>
      <c r="K218" s="10" t="n">
        <v>8.073600000000001</v>
      </c>
      <c r="L218" s="13">
        <f>IF(OR(G218="",J218="",J218&lt;=0),"",G218/J218)</f>
        <v/>
      </c>
      <c r="M218" s="14" t="n">
        <v>6.036148</v>
      </c>
      <c r="N218" s="15">
        <f>IF(OR(M218="",L218="",L218&lt;=0),"",M218/L218)</f>
        <v/>
      </c>
      <c r="O218" s="16" t="n">
        <v>0.29602</v>
      </c>
      <c r="P218" s="16" t="n">
        <v>0.4151223305037616</v>
      </c>
      <c r="Q218" s="16" t="n">
        <v>0.09887106435484694</v>
      </c>
      <c r="R218" s="17" t="n">
        <v>4</v>
      </c>
      <c r="S218" s="16" t="n"/>
      <c r="T218" s="16" t="n">
        <v>0.3433783200838109</v>
      </c>
      <c r="U218" s="16" t="n">
        <v>0.3458547673166646</v>
      </c>
      <c r="V218" s="16" t="n">
        <v>0.3876112330983474</v>
      </c>
      <c r="W218" s="16" t="n">
        <v>0.5836450015162236</v>
      </c>
      <c r="X218" s="10" t="n">
        <v>6.56</v>
      </c>
      <c r="Y218" s="15">
        <f>IF(OR(X218="",G218="",G218=0),"",X218/G218)</f>
        <v/>
      </c>
      <c r="Z218" s="18" t="n">
        <v>189.9</v>
      </c>
      <c r="AA218" s="16" t="n">
        <v>0.076</v>
      </c>
      <c r="AB218" s="16" t="n">
        <v>0.05154464614655824</v>
      </c>
      <c r="AC218" s="9">
        <f>IF(AND(O218="",P218=""),"DATI MANCANTI",IF(AND(N(O218)&gt;=PARAMETRI!$B$4,N(P218)&gt;=PARAMETRI!$B$4),"OK","NO"))</f>
        <v/>
      </c>
      <c r="AD218" s="9">
        <f>IF(L218="","N/D",IF(L218&lt;PARAMETRI!$B$6,"OTTIMO",IF(L218&lt;PARAMETRI!$B$5,"OK","NO")))</f>
        <v/>
      </c>
      <c r="AE218" s="9">
        <f>IF(OR(AC218="DATI MANCANTI",AD218="N/D"),"DA COMPLETARE",IF(AND(AC218="OK",AD218="OTTIMO"),"PASSA FORTE",IF(AND(AC218="OK",AD218="OK"),"PASSA","SCARTA")))</f>
        <v/>
      </c>
      <c r="AF218" s="8" t="inlineStr">
        <is>
          <t>2026-08-04</t>
        </is>
      </c>
      <c r="AG218" s="8" t="inlineStr">
        <is>
          <t>yahoo</t>
        </is>
      </c>
      <c r="AH218" s="19" t="inlineStr"/>
    </row>
    <row r="219">
      <c r="A219" s="8" t="n">
        <v>218</v>
      </c>
      <c r="B219" s="8" t="inlineStr">
        <is>
          <t>United Rentals</t>
        </is>
      </c>
      <c r="C219" s="8" t="inlineStr">
        <is>
          <t>URI</t>
        </is>
      </c>
      <c r="D219" s="9" t="inlineStr">
        <is>
          <t>USA</t>
        </is>
      </c>
      <c r="E219" s="8" t="inlineStr">
        <is>
          <t>Noleggio attrezzature</t>
        </is>
      </c>
      <c r="F219" s="9" t="inlineStr">
        <is>
          <t>Industriale</t>
        </is>
      </c>
      <c r="G219" s="10" t="n">
        <v>1115.92</v>
      </c>
      <c r="H219" s="11" t="inlineStr">
        <is>
          <t>USD</t>
        </is>
      </c>
      <c r="I219" s="12" t="n">
        <v>69457.60000000001</v>
      </c>
      <c r="J219" s="10" t="n">
        <v>41.55</v>
      </c>
      <c r="K219" s="10" t="n">
        <v>56.41793</v>
      </c>
      <c r="L219" s="13">
        <f>IF(OR(G219="",J219="",J219&lt;=0),"",G219/J219)</f>
        <v/>
      </c>
      <c r="M219" s="14" t="n">
        <v>7.5416307</v>
      </c>
      <c r="N219" s="15">
        <f>IF(OR(M219="",L219="",L219&lt;=0),"",M219/L219)</f>
        <v/>
      </c>
      <c r="O219" s="16" t="n">
        <v>0.28895</v>
      </c>
      <c r="P219" s="16" t="n">
        <v>0.2932459241968061</v>
      </c>
      <c r="Q219" s="16" t="n">
        <v>0.008747380113543703</v>
      </c>
      <c r="R219" s="17" t="n">
        <v>4</v>
      </c>
      <c r="S219" s="16" t="n"/>
      <c r="T219" s="16" t="n">
        <v>0.278099910793934</v>
      </c>
      <c r="U219" s="16" t="n">
        <v>0.298654604500116</v>
      </c>
      <c r="V219" s="16" t="n">
        <v>0.2981549815498155</v>
      </c>
      <c r="W219" s="16" t="n">
        <v>0.2980741999433588</v>
      </c>
      <c r="X219" s="10" t="n">
        <v>7.88</v>
      </c>
      <c r="Y219" s="15">
        <f>IF(OR(X219="",G219="",G219=0),"",X219/G219)</f>
        <v/>
      </c>
      <c r="Z219" s="18" t="n">
        <v>166.793</v>
      </c>
      <c r="AA219" s="16" t="n">
        <v>0.118</v>
      </c>
      <c r="AB219" s="16" t="n">
        <v>0.1638611173364805</v>
      </c>
      <c r="AC219" s="9">
        <f>IF(AND(O219="",P219=""),"DATI MANCANTI",IF(AND(N(O219)&gt;=PARAMETRI!$B$4,N(P219)&gt;=PARAMETRI!$B$4),"OK","NO"))</f>
        <v/>
      </c>
      <c r="AD219" s="9">
        <f>IF(L219="","N/D",IF(L219&lt;PARAMETRI!$B$6,"OTTIMO",IF(L219&lt;PARAMETRI!$B$5,"OK","NO")))</f>
        <v/>
      </c>
      <c r="AE219" s="9">
        <f>IF(OR(AC219="DATI MANCANTI",AD219="N/D"),"DA COMPLETARE",IF(AND(AC219="OK",AD219="OTTIMO"),"PASSA FORTE",IF(AND(AC219="OK",AD219="OK"),"PASSA","SCARTA")))</f>
        <v/>
      </c>
      <c r="AF219" s="8" t="inlineStr">
        <is>
          <t>2026-08-04</t>
        </is>
      </c>
      <c r="AG219" s="8" t="inlineStr">
        <is>
          <t>yahoo</t>
        </is>
      </c>
      <c r="AH219" s="19" t="inlineStr"/>
    </row>
    <row r="220">
      <c r="A220" s="8" t="n">
        <v>219</v>
      </c>
      <c r="B220" s="8" t="inlineStr">
        <is>
          <t>UnitedHealth Group</t>
        </is>
      </c>
      <c r="C220" s="8" t="inlineStr">
        <is>
          <t>UNH</t>
        </is>
      </c>
      <c r="D220" s="9" t="inlineStr">
        <is>
          <t>USA</t>
        </is>
      </c>
      <c r="E220" s="8" t="inlineStr">
        <is>
          <t>Assicurazione sanitaria</t>
        </is>
      </c>
      <c r="F220" s="9" t="inlineStr">
        <is>
          <t>Salute</t>
        </is>
      </c>
      <c r="G220" s="10" t="n">
        <v>415.36</v>
      </c>
      <c r="H220" s="11" t="inlineStr">
        <is>
          <t>USD</t>
        </is>
      </c>
      <c r="I220" s="12" t="n">
        <v>377206.8</v>
      </c>
      <c r="J220" s="10" t="n">
        <v>13.26</v>
      </c>
      <c r="K220" s="10" t="n">
        <v>22.43544</v>
      </c>
      <c r="L220" s="13">
        <f>IF(OR(G220="",J220="",J220&lt;=0),"",G220/J220)</f>
        <v/>
      </c>
      <c r="M220" s="14" t="n">
        <v>3.6006482</v>
      </c>
      <c r="N220" s="15">
        <f>IF(OR(M220="",L220="",L220&lt;=0),"",M220/L220)</f>
        <v/>
      </c>
      <c r="O220" s="16" t="n">
        <v>0.14152999</v>
      </c>
      <c r="P220" s="16" t="n">
        <v>0.1986094387672269</v>
      </c>
      <c r="Q220" s="16" t="n">
        <v>0.05768840645771321</v>
      </c>
      <c r="R220" s="17" t="n">
        <v>4</v>
      </c>
      <c r="S220" s="16" t="n"/>
      <c r="T220" s="16" t="n">
        <v>0.1281054085644459</v>
      </c>
      <c r="U220" s="16" t="n">
        <v>0.1554641801031751</v>
      </c>
      <c r="V220" s="16" t="n">
        <v>0.2521632340348822</v>
      </c>
      <c r="W220" s="16" t="n">
        <v>0.2587049323664043</v>
      </c>
      <c r="X220" s="10" t="n">
        <v>9.279999999999999</v>
      </c>
      <c r="Y220" s="15">
        <f>IF(OR(X220="",G220="",G220=0),"",X220/G220)</f>
        <v/>
      </c>
      <c r="Z220" s="18" t="n">
        <v>69.211</v>
      </c>
      <c r="AA220" s="16" t="n">
        <v>0.004</v>
      </c>
      <c r="AB220" s="16" t="n">
        <v>0.03155281864838114</v>
      </c>
      <c r="AC220" s="9">
        <f>IF(AND(O220="",P220=""),"DATI MANCANTI",IF(AND(N(O220)&gt;=PARAMETRI!$B$4,N(P220)&gt;=PARAMETRI!$B$4),"OK","NO"))</f>
        <v/>
      </c>
      <c r="AD220" s="9">
        <f>IF(L220="","N/D",IF(L220&lt;PARAMETRI!$B$6,"OTTIMO",IF(L220&lt;PARAMETRI!$B$5,"OK","NO")))</f>
        <v/>
      </c>
      <c r="AE220" s="9">
        <f>IF(OR(AC220="DATI MANCANTI",AD220="N/D"),"DA COMPLETARE",IF(AND(AC220="OK",AD220="OTTIMO"),"PASSA FORTE",IF(AND(AC220="OK",AD220="OK"),"PASSA","SCARTA")))</f>
        <v/>
      </c>
      <c r="AF220" s="8" t="inlineStr">
        <is>
          <t>2026-08-04</t>
        </is>
      </c>
      <c r="AG220" s="8" t="inlineStr">
        <is>
          <t>yahoo</t>
        </is>
      </c>
      <c r="AH220" s="19" t="inlineStr"/>
    </row>
    <row r="221">
      <c r="A221" s="8" t="n">
        <v>220</v>
      </c>
      <c r="B221" s="8" t="inlineStr">
        <is>
          <t>Valero Energy</t>
        </is>
      </c>
      <c r="C221" s="8" t="inlineStr">
        <is>
          <t>VLO</t>
        </is>
      </c>
      <c r="D221" s="9" t="inlineStr">
        <is>
          <t>USA</t>
        </is>
      </c>
      <c r="E221" s="8" t="inlineStr">
        <is>
          <t>Raffinazione</t>
        </is>
      </c>
      <c r="F221" s="9" t="inlineStr">
        <is>
          <t>Energia</t>
        </is>
      </c>
      <c r="G221" s="10" t="n">
        <v>307.54</v>
      </c>
      <c r="H221" s="11" t="inlineStr">
        <is>
          <t>USD</t>
        </is>
      </c>
      <c r="I221" s="12" t="n">
        <v>88549.2</v>
      </c>
      <c r="J221" s="10" t="n">
        <v>23.97</v>
      </c>
      <c r="K221" s="10" t="n">
        <v>27.35229</v>
      </c>
      <c r="L221" s="13">
        <f>IF(OR(G221="",J221="",J221&lt;=0),"",G221/J221)</f>
        <v/>
      </c>
      <c r="M221" s="14" t="n">
        <v>3.8256955</v>
      </c>
      <c r="N221" s="15">
        <f>IF(OR(M221="",L221="",L221&lt;=0),"",M221/L221)</f>
        <v/>
      </c>
      <c r="O221" s="16" t="n">
        <v>0.27637</v>
      </c>
      <c r="P221" s="16" t="n">
        <v>0.2591503425025153</v>
      </c>
      <c r="Q221" s="16" t="n">
        <v>0.1626219038409605</v>
      </c>
      <c r="R221" s="17" t="n">
        <v>4</v>
      </c>
      <c r="S221" s="16" t="n"/>
      <c r="T221" s="16" t="n">
        <v>0.09896733403582719</v>
      </c>
      <c r="U221" s="16" t="n">
        <v>0.1130058746736292</v>
      </c>
      <c r="V221" s="16" t="n">
        <v>0.3353450239125484</v>
      </c>
      <c r="W221" s="16" t="n">
        <v>0.4892831373880565</v>
      </c>
      <c r="X221" s="10" t="n">
        <v>4.8</v>
      </c>
      <c r="Y221" s="15">
        <f>IF(OR(X221="",G221="",G221=0),"",X221/G221)</f>
        <v/>
      </c>
      <c r="Z221" s="18" t="n">
        <v>40.148</v>
      </c>
      <c r="AA221" s="16" t="n">
        <v>0.517</v>
      </c>
      <c r="AB221" s="16" t="n">
        <v>0.05862886806263092</v>
      </c>
      <c r="AC221" s="9">
        <f>IF(AND(O221="",P221=""),"DATI MANCANTI",IF(AND(N(O221)&gt;=PARAMETRI!$B$4,N(P221)&gt;=PARAMETRI!$B$4),"OK","NO"))</f>
        <v/>
      </c>
      <c r="AD221" s="9">
        <f>IF(L221="","N/D",IF(L221&lt;PARAMETRI!$B$6,"OTTIMO",IF(L221&lt;PARAMETRI!$B$5,"OK","NO")))</f>
        <v/>
      </c>
      <c r="AE221" s="9">
        <f>IF(OR(AC221="DATI MANCANTI",AD221="N/D"),"DA COMPLETARE",IF(AND(AC221="OK",AD221="OTTIMO"),"PASSA FORTE",IF(AND(AC221="OK",AD221="OK"),"PASSA","SCARTA")))</f>
        <v/>
      </c>
      <c r="AF221" s="8" t="inlineStr">
        <is>
          <t>2026-08-04</t>
        </is>
      </c>
      <c r="AG221" s="8" t="inlineStr">
        <is>
          <t>yahoo</t>
        </is>
      </c>
      <c r="AH221" s="19" t="inlineStr"/>
    </row>
    <row r="222">
      <c r="A222" s="8" t="n">
        <v>221</v>
      </c>
      <c r="B222" s="8" t="inlineStr">
        <is>
          <t>Vertex Pharmaceuticals</t>
        </is>
      </c>
      <c r="C222" s="8" t="inlineStr">
        <is>
          <t>VRTX</t>
        </is>
      </c>
      <c r="D222" s="9" t="inlineStr">
        <is>
          <t>USA</t>
        </is>
      </c>
      <c r="E222" s="8" t="inlineStr">
        <is>
          <t>Biotecnologie</t>
        </is>
      </c>
      <c r="F222" s="9" t="inlineStr">
        <is>
          <t>Salute</t>
        </is>
      </c>
      <c r="G222" s="10" t="n">
        <v>470.72</v>
      </c>
      <c r="H222" s="11" t="inlineStr">
        <is>
          <t>USD</t>
        </is>
      </c>
      <c r="I222" s="12" t="n">
        <v>119471.3</v>
      </c>
      <c r="J222" s="10" t="n">
        <v>16.84</v>
      </c>
      <c r="K222" s="10" t="n">
        <v>21.33995</v>
      </c>
      <c r="L222" s="13">
        <f>IF(OR(G222="",J222="",J222&lt;=0),"",G222/J222)</f>
        <v/>
      </c>
      <c r="M222" s="14" t="n">
        <v>6.1791306</v>
      </c>
      <c r="N222" s="15">
        <f>IF(OR(M222="",L222="",L222&lt;=0),"",M222/L222)</f>
        <v/>
      </c>
      <c r="O222" s="16" t="n">
        <v>0.24197</v>
      </c>
      <c r="P222" s="16" t="n">
        <v>0.1559529985811414</v>
      </c>
      <c r="Q222" s="16" t="n">
        <v>0.1095874808620584</v>
      </c>
      <c r="R222" s="17" t="n">
        <v>4</v>
      </c>
      <c r="S222" s="16" t="n"/>
      <c r="T222" s="16" t="n">
        <v>0.2117884044616357</v>
      </c>
      <c r="U222" s="16" t="n">
        <v>-0.03263943057722309</v>
      </c>
      <c r="V222" s="16" t="n">
        <v>0.2058883756911105</v>
      </c>
      <c r="W222" s="16" t="n">
        <v>0.2387746447490423</v>
      </c>
      <c r="X222" s="10" t="n"/>
      <c r="Y222" s="15">
        <f>IF(OR(X222="",G222="",G222=0),"",X222/G222)</f>
        <v/>
      </c>
      <c r="Z222" s="18" t="n">
        <v>10.26</v>
      </c>
      <c r="AA222" s="16" t="n">
        <v>0.078</v>
      </c>
      <c r="AB222" s="16" t="n">
        <v>0.3614858310349712</v>
      </c>
      <c r="AC222" s="9">
        <f>IF(AND(O222="",P222=""),"DATI MANCANTI",IF(AND(N(O222)&gt;=PARAMETRI!$B$4,N(P222)&gt;=PARAMETRI!$B$4),"OK","NO"))</f>
        <v/>
      </c>
      <c r="AD222" s="9">
        <f>IF(L222="","N/D",IF(L222&lt;PARAMETRI!$B$6,"OTTIMO",IF(L222&lt;PARAMETRI!$B$5,"OK","NO")))</f>
        <v/>
      </c>
      <c r="AE222" s="9">
        <f>IF(OR(AC222="DATI MANCANTI",AD222="N/D"),"DA COMPLETARE",IF(AND(AC222="OK",AD222="OTTIMO"),"PASSA FORTE",IF(AND(AC222="OK",AD222="OK"),"PASSA","SCARTA")))</f>
        <v/>
      </c>
      <c r="AF222" s="8" t="inlineStr">
        <is>
          <t>2026-08-04</t>
        </is>
      </c>
      <c r="AG222" s="8" t="inlineStr">
        <is>
          <t>yahoo</t>
        </is>
      </c>
      <c r="AH222" s="19" t="inlineStr"/>
    </row>
    <row r="223">
      <c r="A223" s="8" t="n">
        <v>222</v>
      </c>
      <c r="B223" s="8" t="inlineStr">
        <is>
          <t>Vertiv Holdings</t>
        </is>
      </c>
      <c r="C223" s="8" t="inlineStr">
        <is>
          <t>VRT</t>
        </is>
      </c>
      <c r="D223" s="9" t="inlineStr">
        <is>
          <t>USA</t>
        </is>
      </c>
      <c r="E223" s="8" t="inlineStr">
        <is>
          <t>Infrastrutture data center</t>
        </is>
      </c>
      <c r="F223" s="9" t="inlineStr">
        <is>
          <t>Industriale</t>
        </is>
      </c>
      <c r="G223" s="10" t="n">
        <v>263.05</v>
      </c>
      <c r="H223" s="11" t="inlineStr">
        <is>
          <t>USD</t>
        </is>
      </c>
      <c r="I223" s="12" t="n">
        <v>101271.1</v>
      </c>
      <c r="J223" s="10" t="n">
        <v>4.42</v>
      </c>
      <c r="K223" s="10" t="n">
        <v>9.084989999999999</v>
      </c>
      <c r="L223" s="13">
        <f>IF(OR(G223="",J223="",J223&lt;=0),"",G223/J223)</f>
        <v/>
      </c>
      <c r="M223" s="14" t="n">
        <v>23.792511</v>
      </c>
      <c r="N223" s="15">
        <f>IF(OR(M223="",L223="",L223&lt;=0),"",M223/L223)</f>
        <v/>
      </c>
      <c r="O223" s="16" t="n">
        <v>0.43943</v>
      </c>
      <c r="P223" s="16" t="n">
        <v>0.2058394575908118</v>
      </c>
      <c r="Q223" s="16" t="n">
        <v>0.1016672316552922</v>
      </c>
      <c r="R223" s="17" t="n">
        <v>4</v>
      </c>
      <c r="S223" s="16" t="n"/>
      <c r="T223" s="16" t="n">
        <v>0.3381625352041205</v>
      </c>
      <c r="U223" s="16" t="n">
        <v>0.2036725136589574</v>
      </c>
      <c r="V223" s="16" t="n">
        <v>0.2283984316839545</v>
      </c>
      <c r="W223" s="16" t="n">
        <v>0.05312434981621472</v>
      </c>
      <c r="X223" s="10" t="n">
        <v>0.25</v>
      </c>
      <c r="Y223" s="15">
        <f>IF(OR(X223="",G223="",G223=0),"",X223/G223)</f>
        <v/>
      </c>
      <c r="Z223" s="18" t="n">
        <v>70.166</v>
      </c>
      <c r="AA223" s="16" t="n">
        <v>0.241</v>
      </c>
      <c r="AB223" s="16" t="n">
        <v>0.1693076178652773</v>
      </c>
      <c r="AC223" s="9">
        <f>IF(AND(O223="",P223=""),"DATI MANCANTI",IF(AND(N(O223)&gt;=PARAMETRI!$B$4,N(P223)&gt;=PARAMETRI!$B$4),"OK","NO"))</f>
        <v/>
      </c>
      <c r="AD223" s="9">
        <f>IF(L223="","N/D",IF(L223&lt;PARAMETRI!$B$6,"OTTIMO",IF(L223&lt;PARAMETRI!$B$5,"OK","NO")))</f>
        <v/>
      </c>
      <c r="AE223" s="9">
        <f>IF(OR(AC223="DATI MANCANTI",AD223="N/D"),"DA COMPLETARE",IF(AND(AC223="OK",AD223="OTTIMO"),"PASSA FORTE",IF(AND(AC223="OK",AD223="OK"),"PASSA","SCARTA")))</f>
        <v/>
      </c>
      <c r="AF223" s="8" t="inlineStr">
        <is>
          <t>2026-08-04</t>
        </is>
      </c>
      <c r="AG223" s="8" t="inlineStr">
        <is>
          <t>yahoo</t>
        </is>
      </c>
      <c r="AH223" s="19" t="inlineStr"/>
    </row>
    <row r="224">
      <c r="A224" s="8" t="n">
        <v>223</v>
      </c>
      <c r="B224" s="8" t="inlineStr">
        <is>
          <t>Visa</t>
        </is>
      </c>
      <c r="C224" s="8" t="inlineStr">
        <is>
          <t>V</t>
        </is>
      </c>
      <c r="D224" s="9" t="inlineStr">
        <is>
          <t>USA</t>
        </is>
      </c>
      <c r="E224" s="8" t="inlineStr">
        <is>
          <t>Pagamenti</t>
        </is>
      </c>
      <c r="F224" s="9" t="inlineStr">
        <is>
          <t>Finanziario</t>
        </is>
      </c>
      <c r="G224" s="10" t="n">
        <v>365.67</v>
      </c>
      <c r="H224" s="11" t="inlineStr">
        <is>
          <t>USD</t>
        </is>
      </c>
      <c r="I224" s="12" t="n">
        <v>682723.2</v>
      </c>
      <c r="J224" s="10" t="n">
        <v>11.75</v>
      </c>
      <c r="K224" s="10" t="n">
        <v>14.95217</v>
      </c>
      <c r="L224" s="13">
        <f>IF(OR(G224="",J224="",J224&lt;=0),"",G224/J224)</f>
        <v/>
      </c>
      <c r="M224" s="14" t="n">
        <v>19.378378</v>
      </c>
      <c r="N224" s="15">
        <f>IF(OR(M224="",L224="",L224&lt;=0),"",M224/L224)</f>
        <v/>
      </c>
      <c r="O224" s="16" t="n">
        <v>0.6119</v>
      </c>
      <c r="P224" s="16" t="n">
        <v>0.4749707904577081</v>
      </c>
      <c r="Q224" s="16" t="n">
        <v>0.0436591756067068</v>
      </c>
      <c r="R224" s="17" t="n">
        <v>4</v>
      </c>
      <c r="S224" s="16" t="n"/>
      <c r="T224" s="16" t="n">
        <v>0.5291091825160252</v>
      </c>
      <c r="U224" s="16" t="n">
        <v>0.504458696374275</v>
      </c>
      <c r="V224" s="16" t="n">
        <v>0.445950481501562</v>
      </c>
      <c r="W224" s="16" t="n">
        <v>0.4203648014389703</v>
      </c>
      <c r="X224" s="10" t="n">
        <v>2.68</v>
      </c>
      <c r="Y224" s="15">
        <f>IF(OR(X224="",G224="",G224=0),"",X224/G224)</f>
        <v/>
      </c>
      <c r="Z224" s="18" t="n">
        <v>67.821</v>
      </c>
      <c r="AA224" s="16" t="n">
        <v>0.144</v>
      </c>
      <c r="AB224" s="16" t="n">
        <v>0.5599499776</v>
      </c>
      <c r="AC224" s="9">
        <f>IF(AND(O224="",P224=""),"DATI MANCANTI",IF(AND(N(O224)&gt;=PARAMETRI!$B$4,N(P224)&gt;=PARAMETRI!$B$4),"OK","NO"))</f>
        <v/>
      </c>
      <c r="AD224" s="9">
        <f>IF(L224="","N/D",IF(L224&lt;PARAMETRI!$B$6,"OTTIMO",IF(L224&lt;PARAMETRI!$B$5,"OK","NO")))</f>
        <v/>
      </c>
      <c r="AE224" s="9">
        <f>IF(OR(AC224="DATI MANCANTI",AD224="N/D"),"DA COMPLETARE",IF(AND(AC224="OK",AD224="OTTIMO"),"PASSA FORTE",IF(AND(AC224="OK",AD224="OK"),"PASSA","SCARTA")))</f>
        <v/>
      </c>
      <c r="AF224" s="8" t="inlineStr">
        <is>
          <t>2026-08-04</t>
        </is>
      </c>
      <c r="AG224" s="8" t="inlineStr">
        <is>
          <t>yahoo</t>
        </is>
      </c>
      <c r="AH224" s="19" t="inlineStr"/>
    </row>
    <row r="225">
      <c r="A225" s="8" t="n">
        <v>224</v>
      </c>
      <c r="B225" s="8" t="inlineStr">
        <is>
          <t>Vistra</t>
        </is>
      </c>
      <c r="C225" s="8" t="inlineStr">
        <is>
          <t>VST</t>
        </is>
      </c>
      <c r="D225" s="9" t="inlineStr">
        <is>
          <t>USA</t>
        </is>
      </c>
      <c r="E225" s="8" t="inlineStr">
        <is>
          <t>Utility / Generazione</t>
        </is>
      </c>
      <c r="F225" s="9" t="inlineStr">
        <is>
          <t>Utility</t>
        </is>
      </c>
      <c r="G225" s="10" t="n">
        <v>155.94</v>
      </c>
      <c r="H225" s="11" t="inlineStr">
        <is>
          <t>USD</t>
        </is>
      </c>
      <c r="I225" s="12" t="n">
        <v>52580.2</v>
      </c>
      <c r="J225" s="10" t="n">
        <v>5.99</v>
      </c>
      <c r="K225" s="10" t="n">
        <v>10.32961</v>
      </c>
      <c r="L225" s="13">
        <f>IF(OR(G225="",J225="",J225&lt;=0),"",G225/J225)</f>
        <v/>
      </c>
      <c r="M225" s="14" t="n">
        <v>16.891247</v>
      </c>
      <c r="N225" s="15">
        <f>IF(OR(M225="",L225="",L225&lt;=0),"",M225/L225)</f>
        <v/>
      </c>
      <c r="O225" s="16" t="n">
        <v>0.42898</v>
      </c>
      <c r="P225" s="16" t="n">
        <v>0.1734015879673228</v>
      </c>
      <c r="Q225" s="16" t="n">
        <v>0.2663256640903746</v>
      </c>
      <c r="R225" s="17" t="n">
        <v>4</v>
      </c>
      <c r="S225" s="16" t="n"/>
      <c r="T225" s="16" t="n">
        <v>0.1852069845006867</v>
      </c>
      <c r="U225" s="16" t="n">
        <v>0.4773788150807899</v>
      </c>
      <c r="V225" s="16" t="n">
        <v>0.2813265498398342</v>
      </c>
      <c r="W225" s="16" t="n">
        <v>-0.2503059975520196</v>
      </c>
      <c r="X225" s="10" t="n">
        <v>0.92</v>
      </c>
      <c r="Y225" s="15">
        <f>IF(OR(X225="",G225="",G225=0),"",X225/G225)</f>
        <v/>
      </c>
      <c r="Z225" s="18" t="n">
        <v>366.613</v>
      </c>
      <c r="AA225" s="16" t="n">
        <v>0.434</v>
      </c>
      <c r="AB225" s="16" t="n">
        <v>0.1155147105648889</v>
      </c>
      <c r="AC225" s="9">
        <f>IF(AND(O225="",P225=""),"DATI MANCANTI",IF(AND(N(O225)&gt;=PARAMETRI!$B$4,N(P225)&gt;=PARAMETRI!$B$4),"OK","NO"))</f>
        <v/>
      </c>
      <c r="AD225" s="9">
        <f>IF(L225="","N/D",IF(L225&lt;PARAMETRI!$B$6,"OTTIMO",IF(L225&lt;PARAMETRI!$B$5,"OK","NO")))</f>
        <v/>
      </c>
      <c r="AE225" s="9">
        <f>IF(OR(AC225="DATI MANCANTI",AD225="N/D"),"DA COMPLETARE",IF(AND(AC225="OK",AD225="OTTIMO"),"PASSA FORTE",IF(AND(AC225="OK",AD225="OK"),"PASSA","SCARTA")))</f>
        <v/>
      </c>
      <c r="AF225" s="8" t="inlineStr">
        <is>
          <t>2026-08-04</t>
        </is>
      </c>
      <c r="AG225" s="8" t="inlineStr">
        <is>
          <t>yahoo</t>
        </is>
      </c>
      <c r="AH225" s="19" t="inlineStr"/>
    </row>
    <row r="226">
      <c r="A226" s="8" t="n">
        <v>225</v>
      </c>
      <c r="B226" s="8" t="inlineStr">
        <is>
          <t>Walmart</t>
        </is>
      </c>
      <c r="C226" s="8" t="inlineStr">
        <is>
          <t>WMT</t>
        </is>
      </c>
      <c r="D226" s="9" t="inlineStr">
        <is>
          <t>USA</t>
        </is>
      </c>
      <c r="E226" s="8" t="inlineStr">
        <is>
          <t>Grande distribuzione</t>
        </is>
      </c>
      <c r="F226" s="9" t="inlineStr">
        <is>
          <t>Consumi</t>
        </is>
      </c>
      <c r="G226" s="10" t="n">
        <v>110.71</v>
      </c>
      <c r="H226" s="11" t="inlineStr">
        <is>
          <t>USD</t>
        </is>
      </c>
      <c r="I226" s="12" t="n">
        <v>881038.9</v>
      </c>
      <c r="J226" s="10" t="n">
        <v>2.84</v>
      </c>
      <c r="K226" s="10" t="n">
        <v>3.27981</v>
      </c>
      <c r="L226" s="13">
        <f>IF(OR(G226="",J226="",J226&lt;=0),"",G226/J226)</f>
        <v/>
      </c>
      <c r="M226" s="14" t="n">
        <v>9.344193000000001</v>
      </c>
      <c r="N226" s="15">
        <f>IF(OR(M226="",L226="",L226&lt;=0),"",M226/L226)</f>
        <v/>
      </c>
      <c r="O226" s="16" t="n">
        <v>0.24132</v>
      </c>
      <c r="P226" s="16" t="n">
        <v>0.1926449949502596</v>
      </c>
      <c r="Q226" s="16" t="n">
        <v>0.02673988363519914</v>
      </c>
      <c r="R226" s="17" t="n">
        <v>4</v>
      </c>
      <c r="S226" s="16" t="n">
        <v>0.2197717257094673</v>
      </c>
      <c r="T226" s="16" t="n">
        <v>0.2135519101666795</v>
      </c>
      <c r="U226" s="16" t="n">
        <v>0.1849608280368705</v>
      </c>
      <c r="V226" s="16" t="n">
        <v>0.1522955158880211</v>
      </c>
      <c r="W226" s="16" t="n"/>
      <c r="X226" s="10" t="n">
        <v>0.99</v>
      </c>
      <c r="Y226" s="15">
        <f>IF(OR(X226="",G226="",G226=0),"",X226/G226)</f>
        <v/>
      </c>
      <c r="Z226" s="18" t="n">
        <v>74.816</v>
      </c>
      <c r="AA226" s="16" t="n">
        <v>0.073</v>
      </c>
      <c r="AB226" s="16" t="n">
        <v>0.03188050834942362</v>
      </c>
      <c r="AC226" s="9">
        <f>IF(AND(O226="",P226=""),"DATI MANCANTI",IF(AND(N(O226)&gt;=PARAMETRI!$B$4,N(P226)&gt;=PARAMETRI!$B$4),"OK","NO"))</f>
        <v/>
      </c>
      <c r="AD226" s="9">
        <f>IF(L226="","N/D",IF(L226&lt;PARAMETRI!$B$6,"OTTIMO",IF(L226&lt;PARAMETRI!$B$5,"OK","NO")))</f>
        <v/>
      </c>
      <c r="AE226" s="9">
        <f>IF(OR(AC226="DATI MANCANTI",AD226="N/D"),"DA COMPLETARE",IF(AND(AC226="OK",AD226="OTTIMO"),"PASSA FORTE",IF(AND(AC226="OK",AD226="OK"),"PASSA","SCARTA")))</f>
        <v/>
      </c>
      <c r="AF226" s="8" t="inlineStr">
        <is>
          <t>2026-08-04</t>
        </is>
      </c>
      <c r="AG226" s="8" t="inlineStr">
        <is>
          <t>yahoo</t>
        </is>
      </c>
      <c r="AH226" s="19" t="inlineStr"/>
    </row>
    <row r="227">
      <c r="A227" s="8" t="n">
        <v>226</v>
      </c>
      <c r="B227" s="8" t="inlineStr">
        <is>
          <t>Walt Disney</t>
        </is>
      </c>
      <c r="C227" s="8" t="inlineStr">
        <is>
          <t>DIS</t>
        </is>
      </c>
      <c r="D227" s="9" t="inlineStr">
        <is>
          <t>USA</t>
        </is>
      </c>
      <c r="E227" s="8" t="inlineStr">
        <is>
          <t>Media / Intrattenimento</t>
        </is>
      </c>
      <c r="F227" s="9" t="inlineStr">
        <is>
          <t>Consumi</t>
        </is>
      </c>
      <c r="G227" s="10" t="n">
        <v>98.14</v>
      </c>
      <c r="H227" s="11" t="inlineStr">
        <is>
          <t>USD</t>
        </is>
      </c>
      <c r="I227" s="12" t="n">
        <v>170421.2</v>
      </c>
      <c r="J227" s="10" t="n">
        <v>6.25</v>
      </c>
      <c r="K227" s="10" t="n">
        <v>7.45755</v>
      </c>
      <c r="L227" s="13">
        <f>IF(OR(G227="",J227="",J227&lt;=0),"",G227/J227)</f>
        <v/>
      </c>
      <c r="M227" s="14" t="n">
        <v>1.5753567</v>
      </c>
      <c r="N227" s="15">
        <f>IF(OR(M227="",L227="",L227&lt;=0),"",M227/L227)</f>
        <v/>
      </c>
      <c r="O227" s="16" t="n">
        <v>0.1101</v>
      </c>
      <c r="P227" s="16" t="n">
        <v>0.05477208440950006</v>
      </c>
      <c r="Q227" s="16" t="n">
        <v>0.03479253613600624</v>
      </c>
      <c r="R227" s="17" t="n">
        <v>4</v>
      </c>
      <c r="S227" s="16" t="n"/>
      <c r="T227" s="16" t="n">
        <v>0.1128980877226515</v>
      </c>
      <c r="U227" s="16" t="n">
        <v>0.04937634066894415</v>
      </c>
      <c r="V227" s="16" t="n">
        <v>0.02371143366540085</v>
      </c>
      <c r="W227" s="16" t="n">
        <v>0.0331024755810037</v>
      </c>
      <c r="X227" s="10" t="n">
        <v>1.5</v>
      </c>
      <c r="Y227" s="15">
        <f>IF(OR(X227="",G227="",G227=0),"",X227/G227)</f>
        <v/>
      </c>
      <c r="Z227" s="18" t="n">
        <v>41.069</v>
      </c>
      <c r="AA227" s="16" t="n">
        <v>0.065</v>
      </c>
      <c r="AB227" s="16" t="n">
        <v>0.1188668309451946</v>
      </c>
      <c r="AC227" s="9">
        <f>IF(AND(O227="",P227=""),"DATI MANCANTI",IF(AND(N(O227)&gt;=PARAMETRI!$B$4,N(P227)&gt;=PARAMETRI!$B$4),"OK","NO"))</f>
        <v/>
      </c>
      <c r="AD227" s="9">
        <f>IF(L227="","N/D",IF(L227&lt;PARAMETRI!$B$6,"OTTIMO",IF(L227&lt;PARAMETRI!$B$5,"OK","NO")))</f>
        <v/>
      </c>
      <c r="AE227" s="9">
        <f>IF(OR(AC227="DATI MANCANTI",AD227="N/D"),"DA COMPLETARE",IF(AND(AC227="OK",AD227="OTTIMO"),"PASSA FORTE",IF(AND(AC227="OK",AD227="OK"),"PASSA","SCARTA")))</f>
        <v/>
      </c>
      <c r="AF227" s="8" t="inlineStr">
        <is>
          <t>2026-08-04</t>
        </is>
      </c>
      <c r="AG227" s="8" t="inlineStr">
        <is>
          <t>yahoo</t>
        </is>
      </c>
      <c r="AH227" s="19" t="inlineStr"/>
    </row>
    <row r="228">
      <c r="A228" s="8" t="n">
        <v>227</v>
      </c>
      <c r="B228" s="8" t="inlineStr">
        <is>
          <t>Waste Management</t>
        </is>
      </c>
      <c r="C228" s="8" t="inlineStr">
        <is>
          <t>WM</t>
        </is>
      </c>
      <c r="D228" s="9" t="inlineStr">
        <is>
          <t>USA</t>
        </is>
      </c>
      <c r="E228" s="8" t="inlineStr">
        <is>
          <t>Servizi ambientali</t>
        </is>
      </c>
      <c r="F228" s="9" t="inlineStr">
        <is>
          <t>Industriale</t>
        </is>
      </c>
      <c r="G228" s="10" t="n">
        <v>226.43</v>
      </c>
      <c r="H228" s="11" t="inlineStr">
        <is>
          <t>USD</t>
        </is>
      </c>
      <c r="I228" s="12" t="n">
        <v>90507.5</v>
      </c>
      <c r="J228" s="10" t="n">
        <v>3.81</v>
      </c>
      <c r="K228" s="10" t="n">
        <v>9.14371</v>
      </c>
      <c r="L228" s="13">
        <f>IF(OR(G228="",J228="",J228&lt;=0),"",G228/J228)</f>
        <v/>
      </c>
      <c r="M228" s="14" t="n">
        <v>9.124722500000001</v>
      </c>
      <c r="N228" s="15">
        <f>IF(OR(M228="",L228="",L228&lt;=0),"",M228/L228)</f>
        <v/>
      </c>
      <c r="O228" s="16" t="n">
        <v>0.29841</v>
      </c>
      <c r="P228" s="16" t="n">
        <v>0.3160924607555183</v>
      </c>
      <c r="Q228" s="16" t="n">
        <v>0.02613080609356336</v>
      </c>
      <c r="R228" s="17" t="n">
        <v>4</v>
      </c>
      <c r="S228" s="16" t="n"/>
      <c r="T228" s="16" t="n">
        <v>0.2710710710710711</v>
      </c>
      <c r="U228" s="16" t="n">
        <v>0.3327678138633058</v>
      </c>
      <c r="V228" s="16" t="n">
        <v>0.333767926988266</v>
      </c>
      <c r="W228" s="16" t="n">
        <v>0.3267630310994306</v>
      </c>
      <c r="X228" s="10" t="n">
        <v>3.54</v>
      </c>
      <c r="Y228" s="15">
        <f>IF(OR(X228="",G228="",G228=0),"",X228/G228)</f>
        <v/>
      </c>
      <c r="Z228" s="18" t="n">
        <v>235.301</v>
      </c>
      <c r="AA228" s="16" t="n">
        <v>0.04</v>
      </c>
      <c r="AB228" s="16" t="n">
        <v>0.1131963155054753</v>
      </c>
      <c r="AC228" s="9">
        <f>IF(AND(O228="",P228=""),"DATI MANCANTI",IF(AND(N(O228)&gt;=PARAMETRI!$B$4,N(P228)&gt;=PARAMETRI!$B$4),"OK","NO"))</f>
        <v/>
      </c>
      <c r="AD228" s="9">
        <f>IF(L228="","N/D",IF(L228&lt;PARAMETRI!$B$6,"OTTIMO",IF(L228&lt;PARAMETRI!$B$5,"OK","NO")))</f>
        <v/>
      </c>
      <c r="AE228" s="9">
        <f>IF(OR(AC228="DATI MANCANTI",AD228="N/D"),"DA COMPLETARE",IF(AND(AC228="OK",AD228="OTTIMO"),"PASSA FORTE",IF(AND(AC228="OK",AD228="OK"),"PASSA","SCARTA")))</f>
        <v/>
      </c>
      <c r="AF228" s="8" t="inlineStr">
        <is>
          <t>2026-08-04</t>
        </is>
      </c>
      <c r="AG228" s="8" t="inlineStr">
        <is>
          <t>yahoo</t>
        </is>
      </c>
      <c r="AH228" s="19" t="inlineStr"/>
    </row>
    <row r="229">
      <c r="A229" s="8" t="n">
        <v>228</v>
      </c>
      <c r="B229" s="8" t="inlineStr">
        <is>
          <t>Webuild</t>
        </is>
      </c>
      <c r="C229" s="8" t="inlineStr">
        <is>
          <t>WBD.MI</t>
        </is>
      </c>
      <c r="D229" s="9" t="inlineStr">
        <is>
          <t>Italia</t>
        </is>
      </c>
      <c r="E229" s="8" t="inlineStr">
        <is>
          <t>Costruzioni</t>
        </is>
      </c>
      <c r="F229" s="9" t="inlineStr">
        <is>
          <t>Industriale</t>
        </is>
      </c>
      <c r="G229" s="10" t="n">
        <v>2.288</v>
      </c>
      <c r="H229" s="11" t="inlineStr">
        <is>
          <t>EUR</t>
        </is>
      </c>
      <c r="I229" s="12" t="n">
        <v>2262.4</v>
      </c>
      <c r="J229" s="10" t="n">
        <v>0.25</v>
      </c>
      <c r="K229" s="10" t="n">
        <v>0.35059</v>
      </c>
      <c r="L229" s="13">
        <f>IF(OR(G229="",J229="",J229&lt;=0),"",G229/J229)</f>
        <v/>
      </c>
      <c r="M229" s="14" t="n">
        <v>1.3538462</v>
      </c>
      <c r="N229" s="15">
        <f>IF(OR(M229="",L229="",L229&lt;=0),"",M229/L229)</f>
        <v/>
      </c>
      <c r="O229" s="16" t="n">
        <v>0.11915</v>
      </c>
      <c r="P229" s="16" t="n">
        <v>0.08623905340303167</v>
      </c>
      <c r="Q229" s="16" t="n">
        <v>0.05099301347626185</v>
      </c>
      <c r="R229" s="17" t="n">
        <v>4</v>
      </c>
      <c r="S229" s="16" t="n"/>
      <c r="T229" s="16" t="n">
        <v>0.1431968553016038</v>
      </c>
      <c r="U229" s="16" t="n">
        <v>0.1135025665119075</v>
      </c>
      <c r="V229" s="16" t="n">
        <v>0.08199027909741466</v>
      </c>
      <c r="W229" s="16" t="n">
        <v>0.006266512701200791</v>
      </c>
      <c r="X229" s="10" t="n">
        <v>0.08</v>
      </c>
      <c r="Y229" s="15">
        <f>IF(OR(X229="",G229="",G229=0),"",X229/G229)</f>
        <v/>
      </c>
      <c r="Z229" s="18" t="n">
        <v>175.257</v>
      </c>
      <c r="AA229" s="16" t="n">
        <v>-0.034</v>
      </c>
      <c r="AB229" s="16" t="n">
        <v>0.01923260372838383</v>
      </c>
      <c r="AC229" s="9">
        <f>IF(AND(O229="",P229=""),"DATI MANCANTI",IF(AND(N(O229)&gt;=PARAMETRI!$B$4,N(P229)&gt;=PARAMETRI!$B$4),"OK","NO"))</f>
        <v/>
      </c>
      <c r="AD229" s="9">
        <f>IF(L229="","N/D",IF(L229&lt;PARAMETRI!$B$6,"OTTIMO",IF(L229&lt;PARAMETRI!$B$5,"OK","NO")))</f>
        <v/>
      </c>
      <c r="AE229" s="9">
        <f>IF(OR(AC229="DATI MANCANTI",AD229="N/D"),"DA COMPLETARE",IF(AND(AC229="OK",AD229="OTTIMO"),"PASSA FORTE",IF(AND(AC229="OK",AD229="OK"),"PASSA","SCARTA")))</f>
        <v/>
      </c>
      <c r="AF229" s="8" t="inlineStr">
        <is>
          <t>2026-08-04</t>
        </is>
      </c>
      <c r="AG229" s="8" t="inlineStr">
        <is>
          <t>yahoo</t>
        </is>
      </c>
      <c r="AH229" s="19" t="inlineStr"/>
    </row>
    <row r="230">
      <c r="A230" s="8" t="n">
        <v>229</v>
      </c>
      <c r="B230" s="8" t="inlineStr">
        <is>
          <t>Wells Fargo</t>
        </is>
      </c>
      <c r="C230" s="8" t="inlineStr">
        <is>
          <t>WFC</t>
        </is>
      </c>
      <c r="D230" s="9" t="inlineStr">
        <is>
          <t>USA</t>
        </is>
      </c>
      <c r="E230" s="8" t="inlineStr">
        <is>
          <t>Banca</t>
        </is>
      </c>
      <c r="F230" s="9" t="inlineStr">
        <is>
          <t>Finanziario</t>
        </is>
      </c>
      <c r="G230" s="10" t="n">
        <v>87.89</v>
      </c>
      <c r="H230" s="11" t="inlineStr">
        <is>
          <t>USD</t>
        </is>
      </c>
      <c r="I230" s="12" t="n">
        <v>265779.3</v>
      </c>
      <c r="J230" s="10" t="n">
        <v>6.88</v>
      </c>
      <c r="K230" s="10" t="n">
        <v>7.88119</v>
      </c>
      <c r="L230" s="13">
        <f>IF(OR(G230="",J230="",J230&lt;=0),"",G230/J230)</f>
        <v/>
      </c>
      <c r="M230" s="14" t="n">
        <v>1.652254</v>
      </c>
      <c r="N230" s="15">
        <f>IF(OR(M230="",L230="",L230&lt;=0),"",M230/L230)</f>
        <v/>
      </c>
      <c r="O230" s="16" t="n">
        <v>0.12575</v>
      </c>
      <c r="P230" s="16" t="n">
        <v>0.1017166869476873</v>
      </c>
      <c r="Q230" s="16" t="n">
        <v>0.01579883207450957</v>
      </c>
      <c r="R230" s="17" t="n">
        <v>4</v>
      </c>
      <c r="S230" s="16" t="n"/>
      <c r="T230" s="16" t="n">
        <v>0.1178133471733741</v>
      </c>
      <c r="U230" s="16" t="n">
        <v>0.1101049575703439</v>
      </c>
      <c r="V230" s="16" t="n">
        <v>0.1030608124478424</v>
      </c>
      <c r="W230" s="16" t="n">
        <v>0.07588763059918881</v>
      </c>
      <c r="X230" s="10" t="n">
        <v>2</v>
      </c>
      <c r="Y230" s="15">
        <f>IF(OR(X230="",G230="",G230=0),"",X230/G230)</f>
        <v/>
      </c>
      <c r="Z230" s="18" t="n"/>
      <c r="AA230" s="16" t="n">
        <v>0.095</v>
      </c>
      <c r="AB230" s="16" t="n">
        <v>0.2582468076321103</v>
      </c>
      <c r="AC230" s="9">
        <f>IF(AND(O230="",P230=""),"DATI MANCANTI",IF(AND(N(O230)&gt;=PARAMETRI!$B$4,N(P230)&gt;=PARAMETRI!$B$4),"OK","NO"))</f>
        <v/>
      </c>
      <c r="AD230" s="9">
        <f>IF(L230="","N/D",IF(L230&lt;PARAMETRI!$B$6,"OTTIMO",IF(L230&lt;PARAMETRI!$B$5,"OK","NO")))</f>
        <v/>
      </c>
      <c r="AE230" s="9">
        <f>IF(OR(AC230="DATI MANCANTI",AD230="N/D"),"DA COMPLETARE",IF(AND(AC230="OK",AD230="OTTIMO"),"PASSA FORTE",IF(AND(AC230="OK",AD230="OK"),"PASSA","SCARTA")))</f>
        <v/>
      </c>
      <c r="AF230" s="8" t="inlineStr">
        <is>
          <t>2026-08-04</t>
        </is>
      </c>
      <c r="AG230" s="8" t="inlineStr">
        <is>
          <t>yahoo</t>
        </is>
      </c>
      <c r="AH230" s="19" t="inlineStr"/>
    </row>
    <row r="231">
      <c r="A231" s="8" t="n">
        <v>230</v>
      </c>
      <c r="B231" s="8" t="inlineStr">
        <is>
          <t>Williams Companies</t>
        </is>
      </c>
      <c r="C231" s="8" t="inlineStr">
        <is>
          <t>WMB</t>
        </is>
      </c>
      <c r="D231" s="9" t="inlineStr">
        <is>
          <t>USA</t>
        </is>
      </c>
      <c r="E231" s="8" t="inlineStr">
        <is>
          <t>Gasdotti</t>
        </is>
      </c>
      <c r="F231" s="9" t="inlineStr">
        <is>
          <t>Energia</t>
        </is>
      </c>
      <c r="G231" s="10" t="n">
        <v>70.43000000000001</v>
      </c>
      <c r="H231" s="11" t="inlineStr">
        <is>
          <t>USD</t>
        </is>
      </c>
      <c r="I231" s="12" t="n">
        <v>86135.8</v>
      </c>
      <c r="J231" s="10" t="n">
        <v>2.28</v>
      </c>
      <c r="K231" s="10" t="n">
        <v>2.57591</v>
      </c>
      <c r="L231" s="13">
        <f>IF(OR(G231="",J231="",J231&lt;=0),"",G231/J231)</f>
        <v/>
      </c>
      <c r="M231" s="14" t="n">
        <v>6.7384233</v>
      </c>
      <c r="N231" s="15">
        <f>IF(OR(M231="",L231="",L231&lt;=0),"",M231/L231)</f>
        <v/>
      </c>
      <c r="O231" s="16" t="n">
        <v>0.19656</v>
      </c>
      <c r="P231" s="16" t="n">
        <v>0.2045179374667133</v>
      </c>
      <c r="Q231" s="16" t="n">
        <v>0.03170850933970622</v>
      </c>
      <c r="R231" s="17" t="n">
        <v>4</v>
      </c>
      <c r="S231" s="16" t="n"/>
      <c r="T231" s="16" t="n">
        <v>0.2044194581088467</v>
      </c>
      <c r="U231" s="16" t="n">
        <v>0.1789160501769058</v>
      </c>
      <c r="V231" s="16" t="n">
        <v>0.2563296242541526</v>
      </c>
      <c r="W231" s="16" t="n">
        <v>0.1784066173269482</v>
      </c>
      <c r="X231" s="10" t="n">
        <v>2.1</v>
      </c>
      <c r="Y231" s="15">
        <f>IF(OR(X231="",G231="",G231=0),"",X231/G231)</f>
        <v/>
      </c>
      <c r="Z231" s="18" t="n">
        <v>199.855</v>
      </c>
      <c r="AA231" s="16" t="n">
        <v>0.09</v>
      </c>
      <c r="AB231" s="16" t="n">
        <v>0.2333891159832636</v>
      </c>
      <c r="AC231" s="9">
        <f>IF(AND(O231="",P231=""),"DATI MANCANTI",IF(AND(N(O231)&gt;=PARAMETRI!$B$4,N(P231)&gt;=PARAMETRI!$B$4),"OK","NO"))</f>
        <v/>
      </c>
      <c r="AD231" s="9">
        <f>IF(L231="","N/D",IF(L231&lt;PARAMETRI!$B$6,"OTTIMO",IF(L231&lt;PARAMETRI!$B$5,"OK","NO")))</f>
        <v/>
      </c>
      <c r="AE231" s="9">
        <f>IF(OR(AC231="DATI MANCANTI",AD231="N/D"),"DA COMPLETARE",IF(AND(AC231="OK",AD231="OTTIMO"),"PASSA FORTE",IF(AND(AC231="OK",AD231="OK"),"PASSA","SCARTA")))</f>
        <v/>
      </c>
      <c r="AF231" s="8" t="inlineStr">
        <is>
          <t>2026-08-04</t>
        </is>
      </c>
      <c r="AG231" s="8" t="inlineStr">
        <is>
          <t>yahoo</t>
        </is>
      </c>
      <c r="AH231" s="19" t="inlineStr"/>
    </row>
    <row r="232">
      <c r="A232" s="8" t="n">
        <v>231</v>
      </c>
      <c r="B232" s="8" t="inlineStr">
        <is>
          <t>Xcel Energy</t>
        </is>
      </c>
      <c r="C232" s="8" t="inlineStr">
        <is>
          <t>XEL</t>
        </is>
      </c>
      <c r="D232" s="9" t="inlineStr">
        <is>
          <t>USA</t>
        </is>
      </c>
      <c r="E232" s="8" t="inlineStr">
        <is>
          <t>Utility</t>
        </is>
      </c>
      <c r="F232" s="9" t="inlineStr">
        <is>
          <t>Utility</t>
        </is>
      </c>
      <c r="G232" s="10" t="n">
        <v>77.69</v>
      </c>
      <c r="H232" s="11" t="inlineStr">
        <is>
          <t>USD</t>
        </is>
      </c>
      <c r="I232" s="12" t="n">
        <v>48527.8</v>
      </c>
      <c r="J232" s="10" t="n">
        <v>3.65</v>
      </c>
      <c r="K232" s="10" t="n">
        <v>4.53802</v>
      </c>
      <c r="L232" s="13">
        <f>IF(OR(G232="",J232="",J232&lt;=0),"",G232/J232)</f>
        <v/>
      </c>
      <c r="M232" s="14" t="n">
        <v>2.0369158</v>
      </c>
      <c r="N232" s="15">
        <f>IF(OR(M232="",L232="",L232&lt;=0),"",M232/L232)</f>
        <v/>
      </c>
      <c r="O232" s="16" t="n">
        <v>0.0992</v>
      </c>
      <c r="P232" s="16" t="n">
        <v>0.09732189916854156</v>
      </c>
      <c r="Q232" s="16" t="n">
        <v>0.007073008672390108</v>
      </c>
      <c r="R232" s="17" t="n">
        <v>4</v>
      </c>
      <c r="S232" s="16" t="n"/>
      <c r="T232" s="16" t="n">
        <v>0.08547587784319539</v>
      </c>
      <c r="U232" s="16" t="n">
        <v>0.09917016699108698</v>
      </c>
      <c r="V232" s="16" t="n">
        <v>0.1005336058128974</v>
      </c>
      <c r="W232" s="16" t="n">
        <v>0.1041079460269865</v>
      </c>
      <c r="X232" s="10" t="n">
        <v>2.37</v>
      </c>
      <c r="Y232" s="15">
        <f>IF(OR(X232="",G232="",G232=0),"",X232/G232)</f>
        <v/>
      </c>
      <c r="Z232" s="18" t="n">
        <v>173.135</v>
      </c>
      <c r="AA232" s="16" t="n">
        <v>-0.051</v>
      </c>
      <c r="AB232" s="16" t="n">
        <v>0.1522257778989706</v>
      </c>
      <c r="AC232" s="9">
        <f>IF(AND(O232="",P232=""),"DATI MANCANTI",IF(AND(N(O232)&gt;=PARAMETRI!$B$4,N(P232)&gt;=PARAMETRI!$B$4),"OK","NO"))</f>
        <v/>
      </c>
      <c r="AD232" s="9">
        <f>IF(L232="","N/D",IF(L232&lt;PARAMETRI!$B$6,"OTTIMO",IF(L232&lt;PARAMETRI!$B$5,"OK","NO")))</f>
        <v/>
      </c>
      <c r="AE232" s="9">
        <f>IF(OR(AC232="DATI MANCANTI",AD232="N/D"),"DA COMPLETARE",IF(AND(AC232="OK",AD232="OTTIMO"),"PASSA FORTE",IF(AND(AC232="OK",AD232="OK"),"PASSA","SCARTA")))</f>
        <v/>
      </c>
      <c r="AF232" s="8" t="inlineStr">
        <is>
          <t>2026-08-04</t>
        </is>
      </c>
      <c r="AG232" s="8" t="inlineStr">
        <is>
          <t>yahoo</t>
        </is>
      </c>
      <c r="AH232" s="19" t="inlineStr"/>
    </row>
    <row r="233">
      <c r="A233" s="8" t="n">
        <v>232</v>
      </c>
      <c r="B233" s="8" t="inlineStr">
        <is>
          <t>Zoetis</t>
        </is>
      </c>
      <c r="C233" s="8" t="inlineStr">
        <is>
          <t>ZTS</t>
        </is>
      </c>
      <c r="D233" s="9" t="inlineStr">
        <is>
          <t>USA</t>
        </is>
      </c>
      <c r="E233" s="8" t="inlineStr">
        <is>
          <t>Salute animale</t>
        </is>
      </c>
      <c r="F233" s="9" t="inlineStr">
        <is>
          <t>Salute</t>
        </is>
      </c>
      <c r="G233" s="10" t="n">
        <v>77.09999999999999</v>
      </c>
      <c r="H233" s="11" t="inlineStr">
        <is>
          <t>USD</t>
        </is>
      </c>
      <c r="I233" s="12" t="n">
        <v>32322.5</v>
      </c>
      <c r="J233" s="10" t="n">
        <v>6.1</v>
      </c>
      <c r="K233" s="10" t="n">
        <v>7.39019</v>
      </c>
      <c r="L233" s="13">
        <f>IF(OR(G233="",J233="",J233&lt;=0),"",G233/J233)</f>
        <v/>
      </c>
      <c r="M233" s="14" t="n">
        <v>9.835438</v>
      </c>
      <c r="N233" s="15">
        <f>IF(OR(M233="",L233="",L233&lt;=0),"",M233/L233)</f>
        <v/>
      </c>
      <c r="O233" s="16" t="n">
        <v>0.67748</v>
      </c>
      <c r="P233" s="16" t="n">
        <v>0.5681565925915136</v>
      </c>
      <c r="Q233" s="16" t="n">
        <v>0.1366654174339068</v>
      </c>
      <c r="R233" s="17" t="n">
        <v>4</v>
      </c>
      <c r="S233" s="16" t="n"/>
      <c r="T233" s="16" t="n">
        <v>0.8024617232062444</v>
      </c>
      <c r="U233" s="16" t="n">
        <v>0.5211740041928721</v>
      </c>
      <c r="V233" s="16" t="n">
        <v>0.4690814488693216</v>
      </c>
      <c r="W233" s="16" t="n">
        <v>0.4799091940976163</v>
      </c>
      <c r="X233" s="10" t="n">
        <v>2.12</v>
      </c>
      <c r="Y233" s="15">
        <f>IF(OR(X233="",G233="",G233=0),"",X233/G233)</f>
        <v/>
      </c>
      <c r="Z233" s="18" t="n">
        <v>286.236</v>
      </c>
      <c r="AA233" s="16" t="n">
        <v>0.029</v>
      </c>
      <c r="AB233" s="16" t="n">
        <v>0.2822435829724306</v>
      </c>
      <c r="AC233" s="9">
        <f>IF(AND(O233="",P233=""),"DATI MANCANTI",IF(AND(N(O233)&gt;=PARAMETRI!$B$4,N(P233)&gt;=PARAMETRI!$B$4),"OK","NO"))</f>
        <v/>
      </c>
      <c r="AD233" s="9">
        <f>IF(L233="","N/D",IF(L233&lt;PARAMETRI!$B$6,"OTTIMO",IF(L233&lt;PARAMETRI!$B$5,"OK","NO")))</f>
        <v/>
      </c>
      <c r="AE233" s="9">
        <f>IF(OR(AC233="DATI MANCANTI",AD233="N/D"),"DA COMPLETARE",IF(AND(AC233="OK",AD233="OTTIMO"),"PASSA FORTE",IF(AND(AC233="OK",AD233="OK"),"PASSA","SCARTA")))</f>
        <v/>
      </c>
      <c r="AF233" s="8" t="inlineStr">
        <is>
          <t>2026-08-04</t>
        </is>
      </c>
      <c r="AG233" s="8" t="inlineStr">
        <is>
          <t>yahoo</t>
        </is>
      </c>
      <c r="AH233" s="19" t="inlineStr"/>
    </row>
  </sheetData>
  <autoFilter ref="A1:AH233"/>
  <conditionalFormatting sqref="AE2:AE233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O2:O233">
    <cfRule type="dataBar" priority="5">
      <dataBar>
        <cfvo type="num" val="0"/>
        <cfvo type="num" val="0.4"/>
        <color rgb="00638EC6"/>
      </dataBar>
    </cfRule>
  </conditionalFormatting>
  <conditionalFormatting sqref="P2:P233">
    <cfRule type="dataBar" priority="6">
      <dataBar>
        <cfvo type="num" val="0"/>
        <cfvo type="num" val="0.4"/>
        <color rgb="00638EC6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SINTESI DELLO SCREENING</t>
        </is>
      </c>
    </row>
    <row r="3">
      <c r="A3" s="2" t="inlineStr">
        <is>
          <t>Esito</t>
        </is>
      </c>
      <c r="B3" s="2" t="inlineStr">
        <is>
          <t>Titoli</t>
        </is>
      </c>
    </row>
    <row r="4">
      <c r="A4" s="3" t="inlineStr">
        <is>
          <t>PASSA FORTE</t>
        </is>
      </c>
      <c r="B4" s="3">
        <f>COUNTIF(LISTINO!AE2:AE233,"PASSA FORTE")</f>
        <v/>
      </c>
    </row>
    <row r="5">
      <c r="A5" s="3" t="inlineStr">
        <is>
          <t>PASSA</t>
        </is>
      </c>
      <c r="B5" s="3">
        <f>COUNTIF(LISTINO!AE2:AE233,"PASSA")</f>
        <v/>
      </c>
    </row>
    <row r="6">
      <c r="A6" s="3" t="inlineStr">
        <is>
          <t>SCARTA</t>
        </is>
      </c>
      <c r="B6" s="3">
        <f>COUNTIF(LISTINO!AE2:AE233,"SCARTA")</f>
        <v/>
      </c>
    </row>
    <row r="7">
      <c r="A7" s="3" t="inlineStr">
        <is>
          <t>DA COMPLETARE</t>
        </is>
      </c>
      <c r="B7" s="3">
        <f>COUNTIF(LISTINO!AE2:AE233,"DA COMPLETARE")</f>
        <v/>
      </c>
    </row>
    <row r="8">
      <c r="A8" s="20" t="inlineStr">
        <is>
          <t>Totale</t>
        </is>
      </c>
      <c r="B8" s="20">
        <f>SUM(B4:B7)</f>
        <v/>
      </c>
    </row>
    <row r="10">
      <c r="A10" s="21" t="inlineStr">
        <is>
          <t>Per classe</t>
        </is>
      </c>
    </row>
    <row r="11">
      <c r="A11" s="2" t="inlineStr">
        <is>
          <t>Classe</t>
        </is>
      </c>
      <c r="B11" s="2" t="inlineStr">
        <is>
          <t>Titoli</t>
        </is>
      </c>
      <c r="C11" s="2" t="inlineStr">
        <is>
          <t>Passano</t>
        </is>
      </c>
      <c r="D11" s="2" t="inlineStr">
        <is>
          <t>ROE 1a medio</t>
        </is>
      </c>
    </row>
    <row r="12">
      <c r="A12" s="3" t="inlineStr">
        <is>
          <t>Tecnologia</t>
        </is>
      </c>
      <c r="B12" s="3">
        <f>COUNTIF(LISTINO!F2:F233,A12)</f>
        <v/>
      </c>
      <c r="C12" s="3">
        <f>COUNTIFS(LISTINO!F2:F233,A12,LISTINO!AE2:AE233,"PASSA")+COUNTIFS(LISTINO!F2:F233,A12,LISTINO!AE2:AE233,"PASSA FORTE")</f>
        <v/>
      </c>
      <c r="D12" s="22">
        <f>IFERROR(AVERAGEIF(LISTINO!F2:F233,A12,LISTINO!O2:O233),"")</f>
        <v/>
      </c>
    </row>
    <row r="13">
      <c r="A13" s="3" t="inlineStr">
        <is>
          <t>Salute</t>
        </is>
      </c>
      <c r="B13" s="3">
        <f>COUNTIF(LISTINO!F2:F233,A13)</f>
        <v/>
      </c>
      <c r="C13" s="3">
        <f>COUNTIFS(LISTINO!F2:F233,A13,LISTINO!AE2:AE233,"PASSA")+COUNTIFS(LISTINO!F2:F233,A13,LISTINO!AE2:AE233,"PASSA FORTE")</f>
        <v/>
      </c>
      <c r="D13" s="22">
        <f>IFERROR(AVERAGEIF(LISTINO!F2:F233,A13,LISTINO!O2:O233),"")</f>
        <v/>
      </c>
    </row>
    <row r="14">
      <c r="A14" s="3" t="inlineStr">
        <is>
          <t>Finanziario</t>
        </is>
      </c>
      <c r="B14" s="3">
        <f>COUNTIF(LISTINO!F2:F233,A14)</f>
        <v/>
      </c>
      <c r="C14" s="3">
        <f>COUNTIFS(LISTINO!F2:F233,A14,LISTINO!AE2:AE233,"PASSA")+COUNTIFS(LISTINO!F2:F233,A14,LISTINO!AE2:AE233,"PASSA FORTE")</f>
        <v/>
      </c>
      <c r="D14" s="22">
        <f>IFERROR(AVERAGEIF(LISTINO!F2:F233,A14,LISTINO!O2:O233),"")</f>
        <v/>
      </c>
    </row>
    <row r="15">
      <c r="A15" s="3" t="inlineStr">
        <is>
          <t>Industriale</t>
        </is>
      </c>
      <c r="B15" s="3">
        <f>COUNTIF(LISTINO!F2:F233,A15)</f>
        <v/>
      </c>
      <c r="C15" s="3">
        <f>COUNTIFS(LISTINO!F2:F233,A15,LISTINO!AE2:AE233,"PASSA")+COUNTIFS(LISTINO!F2:F233,A15,LISTINO!AE2:AE233,"PASSA FORTE")</f>
        <v/>
      </c>
      <c r="D15" s="22">
        <f>IFERROR(AVERAGEIF(LISTINO!F2:F233,A15,LISTINO!O2:O233),"")</f>
        <v/>
      </c>
    </row>
    <row r="16">
      <c r="A16" s="3" t="inlineStr">
        <is>
          <t>Consumi</t>
        </is>
      </c>
      <c r="B16" s="3">
        <f>COUNTIF(LISTINO!F2:F233,A16)</f>
        <v/>
      </c>
      <c r="C16" s="3">
        <f>COUNTIFS(LISTINO!F2:F233,A16,LISTINO!AE2:AE233,"PASSA")+COUNTIFS(LISTINO!F2:F233,A16,LISTINO!AE2:AE233,"PASSA FORTE")</f>
        <v/>
      </c>
      <c r="D16" s="22">
        <f>IFERROR(AVERAGEIF(LISTINO!F2:F233,A16,LISTINO!O2:O233),"")</f>
        <v/>
      </c>
    </row>
    <row r="17">
      <c r="A17" s="3" t="inlineStr">
        <is>
          <t>Energia</t>
        </is>
      </c>
      <c r="B17" s="3">
        <f>COUNTIF(LISTINO!F2:F233,A17)</f>
        <v/>
      </c>
      <c r="C17" s="3">
        <f>COUNTIFS(LISTINO!F2:F233,A17,LISTINO!AE2:AE233,"PASSA")+COUNTIFS(LISTINO!F2:F233,A17,LISTINO!AE2:AE233,"PASSA FORTE")</f>
        <v/>
      </c>
      <c r="D17" s="22">
        <f>IFERROR(AVERAGEIF(LISTINO!F2:F233,A17,LISTINO!O2:O233),"")</f>
        <v/>
      </c>
    </row>
    <row r="18">
      <c r="A18" s="3" t="inlineStr">
        <is>
          <t>Utility</t>
        </is>
      </c>
      <c r="B18" s="3">
        <f>COUNTIF(LISTINO!F2:F233,A18)</f>
        <v/>
      </c>
      <c r="C18" s="3">
        <f>COUNTIFS(LISTINO!F2:F233,A18,LISTINO!AE2:AE233,"PASSA")+COUNTIFS(LISTINO!F2:F233,A18,LISTINO!AE2:AE233,"PASSA FORTE")</f>
        <v/>
      </c>
      <c r="D18" s="22">
        <f>IFERROR(AVERAGEIF(LISTINO!F2:F233,A18,LISTINO!O2:O233),"")</f>
        <v/>
      </c>
    </row>
    <row r="19">
      <c r="A19" s="3" t="inlineStr">
        <is>
          <t>Materiali</t>
        </is>
      </c>
      <c r="B19" s="3">
        <f>COUNTIF(LISTINO!F2:F233,A19)</f>
        <v/>
      </c>
      <c r="C19" s="3">
        <f>COUNTIFS(LISTINO!F2:F233,A19,LISTINO!AE2:AE233,"PASSA")+COUNTIFS(LISTINO!F2:F233,A19,LISTINO!AE2:AE233,"PASSA FORTE")</f>
        <v/>
      </c>
      <c r="D19" s="22">
        <f>IFERROR(AVERAGEIF(LISTINO!F2:F233,A19,LISTINO!O2:O233),"")</f>
        <v/>
      </c>
    </row>
    <row r="20">
      <c r="A20" s="3" t="inlineStr">
        <is>
          <t>Immobiliare</t>
        </is>
      </c>
      <c r="B20" s="3">
        <f>COUNTIF(LISTINO!F2:F233,A20)</f>
        <v/>
      </c>
      <c r="C20" s="3">
        <f>COUNTIFS(LISTINO!F2:F233,A20,LISTINO!AE2:AE233,"PASSA")+COUNTIFS(LISTINO!F2:F233,A20,LISTINO!AE2:AE233,"PASSA FORTE")</f>
        <v/>
      </c>
      <c r="D20" s="22">
        <f>IFERROR(AVERAGEIF(LISTINO!F2:F233,A20,LISTINO!O2:O233),"")</f>
        <v/>
      </c>
    </row>
    <row r="21">
      <c r="A21" s="3" t="inlineStr">
        <is>
          <t>Veicolo</t>
        </is>
      </c>
      <c r="B21" s="3">
        <f>COUNTIF(LISTINO!F2:F233,A21)</f>
        <v/>
      </c>
      <c r="C21" s="3">
        <f>COUNTIFS(LISTINO!F2:F233,A21,LISTINO!AE2:AE233,"PASSA")+COUNTIFS(LISTINO!F2:F233,A21,LISTINO!AE2:AE233,"PASSA FORTE")</f>
        <v/>
      </c>
      <c r="D21" s="22">
        <f>IFERROR(AVERAGEIF(LISTINO!F2:F233,A21,LISTINO!O2:O233),"")</f>
        <v/>
      </c>
    </row>
    <row r="23">
      <c r="A23" s="21" t="inlineStr">
        <is>
          <t>Per mercato</t>
        </is>
      </c>
    </row>
    <row r="24">
      <c r="A24" s="2" t="inlineStr">
        <is>
          <t>Mercato</t>
        </is>
      </c>
      <c r="B24" s="2" t="inlineStr">
        <is>
          <t>Titoli</t>
        </is>
      </c>
      <c r="C24" s="2" t="inlineStr">
        <is>
          <t>Passano</t>
        </is>
      </c>
      <c r="D24" s="2" t="inlineStr">
        <is>
          <t>P/E medio</t>
        </is>
      </c>
    </row>
    <row r="25">
      <c r="A25" s="3" t="inlineStr">
        <is>
          <t>Italia</t>
        </is>
      </c>
      <c r="B25" s="3">
        <f>COUNTIF(LISTINO!D2:D233,A25)</f>
        <v/>
      </c>
      <c r="C25" s="3">
        <f>COUNTIFS(LISTINO!D2:D233,A25,LISTINO!AE2:AE233,"PASSA")+COUNTIFS(LISTINO!D2:D233,A25,LISTINO!AE2:AE233,"PASSA FORTE")</f>
        <v/>
      </c>
      <c r="D25" s="23">
        <f>IFERROR(AVERAGEIF(LISTINO!D2:D233,A25,LISTINO!L2:L233),"")</f>
        <v/>
      </c>
    </row>
    <row r="26">
      <c r="A26" s="3" t="inlineStr">
        <is>
          <t>USA</t>
        </is>
      </c>
      <c r="B26" s="3">
        <f>COUNTIF(LISTINO!D2:D233,A26)</f>
        <v/>
      </c>
      <c r="C26" s="3">
        <f>COUNTIFS(LISTINO!D2:D233,A26,LISTINO!AE2:AE233,"PASSA")+COUNTIFS(LISTINO!D2:D233,A26,LISTINO!AE2:AE233,"PASSA FORTE")</f>
        <v/>
      </c>
      <c r="D26" s="23">
        <f>IFERROR(AVERAGEIF(LISTINO!D2:D233,A26,LISTINO!L2:L233),"")</f>
        <v/>
      </c>
    </row>
    <row r="28">
      <c r="A28" s="5" t="inlineStr">
        <is>
          <t>Il ROE contabile di banche e assicurazioni non e' confrontabile con quello degli industriali: leggi le classi separatamente.</t>
        </is>
      </c>
    </row>
    <row r="29">
      <c r="A29" s="5" t="inlineStr">
        <is>
          <t>I titoli USA sono in dollari, gli italiani in euro. P/E, P/B e ROE sono rapporti e restano confrontabili; prezzi e capitalizzazioni no.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2026-08-04T09:27:24Z</dcterms:created>
  <dcterms:modified xsi:type="dcterms:W3CDTF">2026-08-04T09:27:24Z</dcterms:modified>
</cp:coreProperties>
</file>
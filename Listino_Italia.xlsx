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UNI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UCG/" TargetMode="External" Id="rId17" /><Relationship Type="http://schemas.openxmlformats.org/officeDocument/2006/relationships/hyperlink" Target="https://www.tradingview.com/symbols/MIL-ISP/" TargetMode="External" Id="rId18" /><Relationship Type="http://schemas.openxmlformats.org/officeDocument/2006/relationships/hyperlink" Target="https://www.tradingview.com/symbols/MIL-ACE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MONC/" TargetMode="External" Id="rId28" /><Relationship Type="http://schemas.openxmlformats.org/officeDocument/2006/relationships/hyperlink" Target="https://www.tradingview.com/symbols/MIL-G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TRN/" TargetMode="External" Id="rId31" /><Relationship Type="http://schemas.openxmlformats.org/officeDocument/2006/relationships/hyperlink" Target="https://www.tradingview.com/symbols/MIL-WBD/" TargetMode="External" Id="rId32" /><Relationship Type="http://schemas.openxmlformats.org/officeDocument/2006/relationships/hyperlink" Target="https://www.tradingview.com/symbols/MIL-MB/" TargetMode="External" Id="rId33" /><Relationship Type="http://schemas.openxmlformats.org/officeDocument/2006/relationships/hyperlink" Target="https://www.tradingview.com/symbols/MIL-MFEB/" TargetMode="External" Id="rId34" /><Relationship Type="http://schemas.openxmlformats.org/officeDocument/2006/relationships/hyperlink" Target="https://www.tradingview.com/symbols/MIL-PRO/" TargetMode="External" Id="rId35" /><Relationship Type="http://schemas.openxmlformats.org/officeDocument/2006/relationships/hyperlink" Target="https://www.tradingview.com/symbols/MIL-PRY/" TargetMode="External" Id="rId36" /><Relationship Type="http://schemas.openxmlformats.org/officeDocument/2006/relationships/hyperlink" Target="https://www.tradingview.com/symbols/MIL-BDB/" TargetMode="External" Id="rId37" /><Relationship Type="http://schemas.openxmlformats.org/officeDocument/2006/relationships/hyperlink" Target="https://www.tradingview.com/symbols/MIL-TEN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SRG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DAN/" TargetMode="External" Id="rId42" /><Relationship Type="http://schemas.openxmlformats.org/officeDocument/2006/relationships/hyperlink" Target="https://www.tradingview.com/symbols/MIL-IP/" TargetMode="External" Id="rId43" /><Relationship Type="http://schemas.openxmlformats.org/officeDocument/2006/relationships/hyperlink" Target="https://www.tradingview.com/symbols/MIL-ENI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CNH/" TargetMode="External" Id="rId46" /><Relationship Type="http://schemas.openxmlformats.org/officeDocument/2006/relationships/hyperlink" Target="https://www.tradingview.com/symbols/SIX-BION/" TargetMode="External" Id="rId47" /><Relationship Type="http://schemas.openxmlformats.org/officeDocument/2006/relationships/hyperlink" Target="https://www.tradingview.com/symbols/MIL-STMMI/" TargetMode="External" Id="rId48" /><Relationship Type="http://schemas.openxmlformats.org/officeDocument/2006/relationships/hyperlink" Target="https://www.tradingview.com/symbols/MIL-INW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DIA/" TargetMode="External" Id="rId53" /><Relationship Type="http://schemas.openxmlformats.org/officeDocument/2006/relationships/hyperlink" Target="https://www.tradingview.com/symbols/MIL-PRT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TE/" TargetMode="External" Id="rId3" /><Relationship Type="http://schemas.openxmlformats.org/officeDocument/2006/relationships/hyperlink" Target="https://www.tradingview.com/symbols/XETR-HNR1/" TargetMode="External" Id="rId4" /><Relationship Type="http://schemas.openxmlformats.org/officeDocument/2006/relationships/hyperlink" Target="https://www.tradingview.com/symbols/XETR-DBK/" TargetMode="External" Id="rId5" /><Relationship Type="http://schemas.openxmlformats.org/officeDocument/2006/relationships/hyperlink" Target="https://www.tradingview.com/symbols/XETR-DB1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RHM/" TargetMode="External" Id="rId9" /><Relationship Type="http://schemas.openxmlformats.org/officeDocument/2006/relationships/hyperlink" Target="https://www.tradingview.com/symbols/XETR-BMW/" TargetMode="External" Id="rId10" /><Relationship Type="http://schemas.openxmlformats.org/officeDocument/2006/relationships/hyperlink" Target="https://www.tradingview.com/symbols/XETR-G1A/" TargetMode="External" Id="rId11" /><Relationship Type="http://schemas.openxmlformats.org/officeDocument/2006/relationships/hyperlink" Target="https://www.tradingview.com/symbols/XETR-CBK/" TargetMode="External" Id="rId12" /><Relationship Type="http://schemas.openxmlformats.org/officeDocument/2006/relationships/hyperlink" Target="https://www.tradingview.com/symbols/XETR-DHL/" TargetMode="External" Id="rId13" /><Relationship Type="http://schemas.openxmlformats.org/officeDocument/2006/relationships/hyperlink" Target="https://www.tradingview.com/symbols/XETR-RW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SIE/" TargetMode="External" Id="rId19" /><Relationship Type="http://schemas.openxmlformats.org/officeDocument/2006/relationships/hyperlink" Target="https://www.tradingview.com/symbols/XETR-BNR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BEI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P911/" TargetMode="External" Id="rId30" /><Relationship Type="http://schemas.openxmlformats.org/officeDocument/2006/relationships/hyperlink" Target="https://www.tradingview.com/symbols/XETR-SY1/" TargetMode="External" Id="rId31" /><Relationship Type="http://schemas.openxmlformats.org/officeDocument/2006/relationships/hyperlink" Target="https://www.tradingview.com/symbols/XETR-ZAL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SRT3/" TargetMode="External" Id="rId35" /><Relationship Type="http://schemas.openxmlformats.org/officeDocument/2006/relationships/hyperlink" Target="https://www.tradingview.com/symbols/XETR-FRE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AIR/" TargetMode="External" Id="rId7" /><Relationship Type="http://schemas.openxmlformats.org/officeDocument/2006/relationships/hyperlink" Target="https://www.tradingview.com/symbols/EURONEXT-CAP/" TargetMode="External" Id="rId8" /><Relationship Type="http://schemas.openxmlformats.org/officeDocument/2006/relationships/hyperlink" Target="https://www.tradingview.com/symbols/EURONEXT-SGO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URW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AB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KPN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KNIN/" TargetMode="External" Id="rId2" /><Relationship Type="http://schemas.openxmlformats.org/officeDocument/2006/relationships/hyperlink" Target="https://www.tradingview.com/symbols/SIX-ZURN/" TargetMode="External" Id="rId3" /><Relationship Type="http://schemas.openxmlformats.org/officeDocument/2006/relationships/hyperlink" Target="https://www.tradingview.com/symbols/SIX-GEBN/" TargetMode="External" Id="rId4" /><Relationship Type="http://schemas.openxmlformats.org/officeDocument/2006/relationships/hyperlink" Target="https://www.tradingview.com/symbols/SIX-BAER/" TargetMode="External" Id="rId5" /><Relationship Type="http://schemas.openxmlformats.org/officeDocument/2006/relationships/hyperlink" Target="https://www.tradingview.com/symbols/SIX-ABBN/" TargetMode="External" Id="rId6" /><Relationship Type="http://schemas.openxmlformats.org/officeDocument/2006/relationships/hyperlink" Target="https://www.tradingview.com/symbols/SIX-SGS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NOVN/" TargetMode="External" Id="rId11" /><Relationship Type="http://schemas.openxmlformats.org/officeDocument/2006/relationships/hyperlink" Target="https://www.tradingview.com/symbols/SIX-SOON/" TargetMode="External" Id="rId12" /><Relationship Type="http://schemas.openxmlformats.org/officeDocument/2006/relationships/hyperlink" Target="https://www.tradingview.com/symbols/SIX-GI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VLO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GOOGL/" TargetMode="External" Id="rId5" /><Relationship Type="http://schemas.openxmlformats.org/officeDocument/2006/relationships/hyperlink" Target="https://www.tradingview.com/symbols/EOG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PSX/" TargetMode="External" Id="rId8" /><Relationship Type="http://schemas.openxmlformats.org/officeDocument/2006/relationships/hyperlink" Target="https://www.tradingview.com/symbols/ZTS/" TargetMode="External" Id="rId9" /><Relationship Type="http://schemas.openxmlformats.org/officeDocument/2006/relationships/hyperlink" Target="https://www.tradingview.com/symbols/AXP/" TargetMode="External" Id="rId10" /><Relationship Type="http://schemas.openxmlformats.org/officeDocument/2006/relationships/hyperlink" Target="https://www.tradingview.com/symbols/PEP/" TargetMode="External" Id="rId11" /><Relationship Type="http://schemas.openxmlformats.org/officeDocument/2006/relationships/hyperlink" Target="https://www.tradingview.com/symbols/TGT/" TargetMode="External" Id="rId12" /><Relationship Type="http://schemas.openxmlformats.org/officeDocument/2006/relationships/hyperlink" Target="https://www.tradingview.com/symbols/PYPL/" TargetMode="External" Id="rId13" /><Relationship Type="http://schemas.openxmlformats.org/officeDocument/2006/relationships/hyperlink" Target="https://www.tradingview.com/symbols/NFLX/" TargetMode="External" Id="rId14" /><Relationship Type="http://schemas.openxmlformats.org/officeDocument/2006/relationships/hyperlink" Target="https://www.tradingview.com/symbols/MSFT/" TargetMode="External" Id="rId15" /><Relationship Type="http://schemas.openxmlformats.org/officeDocument/2006/relationships/hyperlink" Target="https://www.tradingview.com/symbols/URI/" TargetMode="External" Id="rId16" /><Relationship Type="http://schemas.openxmlformats.org/officeDocument/2006/relationships/hyperlink" Target="https://www.tradingview.com/symbols/LRCX/" TargetMode="External" Id="rId17" /><Relationship Type="http://schemas.openxmlformats.org/officeDocument/2006/relationships/hyperlink" Target="https://www.tradingview.com/symbols/AAPL/" TargetMode="External" Id="rId18" /><Relationship Type="http://schemas.openxmlformats.org/officeDocument/2006/relationships/hyperlink" Target="https://www.tradingview.com/symbols/PGR/" TargetMode="External" Id="rId19" /><Relationship Type="http://schemas.openxmlformats.org/officeDocument/2006/relationships/hyperlink" Target="https://www.tradingview.com/symbols/ANET/" TargetMode="External" Id="rId20" /><Relationship Type="http://schemas.openxmlformats.org/officeDocument/2006/relationships/hyperlink" Target="https://www.tradingview.com/symbols/CAT/" TargetMode="External" Id="rId21" /><Relationship Type="http://schemas.openxmlformats.org/officeDocument/2006/relationships/hyperlink" Target="https://www.tradingview.com/symbols/MA/" TargetMode="External" Id="rId22" /><Relationship Type="http://schemas.openxmlformats.org/officeDocument/2006/relationships/hyperlink" Target="https://www.tradingview.com/symbols/V/" TargetMode="External" Id="rId23" /><Relationship Type="http://schemas.openxmlformats.org/officeDocument/2006/relationships/hyperlink" Target="https://www.tradingview.com/symbols/KLAC/" TargetMode="External" Id="rId24" /><Relationship Type="http://schemas.openxmlformats.org/officeDocument/2006/relationships/hyperlink" Target="https://www.tradingview.com/symbols/UNP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BKNG/" TargetMode="External" Id="rId28" /><Relationship Type="http://schemas.openxmlformats.org/officeDocument/2006/relationships/hyperlink" Target="https://www.tradingview.com/symbols/TRV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ABNB/" TargetMode="External" Id="rId31" /><Relationship Type="http://schemas.openxmlformats.org/officeDocument/2006/relationships/hyperlink" Target="https://www.tradingview.com/symbols/LMT/" TargetMode="External" Id="rId32" /><Relationship Type="http://schemas.openxmlformats.org/officeDocument/2006/relationships/hyperlink" Target="https://www.tradingview.com/symbols/SHW/" TargetMode="External" Id="rId33" /><Relationship Type="http://schemas.openxmlformats.org/officeDocument/2006/relationships/hyperlink" Target="https://www.tradingview.com/symbols/TXN/" TargetMode="External" Id="rId34" /><Relationship Type="http://schemas.openxmlformats.org/officeDocument/2006/relationships/hyperlink" Target="https://www.tradingview.com/symbols/ACN/" TargetMode="External" Id="rId35" /><Relationship Type="http://schemas.openxmlformats.org/officeDocument/2006/relationships/hyperlink" Target="https://www.tradingview.com/symbols/CMG/" TargetMode="External" Id="rId36" /><Relationship Type="http://schemas.openxmlformats.org/officeDocument/2006/relationships/hyperlink" Target="https://www.tradingview.com/symbols/CSX/" TargetMode="External" Id="rId37" /><Relationship Type="http://schemas.openxmlformats.org/officeDocument/2006/relationships/hyperlink" Target="https://www.tradingview.com/symbols/TJX/" TargetMode="External" Id="rId38" /><Relationship Type="http://schemas.openxmlformats.org/officeDocument/2006/relationships/hyperlink" Target="https://www.tradingview.com/symbols/WM/" TargetMode="External" Id="rId39" /><Relationship Type="http://schemas.openxmlformats.org/officeDocument/2006/relationships/hyperlink" Target="https://www.tradingview.com/symbols/COST/" TargetMode="External" Id="rId40" /><Relationship Type="http://schemas.openxmlformats.org/officeDocument/2006/relationships/hyperlink" Target="https://www.tradingview.com/symbols/ITW/" TargetMode="External" Id="rId41" /><Relationship Type="http://schemas.openxmlformats.org/officeDocument/2006/relationships/hyperlink" Target="https://www.tradingview.com/symbols/PG/" TargetMode="External" Id="rId42" /><Relationship Type="http://schemas.openxmlformats.org/officeDocument/2006/relationships/hyperlink" Target="https://www.tradingview.com/symbols/JPM/" TargetMode="External" Id="rId43" /><Relationship Type="http://schemas.openxmlformats.org/officeDocument/2006/relationships/hyperlink" Target="https://www.tradingview.com/symbols/NVDA/" TargetMode="External" Id="rId44" /><Relationship Type="http://schemas.openxmlformats.org/officeDocument/2006/relationships/hyperlink" Target="https://www.tradingview.com/symbols/CDNS/" TargetMode="External" Id="rId45" /><Relationship Type="http://schemas.openxmlformats.org/officeDocument/2006/relationships/hyperlink" Target="https://www.tradingview.com/symbols/META/" TargetMode="External" Id="rId46" /><Relationship Type="http://schemas.openxmlformats.org/officeDocument/2006/relationships/hyperlink" Target="https://www.tradingview.com/symbols/CSCO/" TargetMode="External" Id="rId47" /><Relationship Type="http://schemas.openxmlformats.org/officeDocument/2006/relationships/hyperlink" Target="https://www.tradingview.com/symbols/SCHW/" TargetMode="External" Id="rId48" /><Relationship Type="http://schemas.openxmlformats.org/officeDocument/2006/relationships/hyperlink" Target="https://www.tradingview.com/symbols/UPS/" TargetMode="External" Id="rId49" /><Relationship Type="http://schemas.openxmlformats.org/officeDocument/2006/relationships/hyperlink" Target="https://www.tradingview.com/symbols/BAC/" TargetMode="External" Id="rId50" /><Relationship Type="http://schemas.openxmlformats.org/officeDocument/2006/relationships/hyperlink" Target="https://www.tradingview.com/symbols/CI/" TargetMode="External" Id="rId51" /><Relationship Type="http://schemas.openxmlformats.org/officeDocument/2006/relationships/hyperlink" Target="https://www.tradingview.com/symbols/GS/" TargetMode="External" Id="rId52" /><Relationship Type="http://schemas.openxmlformats.org/officeDocument/2006/relationships/hyperlink" Target="https://www.tradingview.com/symbols/NKE/" TargetMode="External" Id="rId53" /><Relationship Type="http://schemas.openxmlformats.org/officeDocument/2006/relationships/hyperlink" Target="https://www.tradingview.com/symbols/AVGO/" TargetMode="External" Id="rId54" /><Relationship Type="http://schemas.openxmlformats.org/officeDocument/2006/relationships/hyperlink" Target="https://www.tradingview.com/symbols/BA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MCO/" TargetMode="External" Id="rId57" /><Relationship Type="http://schemas.openxmlformats.org/officeDocument/2006/relationships/hyperlink" Target="https://www.tradingview.com/symbols/ABBV/" TargetMode="External" Id="rId58" /><Relationship Type="http://schemas.openxmlformats.org/officeDocument/2006/relationships/hyperlink" Target="https://www.tradingview.com/symbols/NOC/" TargetMode="External" Id="rId59" /><Relationship Type="http://schemas.openxmlformats.org/officeDocument/2006/relationships/hyperlink" Target="https://www.tradingview.com/symbols/CB/" TargetMode="External" Id="rId60" /><Relationship Type="http://schemas.openxmlformats.org/officeDocument/2006/relationships/hyperlink" Target="https://www.tradingview.com/symbols/FDX/" TargetMode="External" Id="rId61" /><Relationship Type="http://schemas.openxmlformats.org/officeDocument/2006/relationships/hyperlink" Target="https://www.tradingview.com/symbols/MAR/" TargetMode="External" Id="rId62" /><Relationship Type="http://schemas.openxmlformats.org/officeDocument/2006/relationships/hyperlink" Target="https://www.tradingview.com/symbols/GE/" TargetMode="External" Id="rId63" /><Relationship Type="http://schemas.openxmlformats.org/officeDocument/2006/relationships/hyperlink" Target="https://www.tradingview.com/symbols/JNJ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PCAR/" TargetMode="External" Id="rId66" /><Relationship Type="http://schemas.openxmlformats.org/officeDocument/2006/relationships/hyperlink" Target="https://www.tradingview.com/symbols/WFC/" TargetMode="External" Id="rId67" /><Relationship Type="http://schemas.openxmlformats.org/officeDocument/2006/relationships/hyperlink" Target="https://www.tradingview.com/symbols/AMT/" TargetMode="External" Id="rId68" /><Relationship Type="http://schemas.openxmlformats.org/officeDocument/2006/relationships/hyperlink" Target="https://www.tradingview.com/symbols/MU/" TargetMode="External" Id="rId69" /><Relationship Type="http://schemas.openxmlformats.org/officeDocument/2006/relationships/hyperlink" Target="https://www.tradingview.com/symbols/MS/" TargetMode="External" Id="rId70" /><Relationship Type="http://schemas.openxmlformats.org/officeDocument/2006/relationships/hyperlink" Target="https://www.tradingview.com/symbols/C/" TargetMode="External" Id="rId71" /><Relationship Type="http://schemas.openxmlformats.org/officeDocument/2006/relationships/hyperlink" Target="https://www.tradingview.com/symbols/BX/" TargetMode="External" Id="rId72" /><Relationship Type="http://schemas.openxmlformats.org/officeDocument/2006/relationships/hyperlink" Target="https://www.tradingview.com/symbols/QCOM/" TargetMode="External" Id="rId73" /><Relationship Type="http://schemas.openxmlformats.org/officeDocument/2006/relationships/hyperlink" Target="https://www.tradingview.com/symbols/NEE/" TargetMode="External" Id="rId74" /><Relationship Type="http://schemas.openxmlformats.org/officeDocument/2006/relationships/hyperlink" Target="https://www.tradingview.com/symbols/NUE/" TargetMode="External" Id="rId75" /><Relationship Type="http://schemas.openxmlformats.org/officeDocument/2006/relationships/hyperlink" Target="https://www.tradingview.com/symbols/ETN/" TargetMode="External" Id="rId76" /><Relationship Type="http://schemas.openxmlformats.org/officeDocument/2006/relationships/hyperlink" Target="https://www.tradingview.com/symbols/ECL/" TargetMode="External" Id="rId77" /><Relationship Type="http://schemas.openxmlformats.org/officeDocument/2006/relationships/hyperlink" Target="https://www.tradingview.com/symbols/NSC/" TargetMode="External" Id="rId78" /><Relationship Type="http://schemas.openxmlformats.org/officeDocument/2006/relationships/hyperlink" Target="https://www.tradingview.com/symbols/COP/" TargetMode="External" Id="rId79" /><Relationship Type="http://schemas.openxmlformats.org/officeDocument/2006/relationships/hyperlink" Target="https://www.tradingview.com/symbols/DE/" TargetMode="External" Id="rId80" /><Relationship Type="http://schemas.openxmlformats.org/officeDocument/2006/relationships/hyperlink" Target="https://www.tradingview.com/symbols/INTU/" TargetMode="External" Id="rId81" /><Relationship Type="http://schemas.openxmlformats.org/officeDocument/2006/relationships/hyperlink" Target="https://www.tradingview.com/symbols/WMB/" TargetMode="External" Id="rId82" /><Relationship Type="http://schemas.openxmlformats.org/officeDocument/2006/relationships/hyperlink" Target="https://www.tradingview.com/symbols/REGN/" TargetMode="External" Id="rId83" /><Relationship Type="http://schemas.openxmlformats.org/officeDocument/2006/relationships/hyperlink" Target="https://www.tradingview.com/symbols/CMI/" TargetMode="External" Id="rId84" /><Relationship Type="http://schemas.openxmlformats.org/officeDocument/2006/relationships/hyperlink" Target="https://www.tradingview.com/symbols/VRT/" TargetMode="External" Id="rId85" /><Relationship Type="http://schemas.openxmlformats.org/officeDocument/2006/relationships/hyperlink" Target="https://www.tradingview.com/symbols/EXC/" TargetMode="External" Id="rId86" /><Relationship Type="http://schemas.openxmlformats.org/officeDocument/2006/relationships/hyperlink" Target="https://www.tradingview.com/symbols/WMT/" TargetMode="External" Id="rId87" /><Relationship Type="http://schemas.openxmlformats.org/officeDocument/2006/relationships/hyperlink" Target="https://www.tradingview.com/symbols/GD/" TargetMode="External" Id="rId88" /><Relationship Type="http://schemas.openxmlformats.org/officeDocument/2006/relationships/hyperlink" Target="https://www.tradingview.com/symbols/ISRG/" TargetMode="External" Id="rId89" /><Relationship Type="http://schemas.openxmlformats.org/officeDocument/2006/relationships/hyperlink" Target="https://www.tradingview.com/symbols/IBM/" TargetMode="External" Id="rId90" /><Relationship Type="http://schemas.openxmlformats.org/officeDocument/2006/relationships/hyperlink" Target="https://www.tradingview.com/symbols/ELV/" TargetMode="External" Id="rId91" /><Relationship Type="http://schemas.openxmlformats.org/officeDocument/2006/relationships/hyperlink" Target="https://www.tradingview.com/symbols/XOM/" TargetMode="External" Id="rId92" /><Relationship Type="http://schemas.openxmlformats.org/officeDocument/2006/relationships/hyperlink" Target="https://www.tradingview.com/symbols/KMB/" TargetMode="External" Id="rId93" /><Relationship Type="http://schemas.openxmlformats.org/officeDocument/2006/relationships/hyperlink" Target="https://www.tradingview.com/symbols/SLB/" TargetMode="External" Id="rId94" /><Relationship Type="http://schemas.openxmlformats.org/officeDocument/2006/relationships/hyperlink" Target="https://www.tradingview.com/symbols/SYK/" TargetMode="External" Id="rId95" /><Relationship Type="http://schemas.openxmlformats.org/officeDocument/2006/relationships/hyperlink" Target="https://www.tradingview.com/symbols/BLK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TMO/" TargetMode="External" Id="rId98" /><Relationship Type="http://schemas.openxmlformats.org/officeDocument/2006/relationships/hyperlink" Target="https://www.tradingview.com/symbols/ORCL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AEP/" TargetMode="External" Id="rId102" /><Relationship Type="http://schemas.openxmlformats.org/officeDocument/2006/relationships/hyperlink" Target="https://www.tradingview.com/symbols/ABT/" TargetMode="External" Id="rId103" /><Relationship Type="http://schemas.openxmlformats.org/officeDocument/2006/relationships/hyperlink" Target="https://www.tradingview.com/symbols/HD/" TargetMode="External" Id="rId104" /><Relationship Type="http://schemas.openxmlformats.org/officeDocument/2006/relationships/hyperlink" Target="https://www.tradingview.com/symbols/EMR/" TargetMode="External" Id="rId105" /><Relationship Type="http://schemas.openxmlformats.org/officeDocument/2006/relationships/hyperlink" Target="https://www.tradingview.com/symbols/CVX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BRK.B/" TargetMode="External" Id="rId108" /><Relationship Type="http://schemas.openxmlformats.org/officeDocument/2006/relationships/hyperlink" Target="https://www.tradingview.com/symbols/MET/" TargetMode="External" Id="rId109" /><Relationship Type="http://schemas.openxmlformats.org/officeDocument/2006/relationships/hyperlink" Target="https://www.tradingview.com/symbols/MDT/" TargetMode="External" Id="rId110" /><Relationship Type="http://schemas.openxmlformats.org/officeDocument/2006/relationships/hyperlink" Target="https://www.tradingview.com/symbols/OXY/" TargetMode="External" Id="rId111" /><Relationship Type="http://schemas.openxmlformats.org/officeDocument/2006/relationships/hyperlink" Target="https://www.tradingview.com/symbols/FCX/" TargetMode="External" Id="rId112" /><Relationship Type="http://schemas.openxmlformats.org/officeDocument/2006/relationships/hyperlink" Target="https://www.tradingview.com/symbols/CL/" TargetMode="External" Id="rId113" /><Relationship Type="http://schemas.openxmlformats.org/officeDocument/2006/relationships/hyperlink" Target="https://www.tradingview.com/symbols/PANW/" TargetMode="External" Id="rId114" /><Relationship Type="http://schemas.openxmlformats.org/officeDocument/2006/relationships/hyperlink" Target="https://www.tradingview.com/symbols/KMI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UBER/" TargetMode="External" Id="rId119" /><Relationship Type="http://schemas.openxmlformats.org/officeDocument/2006/relationships/hyperlink" Target="https://www.tradingview.com/symbols/MDLZ/" TargetMode="External" Id="rId120" /><Relationship Type="http://schemas.openxmlformats.org/officeDocument/2006/relationships/hyperlink" Target="https://www.tradingview.com/symbols/VRTX/" TargetMode="External" Id="rId121" /><Relationship Type="http://schemas.openxmlformats.org/officeDocument/2006/relationships/hyperlink" Target="https://www.tradingview.com/symbols/AMZN/" TargetMode="External" Id="rId122" /><Relationship Type="http://schemas.openxmlformats.org/officeDocument/2006/relationships/hyperlink" Target="https://www.tradingview.com/symbols/ADI/" TargetMode="External" Id="rId123" /><Relationship Type="http://schemas.openxmlformats.org/officeDocument/2006/relationships/hyperlink" Target="https://www.tradingview.com/symbols/CEG/" TargetMode="External" Id="rId124" /><Relationship Type="http://schemas.openxmlformats.org/officeDocument/2006/relationships/hyperlink" Target="https://www.tradingview.com/symbols/BMY/" TargetMode="External" Id="rId125" /><Relationship Type="http://schemas.openxmlformats.org/officeDocument/2006/relationships/hyperlink" Target="https://www.tradingview.com/symbols/D/" TargetMode="External" Id="rId126" /><Relationship Type="http://schemas.openxmlformats.org/officeDocument/2006/relationships/hyperlink" Target="https://www.tradingview.com/symbols/PLD/" TargetMode="External" Id="rId127" /><Relationship Type="http://schemas.openxmlformats.org/officeDocument/2006/relationships/hyperlink" Target="https://www.tradingview.com/symbols/RTX/" TargetMode="External" Id="rId128" /><Relationship Type="http://schemas.openxmlformats.org/officeDocument/2006/relationships/hyperlink" Target="https://www.tradingview.com/symbols/BSX/" TargetMode="External" Id="rId129" /><Relationship Type="http://schemas.openxmlformats.org/officeDocument/2006/relationships/hyperlink" Target="https://www.tradingview.com/symbols/XEL/" TargetMode="External" Id="rId130" /><Relationship Type="http://schemas.openxmlformats.org/officeDocument/2006/relationships/hyperlink" Target="https://www.tradingview.com/symbols/SPGI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AIG/" TargetMode="External" Id="rId133" /><Relationship Type="http://schemas.openxmlformats.org/officeDocument/2006/relationships/hyperlink" Target="https://www.tradingview.com/symbols/DLR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SRE/" TargetMode="External" Id="rId136" /><Relationship Type="http://schemas.openxmlformats.org/officeDocument/2006/relationships/hyperlink" Target="https://www.tradingview.com/symbols/DHR/" TargetMode="External" Id="rId137" /><Relationship Type="http://schemas.openxmlformats.org/officeDocument/2006/relationships/hyperlink" Target="https://www.tradingview.com/symbols/DIS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MMM/" TargetMode="External" Id="rId140" /><Relationship Type="http://schemas.openxmlformats.org/officeDocument/2006/relationships/hyperlink" Target="https://www.tradingview.com/symbols/GM/" TargetMode="External" Id="rId141" /><Relationship Type="http://schemas.openxmlformats.org/officeDocument/2006/relationships/hyperlink" Target="https://www.tradingview.com/symbols/BIIB/" TargetMode="External" Id="rId142" /><Relationship Type="http://schemas.openxmlformats.org/officeDocument/2006/relationships/hyperlink" Target="https://www.tradingview.com/symbols/CVS/" TargetMode="External" Id="rId143" /><Relationship Type="http://schemas.openxmlformats.org/officeDocument/2006/relationships/hyperlink" Target="https://www.tradingview.com/symbols/VST/" TargetMode="External" Id="rId144" /><Relationship Type="http://schemas.openxmlformats.org/officeDocument/2006/relationships/hyperlink" Target="https://www.tradingview.com/symbols/AMD/" TargetMode="External" Id="rId145" /><Relationship Type="http://schemas.openxmlformats.org/officeDocument/2006/relationships/hyperlink" Target="https://www.tradingview.com/symbols/TSLA/" TargetMode="External" Id="rId146" /><Relationship Type="http://schemas.openxmlformats.org/officeDocument/2006/relationships/hyperlink" Target="https://www.tradingview.com/symbols/CRWD/" TargetMode="External" Id="rId147" /><Relationship Type="http://schemas.openxmlformats.org/officeDocument/2006/relationships/hyperlink" Target="https://www.tradingview.com/symbols/KKR/" TargetMode="External" Id="rId148" /><Relationship Type="http://schemas.openxmlformats.org/officeDocument/2006/relationships/hyperlink" Target="https://www.tradingview.com/symbols/GEV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35.63</v>
      </c>
      <c r="G2" s="15" t="inlineStr">
        <is>
          <t>EUR</t>
        </is>
      </c>
      <c r="H2" s="14" t="n">
        <v>35.63</v>
      </c>
      <c r="I2" s="16" t="n">
        <v>4870</v>
      </c>
      <c r="J2" s="16" t="n">
        <v>4870</v>
      </c>
      <c r="K2" s="14" t="n">
        <v>3.77</v>
      </c>
      <c r="L2" s="14" t="n">
        <v>3.56127</v>
      </c>
      <c r="M2" s="17">
        <f>IF(OR(F2="",K2="",K2&lt;=0),"",F2/K2)</f>
        <v/>
      </c>
      <c r="N2" s="18" t="n">
        <v>2.5590749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2026-10-29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60.6</v>
      </c>
      <c r="G3" s="15" t="inlineStr">
        <is>
          <t>EUR</t>
        </is>
      </c>
      <c r="H3" s="14" t="n">
        <v>60.6</v>
      </c>
      <c r="I3" s="16" t="n">
        <v>6913.4</v>
      </c>
      <c r="J3" s="16" t="n">
        <v>6913.4</v>
      </c>
      <c r="K3" s="14" t="n">
        <v>4.64</v>
      </c>
      <c r="L3" s="14" t="n">
        <v>3.86303</v>
      </c>
      <c r="M3" s="17">
        <f>IF(OR(F3="",K3="",K3&lt;=0),"",F3/K3)</f>
        <v/>
      </c>
      <c r="N3" s="18" t="n">
        <v>4.9184318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2026-10-29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22.63</v>
      </c>
      <c r="G4" s="15" t="inlineStr">
        <is>
          <t>EUR</t>
        </is>
      </c>
      <c r="H4" s="14" t="n">
        <v>22.63</v>
      </c>
      <c r="I4" s="16" t="n">
        <v>16730.7</v>
      </c>
      <c r="J4" s="16" t="n">
        <v>16730.7</v>
      </c>
      <c r="K4" s="14" t="n">
        <v>1.76</v>
      </c>
      <c r="L4" s="14" t="n">
        <v>1.58203</v>
      </c>
      <c r="M4" s="17">
        <f>IF(OR(F4="",K4="",K4&lt;=0),"",F4/K4)</f>
        <v/>
      </c>
      <c r="N4" s="18" t="n">
        <v>3.6612196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2026-10-29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1.924</v>
      </c>
      <c r="G5" s="15" t="inlineStr">
        <is>
          <t>EUR</t>
        </is>
      </c>
      <c r="H5" s="14" t="n">
        <v>1.924</v>
      </c>
      <c r="I5" s="16" t="n">
        <v>501.9</v>
      </c>
      <c r="J5" s="16" t="n">
        <v>501.9</v>
      </c>
      <c r="K5" s="14" t="n">
        <v>0.2</v>
      </c>
      <c r="L5" s="14" t="n">
        <v>0.23222</v>
      </c>
      <c r="M5" s="17">
        <f>IF(OR(F5="",K5="",K5&lt;=0),"",F5/K5)</f>
        <v/>
      </c>
      <c r="N5" s="18" t="n">
        <v>1.7240143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2026-10-29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8.882</v>
      </c>
      <c r="G6" s="15" t="inlineStr">
        <is>
          <t>EUR</t>
        </is>
      </c>
      <c r="H6" s="14" t="n">
        <v>8.882</v>
      </c>
      <c r="I6" s="16" t="n">
        <v>9043.4</v>
      </c>
      <c r="J6" s="16" t="n">
        <v>9043.4</v>
      </c>
      <c r="K6" s="14" t="n">
        <v>0.68</v>
      </c>
      <c r="L6" s="14" t="n">
        <v>0.79542</v>
      </c>
      <c r="M6" s="17">
        <f>IF(OR(F6="",K6="",K6&lt;=0),"",F6/K6)</f>
        <v/>
      </c>
      <c r="N6" s="18" t="n">
        <v>2.3947155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2026-10-29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12.92</v>
      </c>
      <c r="G7" s="15" t="inlineStr">
        <is>
          <t>EUR</t>
        </is>
      </c>
      <c r="H7" s="14" t="n">
        <v>12.92</v>
      </c>
      <c r="I7" s="16" t="n">
        <v>4228.4</v>
      </c>
      <c r="J7" s="16" t="n">
        <v>4228.4</v>
      </c>
      <c r="K7" s="14" t="n">
        <v>0.84</v>
      </c>
      <c r="L7" s="14" t="n">
        <v>1.01527</v>
      </c>
      <c r="M7" s="17">
        <f>IF(OR(F7="",K7="",K7&lt;=0),"",F7/K7)</f>
        <v/>
      </c>
      <c r="N7" s="18" t="n">
        <v>6.5750637</v>
      </c>
      <c r="O7" s="19">
        <f>IF(OR(N7="",M7="",M7&lt;=0),"",N7/M7)</f>
        <v/>
      </c>
      <c r="P7" s="20" t="n">
        <v>0.45174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269.842</v>
      </c>
      <c r="AB7" s="20" t="n">
        <v>0.114</v>
      </c>
      <c r="AC7" s="20" t="n">
        <v>0.0396089584887329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2026-10-29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2.426</v>
      </c>
      <c r="G8" s="15" t="inlineStr">
        <is>
          <t>EUR</t>
        </is>
      </c>
      <c r="H8" s="14" t="n">
        <v>2.426</v>
      </c>
      <c r="I8" s="16" t="n">
        <v>7587</v>
      </c>
      <c r="J8" s="16" t="n">
        <v>7587</v>
      </c>
      <c r="K8" s="14" t="n">
        <v>0.22</v>
      </c>
      <c r="L8" s="14" t="n">
        <v>0.2084</v>
      </c>
      <c r="M8" s="17">
        <f>IF(OR(F8="",K8="",K8&lt;=0),"",F8/K8)</f>
        <v/>
      </c>
      <c r="N8" s="18" t="n">
        <v>1.4596872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2026-10-29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13.138</v>
      </c>
      <c r="G9" s="15" t="inlineStr">
        <is>
          <t>EUR</t>
        </is>
      </c>
      <c r="H9" s="14" t="n">
        <v>13.138</v>
      </c>
      <c r="I9" s="16" t="n">
        <v>27359.9</v>
      </c>
      <c r="J9" s="16" t="n">
        <v>27359.9</v>
      </c>
      <c r="K9" s="14" t="n">
        <v>1.12</v>
      </c>
      <c r="L9" s="14" t="n">
        <v>1.30738</v>
      </c>
      <c r="M9" s="17">
        <f>IF(OR(F9="",K9="",K9&lt;=0),"",F9/K9)</f>
        <v/>
      </c>
      <c r="N9" s="18" t="n">
        <v>1.5213062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2026-10-29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Unipol</t>
        </is>
      </c>
      <c r="C10" s="12" t="inlineStr">
        <is>
          <t>UNI.MI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25.33</v>
      </c>
      <c r="G10" s="15" t="inlineStr">
        <is>
          <t>EUR</t>
        </is>
      </c>
      <c r="H10" s="14" t="n">
        <v>25.33</v>
      </c>
      <c r="I10" s="16" t="n">
        <v>18682.8</v>
      </c>
      <c r="J10" s="16" t="n">
        <v>18682.8</v>
      </c>
      <c r="K10" s="14" t="n">
        <v>2.32</v>
      </c>
      <c r="L10" s="14" t="n">
        <v>2.24206</v>
      </c>
      <c r="M10" s="17">
        <f>IF(OR(F10="",K10="",K10&lt;=0),"",F10/K10)</f>
        <v/>
      </c>
      <c r="N10" s="18" t="n">
        <v>1.808769</v>
      </c>
      <c r="O10" s="19">
        <f>IF(OR(N10="",M10="",M10&lt;=0),"",N10/M10)</f>
        <v/>
      </c>
      <c r="P10" s="20" t="n">
        <v>0.16938</v>
      </c>
      <c r="Q10" s="20" t="n">
        <v>0.1181376184447107</v>
      </c>
      <c r="R10" s="20" t="n">
        <v>0.02618848036787977</v>
      </c>
      <c r="S10" s="21" t="n">
        <v>4</v>
      </c>
      <c r="T10" s="20" t="n"/>
      <c r="U10" s="20" t="n">
        <v>0.1426234241170244</v>
      </c>
      <c r="V10" s="20" t="n">
        <v>0.1152236884454458</v>
      </c>
      <c r="W10" s="20" t="n">
        <v>0.1381950546002259</v>
      </c>
      <c r="X10" s="20" t="n">
        <v>0.0765083066161469</v>
      </c>
      <c r="Y10" s="14" t="n">
        <v>1.09</v>
      </c>
      <c r="Z10" s="19">
        <f>IF(OR(Y10="",F10="",F10=0),"",Y10/F10)</f>
        <v/>
      </c>
      <c r="AA10" s="22" t="n">
        <v>40.819</v>
      </c>
      <c r="AB10" s="20" t="n">
        <v>0.232</v>
      </c>
      <c r="AC10" s="20" t="n">
        <v>0.1254284255815649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2026-10-29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19.82</v>
      </c>
      <c r="G11" s="15" t="inlineStr">
        <is>
          <t>EUR</t>
        </is>
      </c>
      <c r="H11" s="14" t="n">
        <v>19.82</v>
      </c>
      <c r="I11" s="16" t="n">
        <v>6740.5</v>
      </c>
      <c r="J11" s="16" t="n">
        <v>6740.5</v>
      </c>
      <c r="K11" s="14" t="n">
        <v>1.66</v>
      </c>
      <c r="L11" s="14" t="n">
        <v>1.70813</v>
      </c>
      <c r="M11" s="17">
        <f>IF(OR(F11="",K11="",K11&lt;=0),"",F11/K11)</f>
        <v/>
      </c>
      <c r="N11" s="18" t="n">
        <v>1.4271314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2026-10-29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3.65</v>
      </c>
      <c r="G12" s="15" t="inlineStr">
        <is>
          <t>EUR</t>
        </is>
      </c>
      <c r="H12" s="14" t="n">
        <v>3.65</v>
      </c>
      <c r="I12" s="16" t="n">
        <v>5396.1</v>
      </c>
      <c r="J12" s="16" t="n">
        <v>5396.1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1.3215061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2026-10-29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0.825</v>
      </c>
      <c r="G13" s="15" t="inlineStr">
        <is>
          <t>EUR</t>
        </is>
      </c>
      <c r="H13" s="14" t="n">
        <v>0.825</v>
      </c>
      <c r="I13" s="16" t="n">
        <v>426.8</v>
      </c>
      <c r="J13" s="16" t="n">
        <v>426.8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0.928009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2026-10-29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20.87</v>
      </c>
      <c r="G14" s="15" t="inlineStr">
        <is>
          <t>EUR</t>
        </is>
      </c>
      <c r="H14" s="14" t="n">
        <v>20.87</v>
      </c>
      <c r="I14" s="16" t="n">
        <v>12768.7</v>
      </c>
      <c r="J14" s="16" t="n">
        <v>12768.7</v>
      </c>
      <c r="K14" s="14" t="n">
        <v>1.1</v>
      </c>
      <c r="L14" s="14" t="n">
        <v>1.28931</v>
      </c>
      <c r="M14" s="17">
        <f>IF(OR(F14="",K14="",K14&lt;=0),"",F14/K14)</f>
        <v/>
      </c>
      <c r="N14" s="18" t="n">
        <v>5.3280573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2026-10-29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24.12</v>
      </c>
      <c r="G15" s="15" t="inlineStr">
        <is>
          <t>EUR</t>
        </is>
      </c>
      <c r="H15" s="14" t="n">
        <v>24.12</v>
      </c>
      <c r="I15" s="16" t="n">
        <v>38460.5</v>
      </c>
      <c r="J15" s="16" t="n">
        <v>38460.5</v>
      </c>
      <c r="K15" s="14" t="n">
        <v>1.83</v>
      </c>
      <c r="L15" s="14" t="n">
        <v>1.98873</v>
      </c>
      <c r="M15" s="17">
        <f>IF(OR(F15="",K15="",K15&lt;=0),"",F15/K15)</f>
        <v/>
      </c>
      <c r="N15" s="18" t="n">
        <v>2.4321873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2026-10-29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357.2</v>
      </c>
      <c r="G16" s="15" t="inlineStr">
        <is>
          <t>EUR</t>
        </is>
      </c>
      <c r="H16" s="14" t="n">
        <v>357.2</v>
      </c>
      <c r="I16" s="16" t="n">
        <v>62606.1</v>
      </c>
      <c r="J16" s="16" t="n">
        <v>62606.1</v>
      </c>
      <c r="K16" s="14" t="n">
        <v>9.23</v>
      </c>
      <c r="L16" s="14" t="n">
        <v>11.02954</v>
      </c>
      <c r="M16" s="17">
        <f>IF(OR(F16="",K16="",K16&lt;=0),"",F16/K16)</f>
        <v/>
      </c>
      <c r="N16" s="18" t="n">
        <v>17.17638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2026-10-29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41.15</v>
      </c>
      <c r="G17" s="15" t="inlineStr">
        <is>
          <t>EUR</t>
        </is>
      </c>
      <c r="H17" s="14" t="n">
        <v>41.15</v>
      </c>
      <c r="I17" s="16" t="n">
        <v>7232.6</v>
      </c>
      <c r="J17" s="16" t="n">
        <v>7232.6</v>
      </c>
      <c r="K17" s="14" t="n">
        <v>4.76</v>
      </c>
      <c r="L17" s="14" t="n">
        <v>4.83569</v>
      </c>
      <c r="M17" s="17">
        <f>IF(OR(F17="",K17="",K17&lt;=0),"",F17/K17)</f>
        <v/>
      </c>
      <c r="N17" s="18" t="n">
        <v>0.9975758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2026-10-29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UniCredit</t>
        </is>
      </c>
      <c r="C18" s="12" t="inlineStr">
        <is>
          <t>UCG.MI</t>
        </is>
      </c>
      <c r="D18" s="11" t="inlineStr">
        <is>
          <t>Banca</t>
        </is>
      </c>
      <c r="E18" s="13" t="inlineStr">
        <is>
          <t>Finanziario</t>
        </is>
      </c>
      <c r="F18" s="14" t="n">
        <v>74.52</v>
      </c>
      <c r="G18" s="15" t="inlineStr">
        <is>
          <t>EUR</t>
        </is>
      </c>
      <c r="H18" s="14" t="n">
        <v>74.52</v>
      </c>
      <c r="I18" s="16" t="n">
        <v>111651.6</v>
      </c>
      <c r="J18" s="16" t="n">
        <v>111651.6</v>
      </c>
      <c r="K18" s="14" t="n">
        <v>7</v>
      </c>
      <c r="L18" s="14" t="n">
        <v>8.512840000000001</v>
      </c>
      <c r="M18" s="17">
        <f>IF(OR(F18="",K18="",K18&lt;=0),"",F18/K18)</f>
        <v/>
      </c>
      <c r="N18" s="18" t="n">
        <v>1.5854981</v>
      </c>
      <c r="O18" s="19">
        <f>IF(OR(N18="",M18="",M18&lt;=0),"",N18/M18)</f>
        <v/>
      </c>
      <c r="P18" s="20" t="n">
        <v>0.15779</v>
      </c>
      <c r="Q18" s="20" t="n">
        <v>0.1417934441062063</v>
      </c>
      <c r="R18" s="20" t="n">
        <v>0.02344442801155508</v>
      </c>
      <c r="S18" s="21" t="n">
        <v>4</v>
      </c>
      <c r="T18" s="20" t="n"/>
      <c r="U18" s="20" t="n">
        <v>0.1611998050538317</v>
      </c>
      <c r="V18" s="20" t="n">
        <v>0.1556509344821511</v>
      </c>
      <c r="W18" s="20" t="n">
        <v>0.1483637385102764</v>
      </c>
      <c r="X18" s="20" t="n">
        <v>0.1019592983785661</v>
      </c>
      <c r="Y18" s="14" t="n">
        <v>3.15</v>
      </c>
      <c r="Z18" s="19">
        <f>IF(OR(Y18="",F18="",F18=0),"",Y18/F18)</f>
        <v/>
      </c>
      <c r="AA18" s="22" t="n"/>
      <c r="AB18" s="20" t="n">
        <v>-0.092</v>
      </c>
      <c r="AC18" s="20" t="n">
        <v>0.4284915506210312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2026-10-29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Intesa Sanpaolo</t>
        </is>
      </c>
      <c r="C19" s="12" t="inlineStr">
        <is>
          <t>ISP.MI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5.963</v>
      </c>
      <c r="G19" s="15" t="inlineStr">
        <is>
          <t>EUR</t>
        </is>
      </c>
      <c r="H19" s="14" t="n">
        <v>5.963</v>
      </c>
      <c r="I19" s="16" t="n">
        <v>101023.3</v>
      </c>
      <c r="J19" s="16" t="n">
        <v>101023.3</v>
      </c>
      <c r="K19" s="14" t="n">
        <v>0.5600000000000001</v>
      </c>
      <c r="L19" s="14" t="n">
        <v>0.6523600000000001</v>
      </c>
      <c r="M19" s="17">
        <f>IF(OR(F19="",K19="",K19&lt;=0),"",F19/K19)</f>
        <v/>
      </c>
      <c r="N19" s="18" t="n">
        <v>1.5250639</v>
      </c>
      <c r="O19" s="19">
        <f>IF(OR(N19="",M19="",M19&lt;=0),"",N19/M19)</f>
        <v/>
      </c>
      <c r="P19" s="20" t="n">
        <v>0.14261</v>
      </c>
      <c r="Q19" s="20" t="n">
        <v>0.1170723447862178</v>
      </c>
      <c r="R19" s="20" t="n">
        <v>0.0273636203726556</v>
      </c>
      <c r="S19" s="21" t="n">
        <v>4</v>
      </c>
      <c r="T19" s="20" t="n"/>
      <c r="U19" s="20" t="n">
        <v>0.1429031367859443</v>
      </c>
      <c r="V19" s="20" t="n">
        <v>0.1329630538848656</v>
      </c>
      <c r="W19" s="20" t="n">
        <v>0.1207573128214749</v>
      </c>
      <c r="X19" s="20" t="n">
        <v>0.07166587565258661</v>
      </c>
      <c r="Y19" s="14" t="n">
        <v>0.38</v>
      </c>
      <c r="Z19" s="19">
        <f>IF(OR(Y19="",F19="",F19=0),"",Y19/F19)</f>
        <v/>
      </c>
      <c r="AA19" s="22" t="n"/>
      <c r="AB19" s="20" t="n">
        <v>0.064</v>
      </c>
      <c r="AC19" s="20" t="n">
        <v>0.3385677664131235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2026-10-29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Acea</t>
        </is>
      </c>
      <c r="C20" s="12" t="inlineStr">
        <is>
          <t>ACE.MI</t>
        </is>
      </c>
      <c r="D20" s="11" t="inlineStr">
        <is>
          <t>Utility</t>
        </is>
      </c>
      <c r="E20" s="13" t="inlineStr">
        <is>
          <t>Utility</t>
        </is>
      </c>
      <c r="F20" s="14" t="n">
        <v>20.84</v>
      </c>
      <c r="G20" s="15" t="inlineStr">
        <is>
          <t>EUR</t>
        </is>
      </c>
      <c r="H20" s="14" t="n">
        <v>20.84</v>
      </c>
      <c r="I20" s="16" t="n">
        <v>4429.5</v>
      </c>
      <c r="J20" s="16" t="n">
        <v>4429.5</v>
      </c>
      <c r="K20" s="14" t="n">
        <v>1.71</v>
      </c>
      <c r="L20" s="14" t="n">
        <v>1.58975</v>
      </c>
      <c r="M20" s="17">
        <f>IF(OR(F20="",K20="",K20&lt;=0),"",F20/K20)</f>
        <v/>
      </c>
      <c r="N20" s="18" t="n">
        <v>1.4864479</v>
      </c>
      <c r="O20" s="19">
        <f>IF(OR(N20="",M20="",M20&lt;=0),"",N20/M20)</f>
        <v/>
      </c>
      <c r="P20" s="20" t="n">
        <v>0.124309994</v>
      </c>
      <c r="Q20" s="20" t="n">
        <v>0.1377274020186562</v>
      </c>
      <c r="R20" s="20" t="n">
        <v>0.02063562538189108</v>
      </c>
      <c r="S20" s="21" t="n">
        <v>4</v>
      </c>
      <c r="T20" s="20" t="n"/>
      <c r="U20" s="20" t="n">
        <v>0.172816869044327</v>
      </c>
      <c r="V20" s="20" t="n">
        <v>0.1323776847677043</v>
      </c>
      <c r="W20" s="20" t="n">
        <v>0.1236319980683815</v>
      </c>
      <c r="X20" s="20" t="n">
        <v>0.1220830561942121</v>
      </c>
      <c r="Y20" s="14" t="n">
        <v>0.95</v>
      </c>
      <c r="Z20" s="19">
        <f>IF(OR(Y20="",F20="",F20=0),"",Y20/F20)</f>
        <v/>
      </c>
      <c r="AA20" s="22" t="n">
        <v>169.549</v>
      </c>
      <c r="AB20" s="20" t="n">
        <v>0.063</v>
      </c>
      <c r="AC20" s="20" t="n">
        <v>0.1313480180950612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2026-10-29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2.124</v>
      </c>
      <c r="G21" s="15" t="inlineStr">
        <is>
          <t>EUR</t>
        </is>
      </c>
      <c r="H21" s="14" t="n">
        <v>2.124</v>
      </c>
      <c r="I21" s="16" t="n">
        <v>1488.6</v>
      </c>
      <c r="J21" s="16" t="n">
        <v>1488.6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0.4265917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2026-10-29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2.472</v>
      </c>
      <c r="G22" s="15" t="inlineStr">
        <is>
          <t>EUR</t>
        </is>
      </c>
      <c r="H22" s="14" t="n">
        <v>2.472</v>
      </c>
      <c r="I22" s="16" t="n">
        <v>3171.8</v>
      </c>
      <c r="J22" s="16" t="n">
        <v>3171.8</v>
      </c>
      <c r="K22" s="14" t="n">
        <v>0.23</v>
      </c>
      <c r="L22" s="14" t="n">
        <v>0.24305</v>
      </c>
      <c r="M22" s="17">
        <f>IF(OR(F22="",K22="",K22&lt;=0),"",F22/K22)</f>
        <v/>
      </c>
      <c r="N22" s="18" t="n">
        <v>1.0757179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2026-10-29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10.13</v>
      </c>
      <c r="G23" s="15" t="inlineStr">
        <is>
          <t>EUR</t>
        </is>
      </c>
      <c r="H23" s="14" t="n">
        <v>10.13</v>
      </c>
      <c r="I23" s="16" t="n">
        <v>618.7</v>
      </c>
      <c r="J23" s="16" t="n">
        <v>618.7</v>
      </c>
      <c r="K23" s="14" t="n">
        <v>4.2</v>
      </c>
      <c r="L23" s="14" t="n">
        <v>1.95776</v>
      </c>
      <c r="M23" s="17">
        <f>IF(OR(F23="",K23="",K23&lt;=0),"",F23/K23)</f>
        <v/>
      </c>
      <c r="N23" s="18" t="n">
        <v>0.30183843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2026-10-29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10.902</v>
      </c>
      <c r="G24" s="15" t="inlineStr">
        <is>
          <t>EUR</t>
        </is>
      </c>
      <c r="H24" s="14" t="n">
        <v>10.902</v>
      </c>
      <c r="I24" s="16" t="n">
        <v>33124.8</v>
      </c>
      <c r="J24" s="16" t="n">
        <v>33124.8</v>
      </c>
      <c r="K24" s="14" t="n">
        <v>1.18</v>
      </c>
      <c r="L24" s="14" t="n">
        <v>0.90722</v>
      </c>
      <c r="M24" s="17">
        <f>IF(OR(F24="",K24="",K24&lt;=0),"",F24/K24)</f>
        <v/>
      </c>
      <c r="N24" s="18" t="n">
        <v>1.2545456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2026-10-29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85.64</v>
      </c>
      <c r="G25" s="15" t="inlineStr">
        <is>
          <t>EUR</t>
        </is>
      </c>
      <c r="H25" s="14" t="n">
        <v>85.64</v>
      </c>
      <c r="I25" s="16" t="n">
        <v>5823.5</v>
      </c>
      <c r="J25" s="16" t="n">
        <v>5823.5</v>
      </c>
      <c r="K25" s="14" t="n">
        <v>2.01</v>
      </c>
      <c r="L25" s="14" t="n">
        <v>2.63663</v>
      </c>
      <c r="M25" s="17">
        <f>IF(OR(F25="",K25="",K25&lt;=0),"",F25/K25)</f>
        <v/>
      </c>
      <c r="N25" s="18" t="n">
        <v>10.627948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2026-10-29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13.75</v>
      </c>
      <c r="G26" s="15" t="inlineStr">
        <is>
          <t>EUR</t>
        </is>
      </c>
      <c r="H26" s="14" t="n">
        <v>13.75</v>
      </c>
      <c r="I26" s="16" t="n">
        <v>20699.3</v>
      </c>
      <c r="J26" s="16" t="n">
        <v>20699.3</v>
      </c>
      <c r="K26" s="14" t="n">
        <v>1.29</v>
      </c>
      <c r="L26" s="14" t="n">
        <v>1.41984</v>
      </c>
      <c r="M26" s="17">
        <f>IF(OR(F26="",K26="",K26&lt;=0),"",F26/K26)</f>
        <v/>
      </c>
      <c r="N26" s="18" t="n">
        <v>1.3253012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2026-10-29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53</v>
      </c>
      <c r="G27" s="15" t="inlineStr">
        <is>
          <t>EUR</t>
        </is>
      </c>
      <c r="H27" s="14" t="n">
        <v>53</v>
      </c>
      <c r="I27" s="16" t="n">
        <v>11024</v>
      </c>
      <c r="J27" s="16" t="n">
        <v>11024</v>
      </c>
      <c r="K27" s="14" t="n">
        <v>2.39</v>
      </c>
      <c r="L27" s="14" t="n">
        <v>3.78818</v>
      </c>
      <c r="M27" s="17">
        <f>IF(OR(F27="",K27="",K27&lt;=0),"",F27/K27)</f>
        <v/>
      </c>
      <c r="N27" s="18" t="n">
        <v>5.094684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2026-10-29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10.68</v>
      </c>
      <c r="G28" s="15" t="inlineStr">
        <is>
          <t>EUR</t>
        </is>
      </c>
      <c r="H28" s="14" t="n">
        <v>10.68</v>
      </c>
      <c r="I28" s="16" t="n">
        <v>3397.4</v>
      </c>
      <c r="J28" s="16" t="n">
        <v>3397.4</v>
      </c>
      <c r="K28" s="14" t="n">
        <v>0.74</v>
      </c>
      <c r="L28" s="14" t="n">
        <v>0.8532</v>
      </c>
      <c r="M28" s="17">
        <f>IF(OR(F28="",K28="",K28&lt;=0),"",F28/K28)</f>
        <v/>
      </c>
      <c r="N28" s="18" t="n">
        <v>1.450102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0.061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2026-10-29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Moncler</t>
        </is>
      </c>
      <c r="C29" s="12" t="inlineStr">
        <is>
          <t>MONC.MI</t>
        </is>
      </c>
      <c r="D29" s="11" t="inlineStr">
        <is>
          <t>Lusso</t>
        </is>
      </c>
      <c r="E29" s="13" t="inlineStr">
        <is>
          <t>Consumi</t>
        </is>
      </c>
      <c r="F29" s="14" t="n">
        <v>42.12</v>
      </c>
      <c r="G29" s="15" t="inlineStr">
        <is>
          <t>EUR</t>
        </is>
      </c>
      <c r="H29" s="14" t="n">
        <v>42.12</v>
      </c>
      <c r="I29" s="16" t="n">
        <v>11456.2</v>
      </c>
      <c r="J29" s="16" t="n">
        <v>11456.2</v>
      </c>
      <c r="K29" s="14" t="n">
        <v>2.37</v>
      </c>
      <c r="L29" s="14" t="n">
        <v>2.51878</v>
      </c>
      <c r="M29" s="17">
        <f>IF(OR(F29="",K29="",K29&lt;=0),"",F29/K29)</f>
        <v/>
      </c>
      <c r="N29" s="18" t="n">
        <v>3.1397688</v>
      </c>
      <c r="O29" s="19">
        <f>IF(OR(N29="",M29="",M29&lt;=0),"",N29/M29)</f>
        <v/>
      </c>
      <c r="P29" s="20" t="n">
        <v>0.18122</v>
      </c>
      <c r="Q29" s="20" t="n">
        <v>0.1851349369556408</v>
      </c>
      <c r="R29" s="20" t="n">
        <v>0.01692053914808814</v>
      </c>
      <c r="S29" s="21" t="n">
        <v>4</v>
      </c>
      <c r="T29" s="20" t="n"/>
      <c r="U29" s="20" t="n">
        <v>0.1627843667574618</v>
      </c>
      <c r="V29" s="20" t="n">
        <v>0.1783303314020599</v>
      </c>
      <c r="W29" s="20" t="n">
        <v>0.1903756142405816</v>
      </c>
      <c r="X29" s="20" t="n">
        <v>0.2090494354224597</v>
      </c>
      <c r="Y29" s="14" t="n">
        <v>1.4</v>
      </c>
      <c r="Z29" s="19">
        <f>IF(OR(Y29="",F29="",F29=0),"",Y29/F29)</f>
        <v/>
      </c>
      <c r="AA29" s="22" t="n">
        <v>33.88</v>
      </c>
      <c r="AB29" s="20" t="n">
        <v>0.052</v>
      </c>
      <c r="AC29" s="20" t="n">
        <v>0.2036704706831905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2026-10-29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Assicurazioni Generali</t>
        </is>
      </c>
      <c r="C30" s="12" t="inlineStr">
        <is>
          <t>G.MI</t>
        </is>
      </c>
      <c r="D30" s="11" t="inlineStr">
        <is>
          <t>Assicurazione</t>
        </is>
      </c>
      <c r="E30" s="13" t="inlineStr">
        <is>
          <t>Finanziario</t>
        </is>
      </c>
      <c r="F30" s="14" t="n">
        <v>42.44</v>
      </c>
      <c r="G30" s="15" t="inlineStr">
        <is>
          <t>EUR</t>
        </is>
      </c>
      <c r="H30" s="14" t="n">
        <v>42.44</v>
      </c>
      <c r="I30" s="16" t="n">
        <v>63674.8</v>
      </c>
      <c r="J30" s="16" t="n">
        <v>63674.8</v>
      </c>
      <c r="K30" s="14" t="n">
        <v>2.95</v>
      </c>
      <c r="L30" s="14" t="n">
        <v>3.40268</v>
      </c>
      <c r="M30" s="17">
        <f>IF(OR(F30="",K30="",K30&lt;=0),"",F30/K30)</f>
        <v/>
      </c>
      <c r="N30" s="18" t="n">
        <v>1.9989636</v>
      </c>
      <c r="O30" s="19">
        <f>IF(OR(N30="",M30="",M30&lt;=0),"",N30/M30)</f>
        <v/>
      </c>
      <c r="P30" s="20" t="n">
        <v>0.1514</v>
      </c>
      <c r="Q30" s="20" t="n">
        <v>0.1164672974509258</v>
      </c>
      <c r="R30" s="20" t="n">
        <v>0.01905215662104418</v>
      </c>
      <c r="S30" s="21" t="n">
        <v>4</v>
      </c>
      <c r="T30" s="20" t="n"/>
      <c r="U30" s="20" t="n">
        <v>0.1301147704590818</v>
      </c>
      <c r="V30" s="20" t="n">
        <v>0.1225443417025898</v>
      </c>
      <c r="W30" s="20" t="n">
        <v>0.1293451620697988</v>
      </c>
      <c r="X30" s="20" t="n">
        <v>0.08386491557223265</v>
      </c>
      <c r="Y30" s="14" t="n">
        <v>1.64</v>
      </c>
      <c r="Z30" s="19">
        <f>IF(OR(Y30="",F30="",F30=0),"",Y30/F30)</f>
        <v/>
      </c>
      <c r="AA30" s="22" t="n">
        <v>118.93</v>
      </c>
      <c r="AB30" s="20" t="n">
        <v>0.054</v>
      </c>
      <c r="AC30" s="20" t="n">
        <v>0.06105243451634225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2026-10-29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6.58</v>
      </c>
      <c r="G31" s="15" t="inlineStr">
        <is>
          <t>EUR</t>
        </is>
      </c>
      <c r="H31" s="14" t="n">
        <v>6.58</v>
      </c>
      <c r="I31" s="16" t="n">
        <v>7138.5</v>
      </c>
      <c r="J31" s="16" t="n">
        <v>7138.5</v>
      </c>
      <c r="K31" s="14" t="n">
        <v>0.5</v>
      </c>
      <c r="L31" s="14" t="n">
        <v>0.5705</v>
      </c>
      <c r="M31" s="17">
        <f>IF(OR(F31="",K31="",K31&lt;=0),"",F31/K31)</f>
        <v/>
      </c>
      <c r="N31" s="18" t="n">
        <v>1.1160109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2026-10-29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Terna</t>
        </is>
      </c>
      <c r="C32" s="12" t="inlineStr">
        <is>
          <t>TRN.MI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9.529999999999999</v>
      </c>
      <c r="G32" s="15" t="inlineStr">
        <is>
          <t>EUR</t>
        </is>
      </c>
      <c r="H32" s="14" t="n">
        <v>9.529999999999999</v>
      </c>
      <c r="I32" s="16" t="n">
        <v>19113</v>
      </c>
      <c r="J32" s="16" t="n">
        <v>19113</v>
      </c>
      <c r="K32" s="14" t="n">
        <v>0.51</v>
      </c>
      <c r="L32" s="14" t="n">
        <v>0.5578</v>
      </c>
      <c r="M32" s="17">
        <f>IF(OR(F32="",K32="",K32&lt;=0),"",F32/K32)</f>
        <v/>
      </c>
      <c r="N32" s="18" t="n">
        <v>3.2152495</v>
      </c>
      <c r="O32" s="19">
        <f>IF(OR(N32="",M32="",M32&lt;=0),"",N32/M32)</f>
        <v/>
      </c>
      <c r="P32" s="20" t="n">
        <v>0.13828</v>
      </c>
      <c r="Q32" s="20" t="n">
        <v>0.1473166531875201</v>
      </c>
      <c r="R32" s="20" t="n">
        <v>0.01230561727656675</v>
      </c>
      <c r="S32" s="21" t="n">
        <v>4</v>
      </c>
      <c r="T32" s="20" t="n"/>
      <c r="U32" s="20" t="n"/>
      <c r="V32" s="20" t="n">
        <v>0.1411312830599931</v>
      </c>
      <c r="W32" s="20" t="n">
        <v>0.1399974701157422</v>
      </c>
      <c r="X32" s="20" t="n">
        <v>0.1395310973624227</v>
      </c>
      <c r="Y32" s="14" t="n">
        <v>0.4</v>
      </c>
      <c r="Z32" s="19">
        <f>IF(OR(Y32="",F32="",F32=0),"",Y32/F32)</f>
        <v/>
      </c>
      <c r="AA32" s="22" t="n">
        <v>172.37</v>
      </c>
      <c r="AB32" s="20" t="n">
        <v>0.123</v>
      </c>
      <c r="AC32" s="20" t="n">
        <v>0.291854893908282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2026-10-29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Webuild</t>
        </is>
      </c>
      <c r="C33" s="12" t="inlineStr">
        <is>
          <t>WBD.MI</t>
        </is>
      </c>
      <c r="D33" s="11" t="inlineStr">
        <is>
          <t>Costruzioni</t>
        </is>
      </c>
      <c r="E33" s="13" t="inlineStr">
        <is>
          <t>Industriale</t>
        </is>
      </c>
      <c r="F33" s="14" t="n">
        <v>2.098</v>
      </c>
      <c r="G33" s="15" t="inlineStr">
        <is>
          <t>EUR</t>
        </is>
      </c>
      <c r="H33" s="14" t="n">
        <v>2.098</v>
      </c>
      <c r="I33" s="16" t="n">
        <v>2074.5</v>
      </c>
      <c r="J33" s="16" t="n">
        <v>2074.5</v>
      </c>
      <c r="K33" s="14" t="n">
        <v>0.26</v>
      </c>
      <c r="L33" s="14" t="n">
        <v>0.35671</v>
      </c>
      <c r="M33" s="17">
        <f>IF(OR(F33="",K33="",K33&lt;=0),"",F33/K33)</f>
        <v/>
      </c>
      <c r="N33" s="18" t="n">
        <v>1.1813064</v>
      </c>
      <c r="O33" s="19">
        <f>IF(OR(N33="",M33="",M33&lt;=0),"",N33/M33)</f>
        <v/>
      </c>
      <c r="P33" s="20" t="n">
        <v>0.11915</v>
      </c>
      <c r="Q33" s="20" t="n">
        <v>0.08623905340303167</v>
      </c>
      <c r="R33" s="20" t="n">
        <v>0.05099301347626185</v>
      </c>
      <c r="S33" s="21" t="n">
        <v>4</v>
      </c>
      <c r="T33" s="20" t="n"/>
      <c r="U33" s="20" t="n">
        <v>0.1431968553016038</v>
      </c>
      <c r="V33" s="20" t="n">
        <v>0.1135025665119075</v>
      </c>
      <c r="W33" s="20" t="n">
        <v>0.08199027909741466</v>
      </c>
      <c r="X33" s="20" t="n">
        <v>0.006266512701200791</v>
      </c>
      <c r="Y33" s="14" t="n">
        <v>0.08</v>
      </c>
      <c r="Z33" s="19">
        <f>IF(OR(Y33="",F33="",F33=0),"",Y33/F33)</f>
        <v/>
      </c>
      <c r="AA33" s="22" t="n">
        <v>175.257</v>
      </c>
      <c r="AB33" s="20" t="n">
        <v>-0.034</v>
      </c>
      <c r="AC33" s="20" t="n">
        <v>0.01923260372838383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2026-10-29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Mediobanca</t>
        </is>
      </c>
      <c r="C34" s="12" t="inlineStr">
        <is>
          <t>MB.MI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25.77</v>
      </c>
      <c r="G34" s="15" t="inlineStr">
        <is>
          <t>EUR</t>
        </is>
      </c>
      <c r="H34" s="14" t="n">
        <v>25.77</v>
      </c>
      <c r="I34" s="16" t="n">
        <v>20793.3</v>
      </c>
      <c r="J34" s="16" t="n">
        <v>20793.3</v>
      </c>
      <c r="K34" s="14" t="n">
        <v>1.5</v>
      </c>
      <c r="L34" s="14" t="n">
        <v>1.88184</v>
      </c>
      <c r="M34" s="17">
        <f>IF(OR(F34="",K34="",K34&lt;=0),"",F34/K34)</f>
        <v/>
      </c>
      <c r="N34" s="18" t="n">
        <v>1.7951934</v>
      </c>
      <c r="O34" s="19">
        <f>IF(OR(N34="",M34="",M34&lt;=0),"",N34/M34)</f>
        <v/>
      </c>
      <c r="P34" s="20" t="n">
        <v>0.09195672701246595</v>
      </c>
      <c r="Q34" s="20" t="n">
        <v>0.1017707532112722</v>
      </c>
      <c r="R34" s="20" t="n">
        <v>0.01405535340424778</v>
      </c>
      <c r="S34" s="21" t="n">
        <v>4</v>
      </c>
      <c r="T34" s="20" t="n"/>
      <c r="U34" s="20" t="n">
        <v>0.1171754223438182</v>
      </c>
      <c r="V34" s="20" t="n">
        <v>0.1141322843602949</v>
      </c>
      <c r="W34" s="20" t="n">
        <v>0.09059131861966614</v>
      </c>
      <c r="X34" s="20" t="n">
        <v>0.08518398752130946</v>
      </c>
      <c r="Y34" s="14" t="n">
        <v>1.26</v>
      </c>
      <c r="Z34" s="19">
        <f>IF(OR(Y34="",F34="",F34=0),"",Y34/F34)</f>
        <v/>
      </c>
      <c r="AA34" s="22" t="n"/>
      <c r="AB34" s="20" t="n">
        <v>0.151</v>
      </c>
      <c r="AC34" s="20" t="n">
        <v>0.3277628735719196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2026-10-29</t>
        </is>
      </c>
      <c r="AI34" s="11" t="inlineStr">
        <is>
          <t>yahoo</t>
        </is>
      </c>
      <c r="AJ34" s="23" t="inlineStr">
        <is>
          <t>Coinvolta nel risiko bancario: verificare se ancora quotata</t>
        </is>
      </c>
    </row>
    <row r="35">
      <c r="A35" s="10">
        <f>IF(AD35="","",RANK(AD35,AD$2:AD$67))</f>
        <v/>
      </c>
      <c r="B35" s="11" t="inlineStr">
        <is>
          <t>MFE-MediaForEurope B</t>
        </is>
      </c>
      <c r="C35" s="12" t="inlineStr">
        <is>
          <t>MFEB.MI</t>
        </is>
      </c>
      <c r="D35" s="11" t="inlineStr">
        <is>
          <t>Media / TV</t>
        </is>
      </c>
      <c r="E35" s="13" t="inlineStr">
        <is>
          <t>Industriale</t>
        </is>
      </c>
      <c r="F35" s="14" t="n">
        <v>2.94</v>
      </c>
      <c r="G35" s="15" t="inlineStr">
        <is>
          <t>EUR</t>
        </is>
      </c>
      <c r="H35" s="14" t="n">
        <v>2.94</v>
      </c>
      <c r="I35" s="16" t="n">
        <v>2056.9</v>
      </c>
      <c r="J35" s="16" t="n">
        <v>2056.9</v>
      </c>
      <c r="K35" s="14" t="n">
        <v>0.19</v>
      </c>
      <c r="L35" s="14" t="n">
        <v>0.5222</v>
      </c>
      <c r="M35" s="17">
        <f>IF(OR(F35="",K35="",K35&lt;=0),"",F35/K35)</f>
        <v/>
      </c>
      <c r="N35" s="18" t="n">
        <v>0.59048</v>
      </c>
      <c r="O35" s="19">
        <f>IF(OR(N35="",M35="",M35&lt;=0),"",N35/M35)</f>
        <v/>
      </c>
      <c r="P35" s="20" t="n">
        <v>0.055760004</v>
      </c>
      <c r="Q35" s="20" t="n">
        <v>0.07215163334997049</v>
      </c>
      <c r="R35" s="20" t="n">
        <v>0.01470500804818441</v>
      </c>
      <c r="S35" s="21" t="n">
        <v>4</v>
      </c>
      <c r="T35" s="20" t="n"/>
      <c r="U35" s="20" t="n">
        <v>0.08632122864934692</v>
      </c>
      <c r="V35" s="20" t="n">
        <v>0.04807055460661624</v>
      </c>
      <c r="W35" s="20" t="n">
        <v>0.07291485134711234</v>
      </c>
      <c r="X35" s="20" t="n">
        <v>0.08129989879680648</v>
      </c>
      <c r="Y35" s="14" t="n">
        <v>0.22</v>
      </c>
      <c r="Z35" s="19">
        <f>IF(OR(Y35="",F35="",F35=0),"",Y35/F35)</f>
        <v/>
      </c>
      <c r="AA35" s="22" t="n">
        <v>88.622</v>
      </c>
      <c r="AB35" s="20" t="n">
        <v>0.945</v>
      </c>
      <c r="AC35" s="20" t="n">
        <v>0.0410969196093163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2026-10-29</t>
        </is>
      </c>
      <c r="AI35" s="11" t="inlineStr">
        <is>
          <t>yahoo</t>
        </is>
      </c>
      <c r="AJ35" s="23" t="inlineStr">
        <is>
          <t>Stessa societa' di MFEA, voto multiplo</t>
        </is>
      </c>
    </row>
    <row r="36">
      <c r="A36" s="10">
        <f>IF(AD36="","",RANK(AD36,AD$2:AD$67))</f>
        <v/>
      </c>
      <c r="B36" s="11" t="inlineStr">
        <is>
          <t>Banca Profilo</t>
        </is>
      </c>
      <c r="C36" s="12" t="inlineStr">
        <is>
          <t>PRO.MI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1.646</v>
      </c>
      <c r="G36" s="15" t="inlineStr">
        <is>
          <t>EUR</t>
        </is>
      </c>
      <c r="H36" s="14" t="n">
        <v>1.646</v>
      </c>
      <c r="I36" s="16" t="n">
        <v>108.8</v>
      </c>
      <c r="J36" s="16" t="n">
        <v>108.8</v>
      </c>
      <c r="K36" s="14" t="n">
        <v>0.13</v>
      </c>
      <c r="L36" s="14" t="n">
        <v>0.158</v>
      </c>
      <c r="M36" s="17">
        <f>IF(OR(F36="",K36="",K36&lt;=0),"",F36/K36)</f>
        <v/>
      </c>
      <c r="N36" s="18" t="n">
        <v>0.6737618</v>
      </c>
      <c r="O36" s="19">
        <f>IF(OR(N36="",M36="",M36&lt;=0),"",N36/M36)</f>
        <v/>
      </c>
      <c r="P36" s="20" t="n">
        <v>0.05441</v>
      </c>
      <c r="Q36" s="20" t="n">
        <v>0.06503077574268615</v>
      </c>
      <c r="R36" s="20" t="n">
        <v>0.006357036968247848</v>
      </c>
      <c r="S36" s="21" t="n">
        <v>4</v>
      </c>
      <c r="T36" s="20" t="n"/>
      <c r="U36" s="20" t="n">
        <v>0.060088543950598</v>
      </c>
      <c r="V36" s="20" t="n">
        <v>0.05765696403735347</v>
      </c>
      <c r="W36" s="20" t="n">
        <v>0.07306048899843912</v>
      </c>
      <c r="X36" s="20" t="n">
        <v>0.06931710598435398</v>
      </c>
      <c r="Y36" s="14" t="n">
        <v>0.07000000000000001</v>
      </c>
      <c r="Z36" s="19">
        <f>IF(OR(Y36="",F36="",F36=0),"",Y36/F36)</f>
        <v/>
      </c>
      <c r="AA36" s="22" t="n"/>
      <c r="AB36" s="20" t="n">
        <v>-0.28</v>
      </c>
      <c r="AC36" s="20" t="n">
        <v>0.127950402243708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2026-10-29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Prysmian</t>
        </is>
      </c>
      <c r="C37" s="12" t="inlineStr">
        <is>
          <t>PRY.MI</t>
        </is>
      </c>
      <c r="D37" s="11" t="inlineStr">
        <is>
          <t>Cavi / Elettrificazione</t>
        </is>
      </c>
      <c r="E37" s="13" t="inlineStr">
        <is>
          <t>Industriale</t>
        </is>
      </c>
      <c r="F37" s="14" t="n">
        <v>114.9</v>
      </c>
      <c r="G37" s="15" t="inlineStr">
        <is>
          <t>EUR</t>
        </is>
      </c>
      <c r="H37" s="14" t="n">
        <v>114.9</v>
      </c>
      <c r="I37" s="16" t="n">
        <v>34386.6</v>
      </c>
      <c r="J37" s="16" t="n">
        <v>34386.6</v>
      </c>
      <c r="K37" s="14" t="n">
        <v>4.76</v>
      </c>
      <c r="L37" s="14" t="n">
        <v>6.18754</v>
      </c>
      <c r="M37" s="17">
        <f>IF(OR(F37="",K37="",K37&lt;=0),"",F37/K37)</f>
        <v/>
      </c>
      <c r="N37" s="18" t="n">
        <v>4.7342396</v>
      </c>
      <c r="O37" s="19">
        <f>IF(OR(N37="",M37="",M37&lt;=0),"",N37/M37)</f>
        <v/>
      </c>
      <c r="P37" s="20" t="n">
        <v>0.22361</v>
      </c>
      <c r="Q37" s="20" t="n">
        <v>0.154992902694697</v>
      </c>
      <c r="R37" s="20" t="n">
        <v>0.02380716722865209</v>
      </c>
      <c r="S37" s="21" t="n">
        <v>4</v>
      </c>
      <c r="T37" s="20" t="n"/>
      <c r="U37" s="20" t="n">
        <v>0.1961692925548347</v>
      </c>
      <c r="V37" s="20" t="n">
        <v>0.14330646746609</v>
      </c>
      <c r="W37" s="20" t="n">
        <v>0.1399100766992859</v>
      </c>
      <c r="X37" s="20" t="n">
        <v>0.1405857740585774</v>
      </c>
      <c r="Y37" s="14" t="n">
        <v>0.9</v>
      </c>
      <c r="Z37" s="19">
        <f>IF(OR(Y37="",F37="",F37=0),"",Y37/F37)</f>
        <v/>
      </c>
      <c r="AA37" s="22" t="n">
        <v>74.976</v>
      </c>
      <c r="AB37" s="20" t="n">
        <v>0.226</v>
      </c>
      <c r="AC37" s="20" t="n">
        <v>0.06936387094147582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2026-10-29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Banco Desio e Brianza</t>
        </is>
      </c>
      <c r="C38" s="12" t="inlineStr">
        <is>
          <t>BDB.MI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15.52</v>
      </c>
      <c r="G38" s="15" t="inlineStr">
        <is>
          <t>EUR</t>
        </is>
      </c>
      <c r="H38" s="14" t="n">
        <v>15.52</v>
      </c>
      <c r="I38" s="16" t="n">
        <v>2040.5</v>
      </c>
      <c r="J38" s="16" t="n">
        <v>2040.5</v>
      </c>
      <c r="K38" s="14" t="n">
        <v>1.02</v>
      </c>
      <c r="L38" s="14" t="n"/>
      <c r="M38" s="17">
        <f>IF(OR(F38="",K38="",K38&lt;=0),"",F38/K38)</f>
        <v/>
      </c>
      <c r="N38" s="18" t="n">
        <v>1.3631972</v>
      </c>
      <c r="O38" s="19">
        <f>IF(OR(N38="",M38="",M38&lt;=0),"",N38/M38)</f>
        <v/>
      </c>
      <c r="P38" s="20" t="n">
        <v>0.09042</v>
      </c>
      <c r="Q38" s="20" t="n">
        <v>0.1057732555853402</v>
      </c>
      <c r="R38" s="20" t="n">
        <v>0.04181671720819548</v>
      </c>
      <c r="S38" s="21" t="n">
        <v>4</v>
      </c>
      <c r="T38" s="20" t="n"/>
      <c r="U38" s="20" t="n">
        <v>0.08541270271503291</v>
      </c>
      <c r="V38" s="20" t="n">
        <v>0.08758728118881172</v>
      </c>
      <c r="W38" s="20" t="n">
        <v>0.1775172357765608</v>
      </c>
      <c r="X38" s="20" t="n">
        <v>0.07257580266095537</v>
      </c>
      <c r="Y38" s="14" t="n">
        <v>0.51</v>
      </c>
      <c r="Z38" s="19">
        <f>IF(OR(Y38="",F38="",F38=0),"",Y38/F38)</f>
        <v/>
      </c>
      <c r="AA38" s="22" t="n"/>
      <c r="AB38" s="20" t="n">
        <v>0.079</v>
      </c>
      <c r="AC38" s="20" t="n">
        <v>0.2061490474278459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2026-10-29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Tenaris</t>
        </is>
      </c>
      <c r="C39" s="12" t="inlineStr">
        <is>
          <t>TEN.MI</t>
        </is>
      </c>
      <c r="D39" s="11" t="inlineStr">
        <is>
          <t>Oil service</t>
        </is>
      </c>
      <c r="E39" s="13" t="inlineStr">
        <is>
          <t>Energia</t>
        </is>
      </c>
      <c r="F39" s="14" t="n">
        <v>27.37</v>
      </c>
      <c r="G39" s="15" t="inlineStr">
        <is>
          <t>EUR</t>
        </is>
      </c>
      <c r="H39" s="14" t="n">
        <v>27.37</v>
      </c>
      <c r="I39" s="16" t="n">
        <v>27633.8</v>
      </c>
      <c r="J39" s="16" t="n">
        <v>27633.8</v>
      </c>
      <c r="K39" s="14" t="n">
        <v>1.63</v>
      </c>
      <c r="L39" s="14" t="n">
        <v>1.9246141</v>
      </c>
      <c r="M39" s="17">
        <f>IF(OR(F39="",K39="",K39&lt;=0),"",F39/K39)</f>
        <v/>
      </c>
      <c r="N39" s="18" t="n">
        <v>1.8301295</v>
      </c>
      <c r="O39" s="19">
        <f>IF(OR(N39="",M39="",M39&lt;=0),"",N39/M39)</f>
        <v/>
      </c>
      <c r="P39" s="20" t="n">
        <v>0.115839995</v>
      </c>
      <c r="Q39" s="20" t="n">
        <v>0.163851096927405</v>
      </c>
      <c r="R39" s="20" t="n">
        <v>0.04758970868898593</v>
      </c>
      <c r="S39" s="21" t="n">
        <v>4</v>
      </c>
      <c r="T39" s="20" t="n"/>
      <c r="U39" s="20" t="n">
        <v>0.1164401927780697</v>
      </c>
      <c r="V39" s="20" t="n">
        <v>0.1227272620438531</v>
      </c>
      <c r="W39" s="20" t="n">
        <v>0.2326231380067603</v>
      </c>
      <c r="X39" s="20" t="n">
        <v>0.183613794880937</v>
      </c>
      <c r="Y39" s="14" t="n">
        <v>0.77</v>
      </c>
      <c r="Z39" s="19">
        <f>IF(OR(Y39="",F39="",F39=0),"",Y39/F39)</f>
        <v/>
      </c>
      <c r="AA39" s="22" t="n">
        <v>2.596</v>
      </c>
      <c r="AB39" s="20" t="n">
        <v>-0.039</v>
      </c>
      <c r="AC39" s="20" t="n">
        <v>0.1596170600218326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2026-10-29</t>
        </is>
      </c>
      <c r="AI39" s="11" t="inlineStr">
        <is>
          <t>yahoo</t>
        </is>
      </c>
      <c r="AJ39" s="23" t="inlineStr">
        <is>
          <t>Bilancio in USD</t>
        </is>
      </c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25.56</v>
      </c>
      <c r="G40" s="15" t="inlineStr">
        <is>
          <t>EUR</t>
        </is>
      </c>
      <c r="H40" s="14" t="n">
        <v>25.56</v>
      </c>
      <c r="I40" s="16" t="n">
        <v>5882.1</v>
      </c>
      <c r="J40" s="16" t="n">
        <v>5882.1</v>
      </c>
      <c r="K40" s="14" t="n">
        <v>0.93</v>
      </c>
      <c r="L40" s="14" t="n">
        <v>2.26278</v>
      </c>
      <c r="M40" s="17">
        <f>IF(OR(F40="",K40="",K40&lt;=0),"",F40/K40)</f>
        <v/>
      </c>
      <c r="N40" s="18" t="n">
        <v>26.542055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2026-10-29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Snam</t>
        </is>
      </c>
      <c r="C41" s="12" t="inlineStr">
        <is>
          <t>SRG.MI</t>
        </is>
      </c>
      <c r="D41" s="11" t="inlineStr">
        <is>
          <t>Utility / Reti</t>
        </is>
      </c>
      <c r="E41" s="13" t="inlineStr">
        <is>
          <t>Utility</t>
        </is>
      </c>
      <c r="F41" s="14" t="n">
        <v>6.118</v>
      </c>
      <c r="G41" s="15" t="inlineStr">
        <is>
          <t>EUR</t>
        </is>
      </c>
      <c r="H41" s="14" t="n">
        <v>6.118</v>
      </c>
      <c r="I41" s="16" t="n">
        <v>20534.5</v>
      </c>
      <c r="J41" s="16" t="n">
        <v>20534.5</v>
      </c>
      <c r="K41" s="14" t="n">
        <v>0.33</v>
      </c>
      <c r="L41" s="14" t="n">
        <v>0.43638</v>
      </c>
      <c r="M41" s="17">
        <f>IF(OR(F41="",K41="",K41&lt;=0),"",F41/K41)</f>
        <v/>
      </c>
      <c r="N41" s="18" t="n">
        <v>2.4819474</v>
      </c>
      <c r="O41" s="19">
        <f>IF(OR(N41="",M41="",M41&lt;=0),"",N41/M41)</f>
        <v/>
      </c>
      <c r="P41" s="20" t="n">
        <v>0.1238</v>
      </c>
      <c r="Q41" s="20" t="n">
        <v>0.1292498210780141</v>
      </c>
      <c r="R41" s="20" t="n">
        <v>0.02310306594021611</v>
      </c>
      <c r="S41" s="21" t="n">
        <v>4</v>
      </c>
      <c r="T41" s="20" t="n"/>
      <c r="U41" s="20" t="n">
        <v>0.1374905272274548</v>
      </c>
      <c r="V41" s="20" t="n">
        <v>0.1410012319408668</v>
      </c>
      <c r="W41" s="20" t="n">
        <v>0.1486574983628029</v>
      </c>
      <c r="X41" s="20" t="n">
        <v>0.08985002678093197</v>
      </c>
      <c r="Y41" s="14" t="n">
        <v>0.3</v>
      </c>
      <c r="Z41" s="19">
        <f>IF(OR(Y41="",F41="",F41=0),"",Y41/F41)</f>
        <v/>
      </c>
      <c r="AA41" s="22" t="n">
        <v>234.16</v>
      </c>
      <c r="AB41" s="20" t="n">
        <v>0.097</v>
      </c>
      <c r="AC41" s="20" t="n">
        <v>0.2889407933541018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2026-10-29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51.81</v>
      </c>
      <c r="G42" s="15" t="inlineStr">
        <is>
          <t>EUR</t>
        </is>
      </c>
      <c r="H42" s="14" t="n">
        <v>51.81</v>
      </c>
      <c r="I42" s="16" t="n">
        <v>29883.9</v>
      </c>
      <c r="J42" s="16" t="n">
        <v>29883.9</v>
      </c>
      <c r="K42" s="14" t="n">
        <v>2</v>
      </c>
      <c r="L42" s="14" t="n">
        <v>2.8879</v>
      </c>
      <c r="M42" s="17">
        <f>IF(OR(F42="",K42="",K42&lt;=0),"",F42/K42)</f>
        <v/>
      </c>
      <c r="N42" s="18" t="n">
        <v>3.095537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2026-10-29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Danieli &amp; C. ord.</t>
        </is>
      </c>
      <c r="C43" s="12" t="inlineStr">
        <is>
          <t>DAN.MI</t>
        </is>
      </c>
      <c r="D43" s="11" t="inlineStr">
        <is>
          <t>Impiantistica</t>
        </is>
      </c>
      <c r="E43" s="13" t="inlineStr">
        <is>
          <t>Industriale</t>
        </is>
      </c>
      <c r="F43" s="14" t="n">
        <v>52.85</v>
      </c>
      <c r="G43" s="15" t="inlineStr">
        <is>
          <t>EUR</t>
        </is>
      </c>
      <c r="H43" s="14" t="n">
        <v>52.85</v>
      </c>
      <c r="I43" s="16" t="n">
        <v>3782.6</v>
      </c>
      <c r="J43" s="16" t="n">
        <v>3782.6</v>
      </c>
      <c r="K43" s="14" t="n">
        <v>3.26</v>
      </c>
      <c r="L43" s="14" t="n">
        <v>4.17965</v>
      </c>
      <c r="M43" s="17">
        <f>IF(OR(F43="",K43="",K43&lt;=0),"",F43/K43)</f>
        <v/>
      </c>
      <c r="N43" s="18" t="n">
        <v>1.3252256</v>
      </c>
      <c r="O43" s="19">
        <f>IF(OR(N43="",M43="",M43&lt;=0),"",N43/M43)</f>
        <v/>
      </c>
      <c r="P43" s="20" t="n">
        <v>0.08036</v>
      </c>
      <c r="Q43" s="20" t="n">
        <v>0.0920093324497987</v>
      </c>
      <c r="R43" s="20" t="n">
        <v>0.009053920188374269</v>
      </c>
      <c r="S43" s="21" t="n">
        <v>4</v>
      </c>
      <c r="T43" s="20" t="n">
        <v>0.07750504959435038</v>
      </c>
      <c r="U43" s="20" t="n"/>
      <c r="V43" s="20" t="n">
        <v>0.09166035137508417</v>
      </c>
      <c r="W43" s="20" t="n">
        <v>0.1013185357254691</v>
      </c>
      <c r="X43" s="20" t="n">
        <v>0.09755339310429112</v>
      </c>
      <c r="Y43" s="14" t="n">
        <v>0.31</v>
      </c>
      <c r="Z43" s="19">
        <f>IF(OR(Y43="",F43="",F43=0),"",Y43/F43)</f>
        <v/>
      </c>
      <c r="AA43" s="22" t="n">
        <v>29.397</v>
      </c>
      <c r="AB43" s="20" t="n">
        <v>-0.048</v>
      </c>
      <c r="AC43" s="20" t="n">
        <v>0.06242506220192236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2026-10-29</t>
        </is>
      </c>
      <c r="AI43" s="11" t="inlineStr">
        <is>
          <t>yahoo</t>
        </is>
      </c>
      <c r="AJ43" s="23" t="inlineStr">
        <is>
          <t>Verificare se posizione e' su risparmio (DANR.MI)</t>
        </is>
      </c>
    </row>
    <row r="44">
      <c r="A44" s="10">
        <f>IF(AD44="","",RANK(AD44,AD$2:AD$67))</f>
        <v/>
      </c>
      <c r="B44" s="11" t="inlineStr">
        <is>
          <t>Interpump Group</t>
        </is>
      </c>
      <c r="C44" s="12" t="inlineStr">
        <is>
          <t>IP.MI</t>
        </is>
      </c>
      <c r="D44" s="11" t="inlineStr">
        <is>
          <t>Meccanica</t>
        </is>
      </c>
      <c r="E44" s="13" t="inlineStr">
        <is>
          <t>Industriale</t>
        </is>
      </c>
      <c r="F44" s="14" t="n">
        <v>38.28</v>
      </c>
      <c r="G44" s="15" t="inlineStr">
        <is>
          <t>EUR</t>
        </is>
      </c>
      <c r="H44" s="14" t="n">
        <v>38.28</v>
      </c>
      <c r="I44" s="16" t="n">
        <v>4023</v>
      </c>
      <c r="J44" s="16" t="n">
        <v>4023</v>
      </c>
      <c r="K44" s="14" t="n">
        <v>2.06</v>
      </c>
      <c r="L44" s="14" t="n">
        <v>2.3896</v>
      </c>
      <c r="M44" s="17">
        <f>IF(OR(F44="",K44="",K44&lt;=0),"",F44/K44)</f>
        <v/>
      </c>
      <c r="N44" s="18" t="n">
        <v>1.867408</v>
      </c>
      <c r="O44" s="19">
        <f>IF(OR(N44="",M44="",M44&lt;=0),"",N44/M44)</f>
        <v/>
      </c>
      <c r="P44" s="20" t="n">
        <v>0.102510005</v>
      </c>
      <c r="Q44" s="20" t="n">
        <v>0.1341707417514897</v>
      </c>
      <c r="R44" s="20" t="n">
        <v>0.02923547445248708</v>
      </c>
      <c r="S44" s="21" t="n">
        <v>4</v>
      </c>
      <c r="T44" s="20" t="n"/>
      <c r="U44" s="20" t="n">
        <v>0.09917145079023811</v>
      </c>
      <c r="V44" s="20" t="n">
        <v>0.1130533890473383</v>
      </c>
      <c r="W44" s="20" t="n">
        <v>0.1529172414023812</v>
      </c>
      <c r="X44" s="20" t="n">
        <v>0.1715408857660014</v>
      </c>
      <c r="Y44" s="14" t="n">
        <v>0.35</v>
      </c>
      <c r="Z44" s="19">
        <f>IF(OR(Y44="",F44="",F44=0),"",Y44/F44)</f>
        <v/>
      </c>
      <c r="AA44" s="22" t="n">
        <v>31.196</v>
      </c>
      <c r="AB44" s="20" t="n">
        <v>0.011</v>
      </c>
      <c r="AC44" s="20" t="n">
        <v>0.1026409592192725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2026-10-29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Eni</t>
        </is>
      </c>
      <c r="C45" s="12" t="inlineStr">
        <is>
          <t>ENI.MI</t>
        </is>
      </c>
      <c r="D45" s="11" t="inlineStr">
        <is>
          <t>Energia</t>
        </is>
      </c>
      <c r="E45" s="13" t="inlineStr">
        <is>
          <t>Energia</t>
        </is>
      </c>
      <c r="F45" s="14" t="n">
        <v>26.89</v>
      </c>
      <c r="G45" s="15" t="inlineStr">
        <is>
          <t>EUR</t>
        </is>
      </c>
      <c r="H45" s="14" t="n">
        <v>26.89</v>
      </c>
      <c r="I45" s="16" t="n">
        <v>76693.60000000001</v>
      </c>
      <c r="J45" s="16" t="n">
        <v>76693.60000000001</v>
      </c>
      <c r="K45" s="14" t="n">
        <v>1.48</v>
      </c>
      <c r="L45" s="14" t="n">
        <v>2.72256</v>
      </c>
      <c r="M45" s="17">
        <f>IF(OR(F45="",K45="",K45&lt;=0),"",F45/K45)</f>
        <v/>
      </c>
      <c r="N45" s="18" t="n">
        <v>1.4239568</v>
      </c>
      <c r="O45" s="19">
        <f>IF(OR(N45="",M45="",M45&lt;=0),"",N45/M45)</f>
        <v/>
      </c>
      <c r="P45" s="20" t="n">
        <v>0.1314</v>
      </c>
      <c r="Q45" s="20" t="n">
        <v>0.1118555013917138</v>
      </c>
      <c r="R45" s="20" t="n">
        <v>0.08328498900347517</v>
      </c>
      <c r="S45" s="21" t="n">
        <v>4</v>
      </c>
      <c r="T45" s="20" t="n"/>
      <c r="U45" s="20" t="n">
        <v>0.05440133500208594</v>
      </c>
      <c r="V45" s="20" t="n">
        <v>0.04971109216633513</v>
      </c>
      <c r="W45" s="20" t="n">
        <v>0.08970743080625752</v>
      </c>
      <c r="X45" s="20" t="n">
        <v>0.2536021475921766</v>
      </c>
      <c r="Y45" s="14" t="n">
        <v>1.08</v>
      </c>
      <c r="Z45" s="19">
        <f>IF(OR(Y45="",F45="",F45=0),"",Y45/F45)</f>
        <v/>
      </c>
      <c r="AA45" s="22" t="n">
        <v>69.21899999999999</v>
      </c>
      <c r="AB45" s="20" t="n">
        <v>0.267</v>
      </c>
      <c r="AC45" s="20" t="n">
        <v>0.08390646726150625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2026-10-29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9.303000000000001</v>
      </c>
      <c r="G46" s="15" t="inlineStr">
        <is>
          <t>EUR</t>
        </is>
      </c>
      <c r="H46" s="14" t="n">
        <v>9.303000000000001</v>
      </c>
      <c r="I46" s="16" t="n">
        <v>92449</v>
      </c>
      <c r="J46" s="16" t="n">
        <v>92449</v>
      </c>
      <c r="K46" s="14" t="n">
        <v>0.42</v>
      </c>
      <c r="L46" s="14" t="n">
        <v>0.75905</v>
      </c>
      <c r="M46" s="17">
        <f>IF(OR(F46="",K46="",K46&lt;=0),"",F46/K46)</f>
        <v/>
      </c>
      <c r="N46" s="18" t="n">
        <v>3.7391481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2026-10-29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CNH Industrial</t>
        </is>
      </c>
      <c r="C47" s="12" t="inlineStr">
        <is>
          <t>CNH</t>
        </is>
      </c>
      <c r="D47" s="11" t="inlineStr">
        <is>
          <t>Industria pesante</t>
        </is>
      </c>
      <c r="E47" s="13" t="inlineStr">
        <is>
          <t>Industriale</t>
        </is>
      </c>
      <c r="F47" s="14" t="n">
        <v>11.515</v>
      </c>
      <c r="G47" s="15" t="inlineStr">
        <is>
          <t>USD</t>
        </is>
      </c>
      <c r="H47" s="14" t="n">
        <v>10.30707658905314</v>
      </c>
      <c r="I47" s="16" t="n">
        <v>16575.37243321122</v>
      </c>
      <c r="J47" s="16" t="n">
        <v>18517.9</v>
      </c>
      <c r="K47" s="14" t="n">
        <v>0.25</v>
      </c>
      <c r="L47" s="14" t="n">
        <v>0.68767</v>
      </c>
      <c r="M47" s="17">
        <f>IF(OR(F47="",K47="",K47&lt;=0),"",F47/K47)</f>
        <v/>
      </c>
      <c r="N47" s="18" t="n">
        <v>1.8376956</v>
      </c>
      <c r="O47" s="19">
        <f>IF(OR(N47="",M47="",M47&lt;=0),"",N47/M47)</f>
        <v/>
      </c>
      <c r="P47" s="20" t="n">
        <v>0.03914</v>
      </c>
      <c r="Q47" s="20" t="n">
        <v>0.2012639037953489</v>
      </c>
      <c r="R47" s="20" t="n">
        <v>0.09342005211694962</v>
      </c>
      <c r="S47" s="21" t="n">
        <v>4</v>
      </c>
      <c r="T47" s="20" t="n"/>
      <c r="U47" s="20" t="n">
        <v>0.06597671410090557</v>
      </c>
      <c r="V47" s="20" t="n">
        <v>0.1628545288197621</v>
      </c>
      <c r="W47" s="20" t="n">
        <v>0.2833125778331258</v>
      </c>
      <c r="X47" s="20" t="n">
        <v>0.2929117944276021</v>
      </c>
      <c r="Y47" s="14" t="n">
        <v>0.1</v>
      </c>
      <c r="Z47" s="19">
        <f>IF(OR(Y47="",F47="",F47=0),"",Y47/F47)</f>
        <v/>
      </c>
      <c r="AA47" s="22" t="n">
        <v>335.044</v>
      </c>
      <c r="AB47" s="20" t="n">
        <v>0.02</v>
      </c>
      <c r="AC47" s="20" t="n">
        <v>0.01718706825089804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2026-10-29</t>
        </is>
      </c>
      <c r="AI47" s="11" t="inlineStr">
        <is>
          <t>yahoo</t>
        </is>
      </c>
      <c r="AJ47" s="23" t="inlineStr">
        <is>
          <t>Delistata da Milano (gen-2024), quota solo NYSE in USD</t>
        </is>
      </c>
    </row>
    <row r="48">
      <c r="A48" s="10">
        <f>IF(AD48="","",RANK(AD48,AD$2:AD$67))</f>
        <v/>
      </c>
      <c r="B48" s="11" t="inlineStr">
        <is>
          <t>BB Biotech</t>
        </is>
      </c>
      <c r="C48" s="12" t="inlineStr">
        <is>
          <t>BION.SW</t>
        </is>
      </c>
      <c r="D48" s="11" t="inlineStr">
        <is>
          <t>Veicolo biotech</t>
        </is>
      </c>
      <c r="E48" s="13" t="inlineStr">
        <is>
          <t>Veicolo</t>
        </is>
      </c>
      <c r="F48" s="14" t="n">
        <v>51.2</v>
      </c>
      <c r="G48" s="15" t="inlineStr">
        <is>
          <t>CHF</t>
        </is>
      </c>
      <c r="H48" s="14" t="n">
        <v>55.50917744506</v>
      </c>
      <c r="I48" s="16" t="n">
        <v>3061.244403005301</v>
      </c>
      <c r="J48" s="16" t="n">
        <v>2823.6</v>
      </c>
      <c r="K48" s="14" t="n">
        <v>19.57</v>
      </c>
      <c r="L48" s="14" t="n">
        <v>-0.65777</v>
      </c>
      <c r="M48" s="17">
        <f>IF(OR(F48="",K48="",K48&lt;=0),"",F48/K48)</f>
        <v/>
      </c>
      <c r="N48" s="18" t="n">
        <v>0.86626965</v>
      </c>
      <c r="O48" s="19">
        <f>IF(OR(N48="",M48="",M48&lt;=0),"",N48/M48)</f>
        <v/>
      </c>
      <c r="P48" s="20" t="n">
        <v>0.38676998</v>
      </c>
      <c r="Q48" s="20" t="n">
        <v>0.004777857685230683</v>
      </c>
      <c r="R48" s="20" t="n">
        <v>0.1322398198407014</v>
      </c>
      <c r="S48" s="21" t="n">
        <v>4</v>
      </c>
      <c r="T48" s="20" t="n"/>
      <c r="U48" s="20" t="n">
        <v>0.2080524401851888</v>
      </c>
      <c r="V48" s="20" t="n">
        <v>0.033197421851627</v>
      </c>
      <c r="W48" s="20" t="n">
        <v>-0.08893142569118598</v>
      </c>
      <c r="X48" s="20" t="n">
        <v>-0.1332070056047071</v>
      </c>
      <c r="Y48" s="14" t="n">
        <v>2.25</v>
      </c>
      <c r="Z48" s="19">
        <f>IF(OR(Y48="",F48="",F48=0),"",Y48/F48)</f>
        <v/>
      </c>
      <c r="AA48" s="22" t="n"/>
      <c r="AB48" s="20" t="n">
        <v>-0.608</v>
      </c>
      <c r="AC48" s="20" t="n">
        <v>1.833893006386636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2026-10-29</t>
        </is>
      </c>
      <c r="AI48" s="11" t="inlineStr">
        <is>
          <t>yahoo</t>
        </is>
      </c>
      <c r="AJ48" s="23" t="inlineStr">
        <is>
          <t>Quotata Zurigo/Xetra, NAV-driven: ROE poco significativo</t>
        </is>
      </c>
    </row>
    <row r="49">
      <c r="A49" s="10">
        <f>IF(AD49="","",RANK(AD49,AD$2:AD$67))</f>
        <v/>
      </c>
      <c r="B49" s="11" t="inlineStr">
        <is>
          <t>STMicroelectronics</t>
        </is>
      </c>
      <c r="C49" s="12" t="inlineStr">
        <is>
          <t>STMMI.MI</t>
        </is>
      </c>
      <c r="D49" s="11" t="inlineStr">
        <is>
          <t>Semiconduttori</t>
        </is>
      </c>
      <c r="E49" s="13" t="inlineStr">
        <is>
          <t>Tecnologia</t>
        </is>
      </c>
      <c r="F49" s="14" t="n">
        <v>44.195</v>
      </c>
      <c r="G49" s="15" t="inlineStr">
        <is>
          <t>EUR</t>
        </is>
      </c>
      <c r="H49" s="14" t="n">
        <v>44.195</v>
      </c>
      <c r="I49" s="16" t="n">
        <v>39528.7</v>
      </c>
      <c r="J49" s="16" t="n">
        <v>39528.7</v>
      </c>
      <c r="K49" s="14" t="n">
        <v>0.03</v>
      </c>
      <c r="L49" s="14" t="n">
        <v>1.42</v>
      </c>
      <c r="M49" s="17">
        <f>IF(OR(F49="",K49="",K49&lt;=0),"",F49/K49)</f>
        <v/>
      </c>
      <c r="N49" s="18" t="n">
        <v>2.5116122</v>
      </c>
      <c r="O49" s="19">
        <f>IF(OR(N49="",M49="",M49&lt;=0),"",N49/M49)</f>
        <v/>
      </c>
      <c r="P49" s="20" t="n">
        <v>0.02686</v>
      </c>
      <c r="Q49" s="20" t="n">
        <v>0.1655610564349585</v>
      </c>
      <c r="R49" s="20" t="n">
        <v>0.1215552570620177</v>
      </c>
      <c r="S49" s="21" t="n">
        <v>4</v>
      </c>
      <c r="T49" s="20" t="n"/>
      <c r="U49" s="20" t="n">
        <v>0.009311195871662552</v>
      </c>
      <c r="V49" s="20" t="n">
        <v>0.08923147458307067</v>
      </c>
      <c r="W49" s="20" t="n">
        <v>0.2517185725387052</v>
      </c>
      <c r="X49" s="20" t="n">
        <v>0.3119829827463956</v>
      </c>
      <c r="Y49" s="14" t="n">
        <v>0.32</v>
      </c>
      <c r="Z49" s="19">
        <f>IF(OR(Y49="",F49="",F49=0),"",Y49/F49)</f>
        <v/>
      </c>
      <c r="AA49" s="22" t="n">
        <v>23.446</v>
      </c>
      <c r="AB49" s="20" t="n">
        <v>0.261</v>
      </c>
      <c r="AC49" s="20" t="n">
        <v>0.03949152542372882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2026-10-29</t>
        </is>
      </c>
      <c r="AI49" s="11" t="inlineStr">
        <is>
          <t>yahoo</t>
        </is>
      </c>
      <c r="AJ49" s="23" t="inlineStr">
        <is>
          <t>Bilancio in USD</t>
        </is>
      </c>
    </row>
    <row r="50">
      <c r="A50" s="10">
        <f>IF(AD50="","",RANK(AD50,AD$2:AD$67))</f>
        <v/>
      </c>
      <c r="B50" s="11" t="inlineStr">
        <is>
          <t>INWIT</t>
        </is>
      </c>
      <c r="C50" s="12" t="inlineStr">
        <is>
          <t>INW.MI</t>
        </is>
      </c>
      <c r="D50" s="11" t="inlineStr">
        <is>
          <t>Torri / Infrastrutture</t>
        </is>
      </c>
      <c r="E50" s="13" t="inlineStr">
        <is>
          <t>Industriale</t>
        </is>
      </c>
      <c r="F50" s="14" t="n">
        <v>7.28</v>
      </c>
      <c r="G50" s="15" t="inlineStr">
        <is>
          <t>EUR</t>
        </is>
      </c>
      <c r="H50" s="14" t="n">
        <v>7.28</v>
      </c>
      <c r="I50" s="16" t="n">
        <v>6570.1</v>
      </c>
      <c r="J50" s="16" t="n">
        <v>6570.1</v>
      </c>
      <c r="K50" s="14" t="n">
        <v>0.37</v>
      </c>
      <c r="L50" s="14" t="n">
        <v>0.35607</v>
      </c>
      <c r="M50" s="17">
        <f>IF(OR(F50="",K50="",K50&lt;=0),"",F50/K50)</f>
        <v/>
      </c>
      <c r="N50" s="18" t="n">
        <v>2.1640904</v>
      </c>
      <c r="O50" s="19">
        <f>IF(OR(N50="",M50="",M50&lt;=0),"",N50/M50)</f>
        <v/>
      </c>
      <c r="P50" s="20" t="n">
        <v>0.098620005</v>
      </c>
      <c r="Q50" s="20" t="n">
        <v>0.08375718905919846</v>
      </c>
      <c r="R50" s="20" t="n">
        <v>0.01401549999798546</v>
      </c>
      <c r="S50" s="21" t="n">
        <v>4</v>
      </c>
      <c r="T50" s="20" t="n"/>
      <c r="U50" s="20" t="n">
        <v>0.1042395007229944</v>
      </c>
      <c r="V50" s="20" t="n">
        <v>0.0868230114415488</v>
      </c>
      <c r="W50" s="20" t="n">
        <v>0.0782900743220354</v>
      </c>
      <c r="X50" s="20" t="n">
        <v>0.06567616975021522</v>
      </c>
      <c r="Y50" s="14" t="n">
        <v>0.55</v>
      </c>
      <c r="Z50" s="19">
        <f>IF(OR(Y50="",F50="",F50=0),"",Y50/F50)</f>
        <v/>
      </c>
      <c r="AA50" s="22" t="n">
        <v>176.713</v>
      </c>
      <c r="AB50" s="20" t="n">
        <v>-0.008</v>
      </c>
      <c r="AC50" s="20" t="n">
        <v>0.3133351145555501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2026-10-29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13.065</v>
      </c>
      <c r="G51" s="15" t="inlineStr">
        <is>
          <t>EUR</t>
        </is>
      </c>
      <c r="H51" s="14" t="n">
        <v>13.065</v>
      </c>
      <c r="I51" s="16" t="n">
        <v>3472</v>
      </c>
      <c r="J51" s="16" t="n">
        <v>3472</v>
      </c>
      <c r="K51" s="14" t="n">
        <v>0.31</v>
      </c>
      <c r="L51" s="14" t="n">
        <v>0.8966499999999999</v>
      </c>
      <c r="M51" s="17">
        <f>IF(OR(F51="",K51="",K51&lt;=0),"",F51/K51)</f>
        <v/>
      </c>
      <c r="N51" s="18" t="n">
        <v>2.2937148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2026-10-29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6.126</v>
      </c>
      <c r="G52" s="15" t="inlineStr">
        <is>
          <t>EUR</t>
        </is>
      </c>
      <c r="H52" s="14" t="n">
        <v>6.126</v>
      </c>
      <c r="I52" s="16" t="n">
        <v>7347.3</v>
      </c>
      <c r="J52" s="16" t="n">
        <v>7347.3</v>
      </c>
      <c r="K52" s="14" t="n">
        <v>0.15</v>
      </c>
      <c r="L52" s="14" t="n">
        <v>0.35155</v>
      </c>
      <c r="M52" s="17">
        <f>IF(OR(F52="",K52="",K52&lt;=0),"",F52/K52)</f>
        <v/>
      </c>
      <c r="N52" s="18" t="n">
        <v>1.8407451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2026-10-29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14.37</v>
      </c>
      <c r="G53" s="15" t="inlineStr">
        <is>
          <t>EUR</t>
        </is>
      </c>
      <c r="H53" s="14" t="n">
        <v>14.37</v>
      </c>
      <c r="I53" s="16" t="n">
        <v>3827.4</v>
      </c>
      <c r="J53" s="16" t="n">
        <v>3827.4</v>
      </c>
      <c r="K53" s="14" t="n">
        <v>0.23</v>
      </c>
      <c r="L53" s="14" t="n">
        <v>2.04108</v>
      </c>
      <c r="M53" s="17">
        <f>IF(OR(F53="",K53="",K53&lt;=0),"",F53/K53)</f>
        <v/>
      </c>
      <c r="N53" s="18" t="n">
        <v>1.550831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/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2026-10-29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DiaSorin</t>
        </is>
      </c>
      <c r="C54" s="12" t="inlineStr">
        <is>
          <t>DIA.MI</t>
        </is>
      </c>
      <c r="D54" s="11" t="inlineStr">
        <is>
          <t>Diagnostica</t>
        </is>
      </c>
      <c r="E54" s="13" t="inlineStr">
        <is>
          <t>Salute</t>
        </is>
      </c>
      <c r="F54" s="14" t="n">
        <v>80.59999999999999</v>
      </c>
      <c r="G54" s="15" t="inlineStr">
        <is>
          <t>EUR</t>
        </is>
      </c>
      <c r="H54" s="14" t="n">
        <v>80.59999999999999</v>
      </c>
      <c r="I54" s="16" t="n">
        <v>3970.8</v>
      </c>
      <c r="J54" s="16" t="n">
        <v>3970.8</v>
      </c>
      <c r="K54" s="14" t="n">
        <v>2.76</v>
      </c>
      <c r="L54" s="14" t="n">
        <v>4.33247</v>
      </c>
      <c r="M54" s="17">
        <f>IF(OR(F54="",K54="",K54&lt;=0),"",F54/K54)</f>
        <v/>
      </c>
      <c r="N54" s="18" t="n">
        <v>2.8026984</v>
      </c>
      <c r="O54" s="19">
        <f>IF(OR(N54="",M54="",M54&lt;=0),"",N54/M54)</f>
        <v/>
      </c>
      <c r="P54" s="20" t="n">
        <v>0.091630004</v>
      </c>
      <c r="Q54" s="20" t="n">
        <v>0.091630004</v>
      </c>
      <c r="R54" s="20" t="n"/>
      <c r="S54" s="21" t="n">
        <v>0</v>
      </c>
      <c r="T54" s="20" t="n"/>
      <c r="U54" s="20" t="n">
        <v>0.09821690597560229</v>
      </c>
      <c r="V54" s="20" t="n">
        <v>0.1044495085284283</v>
      </c>
      <c r="W54" s="20" t="n">
        <v>0.1038917569158156</v>
      </c>
      <c r="X54" s="20" t="n">
        <v>0.1585969351983458</v>
      </c>
      <c r="Y54" s="14" t="n">
        <v>1.3</v>
      </c>
      <c r="Z54" s="19">
        <f>IF(OR(Y54="",F54="",F54=0),"",Y54/F54)</f>
        <v/>
      </c>
      <c r="AA54" s="22" t="n">
        <v>68.18300000000001</v>
      </c>
      <c r="AB54" s="20" t="n">
        <v>0.027</v>
      </c>
      <c r="AC54" s="20" t="n">
        <v>0.11939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2026-10-29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Esprinet</t>
        </is>
      </c>
      <c r="C55" s="12" t="inlineStr">
        <is>
          <t>PRT.MI</t>
        </is>
      </c>
      <c r="D55" s="11" t="inlineStr">
        <is>
          <t>Distribuzione IT</t>
        </is>
      </c>
      <c r="E55" s="13" t="inlineStr">
        <is>
          <t>Tecnologia</t>
        </is>
      </c>
      <c r="F55" s="14" t="n">
        <v>7.8</v>
      </c>
      <c r="G55" s="15" t="inlineStr">
        <is>
          <t>EUR</t>
        </is>
      </c>
      <c r="H55" s="14" t="n">
        <v>7.8</v>
      </c>
      <c r="I55" s="16" t="n">
        <v>385.7</v>
      </c>
      <c r="J55" s="16" t="n">
        <v>385.7</v>
      </c>
      <c r="K55" s="14" t="n">
        <v>0.44</v>
      </c>
      <c r="L55" s="14" t="n">
        <v>0.63139</v>
      </c>
      <c r="M55" s="17">
        <f>IF(OR(F55="",K55="",K55&lt;=0),"",F55/K55)</f>
        <v/>
      </c>
      <c r="N55" s="18" t="n">
        <v>1.0233535</v>
      </c>
      <c r="O55" s="19">
        <f>IF(OR(N55="",M55="",M55&lt;=0),"",N55/M55)</f>
        <v/>
      </c>
      <c r="P55" s="20" t="n">
        <v>0.05738</v>
      </c>
      <c r="Q55" s="20" t="n">
        <v>0.04761574922132365</v>
      </c>
      <c r="R55" s="20" t="n">
        <v>0.05268191971291874</v>
      </c>
      <c r="S55" s="21" t="n">
        <v>4</v>
      </c>
      <c r="T55" s="20" t="n"/>
      <c r="U55" s="20" t="n">
        <v>0.05179603050299125</v>
      </c>
      <c r="V55" s="20" t="n">
        <v>0.0552888011982109</v>
      </c>
      <c r="W55" s="20" t="n">
        <v>-0.03232084047794018</v>
      </c>
      <c r="X55" s="20" t="n">
        <v>0.1156990056620326</v>
      </c>
      <c r="Y55" s="14" t="n">
        <v>0.35</v>
      </c>
      <c r="Z55" s="19">
        <f>IF(OR(Y55="",F55="",F55=0),"",Y55/F55)</f>
        <v/>
      </c>
      <c r="AA55" s="22" t="n">
        <v>118.59</v>
      </c>
      <c r="AB55" s="20" t="n">
        <v>0.057</v>
      </c>
      <c r="AC55" s="20" t="n">
        <v>0.005013921086660221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2026-10-29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21.82</v>
      </c>
      <c r="G56" s="15" t="inlineStr">
        <is>
          <t>EUR</t>
        </is>
      </c>
      <c r="H56" s="14" t="n">
        <v>21.82</v>
      </c>
      <c r="I56" s="16" t="n">
        <v>3171.6</v>
      </c>
      <c r="J56" s="16" t="n">
        <v>3171.6</v>
      </c>
      <c r="K56" s="14" t="n">
        <v>0.54</v>
      </c>
      <c r="L56" s="14" t="n">
        <v>1.16663</v>
      </c>
      <c r="M56" s="17">
        <f>IF(OR(F56="",K56="",K56&lt;=0),"",F56/K56)</f>
        <v/>
      </c>
      <c r="N56" s="18" t="n">
        <v>1.6785907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2026-10-29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5.756</v>
      </c>
      <c r="G57" s="15" t="inlineStr">
        <is>
          <t>EUR</t>
        </is>
      </c>
      <c r="H57" s="14" t="n">
        <v>5.756</v>
      </c>
      <c r="I57" s="16" t="n">
        <v>12279</v>
      </c>
      <c r="J57" s="16" t="n">
        <v>12279</v>
      </c>
      <c r="K57" s="14" t="n">
        <v>0.21</v>
      </c>
      <c r="L57" s="14" t="n">
        <v>0.28154</v>
      </c>
      <c r="M57" s="17">
        <f>IF(OR(F57="",K57="",K57&lt;=0),"",F57/K57)</f>
        <v/>
      </c>
      <c r="N57" s="18" t="n">
        <v>1.0621886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2026-10-29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12.75</v>
      </c>
      <c r="G58" s="15" t="inlineStr">
        <is>
          <t>EUR</t>
        </is>
      </c>
      <c r="H58" s="14" t="n">
        <v>12.75</v>
      </c>
      <c r="I58" s="16" t="n">
        <v>4828.6</v>
      </c>
      <c r="J58" s="16" t="n">
        <v>4828.6</v>
      </c>
      <c r="K58" s="14" t="n">
        <v>0.53</v>
      </c>
      <c r="L58" s="14" t="n">
        <v>0.81329</v>
      </c>
      <c r="M58" s="17">
        <f>IF(OR(F58="",K58="",K58&lt;=0),"",F58/K58)</f>
        <v/>
      </c>
      <c r="N58" s="18" t="n">
        <v>2.8283052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2026-10-29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6.28</v>
      </c>
      <c r="G59" s="15" t="inlineStr">
        <is>
          <t>EUR</t>
        </is>
      </c>
      <c r="H59" s="14" t="n">
        <v>6.28</v>
      </c>
      <c r="I59" s="16" t="n">
        <v>1032.5</v>
      </c>
      <c r="J59" s="16" t="n">
        <v>1032.5</v>
      </c>
      <c r="K59" s="14" t="n">
        <v>0.06</v>
      </c>
      <c r="L59" s="14" t="n">
        <v>0.17146</v>
      </c>
      <c r="M59" s="17">
        <f>IF(OR(F59="",K59="",K59&lt;=0),"",F59/K59)</f>
        <v/>
      </c>
      <c r="N59" s="18" t="n">
        <v>1.7750142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2026-10-29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4.537</v>
      </c>
      <c r="G60" s="15" t="inlineStr">
        <is>
          <t>EUR</t>
        </is>
      </c>
      <c r="H60" s="14" t="n">
        <v>4.537</v>
      </c>
      <c r="I60" s="16" t="n">
        <v>8803.1</v>
      </c>
      <c r="J60" s="16" t="n">
        <v>8803.1</v>
      </c>
      <c r="K60" s="14" t="n">
        <v>0.13</v>
      </c>
      <c r="L60" s="14" t="n">
        <v>0.29766</v>
      </c>
      <c r="M60" s="17">
        <f>IF(OR(F60="",K60="",K60&lt;=0),"",F60/K60)</f>
        <v/>
      </c>
      <c r="N60" s="18" t="n">
        <v>3.8062081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2026-10-29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71.45</v>
      </c>
      <c r="G61" s="15" t="inlineStr">
        <is>
          <t>EUR</t>
        </is>
      </c>
      <c r="H61" s="14" t="n">
        <v>71.45</v>
      </c>
      <c r="I61" s="16" t="n">
        <v>23519.9</v>
      </c>
      <c r="J61" s="16" t="n">
        <v>23519.9</v>
      </c>
      <c r="K61" s="14" t="n">
        <v>-21.37</v>
      </c>
      <c r="L61" s="14" t="n">
        <v>1.19258</v>
      </c>
      <c r="M61" s="17">
        <f>IF(OR(F61="",K61="",K61&lt;=0),"",F61/K61)</f>
        <v/>
      </c>
      <c r="N61" s="18" t="n">
        <v>0.45254168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2026-10-29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8.584</v>
      </c>
      <c r="G62" s="15" t="inlineStr">
        <is>
          <t>EUR</t>
        </is>
      </c>
      <c r="H62" s="14" t="n">
        <v>8.584</v>
      </c>
      <c r="I62" s="16" t="n">
        <v>1579.9</v>
      </c>
      <c r="J62" s="16" t="n">
        <v>1579.9</v>
      </c>
      <c r="K62" s="14" t="n">
        <v>-6.27</v>
      </c>
      <c r="L62" s="14" t="n">
        <v>2.305</v>
      </c>
      <c r="M62" s="17">
        <f>IF(OR(F62="",K62="",K62&lt;=0),"",F62/K62)</f>
        <v/>
      </c>
      <c r="N62" s="18" t="n">
        <v>0.8280918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2026-10-29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0.263</v>
      </c>
      <c r="G63" s="15" t="inlineStr">
        <is>
          <t>EUR</t>
        </is>
      </c>
      <c r="H63" s="14" t="n">
        <v>0.263</v>
      </c>
      <c r="I63" s="16" t="n">
        <v>113</v>
      </c>
      <c r="J63" s="16" t="n">
        <v>113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1.2705314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2026-10-29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1.556</v>
      </c>
      <c r="G64" s="15" t="inlineStr">
        <is>
          <t>EUR</t>
        </is>
      </c>
      <c r="H64" s="14" t="n">
        <v>1.556</v>
      </c>
      <c r="I64" s="16" t="n">
        <v>648.9</v>
      </c>
      <c r="J64" s="16" t="n">
        <v>648.9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55.571426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2026-10-29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4.387</v>
      </c>
      <c r="G65" s="15" t="inlineStr">
        <is>
          <t>EUR</t>
        </is>
      </c>
      <c r="H65" s="14" t="n">
        <v>4.387</v>
      </c>
      <c r="I65" s="16" t="n">
        <v>5153.5</v>
      </c>
      <c r="J65" s="16" t="n">
        <v>5153.5</v>
      </c>
      <c r="K65" s="14" t="n">
        <v>-2.82</v>
      </c>
      <c r="L65" s="14" t="n">
        <v>0.65503</v>
      </c>
      <c r="M65" s="17">
        <f>IF(OR(F65="",K65="",K65&lt;=0),"",F65/K65)</f>
        <v/>
      </c>
      <c r="N65" s="18" t="n">
        <v>0.75781655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2026-10-29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0.0207</v>
      </c>
      <c r="G66" s="15" t="inlineStr">
        <is>
          <t>EUR</t>
        </is>
      </c>
      <c r="H66" s="14" t="n">
        <v>0.0207</v>
      </c>
      <c r="I66" s="16" t="n">
        <v>37.3</v>
      </c>
      <c r="J66" s="16" t="n">
        <v>37.3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2026-10-29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4.22</v>
      </c>
      <c r="G67" s="15" t="inlineStr">
        <is>
          <t>EUR</t>
        </is>
      </c>
      <c r="H67" s="14" t="n">
        <v>4.22</v>
      </c>
      <c r="I67" s="16" t="n">
        <v>12252.5</v>
      </c>
      <c r="J67" s="16" t="n">
        <v>12252.5</v>
      </c>
      <c r="K67" s="14" t="n">
        <v>-8.630000000000001</v>
      </c>
      <c r="L67" s="14" t="n">
        <v>1.02481</v>
      </c>
      <c r="M67" s="17">
        <f>IF(OR(F67="",K67="",K67&lt;=0),"",F67/K67)</f>
        <v/>
      </c>
      <c r="N67" s="18" t="n">
        <v>0.22833025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/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2026-10-29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556.4</v>
      </c>
      <c r="G2" s="15" t="inlineStr">
        <is>
          <t>EUR</t>
        </is>
      </c>
      <c r="H2" s="14" t="n">
        <v>556.4</v>
      </c>
      <c r="I2" s="16" t="n">
        <v>70003.2</v>
      </c>
      <c r="J2" s="16" t="n">
        <v>70003.2</v>
      </c>
      <c r="K2" s="14" t="n">
        <v>53.38</v>
      </c>
      <c r="L2" s="14" t="n">
        <v>51.5887</v>
      </c>
      <c r="M2" s="17">
        <f>IF(OR(F2="",K2="",K2&lt;=0),"",F2/K2)</f>
        <v/>
      </c>
      <c r="N2" s="18" t="n">
        <v>2.0858483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2026-10-29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439.6</v>
      </c>
      <c r="G3" s="15" t="inlineStr">
        <is>
          <t>EUR</t>
        </is>
      </c>
      <c r="H3" s="14" t="n">
        <v>439.6</v>
      </c>
      <c r="I3" s="16" t="n">
        <v>166734.2</v>
      </c>
      <c r="J3" s="16" t="n">
        <v>166734.2</v>
      </c>
      <c r="K3" s="14" t="n">
        <v>30.53</v>
      </c>
      <c r="L3" s="14" t="n">
        <v>32.86106</v>
      </c>
      <c r="M3" s="17">
        <f>IF(OR(F3="",K3="",K3&lt;=0),"",F3/K3)</f>
        <v/>
      </c>
      <c r="N3" s="18" t="n">
        <v>2.6429389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2026-10-29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Telekom</t>
        </is>
      </c>
      <c r="C4" s="12" t="inlineStr">
        <is>
          <t>DTE.DE</t>
        </is>
      </c>
      <c r="D4" s="11" t="inlineStr">
        <is>
          <t>Telecomunicazioni</t>
        </is>
      </c>
      <c r="E4" s="13" t="inlineStr">
        <is>
          <t>Industriale</t>
        </is>
      </c>
      <c r="F4" s="14" t="n">
        <v>25.62</v>
      </c>
      <c r="G4" s="15" t="inlineStr">
        <is>
          <t>EUR</t>
        </is>
      </c>
      <c r="H4" s="14" t="n">
        <v>25.62</v>
      </c>
      <c r="I4" s="16" t="n">
        <v>122530.5</v>
      </c>
      <c r="J4" s="16" t="n">
        <v>122530.5</v>
      </c>
      <c r="K4" s="14" t="n">
        <v>1.78</v>
      </c>
      <c r="L4" s="14" t="n">
        <v>2.57516</v>
      </c>
      <c r="M4" s="17">
        <f>IF(OR(F4="",K4="",K4&lt;=0),"",F4/K4)</f>
        <v/>
      </c>
      <c r="N4" s="18" t="n">
        <v>2.047307</v>
      </c>
      <c r="O4" s="19">
        <f>IF(OR(N4="",M4="",M4&lt;=0),"",N4/M4)</f>
        <v/>
      </c>
      <c r="P4" s="20" t="n">
        <v>0.15063</v>
      </c>
      <c r="Q4" s="20" t="n">
        <v>0.2022248877631041</v>
      </c>
      <c r="R4" s="20" t="n">
        <v>0.06415451121921879</v>
      </c>
      <c r="S4" s="21" t="n">
        <v>4</v>
      </c>
      <c r="T4" s="20" t="n"/>
      <c r="U4" s="20" t="n">
        <v>0.1545575911598655</v>
      </c>
      <c r="V4" s="20" t="n">
        <v>0.1770885995955511</v>
      </c>
      <c r="W4" s="20" t="n">
        <v>0.3124813350900307</v>
      </c>
      <c r="X4" s="20" t="n">
        <v>0.164772025206969</v>
      </c>
      <c r="Y4" s="14" t="n">
        <v>1</v>
      </c>
      <c r="Z4" s="19">
        <f>IF(OR(Y4="",F4="",F4=0),"",Y4/F4)</f>
        <v/>
      </c>
      <c r="AA4" s="22" t="n">
        <v>165.297</v>
      </c>
      <c r="AB4" s="20" t="n">
        <v>0.044</v>
      </c>
      <c r="AC4" s="20" t="n">
        <v>0.07302501940968202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2026-10-29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Hannover Rueck</t>
        </is>
      </c>
      <c r="C5" s="12" t="inlineStr">
        <is>
          <t>HNR1.DE</t>
        </is>
      </c>
      <c r="D5" s="11" t="inlineStr">
        <is>
          <t>Riassicurazione</t>
        </is>
      </c>
      <c r="E5" s="13" t="inlineStr">
        <is>
          <t>Finanziario</t>
        </is>
      </c>
      <c r="F5" s="14" t="n">
        <v>284.2</v>
      </c>
      <c r="G5" s="15" t="inlineStr">
        <is>
          <t>EUR</t>
        </is>
      </c>
      <c r="H5" s="14" t="n">
        <v>284.2</v>
      </c>
      <c r="I5" s="16" t="n">
        <v>34273.7</v>
      </c>
      <c r="J5" s="16" t="n">
        <v>34273.7</v>
      </c>
      <c r="K5" s="14" t="n">
        <v>22.8</v>
      </c>
      <c r="L5" s="14" t="n">
        <v>23.80257</v>
      </c>
      <c r="M5" s="17">
        <f>IF(OR(F5="",K5="",K5&lt;=0),"",F5/K5)</f>
        <v/>
      </c>
      <c r="N5" s="18" t="n">
        <v>2.583566</v>
      </c>
      <c r="O5" s="19">
        <f>IF(OR(N5="",M5="",M5&lt;=0),"",N5/M5)</f>
        <v/>
      </c>
      <c r="P5" s="20" t="n">
        <v>0.22163</v>
      </c>
      <c r="Q5" s="20" t="n">
        <v>0.1670328412048878</v>
      </c>
      <c r="R5" s="20" t="n">
        <v>0.047497809554564</v>
      </c>
      <c r="S5" s="21" t="n">
        <v>4</v>
      </c>
      <c r="T5" s="20" t="n"/>
      <c r="U5" s="20" t="n">
        <v>0.2043128852862237</v>
      </c>
      <c r="V5" s="20" t="n">
        <v>0.1974394845054898</v>
      </c>
      <c r="W5" s="20" t="n">
        <v>0.1801951258047952</v>
      </c>
      <c r="X5" s="20" t="n">
        <v>0.08618386922304271</v>
      </c>
      <c r="Y5" s="14" t="n">
        <v>12.5</v>
      </c>
      <c r="Z5" s="19">
        <f>IF(OR(Y5="",F5="",F5=0),"",Y5/F5)</f>
        <v/>
      </c>
      <c r="AA5" s="22" t="n">
        <v>28.967</v>
      </c>
      <c r="AB5" s="20" t="n">
        <v>-0.233</v>
      </c>
      <c r="AC5" s="20" t="n">
        <v>0.1138114191974286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2026-10-29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Bank</t>
        </is>
      </c>
      <c r="C6" s="12" t="inlineStr">
        <is>
          <t>DBK.DE</t>
        </is>
      </c>
      <c r="D6" s="11" t="inlineStr">
        <is>
          <t>Banca</t>
        </is>
      </c>
      <c r="E6" s="13" t="inlineStr">
        <is>
          <t>Finanziario</t>
        </is>
      </c>
      <c r="F6" s="14" t="n">
        <v>31.155</v>
      </c>
      <c r="G6" s="15" t="inlineStr">
        <is>
          <t>EUR</t>
        </is>
      </c>
      <c r="H6" s="14" t="n">
        <v>31.155</v>
      </c>
      <c r="I6" s="16" t="n">
        <v>57764.5</v>
      </c>
      <c r="J6" s="16" t="n">
        <v>57764.5</v>
      </c>
      <c r="K6" s="14" t="n">
        <v>3.42</v>
      </c>
      <c r="L6" s="14" t="n">
        <v>3.84893</v>
      </c>
      <c r="M6" s="17">
        <f>IF(OR(F6="",K6="",K6&lt;=0),"",F6/K6)</f>
        <v/>
      </c>
      <c r="N6" s="18" t="n">
        <v>0.7372394</v>
      </c>
      <c r="O6" s="19">
        <f>IF(OR(N6="",M6="",M6&lt;=0),"",N6/M6)</f>
        <v/>
      </c>
      <c r="P6" s="20" t="n">
        <v>0.08978999999999999</v>
      </c>
      <c r="Q6" s="20" t="n">
        <v>0.06875856120342795</v>
      </c>
      <c r="R6" s="20" t="n">
        <v>0.01680390963498571</v>
      </c>
      <c r="S6" s="21" t="n">
        <v>4</v>
      </c>
      <c r="T6" s="20" t="n"/>
      <c r="U6" s="20" t="n">
        <v>0.08813468801261429</v>
      </c>
      <c r="V6" s="20" t="n">
        <v>0.04325032765399738</v>
      </c>
      <c r="W6" s="20" t="n">
        <v>0.0653215429682153</v>
      </c>
      <c r="X6" s="20" t="n">
        <v>0.07832768617888484</v>
      </c>
      <c r="Y6" s="14" t="n">
        <v>1</v>
      </c>
      <c r="Z6" s="19">
        <f>IF(OR(Y6="",F6="",F6=0),"",Y6/F6)</f>
        <v/>
      </c>
      <c r="AA6" s="22" t="n"/>
      <c r="AB6" s="20" t="n">
        <v>0.028</v>
      </c>
      <c r="AC6" s="20" t="n">
        <v>0.1929343573320041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2026-10-29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Boerse</t>
        </is>
      </c>
      <c r="C7" s="12" t="inlineStr">
        <is>
          <t>DB1.DE</t>
        </is>
      </c>
      <c r="D7" s="11" t="inlineStr">
        <is>
          <t>Infrastrutture di mercato</t>
        </is>
      </c>
      <c r="E7" s="13" t="inlineStr">
        <is>
          <t>Finanziario</t>
        </is>
      </c>
      <c r="F7" s="14" t="n">
        <v>315</v>
      </c>
      <c r="G7" s="15" t="inlineStr">
        <is>
          <t>EUR</t>
        </is>
      </c>
      <c r="H7" s="14" t="n">
        <v>315</v>
      </c>
      <c r="I7" s="16" t="n">
        <v>56129.1</v>
      </c>
      <c r="J7" s="16" t="n">
        <v>56129.1</v>
      </c>
      <c r="K7" s="14" t="n">
        <v>12.14</v>
      </c>
      <c r="L7" s="14" t="n">
        <v>13.70701</v>
      </c>
      <c r="M7" s="17">
        <f>IF(OR(F7="",K7="",K7&lt;=0),"",F7/K7)</f>
        <v/>
      </c>
      <c r="N7" s="18" t="n">
        <v>5.155145</v>
      </c>
      <c r="O7" s="19">
        <f>IF(OR(N7="",M7="",M7&lt;=0),"",N7/M7)</f>
        <v/>
      </c>
      <c r="P7" s="20" t="n">
        <v>0.20336</v>
      </c>
      <c r="Q7" s="20" t="n">
        <v>0.178013644204238</v>
      </c>
      <c r="R7" s="20" t="n">
        <v>0.001844212893269131</v>
      </c>
      <c r="S7" s="21" t="n">
        <v>4</v>
      </c>
      <c r="T7" s="20" t="n"/>
      <c r="U7" s="20" t="n">
        <v>0.1763613861386139</v>
      </c>
      <c r="V7" s="20" t="n">
        <v>0.1808560022282054</v>
      </c>
      <c r="W7" s="20" t="n">
        <v>0.1784402007969777</v>
      </c>
      <c r="X7" s="20" t="n">
        <v>0.1763969876531552</v>
      </c>
      <c r="Y7" s="14" t="n">
        <v>4.2</v>
      </c>
      <c r="Z7" s="19">
        <f>IF(OR(Y7="",F7="",F7=0),"",Y7/F7)</f>
        <v/>
      </c>
      <c r="AA7" s="22" t="n">
        <v>72.22499999999999</v>
      </c>
      <c r="AB7" s="20" t="n">
        <v>0.162</v>
      </c>
      <c r="AC7" s="20" t="n">
        <v>0.2981980674705325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2026-10-29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151.2</v>
      </c>
      <c r="G8" s="15" t="inlineStr">
        <is>
          <t>EUR</t>
        </is>
      </c>
      <c r="H8" s="14" t="n">
        <v>151.2</v>
      </c>
      <c r="I8" s="16" t="n">
        <v>26581.2</v>
      </c>
      <c r="J8" s="16" t="n">
        <v>26581.2</v>
      </c>
      <c r="K8" s="14" t="n">
        <v>11.35</v>
      </c>
      <c r="L8" s="14" t="n">
        <v>14.38566</v>
      </c>
      <c r="M8" s="17">
        <f>IF(OR(F8="",K8="",K8&lt;=0),"",F8/K8)</f>
        <v/>
      </c>
      <c r="N8" s="18" t="n">
        <v>1.4264958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2026-10-29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40.76</v>
      </c>
      <c r="G9" s="15" t="inlineStr">
        <is>
          <t>EUR</t>
        </is>
      </c>
      <c r="H9" s="14" t="n">
        <v>40.76</v>
      </c>
      <c r="I9" s="16" t="n">
        <v>38690.7</v>
      </c>
      <c r="J9" s="16" t="n">
        <v>38690.7</v>
      </c>
      <c r="K9" s="14" t="n">
        <v>5.28</v>
      </c>
      <c r="L9" s="14" t="n">
        <v>6.4922</v>
      </c>
      <c r="M9" s="17">
        <f>IF(OR(F9="",K9="",K9&lt;=0),"",F9/K9)</f>
        <v/>
      </c>
      <c r="N9" s="18" t="n">
        <v>0.41077527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2026-10-29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Rheinmetall</t>
        </is>
      </c>
      <c r="C10" s="12" t="inlineStr">
        <is>
          <t>RHM.DE</t>
        </is>
      </c>
      <c r="D10" s="11" t="inlineStr">
        <is>
          <t>Difesa</t>
        </is>
      </c>
      <c r="E10" s="13" t="inlineStr">
        <is>
          <t>Industriale</t>
        </is>
      </c>
      <c r="F10" s="14" t="n">
        <v>1048.2</v>
      </c>
      <c r="G10" s="15" t="inlineStr">
        <is>
          <t>EUR</t>
        </is>
      </c>
      <c r="H10" s="14" t="n">
        <v>1048.2</v>
      </c>
      <c r="I10" s="16" t="n">
        <v>48917.5</v>
      </c>
      <c r="J10" s="16" t="n">
        <v>48917.5</v>
      </c>
      <c r="K10" s="14" t="n">
        <v>25.42</v>
      </c>
      <c r="L10" s="14" t="n">
        <v>52.90885</v>
      </c>
      <c r="M10" s="17">
        <f>IF(OR(F10="",K10="",K10&lt;=0),"",F10/K10)</f>
        <v/>
      </c>
      <c r="N10" s="18" t="n">
        <v>9.838004</v>
      </c>
      <c r="O10" s="19">
        <f>IF(OR(N10="",M10="",M10&lt;=0),"",N10/M10)</f>
        <v/>
      </c>
      <c r="P10" s="20" t="n">
        <v>0.25688</v>
      </c>
      <c r="Q10" s="20" t="n">
        <v>0.161353791016542</v>
      </c>
      <c r="R10" s="20" t="n">
        <v>0.01411120214297162</v>
      </c>
      <c r="S10" s="21" t="n">
        <v>4</v>
      </c>
      <c r="T10" s="20" t="n"/>
      <c r="U10" s="20" t="n">
        <v>0.1388944322490521</v>
      </c>
      <c r="V10" s="20" t="n">
        <v>0.177037037037037</v>
      </c>
      <c r="W10" s="20" t="n">
        <v>0.1613389626055489</v>
      </c>
      <c r="X10" s="20" t="n">
        <v>0.16814473217453</v>
      </c>
      <c r="Y10" s="14" t="n">
        <v>11.5</v>
      </c>
      <c r="Z10" s="19">
        <f>IF(OR(Y10="",F10="",F10=0),"",Y10/F10)</f>
        <v/>
      </c>
      <c r="AA10" s="22" t="n">
        <v>51.63</v>
      </c>
      <c r="AB10" s="20" t="n">
        <v>0.6879999999999999</v>
      </c>
      <c r="AC10" s="20" t="n">
        <v>0.1217916456970307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2026-10-29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BMW</t>
        </is>
      </c>
      <c r="C11" s="12" t="inlineStr">
        <is>
          <t>BMW.DE</t>
        </is>
      </c>
      <c r="D11" s="11" t="inlineStr">
        <is>
          <t>Auto</t>
        </is>
      </c>
      <c r="E11" s="13" t="inlineStr">
        <is>
          <t>Consumi</t>
        </is>
      </c>
      <c r="F11" s="14" t="n">
        <v>57.68</v>
      </c>
      <c r="G11" s="15" t="inlineStr">
        <is>
          <t>EUR</t>
        </is>
      </c>
      <c r="H11" s="14" t="n">
        <v>57.68</v>
      </c>
      <c r="I11" s="16" t="n">
        <v>34525.8</v>
      </c>
      <c r="J11" s="16" t="n">
        <v>34525.8</v>
      </c>
      <c r="K11" s="14" t="n">
        <v>10.51</v>
      </c>
      <c r="L11" s="14" t="n">
        <v>8.55368</v>
      </c>
      <c r="M11" s="17">
        <f>IF(OR(F11="",K11="",K11&lt;=0),"",F11/K11)</f>
        <v/>
      </c>
      <c r="N11" s="18" t="n">
        <v>0.36227745</v>
      </c>
      <c r="O11" s="19">
        <f>IF(OR(N11="",M11="",M11&lt;=0),"",N11/M11)</f>
        <v/>
      </c>
      <c r="P11" s="20" t="n">
        <v>0.06592000000000001</v>
      </c>
      <c r="Q11" s="20" t="n">
        <v>0.1217802745892722</v>
      </c>
      <c r="R11" s="20" t="n">
        <v>0.05245569366129516</v>
      </c>
      <c r="S11" s="21" t="n">
        <v>4</v>
      </c>
      <c r="T11" s="20" t="n"/>
      <c r="U11" s="20" t="n">
        <v>0.07621973520591033</v>
      </c>
      <c r="V11" s="20" t="n">
        <v>0.07896874830742566</v>
      </c>
      <c r="W11" s="20" t="n">
        <v>0.1260100897361489</v>
      </c>
      <c r="X11" s="20" t="n">
        <v>0.205922525107604</v>
      </c>
      <c r="Y11" s="14" t="n">
        <v>4.4</v>
      </c>
      <c r="Z11" s="19">
        <f>IF(OR(Y11="",F11="",F11=0),"",Y11/F11)</f>
        <v/>
      </c>
      <c r="AA11" s="22" t="n">
        <v>119.855</v>
      </c>
      <c r="AB11" s="20" t="n">
        <v>-0.079</v>
      </c>
      <c r="AC11" s="20" t="n">
        <v>0.04723011145496916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2026-10-29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GEA Group</t>
        </is>
      </c>
      <c r="C12" s="12" t="inlineStr">
        <is>
          <t>G1A.DE</t>
        </is>
      </c>
      <c r="D12" s="11" t="inlineStr">
        <is>
          <t>Impiantistica</t>
        </is>
      </c>
      <c r="E12" s="13" t="inlineStr">
        <is>
          <t>Industriale</t>
        </is>
      </c>
      <c r="F12" s="14" t="n">
        <v>68.2</v>
      </c>
      <c r="G12" s="15" t="inlineStr">
        <is>
          <t>EUR</t>
        </is>
      </c>
      <c r="H12" s="14" t="n">
        <v>68.2</v>
      </c>
      <c r="I12" s="16" t="n">
        <v>11103.1</v>
      </c>
      <c r="J12" s="16" t="n">
        <v>11103.1</v>
      </c>
      <c r="K12" s="14" t="n">
        <v>2.66</v>
      </c>
      <c r="L12" s="14" t="n">
        <v>3.74645</v>
      </c>
      <c r="M12" s="17">
        <f>IF(OR(F12="",K12="",K12&lt;=0),"",F12/K12)</f>
        <v/>
      </c>
      <c r="N12" s="18" t="n">
        <v>4.436638</v>
      </c>
      <c r="O12" s="19">
        <f>IF(OR(N12="",M12="",M12&lt;=0),"",N12/M12)</f>
        <v/>
      </c>
      <c r="P12" s="20" t="n">
        <v>0.18450001</v>
      </c>
      <c r="Q12" s="20" t="n">
        <v>0.1668752634750149</v>
      </c>
      <c r="R12" s="20" t="n">
        <v>0.006339910260809393</v>
      </c>
      <c r="S12" s="21" t="n">
        <v>4</v>
      </c>
      <c r="T12" s="20" t="n"/>
      <c r="U12" s="20" t="n">
        <v>0.1687777491054856</v>
      </c>
      <c r="V12" s="20" t="n">
        <v>0.1588625719907466</v>
      </c>
      <c r="W12" s="20" t="n">
        <v>0.1638357842063747</v>
      </c>
      <c r="X12" s="20" t="n">
        <v>0.1760249485974526</v>
      </c>
      <c r="Y12" s="14" t="n">
        <v>1.3</v>
      </c>
      <c r="Z12" s="19">
        <f>IF(OR(Y12="",F12="",F12=0),"",Y12/F12)</f>
        <v/>
      </c>
      <c r="AA12" s="22" t="n">
        <v>10.426</v>
      </c>
      <c r="AB12" s="20" t="n">
        <v>0.1</v>
      </c>
      <c r="AC12" s="20" t="n">
        <v>0.07950968344907955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2026-10-29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Commerzbank</t>
        </is>
      </c>
      <c r="C13" s="12" t="inlineStr">
        <is>
          <t>CBK.DE</t>
        </is>
      </c>
      <c r="D13" s="11" t="inlineStr">
        <is>
          <t>Banca</t>
        </is>
      </c>
      <c r="E13" s="13" t="inlineStr">
        <is>
          <t>Finanziario</t>
        </is>
      </c>
      <c r="F13" s="14" t="n">
        <v>38.4</v>
      </c>
      <c r="G13" s="15" t="inlineStr">
        <is>
          <t>EUR</t>
        </is>
      </c>
      <c r="H13" s="14" t="n">
        <v>38.4</v>
      </c>
      <c r="I13" s="16" t="n">
        <v>41504.5</v>
      </c>
      <c r="J13" s="16" t="n">
        <v>41504.5</v>
      </c>
      <c r="K13" s="14" t="n">
        <v>2.61</v>
      </c>
      <c r="L13" s="14" t="n">
        <v>3.9351</v>
      </c>
      <c r="M13" s="17">
        <f>IF(OR(F13="",K13="",K13&lt;=0),"",F13/K13)</f>
        <v/>
      </c>
      <c r="N13" s="18" t="n">
        <v>1.2291541</v>
      </c>
      <c r="O13" s="19">
        <f>IF(OR(N13="",M13="",M13&lt;=0),"",N13/M13)</f>
        <v/>
      </c>
      <c r="P13" s="20" t="n">
        <v>0.09666</v>
      </c>
      <c r="Q13" s="20" t="n">
        <v>0.06813536415307286</v>
      </c>
      <c r="R13" s="20" t="n">
        <v>0.0122202754534199</v>
      </c>
      <c r="S13" s="21" t="n">
        <v>4</v>
      </c>
      <c r="T13" s="20" t="n"/>
      <c r="U13" s="20" t="n">
        <v>0.07759614531910491</v>
      </c>
      <c r="V13" s="20" t="n">
        <v>0.07766624115121272</v>
      </c>
      <c r="W13" s="20" t="n">
        <v>0.06951737934483621</v>
      </c>
      <c r="X13" s="20" t="n">
        <v>0.04776169079713763</v>
      </c>
      <c r="Y13" s="14" t="n">
        <v>1.1</v>
      </c>
      <c r="Z13" s="19">
        <f>IF(OR(Y13="",F13="",F13=0),"",Y13/F13)</f>
        <v/>
      </c>
      <c r="AA13" s="22" t="n"/>
      <c r="AB13" s="20" t="n">
        <v>0.101</v>
      </c>
      <c r="AC13" s="20" t="n">
        <v>0.2217411473635379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2026-10-29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DHL Group</t>
        </is>
      </c>
      <c r="C14" s="12" t="inlineStr">
        <is>
          <t>DHL.DE</t>
        </is>
      </c>
      <c r="D14" s="11" t="inlineStr">
        <is>
          <t>Logistica</t>
        </is>
      </c>
      <c r="E14" s="13" t="inlineStr">
        <is>
          <t>Industriale</t>
        </is>
      </c>
      <c r="F14" s="14" t="n">
        <v>58.8</v>
      </c>
      <c r="G14" s="15" t="inlineStr">
        <is>
          <t>EUR</t>
        </is>
      </c>
      <c r="H14" s="14" t="n">
        <v>58.8</v>
      </c>
      <c r="I14" s="16" t="n">
        <v>65811.5</v>
      </c>
      <c r="J14" s="16" t="n">
        <v>65811.5</v>
      </c>
      <c r="K14" s="14" t="n">
        <v>3.21</v>
      </c>
      <c r="L14" s="14" t="n">
        <v>3.92707</v>
      </c>
      <c r="M14" s="17">
        <f>IF(OR(F14="",K14="",K14&lt;=0),"",F14/K14)</f>
        <v/>
      </c>
      <c r="N14" s="18" t="n">
        <v>2.9300377</v>
      </c>
      <c r="O14" s="19">
        <f>IF(OR(N14="",M14="",M14&lt;=0),"",N14/M14)</f>
        <v/>
      </c>
      <c r="P14" s="20" t="n">
        <v>0.18090001</v>
      </c>
      <c r="Q14" s="20" t="n">
        <v>0.18090001</v>
      </c>
      <c r="R14" s="20" t="n"/>
      <c r="S14" s="21" t="n">
        <v>0</v>
      </c>
      <c r="T14" s="20" t="n"/>
      <c r="U14" s="20" t="n">
        <v>0.1575111351059522</v>
      </c>
      <c r="V14" s="20" t="n">
        <v>0.1400411885848779</v>
      </c>
      <c r="W14" s="20" t="n">
        <v>0.1635150166852058</v>
      </c>
      <c r="X14" s="20" t="n">
        <v>0.23063349974178</v>
      </c>
      <c r="Y14" s="14" t="n">
        <v>1.9</v>
      </c>
      <c r="Z14" s="19">
        <f>IF(OR(Y14="",F14="",F14=0),"",Y14/F14)</f>
        <v/>
      </c>
      <c r="AA14" s="22" t="n">
        <v>122.614</v>
      </c>
      <c r="AB14" s="20" t="n">
        <v>0.128</v>
      </c>
      <c r="AC14" s="20" t="n">
        <v>0.04344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2026-10-29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RWE</t>
        </is>
      </c>
      <c r="C15" s="12" t="inlineStr">
        <is>
          <t>RWE.DE</t>
        </is>
      </c>
      <c r="D15" s="11" t="inlineStr">
        <is>
          <t>Utility / Generazione</t>
        </is>
      </c>
      <c r="E15" s="13" t="inlineStr">
        <is>
          <t>Utility</t>
        </is>
      </c>
      <c r="F15" s="14" t="n">
        <v>58.68</v>
      </c>
      <c r="G15" s="15" t="inlineStr">
        <is>
          <t>EUR</t>
        </is>
      </c>
      <c r="H15" s="14" t="n">
        <v>58.68</v>
      </c>
      <c r="I15" s="16" t="n">
        <v>45769.5</v>
      </c>
      <c r="J15" s="16" t="n">
        <v>45769.5</v>
      </c>
      <c r="K15" s="14" t="n">
        <v>4.56</v>
      </c>
      <c r="L15" s="14" t="n">
        <v>3.36973</v>
      </c>
      <c r="M15" s="17">
        <f>IF(OR(F15="",K15="",K15&lt;=0),"",F15/K15)</f>
        <v/>
      </c>
      <c r="N15" s="18" t="n">
        <v>1.0524428</v>
      </c>
      <c r="O15" s="19">
        <f>IF(OR(N15="",M15="",M15&lt;=0),"",N15/M15)</f>
        <v/>
      </c>
      <c r="P15" s="20" t="n">
        <v>0.08547</v>
      </c>
      <c r="Q15" s="20" t="n">
        <v>0.09991327745593341</v>
      </c>
      <c r="R15" s="20" t="n">
        <v>0.04122771245141714</v>
      </c>
      <c r="S15" s="21" t="n">
        <v>4</v>
      </c>
      <c r="T15" s="20" t="n"/>
      <c r="U15" s="20" t="n">
        <v>0.09106774090340596</v>
      </c>
      <c r="V15" s="20" t="n">
        <v>0.1627626866144727</v>
      </c>
      <c r="W15" s="20" t="n">
        <v>0.04729497705491212</v>
      </c>
      <c r="X15" s="20" t="n">
        <v>0.09852770525094284</v>
      </c>
      <c r="Y15" s="14" t="n">
        <v>1.2</v>
      </c>
      <c r="Z15" s="19">
        <f>IF(OR(Y15="",F15="",F15=0),"",Y15/F15)</f>
        <v/>
      </c>
      <c r="AA15" s="22" t="n">
        <v>50.366</v>
      </c>
      <c r="AB15" s="20" t="n">
        <v>-0.091</v>
      </c>
      <c r="AC15" s="20" t="n">
        <v>0.183458127524393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2026-10-29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70.2</v>
      </c>
      <c r="G16" s="15" t="inlineStr">
        <is>
          <t>EUR</t>
        </is>
      </c>
      <c r="H16" s="14" t="n">
        <v>70.2</v>
      </c>
      <c r="I16" s="16" t="n">
        <v>35190.9</v>
      </c>
      <c r="J16" s="16" t="n">
        <v>35190.9</v>
      </c>
      <c r="K16" s="14" t="n">
        <v>10.48</v>
      </c>
      <c r="L16" s="14" t="n">
        <v>21.97345</v>
      </c>
      <c r="M16" s="17">
        <f>IF(OR(F16="",K16="",K16&lt;=0),"",F16/K16)</f>
        <v/>
      </c>
      <c r="N16" s="18" t="n">
        <v>0.20069757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2026-10-29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41.47</v>
      </c>
      <c r="G17" s="15" t="inlineStr">
        <is>
          <t>EUR</t>
        </is>
      </c>
      <c r="H17" s="14" t="n">
        <v>41.47</v>
      </c>
      <c r="I17" s="16" t="n">
        <v>11137.4</v>
      </c>
      <c r="J17" s="16" t="n">
        <v>11137.4</v>
      </c>
      <c r="K17" s="14" t="n">
        <v>3.32</v>
      </c>
      <c r="L17" s="14" t="n">
        <v>4.2628</v>
      </c>
      <c r="M17" s="17">
        <f>IF(OR(F17="",K17="",K17&lt;=0),"",F17/K17)</f>
        <v/>
      </c>
      <c r="N17" s="18" t="n">
        <v>0.8788624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2026-10-29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15.975</v>
      </c>
      <c r="G18" s="15" t="inlineStr">
        <is>
          <t>EUR</t>
        </is>
      </c>
      <c r="H18" s="14" t="n">
        <v>15.975</v>
      </c>
      <c r="I18" s="16" t="n">
        <v>13554.1</v>
      </c>
      <c r="J18" s="16" t="n">
        <v>13554.1</v>
      </c>
      <c r="K18" s="14" t="n">
        <v>4.37</v>
      </c>
      <c r="L18" s="14" t="n">
        <v>1.81936</v>
      </c>
      <c r="M18" s="17">
        <f>IF(OR(F18="",K18="",K18&lt;=0),"",F18/K18)</f>
        <v/>
      </c>
      <c r="N18" s="18" t="n">
        <v>0.4973227</v>
      </c>
      <c r="O18" s="19">
        <f>IF(OR(N18="",M18="",M18&lt;=0),"",N18/M18)</f>
        <v/>
      </c>
      <c r="P18" s="20" t="n">
        <v>0.14558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135.1</v>
      </c>
      <c r="AB18" s="20" t="n">
        <v>0.016</v>
      </c>
      <c r="AC18" s="20" t="n">
        <v>0.7151217436320666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2026-10-29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18.96</v>
      </c>
      <c r="G19" s="15" t="inlineStr">
        <is>
          <t>EUR</t>
        </is>
      </c>
      <c r="H19" s="14" t="n">
        <v>18.96</v>
      </c>
      <c r="I19" s="16" t="n">
        <v>49566.8</v>
      </c>
      <c r="J19" s="16" t="n">
        <v>49566.8</v>
      </c>
      <c r="K19" s="14" t="n">
        <v>1.29</v>
      </c>
      <c r="L19" s="14" t="n">
        <v>1.24478</v>
      </c>
      <c r="M19" s="17">
        <f>IF(OR(F19="",K19="",K19&lt;=0),"",F19/K19)</f>
        <v/>
      </c>
      <c r="N19" s="18" t="n">
        <v>2.3355505</v>
      </c>
      <c r="O19" s="19">
        <f>IF(OR(N19="",M19="",M19&lt;=0),"",N19/M19)</f>
        <v/>
      </c>
      <c r="P19" s="20" t="n">
        <v>0.15546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152.987</v>
      </c>
      <c r="AB19" s="20" t="n">
        <v>-0.005</v>
      </c>
      <c r="AC19" s="20" t="n">
        <v>0.04285677902012604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2026-10-29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Siemens</t>
        </is>
      </c>
      <c r="C20" s="12" t="inlineStr">
        <is>
          <t>SIE.DE</t>
        </is>
      </c>
      <c r="D20" s="11" t="inlineStr">
        <is>
          <t>Conglomerata industriale</t>
        </is>
      </c>
      <c r="E20" s="13" t="inlineStr">
        <is>
          <t>Industriale</t>
        </is>
      </c>
      <c r="F20" s="14" t="n">
        <v>273.75</v>
      </c>
      <c r="G20" s="15" t="inlineStr">
        <is>
          <t>EUR</t>
        </is>
      </c>
      <c r="H20" s="14" t="n">
        <v>273.75</v>
      </c>
      <c r="I20" s="16" t="n">
        <v>209203.8</v>
      </c>
      <c r="J20" s="16" t="n">
        <v>209203.8</v>
      </c>
      <c r="K20" s="14" t="n">
        <v>10.14</v>
      </c>
      <c r="L20" s="14" t="n">
        <v>13.00633</v>
      </c>
      <c r="M20" s="17">
        <f>IF(OR(F20="",K20="",K20&lt;=0),"",F20/K20)</f>
        <v/>
      </c>
      <c r="N20" s="18" t="n">
        <v>3.1042342</v>
      </c>
      <c r="O20" s="19">
        <f>IF(OR(N20="",M20="",M20&lt;=0),"",N20/M20)</f>
        <v/>
      </c>
      <c r="P20" s="20" t="n">
        <v>0.12465999</v>
      </c>
      <c r="Q20" s="20" t="n">
        <v>0.1397455048371014</v>
      </c>
      <c r="R20" s="20" t="n">
        <v>0.03696243339330732</v>
      </c>
      <c r="S20" s="21" t="n">
        <v>4</v>
      </c>
      <c r="T20" s="20" t="n"/>
      <c r="U20" s="20" t="n">
        <v>0.1545530492898914</v>
      </c>
      <c r="V20" s="20" t="n">
        <v>0.1619264981273408</v>
      </c>
      <c r="W20" s="20" t="n">
        <v>0.1663597170482609</v>
      </c>
      <c r="X20" s="20" t="n">
        <v>0.07614275488291236</v>
      </c>
      <c r="Y20" s="14" t="n">
        <v>5.35</v>
      </c>
      <c r="Z20" s="19">
        <f>IF(OR(Y20="",F20="",F20=0),"",Y20/F20)</f>
        <v/>
      </c>
      <c r="AA20" s="22" t="n">
        <v>66.425</v>
      </c>
      <c r="AB20" s="20" t="n">
        <v>0.073</v>
      </c>
      <c r="AC20" s="20" t="n">
        <v>0.09972882033606205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2026-10-29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Brenntag</t>
        </is>
      </c>
      <c r="C21" s="12" t="inlineStr">
        <is>
          <t>BNR.DE</t>
        </is>
      </c>
      <c r="D21" s="11" t="inlineStr">
        <is>
          <t>Distribuzione chimica</t>
        </is>
      </c>
      <c r="E21" s="13" t="inlineStr">
        <is>
          <t>Industriale</t>
        </is>
      </c>
      <c r="F21" s="14" t="n">
        <v>62.94</v>
      </c>
      <c r="G21" s="15" t="inlineStr">
        <is>
          <t>EUR</t>
        </is>
      </c>
      <c r="H21" s="14" t="n">
        <v>62.94</v>
      </c>
      <c r="I21" s="16" t="n">
        <v>9087.6</v>
      </c>
      <c r="J21" s="16" t="n">
        <v>9087.6</v>
      </c>
      <c r="K21" s="14" t="n">
        <v>2.5</v>
      </c>
      <c r="L21" s="14" t="n">
        <v>4.17018</v>
      </c>
      <c r="M21" s="17">
        <f>IF(OR(F21="",K21="",K21&lt;=0),"",F21/K21)</f>
        <v/>
      </c>
      <c r="N21" s="18" t="n">
        <v>2.049562</v>
      </c>
      <c r="O21" s="19">
        <f>IF(OR(N21="",M21="",M21&lt;=0),"",N21/M21)</f>
        <v/>
      </c>
      <c r="P21" s="20" t="n">
        <v>0.08531000499999999</v>
      </c>
      <c r="Q21" s="20" t="n">
        <v>0.1318613129768742</v>
      </c>
      <c r="R21" s="20" t="n">
        <v>0.04868245762110701</v>
      </c>
      <c r="S21" s="21" t="n">
        <v>4</v>
      </c>
      <c r="T21" s="20" t="n"/>
      <c r="U21" s="20" t="n">
        <v>0.06133376602304073</v>
      </c>
      <c r="V21" s="20" t="n">
        <v>0.1134406668500222</v>
      </c>
      <c r="W21" s="20" t="n">
        <v>0.1660742908913513</v>
      </c>
      <c r="X21" s="20" t="n">
        <v>0.1865965281430826</v>
      </c>
      <c r="Y21" s="14" t="n">
        <v>1.9</v>
      </c>
      <c r="Z21" s="19">
        <f>IF(OR(Y21="",F21="",F21=0),"",Y21/F21)</f>
        <v/>
      </c>
      <c r="AA21" s="22" t="n">
        <v>80.702</v>
      </c>
      <c r="AB21" s="20" t="n">
        <v>0.102</v>
      </c>
      <c r="AC21" s="20" t="n">
        <v>0.02403190192136572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2026-10-29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78.68000000000001</v>
      </c>
      <c r="G22" s="15" t="inlineStr">
        <is>
          <t>EUR</t>
        </is>
      </c>
      <c r="H22" s="14" t="n">
        <v>78.68000000000001</v>
      </c>
      <c r="I22" s="16" t="n">
        <v>31853.7</v>
      </c>
      <c r="J22" s="16" t="n">
        <v>31853.7</v>
      </c>
      <c r="K22" s="14" t="n">
        <v>4.69</v>
      </c>
      <c r="L22" s="14" t="n">
        <v>5.86283</v>
      </c>
      <c r="M22" s="17">
        <f>IF(OR(F22="",K22="",K22&lt;=0),"",F22/K22)</f>
        <v/>
      </c>
      <c r="N22" s="18" t="n">
        <v>1.5207098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32.159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2026-10-29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Beiersdorf</t>
        </is>
      </c>
      <c r="C23" s="12" t="inlineStr">
        <is>
          <t>BEI.DE</t>
        </is>
      </c>
      <c r="D23" s="11" t="inlineStr">
        <is>
          <t>Cura della persona</t>
        </is>
      </c>
      <c r="E23" s="13" t="inlineStr">
        <is>
          <t>Consumi</t>
        </is>
      </c>
      <c r="F23" s="14" t="n">
        <v>80.8</v>
      </c>
      <c r="G23" s="15" t="inlineStr">
        <is>
          <t>EUR</t>
        </is>
      </c>
      <c r="H23" s="14" t="n">
        <v>80.8</v>
      </c>
      <c r="I23" s="16" t="n">
        <v>17656.7</v>
      </c>
      <c r="J23" s="16" t="n">
        <v>17656.7</v>
      </c>
      <c r="K23" s="14" t="n">
        <v>4.33</v>
      </c>
      <c r="L23" s="14" t="n">
        <v>4.01014</v>
      </c>
      <c r="M23" s="17">
        <f>IF(OR(F23="",K23="",K23&lt;=0),"",F23/K23)</f>
        <v/>
      </c>
      <c r="N23" s="18" t="n">
        <v>1.9577912</v>
      </c>
      <c r="O23" s="19">
        <f>IF(OR(N23="",M23="",M23&lt;=0),"",N23/M23)</f>
        <v/>
      </c>
      <c r="P23" s="20" t="n">
        <v>0.10887</v>
      </c>
      <c r="Q23" s="20" t="n">
        <v>0.1005514061555024</v>
      </c>
      <c r="R23" s="20" t="n">
        <v>0.008420139168014068</v>
      </c>
      <c r="S23" s="21" t="n">
        <v>4</v>
      </c>
      <c r="T23" s="20" t="n"/>
      <c r="U23" s="20" t="n">
        <v>0.1091733519358214</v>
      </c>
      <c r="V23" s="20" t="n">
        <v>0.1076106194690265</v>
      </c>
      <c r="W23" s="20" t="n">
        <v>0.08844027877913962</v>
      </c>
      <c r="X23" s="20" t="n">
        <v>0.09698137443802184</v>
      </c>
      <c r="Y23" s="14" t="n">
        <v>1</v>
      </c>
      <c r="Z23" s="19">
        <f>IF(OR(Y23="",F23="",F23=0),"",Y23/F23)</f>
        <v/>
      </c>
      <c r="AA23" s="22" t="n">
        <v>1.221</v>
      </c>
      <c r="AB23" s="20" t="n">
        <v>-0.045</v>
      </c>
      <c r="AC23" s="20" t="n">
        <v>0.0952090946000812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2026-10-29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54.01</v>
      </c>
      <c r="G24" s="15" t="inlineStr">
        <is>
          <t>EUR</t>
        </is>
      </c>
      <c r="H24" s="14" t="n">
        <v>54.01</v>
      </c>
      <c r="I24" s="16" t="n">
        <v>70186</v>
      </c>
      <c r="J24" s="16" t="n">
        <v>70186</v>
      </c>
      <c r="K24" s="14" t="n">
        <v>0.93</v>
      </c>
      <c r="L24" s="14" t="n">
        <v>2.87076</v>
      </c>
      <c r="M24" s="17">
        <f>IF(OR(F24="",K24="",K24&lt;=0),"",F24/K24)</f>
        <v/>
      </c>
      <c r="N24" s="18" t="n">
        <v>4.0420594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2026-10-29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208.9</v>
      </c>
      <c r="G25" s="15" t="inlineStr">
        <is>
          <t>EUR</t>
        </is>
      </c>
      <c r="H25" s="14" t="n">
        <v>208.9</v>
      </c>
      <c r="I25" s="16" t="n">
        <v>241113.3</v>
      </c>
      <c r="J25" s="16" t="n">
        <v>241113.3</v>
      </c>
      <c r="K25" s="14" t="n">
        <v>6.85</v>
      </c>
      <c r="L25" s="14" t="n">
        <v>8.47518</v>
      </c>
      <c r="M25" s="17">
        <f>IF(OR(F25="",K25="",K25&lt;=0),"",F25/K25)</f>
        <v/>
      </c>
      <c r="N25" s="18" t="n">
        <v>5.2283816</v>
      </c>
      <c r="O25" s="19">
        <f>IF(OR(N25="",M25="",M25&lt;=0),"",N25/M25)</f>
        <v/>
      </c>
      <c r="P25" s="20" t="n">
        <v>0.18178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22.789</v>
      </c>
      <c r="AB25" s="20" t="n">
        <v>0.132</v>
      </c>
      <c r="AC25" s="20" t="n">
        <v>0.2184782608695652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2026-10-29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150.3</v>
      </c>
      <c r="G26" s="15" t="inlineStr">
        <is>
          <t>EUR</t>
        </is>
      </c>
      <c r="H26" s="14" t="n">
        <v>150.3</v>
      </c>
      <c r="I26" s="16" t="n">
        <v>65347.1</v>
      </c>
      <c r="J26" s="16" t="n">
        <v>65347.1</v>
      </c>
      <c r="K26" s="14" t="n">
        <v>5.51</v>
      </c>
      <c r="L26" s="14" t="n">
        <v>9.011200000000001</v>
      </c>
      <c r="M26" s="17">
        <f>IF(OR(F26="",K26="",K26&lt;=0),"",F26/K26)</f>
        <v/>
      </c>
      <c r="N26" s="18" t="n">
        <v>2.1601036</v>
      </c>
      <c r="O26" s="19">
        <f>IF(OR(N26="",M26="",M26&lt;=0),"",N26/M26)</f>
        <v/>
      </c>
      <c r="P26" s="20" t="n">
        <v>0.08134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40.618</v>
      </c>
      <c r="AB26" s="20" t="n">
        <v>0.034</v>
      </c>
      <c r="AC26" s="20" t="n">
        <v>0.1123116231636812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2026-10-29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334</v>
      </c>
      <c r="G27" s="15" t="inlineStr">
        <is>
          <t>EUR</t>
        </is>
      </c>
      <c r="H27" s="14" t="n">
        <v>334</v>
      </c>
      <c r="I27" s="16" t="n">
        <v>17992.8</v>
      </c>
      <c r="J27" s="16" t="n">
        <v>17992.8</v>
      </c>
      <c r="K27" s="14" t="n">
        <v>17.37</v>
      </c>
      <c r="L27" s="14" t="n">
        <v>20.68168</v>
      </c>
      <c r="M27" s="17">
        <f>IF(OR(F27="",K27="",K27&lt;=0),"",F27/K27)</f>
        <v/>
      </c>
      <c r="N27" s="18" t="n">
        <v>3.960537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2026-10-29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42.89</v>
      </c>
      <c r="G28" s="15" t="inlineStr">
        <is>
          <t>EUR</t>
        </is>
      </c>
      <c r="H28" s="14" t="n">
        <v>42.89</v>
      </c>
      <c r="I28" s="16" t="n">
        <v>48002.4</v>
      </c>
      <c r="J28" s="16" t="n">
        <v>48002.4</v>
      </c>
      <c r="K28" s="14" t="n">
        <v>2</v>
      </c>
      <c r="L28" s="14" t="n">
        <v>2.37702</v>
      </c>
      <c r="M28" s="17">
        <f>IF(OR(F28="",K28="",K28&lt;=0),"",F28/K28)</f>
        <v/>
      </c>
      <c r="N28" s="18" t="n">
        <v>2.5035021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2026-10-29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167.15</v>
      </c>
      <c r="G29" s="15" t="inlineStr">
        <is>
          <t>EUR</t>
        </is>
      </c>
      <c r="H29" s="14" t="n">
        <v>167.15</v>
      </c>
      <c r="I29" s="16" t="n">
        <v>28258.9</v>
      </c>
      <c r="J29" s="16" t="n">
        <v>28258.9</v>
      </c>
      <c r="K29" s="14" t="n">
        <v>7.83</v>
      </c>
      <c r="L29" s="14" t="n">
        <v>11.66038</v>
      </c>
      <c r="M29" s="17">
        <f>IF(OR(F29="",K29="",K29&lt;=0),"",F29/K29)</f>
        <v/>
      </c>
      <c r="N29" s="18" t="n">
        <v>4.9129972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2026-10-29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40.68</v>
      </c>
      <c r="G30" s="15" t="inlineStr">
        <is>
          <t>EUR</t>
        </is>
      </c>
      <c r="H30" s="14" t="n">
        <v>40.68</v>
      </c>
      <c r="I30" s="16" t="n">
        <v>30925.5</v>
      </c>
      <c r="J30" s="16" t="n">
        <v>30925.5</v>
      </c>
      <c r="K30" s="14" t="n">
        <v>1.45</v>
      </c>
      <c r="L30" s="14" t="n">
        <v>4.80066</v>
      </c>
      <c r="M30" s="17">
        <f>IF(OR(F30="",K30="",K30&lt;=0),"",F30/K30)</f>
        <v/>
      </c>
      <c r="N30" s="18" t="n">
        <v>1.3701583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2026-10-29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Porsche AG</t>
        </is>
      </c>
      <c r="C31" s="12" t="inlineStr">
        <is>
          <t>P911.DE</t>
        </is>
      </c>
      <c r="D31" s="11" t="inlineStr">
        <is>
          <t>Auto di lusso</t>
        </is>
      </c>
      <c r="E31" s="13" t="inlineStr">
        <is>
          <t>Consumi</t>
        </is>
      </c>
      <c r="F31" s="14" t="n">
        <v>46.12</v>
      </c>
      <c r="G31" s="15" t="inlineStr">
        <is>
          <t>EUR</t>
        </is>
      </c>
      <c r="H31" s="14" t="n">
        <v>46.12</v>
      </c>
      <c r="I31" s="16" t="n">
        <v>42015.3</v>
      </c>
      <c r="J31" s="16" t="n">
        <v>42015.3</v>
      </c>
      <c r="K31" s="14" t="n">
        <v>2.5</v>
      </c>
      <c r="L31" s="14" t="n">
        <v>1.74585</v>
      </c>
      <c r="M31" s="17">
        <f>IF(OR(F31="",K31="",K31&lt;=0),"",F31/K31)</f>
        <v/>
      </c>
      <c r="N31" s="18" t="n">
        <v>1.8274755</v>
      </c>
      <c r="O31" s="19">
        <f>IF(OR(N31="",M31="",M31&lt;=0),"",N31/M31)</f>
        <v/>
      </c>
      <c r="P31" s="20" t="n">
        <v>0.086840004</v>
      </c>
      <c r="Q31" s="20" t="n">
        <v>0.1759856797926469</v>
      </c>
      <c r="R31" s="20" t="n">
        <v>0.1028024855712775</v>
      </c>
      <c r="S31" s="21" t="n">
        <v>4</v>
      </c>
      <c r="T31" s="20" t="n"/>
      <c r="U31" s="20" t="n">
        <v>0.01874646600843808</v>
      </c>
      <c r="V31" s="20" t="n">
        <v>0.1558824805797856</v>
      </c>
      <c r="W31" s="20" t="n">
        <v>0.2380117228965708</v>
      </c>
      <c r="X31" s="20" t="n">
        <v>0.2913020496857932</v>
      </c>
      <c r="Y31" s="14" t="n">
        <v>1.01</v>
      </c>
      <c r="Z31" s="19">
        <f>IF(OR(Y31="",F31="",F31=0),"",Y31/F31)</f>
        <v/>
      </c>
      <c r="AA31" s="22" t="n">
        <v>49.128</v>
      </c>
      <c r="AB31" s="20" t="n">
        <v>-0.075</v>
      </c>
      <c r="AC31" s="20" t="n">
        <v>0.06027019222497932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2026-10-29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Symrise</t>
        </is>
      </c>
      <c r="C32" s="12" t="inlineStr">
        <is>
          <t>SY1.DE</t>
        </is>
      </c>
      <c r="D32" s="11" t="inlineStr">
        <is>
          <t>Aromi e fragranze</t>
        </is>
      </c>
      <c r="E32" s="13" t="inlineStr">
        <is>
          <t>Materiali</t>
        </is>
      </c>
      <c r="F32" s="14" t="n">
        <v>91.76000000000001</v>
      </c>
      <c r="G32" s="15" t="inlineStr">
        <is>
          <t>EUR</t>
        </is>
      </c>
      <c r="H32" s="14" t="n">
        <v>91.76000000000001</v>
      </c>
      <c r="I32" s="16" t="n">
        <v>12587.7</v>
      </c>
      <c r="J32" s="16" t="n">
        <v>12587.7</v>
      </c>
      <c r="K32" s="14" t="n">
        <v>1.59</v>
      </c>
      <c r="L32" s="14" t="n">
        <v>4.43174</v>
      </c>
      <c r="M32" s="17">
        <f>IF(OR(F32="",K32="",K32&lt;=0),"",F32/K32)</f>
        <v/>
      </c>
      <c r="N32" s="18" t="n">
        <v>3.3712986</v>
      </c>
      <c r="O32" s="19">
        <f>IF(OR(N32="",M32="",M32&lt;=0),"",N32/M32)</f>
        <v/>
      </c>
      <c r="P32" s="20" t="n">
        <v>0.06708</v>
      </c>
      <c r="Q32" s="20" t="n">
        <v>0.08993974309324954</v>
      </c>
      <c r="R32" s="20" t="n">
        <v>0.01983305756041896</v>
      </c>
      <c r="S32" s="21" t="n">
        <v>4</v>
      </c>
      <c r="T32" s="20" t="n"/>
      <c r="U32" s="20" t="n">
        <v>0.06703170317031704</v>
      </c>
      <c r="V32" s="20" t="n">
        <v>0.1201211701053456</v>
      </c>
      <c r="W32" s="20" t="n">
        <v>0.09376135965579004</v>
      </c>
      <c r="X32" s="20" t="n">
        <v>0.07884473944154541</v>
      </c>
      <c r="Y32" s="14" t="n">
        <v>1.25</v>
      </c>
      <c r="Z32" s="19">
        <f>IF(OR(Y32="",F32="",F32=0),"",Y32/F32)</f>
        <v/>
      </c>
      <c r="AA32" s="22" t="n">
        <v>60.613</v>
      </c>
      <c r="AB32" s="20" t="n">
        <v>-0.006</v>
      </c>
      <c r="AC32" s="20" t="n">
        <v>0.04992247351186775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2026-10-29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Zalando</t>
        </is>
      </c>
      <c r="C33" s="12" t="inlineStr">
        <is>
          <t>ZAL.DE</t>
        </is>
      </c>
      <c r="D33" s="11" t="inlineStr">
        <is>
          <t>E-commerce</t>
        </is>
      </c>
      <c r="E33" s="13" t="inlineStr">
        <is>
          <t>Consumi</t>
        </is>
      </c>
      <c r="F33" s="14" t="n">
        <v>26.76</v>
      </c>
      <c r="G33" s="15" t="inlineStr">
        <is>
          <t>EUR</t>
        </is>
      </c>
      <c r="H33" s="14" t="n">
        <v>26.76</v>
      </c>
      <c r="I33" s="16" t="n">
        <v>6535.4</v>
      </c>
      <c r="J33" s="16" t="n">
        <v>6535.4</v>
      </c>
      <c r="K33" s="14" t="n">
        <v>0.36</v>
      </c>
      <c r="L33" s="14" t="n">
        <v>1.88243</v>
      </c>
      <c r="M33" s="17">
        <f>IF(OR(F33="",K33="",K33&lt;=0),"",F33/K33)</f>
        <v/>
      </c>
      <c r="N33" s="18" t="n">
        <v>2.5970497</v>
      </c>
      <c r="O33" s="19">
        <f>IF(OR(N33="",M33="",M33&lt;=0),"",N33/M33)</f>
        <v/>
      </c>
      <c r="P33" s="20" t="n">
        <v>0.0345</v>
      </c>
      <c r="Q33" s="20" t="n">
        <v>0.0532363275090132</v>
      </c>
      <c r="R33" s="20" t="n">
        <v>0.0339673993502578</v>
      </c>
      <c r="S33" s="21" t="n">
        <v>4</v>
      </c>
      <c r="T33" s="20" t="n"/>
      <c r="U33" s="20" t="n">
        <v>0.076120036803737</v>
      </c>
      <c r="V33" s="20" t="n">
        <v>0.09421078302630098</v>
      </c>
      <c r="W33" s="20" t="n">
        <v>0.03497534870001264</v>
      </c>
      <c r="X33" s="20" t="n">
        <v>0.007639141506002182</v>
      </c>
      <c r="Y33" s="14" t="n"/>
      <c r="Z33" s="19">
        <f>IF(OR(Y33="",F33="",F33=0),"",Y33/F33)</f>
        <v/>
      </c>
      <c r="AA33" s="22" t="n">
        <v>53.379</v>
      </c>
      <c r="AB33" s="20" t="n">
        <v>0.208</v>
      </c>
      <c r="AC33" s="20" t="n">
        <v>0.007678475968314137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2026-10-29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45.05</v>
      </c>
      <c r="G34" s="15" t="inlineStr">
        <is>
          <t>EUR</t>
        </is>
      </c>
      <c r="H34" s="14" t="n">
        <v>45.05</v>
      </c>
      <c r="I34" s="16" t="n">
        <v>9302.700000000001</v>
      </c>
      <c r="J34" s="16" t="n">
        <v>9302.700000000001</v>
      </c>
      <c r="K34" s="14" t="n">
        <v>1.69</v>
      </c>
      <c r="L34" s="14" t="n">
        <v>2.29969</v>
      </c>
      <c r="M34" s="17">
        <f>IF(OR(F34="",K34="",K34&lt;=0),"",F34/K34)</f>
        <v/>
      </c>
      <c r="N34" s="18" t="n">
        <v>3.112359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2026-10-29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136.28</v>
      </c>
      <c r="G35" s="15" t="inlineStr">
        <is>
          <t>EUR</t>
        </is>
      </c>
      <c r="H35" s="14" t="n">
        <v>136.28</v>
      </c>
      <c r="I35" s="16" t="n">
        <v>115953.6</v>
      </c>
      <c r="J35" s="16" t="n">
        <v>115953.6</v>
      </c>
      <c r="K35" s="14" t="n">
        <v>3.21</v>
      </c>
      <c r="L35" s="14" t="n">
        <v>6.25459</v>
      </c>
      <c r="M35" s="17">
        <f>IF(OR(F35="",K35="",K35&lt;=0),"",F35/K35)</f>
        <v/>
      </c>
      <c r="N35" s="18" t="n">
        <v>10.809867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2026-10-29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Sartorius VZ</t>
        </is>
      </c>
      <c r="C36" s="12" t="inlineStr">
        <is>
          <t>SRT3.DE</t>
        </is>
      </c>
      <c r="D36" s="11" t="inlineStr">
        <is>
          <t>Strumentazione life science</t>
        </is>
      </c>
      <c r="E36" s="13" t="inlineStr">
        <is>
          <t>Salute</t>
        </is>
      </c>
      <c r="F36" s="14" t="n">
        <v>298.5</v>
      </c>
      <c r="G36" s="15" t="inlineStr">
        <is>
          <t>EUR</t>
        </is>
      </c>
      <c r="H36" s="14" t="n">
        <v>298.5</v>
      </c>
      <c r="I36" s="16" t="n">
        <v>20612.1</v>
      </c>
      <c r="J36" s="16" t="n">
        <v>20612.1</v>
      </c>
      <c r="K36" s="14" t="n">
        <v>2.83</v>
      </c>
      <c r="L36" s="14" t="n">
        <v>6.33119</v>
      </c>
      <c r="M36" s="17">
        <f>IF(OR(F36="",K36="",K36&lt;=0),"",F36/K36)</f>
        <v/>
      </c>
      <c r="N36" s="18" t="n">
        <v>7.6149898</v>
      </c>
      <c r="O36" s="19">
        <f>IF(OR(N36="",M36="",M36&lt;=0),"",N36/M36)</f>
        <v/>
      </c>
      <c r="P36" s="20" t="n">
        <v>0.07861</v>
      </c>
      <c r="Q36" s="20" t="n">
        <v>0.1319563883877929</v>
      </c>
      <c r="R36" s="20" t="n">
        <v>0.123055496048367</v>
      </c>
      <c r="S36" s="21" t="n">
        <v>4</v>
      </c>
      <c r="T36" s="20" t="n"/>
      <c r="U36" s="20" t="n">
        <v>0.05722624501256095</v>
      </c>
      <c r="V36" s="20" t="n">
        <v>0.03038194444444444</v>
      </c>
      <c r="W36" s="20" t="n">
        <v>0.09942934519779476</v>
      </c>
      <c r="X36" s="20" t="n">
        <v>0.3407880188963715</v>
      </c>
      <c r="Y36" s="14" t="n">
        <v>0.74</v>
      </c>
      <c r="Z36" s="19">
        <f>IF(OR(Y36="",F36="",F36=0),"",Y36/F36)</f>
        <v/>
      </c>
      <c r="AA36" s="22" t="n">
        <v>94.361</v>
      </c>
      <c r="AB36" s="20" t="n">
        <v>0.099</v>
      </c>
      <c r="AC36" s="20" t="n">
        <v>0.06175630988383596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2026-10-29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Fresenius</t>
        </is>
      </c>
      <c r="C37" s="12" t="inlineStr">
        <is>
          <t>FRE.DE</t>
        </is>
      </c>
      <c r="D37" s="11" t="inlineStr">
        <is>
          <t>Servizi sanitari</t>
        </is>
      </c>
      <c r="E37" s="13" t="inlineStr">
        <is>
          <t>Salute</t>
        </is>
      </c>
      <c r="F37" s="14" t="n">
        <v>47</v>
      </c>
      <c r="G37" s="15" t="inlineStr">
        <is>
          <t>EUR</t>
        </is>
      </c>
      <c r="H37" s="14" t="n">
        <v>47</v>
      </c>
      <c r="I37" s="16" t="n">
        <v>26472.2</v>
      </c>
      <c r="J37" s="16" t="n">
        <v>26472.2</v>
      </c>
      <c r="K37" s="14" t="n">
        <v>2.77</v>
      </c>
      <c r="L37" s="14" t="n">
        <v>3.94077</v>
      </c>
      <c r="M37" s="17">
        <f>IF(OR(F37="",K37="",K37&lt;=0),"",F37/K37)</f>
        <v/>
      </c>
      <c r="N37" s="18" t="n">
        <v>1.3438171</v>
      </c>
      <c r="O37" s="19">
        <f>IF(OR(N37="",M37="",M37&lt;=0),"",N37/M37)</f>
        <v/>
      </c>
      <c r="P37" s="20" t="n">
        <v>0.08287</v>
      </c>
      <c r="Q37" s="20" t="n">
        <v>0.03155169278766157</v>
      </c>
      <c r="R37" s="20" t="n">
        <v>0.04022010242586282</v>
      </c>
      <c r="S37" s="21" t="n">
        <v>4</v>
      </c>
      <c r="T37" s="20" t="n"/>
      <c r="U37" s="20" t="n">
        <v>0.0661641541038526</v>
      </c>
      <c r="V37" s="20" t="n">
        <v>0.02410193429536383</v>
      </c>
      <c r="W37" s="20" t="n">
        <v>-0.03126480341070582</v>
      </c>
      <c r="X37" s="20" t="n">
        <v>0.06720548616213569</v>
      </c>
      <c r="Y37" s="14" t="n">
        <v>1.05</v>
      </c>
      <c r="Z37" s="19">
        <f>IF(OR(Y37="",F37="",F37=0),"",Y37/F37)</f>
        <v/>
      </c>
      <c r="AA37" s="22" t="n">
        <v>55.978</v>
      </c>
      <c r="AB37" s="20" t="n">
        <v>0.052</v>
      </c>
      <c r="AC37" s="20" t="n">
        <v>0.06833384619420277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2026-10-29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25.61</v>
      </c>
      <c r="G38" s="15" t="inlineStr">
        <is>
          <t>EUR</t>
        </is>
      </c>
      <c r="H38" s="14" t="n">
        <v>25.61</v>
      </c>
      <c r="I38" s="16" t="n">
        <v>7843.1</v>
      </c>
      <c r="J38" s="16" t="n">
        <v>7843.1</v>
      </c>
      <c r="K38" s="14" t="n">
        <v>0.31</v>
      </c>
      <c r="L38" s="14" t="n">
        <v>12.91484</v>
      </c>
      <c r="M38" s="17">
        <f>IF(OR(F38="",K38="",K38&lt;=0),"",F38/K38)</f>
        <v/>
      </c>
      <c r="N38" s="18" t="n">
        <v>0.21953437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2026-10-29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53.33</v>
      </c>
      <c r="G39" s="15" t="inlineStr">
        <is>
          <t>EUR</t>
        </is>
      </c>
      <c r="H39" s="14" t="n">
        <v>53.33</v>
      </c>
      <c r="I39" s="16" t="n">
        <v>47161.1</v>
      </c>
      <c r="J39" s="16" t="n">
        <v>47161.1</v>
      </c>
      <c r="K39" s="14" t="n">
        <v>2.43</v>
      </c>
      <c r="L39" s="14" t="n">
        <v>2.99123</v>
      </c>
      <c r="M39" s="17">
        <f>IF(OR(F39="",K39="",K39&lt;=0),"",F39/K39)</f>
        <v/>
      </c>
      <c r="N39" s="18" t="n">
        <v>1.2530545</v>
      </c>
      <c r="O39" s="19">
        <f>IF(OR(N39="",M39="",M39&lt;=0),"",N39/M39)</f>
        <v/>
      </c>
      <c r="P39" s="20" t="n">
        <v>0.06091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55.051</v>
      </c>
      <c r="AB39" s="20" t="n">
        <v>0.142</v>
      </c>
      <c r="AC39" s="20" t="n">
        <v>0.035302400429127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2026-10-29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47.96</v>
      </c>
      <c r="G40" s="15" t="inlineStr">
        <is>
          <t>EUR</t>
        </is>
      </c>
      <c r="H40" s="14" t="n">
        <v>47.96</v>
      </c>
      <c r="I40" s="16" t="n">
        <v>47117.1</v>
      </c>
      <c r="J40" s="16" t="n">
        <v>47117.1</v>
      </c>
      <c r="K40" s="14" t="n">
        <v>-1.76</v>
      </c>
      <c r="L40" s="14" t="n">
        <v>4.84212</v>
      </c>
      <c r="M40" s="17">
        <f>IF(OR(F40="",K40="",K40&lt;=0),"",F40/K40)</f>
        <v/>
      </c>
      <c r="N40" s="18" t="n">
        <v>1.5926676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2026-10-29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68.12</v>
      </c>
      <c r="G41" s="15" t="inlineStr">
        <is>
          <t>EUR</t>
        </is>
      </c>
      <c r="H41" s="14" t="n">
        <v>68.12</v>
      </c>
      <c r="I41" s="16" t="n">
        <v>13624.4</v>
      </c>
      <c r="J41" s="16" t="n">
        <v>13624.4</v>
      </c>
      <c r="K41" s="14" t="n">
        <v>-2.34</v>
      </c>
      <c r="L41" s="14" t="n">
        <v>6.57333</v>
      </c>
      <c r="M41" s="17">
        <f>IF(OR(F41="",K41="",K41&lt;=0),"",F41/K41)</f>
        <v/>
      </c>
      <c r="N41" s="18" t="n">
        <v>3.2422657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2026-10-29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60.5</v>
      </c>
      <c r="G42" s="15" t="inlineStr">
        <is>
          <t>EUR</t>
        </is>
      </c>
      <c r="H42" s="14" t="n">
        <v>60.5</v>
      </c>
      <c r="I42" s="16" t="n">
        <v>11418.8</v>
      </c>
      <c r="J42" s="16" t="n">
        <v>11418.8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1.7156793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2026-10-29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448</v>
      </c>
      <c r="G43" s="15" t="inlineStr">
        <is>
          <t>EUR</t>
        </is>
      </c>
      <c r="H43" s="14" t="n">
        <v>448</v>
      </c>
      <c r="I43" s="16" t="n">
        <v>206519.1</v>
      </c>
      <c r="J43" s="16" t="n">
        <v>206519.1</v>
      </c>
      <c r="K43" s="14" t="n"/>
      <c r="L43" s="14" t="n"/>
      <c r="M43" s="17">
        <f>IF(OR(F43="",K43="",K43&lt;=0),"",F43/K43)</f>
        <v/>
      </c>
      <c r="N43" s="18" t="n">
        <v>5.936589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2026-10-29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25.21</v>
      </c>
      <c r="G44" s="15" t="inlineStr">
        <is>
          <t>EUR</t>
        </is>
      </c>
      <c r="H44" s="14" t="n">
        <v>25.21</v>
      </c>
      <c r="I44" s="16" t="n">
        <v>3711.1</v>
      </c>
      <c r="J44" s="16" t="n">
        <v>3711.1</v>
      </c>
      <c r="K44" s="14" t="n">
        <v>-3.05</v>
      </c>
      <c r="L44" s="14" t="n">
        <v>0.27222</v>
      </c>
      <c r="M44" s="17">
        <f>IF(OR(F44="",K44="",K44&lt;=0),"",F44/K44)</f>
        <v/>
      </c>
      <c r="N44" s="18" t="n">
        <v>2.0301175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2026-10-29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84.59999999999999</v>
      </c>
      <c r="G2" s="15" t="inlineStr">
        <is>
          <t>EUR</t>
        </is>
      </c>
      <c r="H2" s="14" t="n">
        <v>84.59999999999999</v>
      </c>
      <c r="I2" s="16" t="n">
        <v>186318.2</v>
      </c>
      <c r="J2" s="16" t="n">
        <v>186318.2</v>
      </c>
      <c r="K2" s="14" t="n">
        <v>6.9</v>
      </c>
      <c r="L2" s="14" t="n">
        <v>9.962222000000001</v>
      </c>
      <c r="M2" s="17">
        <f>IF(OR(F2="",K2="",K2&lt;=0),"",F2/K2)</f>
        <v/>
      </c>
      <c r="N2" s="18" t="n">
        <v>1.646222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2026-10-29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87.65000000000001</v>
      </c>
      <c r="G3" s="15" t="inlineStr">
        <is>
          <t>EUR</t>
        </is>
      </c>
      <c r="H3" s="14" t="n">
        <v>87.65000000000001</v>
      </c>
      <c r="I3" s="16" t="n">
        <v>96064.39999999999</v>
      </c>
      <c r="J3" s="16" t="n">
        <v>96064.39999999999</v>
      </c>
      <c r="K3" s="14" t="n">
        <v>11.26</v>
      </c>
      <c r="L3" s="14" t="n">
        <v>13.17788</v>
      </c>
      <c r="M3" s="17">
        <f>IF(OR(F3="",K3="",K3&lt;=0),"",F3/K3)</f>
        <v/>
      </c>
      <c r="N3" s="18" t="n">
        <v>0.7915579</v>
      </c>
      <c r="O3" s="19">
        <f>IF(OR(N3="",M3="",M3&lt;=0),"",N3/M3)</f>
        <v/>
      </c>
      <c r="P3" s="20" t="n">
        <v>0.109139994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0.08699999999999999</v>
      </c>
      <c r="AC3" s="20" t="n">
        <v>0.27191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2026-10-29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109.25</v>
      </c>
      <c r="G4" s="15" t="inlineStr">
        <is>
          <t>EUR</t>
        </is>
      </c>
      <c r="H4" s="14" t="n">
        <v>109.25</v>
      </c>
      <c r="I4" s="16" t="n">
        <v>60207.3</v>
      </c>
      <c r="J4" s="16" t="n">
        <v>60207.3</v>
      </c>
      <c r="K4" s="14" t="n">
        <v>8.98</v>
      </c>
      <c r="L4" s="14" t="n">
        <v>9.910399999999999</v>
      </c>
      <c r="M4" s="17">
        <f>IF(OR(F4="",K4="",K4&lt;=0),"",F4/K4)</f>
        <v/>
      </c>
      <c r="N4" s="18" t="n">
        <v>1.979095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2026-10-29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42.73</v>
      </c>
      <c r="G5" s="15" t="inlineStr">
        <is>
          <t>EUR</t>
        </is>
      </c>
      <c r="H5" s="14" t="n">
        <v>42.73</v>
      </c>
      <c r="I5" s="16" t="n">
        <v>86454.2</v>
      </c>
      <c r="J5" s="16" t="n">
        <v>86454.2</v>
      </c>
      <c r="K5" s="14" t="n">
        <v>3.72</v>
      </c>
      <c r="L5" s="14" t="n">
        <v>4.47797</v>
      </c>
      <c r="M5" s="17">
        <f>IF(OR(F5="",K5="",K5&lt;=0),"",F5/K5)</f>
        <v/>
      </c>
      <c r="N5" s="18" t="n">
        <v>1.9342719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2026-10-29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79.48</v>
      </c>
      <c r="G6" s="15" t="inlineStr">
        <is>
          <t>EUR</t>
        </is>
      </c>
      <c r="H6" s="14" t="n">
        <v>79.48</v>
      </c>
      <c r="I6" s="16" t="n">
        <v>4620.5</v>
      </c>
      <c r="J6" s="16" t="n">
        <v>4620.5</v>
      </c>
      <c r="K6" s="14" t="n">
        <v>7.81</v>
      </c>
      <c r="L6" s="14" t="n">
        <v>14.27878</v>
      </c>
      <c r="M6" s="17">
        <f>IF(OR(F6="",K6="",K6&lt;=0),"",F6/K6)</f>
        <v/>
      </c>
      <c r="N6" s="18" t="n">
        <v>1.1019453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2026-10-29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15.295</v>
      </c>
      <c r="G7" s="15" t="inlineStr">
        <is>
          <t>EUR</t>
        </is>
      </c>
      <c r="H7" s="14" t="n">
        <v>15.295</v>
      </c>
      <c r="I7" s="16" t="n">
        <v>46281.2</v>
      </c>
      <c r="J7" s="16" t="n">
        <v>46281.2</v>
      </c>
      <c r="K7" s="14" t="n">
        <v>1.98</v>
      </c>
      <c r="L7" s="14" t="n">
        <v>2.49711</v>
      </c>
      <c r="M7" s="17">
        <f>IF(OR(F7="",K7="",K7&lt;=0),"",F7/K7)</f>
        <v/>
      </c>
      <c r="N7" s="18" t="n">
        <v>0.65926725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2026-10-29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Airbus</t>
        </is>
      </c>
      <c r="C8" s="12" t="inlineStr">
        <is>
          <t>AIR.PA</t>
        </is>
      </c>
      <c r="D8" s="11" t="inlineStr">
        <is>
          <t>Aerospazio</t>
        </is>
      </c>
      <c r="E8" s="13" t="inlineStr">
        <is>
          <t>Industriale</t>
        </is>
      </c>
      <c r="F8" s="14" t="n">
        <v>196.34</v>
      </c>
      <c r="G8" s="15" t="inlineStr">
        <is>
          <t>EUR</t>
        </is>
      </c>
      <c r="H8" s="14" t="n">
        <v>196.34</v>
      </c>
      <c r="I8" s="16" t="n">
        <v>155399.3</v>
      </c>
      <c r="J8" s="16" t="n">
        <v>155399.3</v>
      </c>
      <c r="K8" s="14" t="n">
        <v>7.48</v>
      </c>
      <c r="L8" s="14" t="n">
        <v>8.693300000000001</v>
      </c>
      <c r="M8" s="17">
        <f>IF(OR(F8="",K8="",K8&lt;=0),"",F8/K8)</f>
        <v/>
      </c>
      <c r="N8" s="18" t="n">
        <v>6.005934</v>
      </c>
      <c r="O8" s="19">
        <f>IF(OR(N8="",M8="",M8&lt;=0),"",N8/M8)</f>
        <v/>
      </c>
      <c r="P8" s="20" t="n">
        <v>0.23193</v>
      </c>
      <c r="Q8" s="20" t="n">
        <v>0.2394854761390522</v>
      </c>
      <c r="R8" s="20" t="n">
        <v>0.05144568356970649</v>
      </c>
      <c r="S8" s="21" t="n">
        <v>4</v>
      </c>
      <c r="T8" s="20" t="n"/>
      <c r="U8" s="20" t="n">
        <v>0.2000076616610481</v>
      </c>
      <c r="V8" s="20" t="n">
        <v>0.2158522901152708</v>
      </c>
      <c r="W8" s="20" t="n">
        <v>0.2141282848262221</v>
      </c>
      <c r="X8" s="20" t="n">
        <v>0.3279536679536679</v>
      </c>
      <c r="Y8" s="14" t="n">
        <v>3.2</v>
      </c>
      <c r="Z8" s="19">
        <f>IF(OR(Y8="",F8="",F8=0),"",Y8/F8)</f>
        <v/>
      </c>
      <c r="AA8" s="22" t="n">
        <v>54.988</v>
      </c>
      <c r="AB8" s="20" t="n">
        <v>0.277</v>
      </c>
      <c r="AC8" s="20" t="n">
        <v>0.08089076284391174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2026-10-29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Capgemini</t>
        </is>
      </c>
      <c r="C9" s="12" t="inlineStr">
        <is>
          <t>CAP.PA</t>
        </is>
      </c>
      <c r="D9" s="11" t="inlineStr">
        <is>
          <t>Servizi IT</t>
        </is>
      </c>
      <c r="E9" s="13" t="inlineStr">
        <is>
          <t>Tecnologia</t>
        </is>
      </c>
      <c r="F9" s="14" t="n">
        <v>123.1</v>
      </c>
      <c r="G9" s="15" t="inlineStr">
        <is>
          <t>EUR</t>
        </is>
      </c>
      <c r="H9" s="14" t="n">
        <v>123.1</v>
      </c>
      <c r="I9" s="16" t="n">
        <v>20342.5</v>
      </c>
      <c r="J9" s="16" t="n">
        <v>20342.5</v>
      </c>
      <c r="K9" s="14" t="n">
        <v>7.85</v>
      </c>
      <c r="L9" s="14" t="n">
        <v>13.73574</v>
      </c>
      <c r="M9" s="17">
        <f>IF(OR(F9="",K9="",K9&lt;=0),"",F9/K9)</f>
        <v/>
      </c>
      <c r="N9" s="18" t="n">
        <v>1.7841096</v>
      </c>
      <c r="O9" s="19">
        <f>IF(OR(N9="",M9="",M9&lt;=0),"",N9/M9)</f>
        <v/>
      </c>
      <c r="P9" s="20" t="n">
        <v>0.12202</v>
      </c>
      <c r="Q9" s="20" t="n">
        <v>0.1493697560657985</v>
      </c>
      <c r="R9" s="20" t="n">
        <v>0.009817698883656849</v>
      </c>
      <c r="S9" s="21" t="n">
        <v>4</v>
      </c>
      <c r="T9" s="20" t="n"/>
      <c r="U9" s="20" t="n">
        <v>0.137448489010989</v>
      </c>
      <c r="V9" s="20" t="n">
        <v>0.1419108280254777</v>
      </c>
      <c r="W9" s="20" t="n">
        <v>0.1590778649320834</v>
      </c>
      <c r="X9" s="20" t="n">
        <v>0.1590418422946438</v>
      </c>
      <c r="Y9" s="14" t="n">
        <v>3.4</v>
      </c>
      <c r="Z9" s="19">
        <f>IF(OR(Y9="",F9="",F9=0),"",Y9/F9)</f>
        <v/>
      </c>
      <c r="AA9" s="22" t="n">
        <v>87.509</v>
      </c>
      <c r="AB9" s="20" t="n">
        <v>0.08799999999999999</v>
      </c>
      <c r="AC9" s="20" t="n">
        <v>0.06120632379256621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2026-10-29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Saint-Gobain</t>
        </is>
      </c>
      <c r="C10" s="12" t="inlineStr">
        <is>
          <t>SGO.PA</t>
        </is>
      </c>
      <c r="D10" s="11" t="inlineStr">
        <is>
          <t>Materiali da costruzione</t>
        </is>
      </c>
      <c r="E10" s="13" t="inlineStr">
        <is>
          <t>Materiali</t>
        </is>
      </c>
      <c r="F10" s="14" t="n">
        <v>68.18000000000001</v>
      </c>
      <c r="G10" s="15" t="inlineStr">
        <is>
          <t>EUR</t>
        </is>
      </c>
      <c r="H10" s="14" t="n">
        <v>68.18000000000001</v>
      </c>
      <c r="I10" s="16" t="n">
        <v>33278</v>
      </c>
      <c r="J10" s="16" t="n">
        <v>33278</v>
      </c>
      <c r="K10" s="14" t="n">
        <v>5.29</v>
      </c>
      <c r="L10" s="14" t="n">
        <v>6.7127</v>
      </c>
      <c r="M10" s="17">
        <f>IF(OR(F10="",K10="",K10&lt;=0),"",F10/K10)</f>
        <v/>
      </c>
      <c r="N10" s="18" t="n">
        <v>1.313579</v>
      </c>
      <c r="O10" s="19">
        <f>IF(OR(N10="",M10="",M10&lt;=0),"",N10/M10)</f>
        <v/>
      </c>
      <c r="P10" s="20" t="n">
        <v>0.11038999</v>
      </c>
      <c r="Q10" s="20" t="n">
        <v>0.1193836987434596</v>
      </c>
      <c r="R10" s="20" t="n">
        <v>0.007575505655233246</v>
      </c>
      <c r="S10" s="21" t="n">
        <v>4</v>
      </c>
      <c r="T10" s="20" t="n"/>
      <c r="U10" s="20" t="n">
        <v>0.1174768754329489</v>
      </c>
      <c r="V10" s="20" t="n">
        <v>0.1131489954247066</v>
      </c>
      <c r="W10" s="20" t="n">
        <v>0.114682249817385</v>
      </c>
      <c r="X10" s="20" t="n">
        <v>0.1322266742987979</v>
      </c>
      <c r="Y10" s="14" t="n">
        <v>2.3</v>
      </c>
      <c r="Z10" s="19">
        <f>IF(OR(Y10="",F10="",F10=0),"",Y10/F10)</f>
        <v/>
      </c>
      <c r="AA10" s="22" t="n">
        <v>66.318</v>
      </c>
      <c r="AB10" s="20" t="n">
        <v>-0.011</v>
      </c>
      <c r="AC10" s="20" t="n">
        <v>0.0574618691564658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2026-10-29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1266</v>
      </c>
      <c r="G11" s="15" t="inlineStr">
        <is>
          <t>EUR</t>
        </is>
      </c>
      <c r="H11" s="14" t="n">
        <v>1266</v>
      </c>
      <c r="I11" s="16" t="n">
        <v>132595.2</v>
      </c>
      <c r="J11" s="16" t="n">
        <v>132595.2</v>
      </c>
      <c r="K11" s="14" t="n">
        <v>42.69</v>
      </c>
      <c r="L11" s="14" t="n">
        <v>48.06926</v>
      </c>
      <c r="M11" s="17">
        <f>IF(OR(F11="",K11="",K11&lt;=0),"",F11/K11)</f>
        <v/>
      </c>
      <c r="N11" s="18" t="n">
        <v>6.970675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2026-10-29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13.08</v>
      </c>
      <c r="G12" s="15" t="inlineStr">
        <is>
          <t>EUR</t>
        </is>
      </c>
      <c r="H12" s="14" t="n">
        <v>13.08</v>
      </c>
      <c r="I12" s="16" t="n">
        <v>9255.6</v>
      </c>
      <c r="J12" s="16" t="n">
        <v>9255.6</v>
      </c>
      <c r="K12" s="14" t="n">
        <v>2.13</v>
      </c>
      <c r="L12" s="14" t="n">
        <v>1.80536</v>
      </c>
      <c r="M12" s="17">
        <f>IF(OR(F12="",K12="",K12&lt;=0),"",F12/K12)</f>
        <v/>
      </c>
      <c r="N12" s="18" t="n">
        <v>0.8363171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2026-10-29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99.38</v>
      </c>
      <c r="G13" s="15" t="inlineStr">
        <is>
          <t>EUR</t>
        </is>
      </c>
      <c r="H13" s="14" t="n">
        <v>99.38</v>
      </c>
      <c r="I13" s="16" t="n">
        <v>24817.3</v>
      </c>
      <c r="J13" s="16" t="n">
        <v>24817.3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2.359281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2026-10-29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383.85</v>
      </c>
      <c r="G14" s="15" t="inlineStr">
        <is>
          <t>EUR</t>
        </is>
      </c>
      <c r="H14" s="14" t="n">
        <v>383.85</v>
      </c>
      <c r="I14" s="16" t="n">
        <v>189224.7</v>
      </c>
      <c r="J14" s="16" t="n">
        <v>189224.7</v>
      </c>
      <c r="K14" s="14" t="n">
        <v>21.76</v>
      </c>
      <c r="L14" s="14" t="n">
        <v>24.13981</v>
      </c>
      <c r="M14" s="17">
        <f>IF(OR(F14="",K14="",K14&lt;=0),"",F14/K14)</f>
        <v/>
      </c>
      <c r="N14" s="18" t="n">
        <v>2.7795882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>
        <v>13</v>
      </c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2026-10-29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62.41</v>
      </c>
      <c r="G15" s="15" t="inlineStr">
        <is>
          <t>EUR</t>
        </is>
      </c>
      <c r="H15" s="14" t="n">
        <v>62.41</v>
      </c>
      <c r="I15" s="16" t="n">
        <v>45227</v>
      </c>
      <c r="J15" s="16" t="n">
        <v>45227</v>
      </c>
      <c r="K15" s="14" t="n">
        <v>7.83</v>
      </c>
      <c r="L15" s="14" t="n">
        <v>9.23592</v>
      </c>
      <c r="M15" s="17">
        <f>IF(OR(F15="",K15="",K15&lt;=0),"",F15/K15)</f>
        <v/>
      </c>
      <c r="N15" s="18" t="n">
        <v>0.63697976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2026-10-29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134.6</v>
      </c>
      <c r="G16" s="15" t="inlineStr">
        <is>
          <t>EUR</t>
        </is>
      </c>
      <c r="H16" s="14" t="n">
        <v>134.6</v>
      </c>
      <c r="I16" s="16" t="n">
        <v>35280.5</v>
      </c>
      <c r="J16" s="16" t="n">
        <v>35280.5</v>
      </c>
      <c r="K16" s="14" t="n">
        <v>5.1</v>
      </c>
      <c r="L16" s="14" t="n">
        <v>6.86562</v>
      </c>
      <c r="M16" s="17">
        <f>IF(OR(F16="",K16="",K16&lt;=0),"",F16/K16)</f>
        <v/>
      </c>
      <c r="N16" s="18" t="n">
        <v>4.7082696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2026-10-29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424.5</v>
      </c>
      <c r="G17" s="15" t="inlineStr">
        <is>
          <t>EUR</t>
        </is>
      </c>
      <c r="H17" s="14" t="n">
        <v>424.5</v>
      </c>
      <c r="I17" s="16" t="n">
        <v>226392.2</v>
      </c>
      <c r="J17" s="16" t="n">
        <v>226392.2</v>
      </c>
      <c r="K17" s="14" t="n">
        <v>11.6</v>
      </c>
      <c r="L17" s="14" t="n">
        <v>15.21949</v>
      </c>
      <c r="M17" s="17">
        <f>IF(OR(F17="",K17="",K17&lt;=0),"",F17/K17)</f>
        <v/>
      </c>
      <c r="N17" s="18" t="n">
        <v>6.6784134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2026-10-29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65.3</v>
      </c>
      <c r="G18" s="15" t="inlineStr">
        <is>
          <t>EUR</t>
        </is>
      </c>
      <c r="H18" s="14" t="n">
        <v>65.3</v>
      </c>
      <c r="I18" s="16" t="n">
        <v>16443.4</v>
      </c>
      <c r="J18" s="16" t="n">
        <v>16443.4</v>
      </c>
      <c r="K18" s="14" t="n">
        <v>4.76</v>
      </c>
      <c r="L18" s="14" t="n">
        <v>5.92616</v>
      </c>
      <c r="M18" s="17">
        <f>IF(OR(F18="",K18="",K18&lt;=0),"",F18/K18)</f>
        <v/>
      </c>
      <c r="N18" s="18" t="n">
        <v>1.060306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2026-10-29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28.17</v>
      </c>
      <c r="G19" s="15" t="inlineStr">
        <is>
          <t>EUR</t>
        </is>
      </c>
      <c r="H19" s="14" t="n">
        <v>28.17</v>
      </c>
      <c r="I19" s="16" t="n">
        <v>8151.6</v>
      </c>
      <c r="J19" s="16" t="n">
        <v>8151.6</v>
      </c>
      <c r="K19" s="14" t="n">
        <v>3.32</v>
      </c>
      <c r="L19" s="14" t="n">
        <v>6.30119</v>
      </c>
      <c r="M19" s="17">
        <f>IF(OR(F19="",K19="",K19&lt;=0),"",F19/K19)</f>
        <v/>
      </c>
      <c r="N19" s="18" t="n">
        <v>0.39734256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2026-10-29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238.4</v>
      </c>
      <c r="G20" s="15" t="inlineStr">
        <is>
          <t>EUR</t>
        </is>
      </c>
      <c r="H20" s="14" t="n">
        <v>238.4</v>
      </c>
      <c r="I20" s="16" t="n">
        <v>49008.8</v>
      </c>
      <c r="J20" s="16" t="n">
        <v>49008.8</v>
      </c>
      <c r="K20" s="14" t="n">
        <v>7.25</v>
      </c>
      <c r="L20" s="14" t="n">
        <v>12.4024</v>
      </c>
      <c r="M20" s="17">
        <f>IF(OR(F20="",K20="",K20&lt;=0),"",F20/K20)</f>
        <v/>
      </c>
      <c r="N20" s="18" t="n">
        <v>6.117526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2026-10-29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247.6</v>
      </c>
      <c r="G21" s="15" t="inlineStr">
        <is>
          <t>EUR</t>
        </is>
      </c>
      <c r="H21" s="14" t="n">
        <v>247.6</v>
      </c>
      <c r="I21" s="16" t="n">
        <v>145599.9</v>
      </c>
      <c r="J21" s="16" t="n">
        <v>145599.9</v>
      </c>
      <c r="K21" s="14" t="n">
        <v>8.44</v>
      </c>
      <c r="L21" s="14" t="n">
        <v>12.62408</v>
      </c>
      <c r="M21" s="17">
        <f>IF(OR(F21="",K21="",K21&lt;=0),"",F21/K21)</f>
        <v/>
      </c>
      <c r="N21" s="18" t="n">
        <v>5.6915617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2026-10-29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14.44</v>
      </c>
      <c r="G22" s="15" t="inlineStr">
        <is>
          <t>EUR</t>
        </is>
      </c>
      <c r="H22" s="14" t="n">
        <v>14.44</v>
      </c>
      <c r="I22" s="16" t="n">
        <v>38378.3</v>
      </c>
      <c r="J22" s="16" t="n">
        <v>38378.3</v>
      </c>
      <c r="K22" s="14" t="n">
        <v>1.07</v>
      </c>
      <c r="L22" s="14" t="n">
        <v>1.13205</v>
      </c>
      <c r="M22" s="17">
        <f>IF(OR(F22="",K22="",K22&lt;=0),"",F22/K22)</f>
        <v/>
      </c>
      <c r="N22" s="18" t="n">
        <v>1.2059462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2026-10-29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25.07</v>
      </c>
      <c r="G23" s="15" t="inlineStr">
        <is>
          <t>EUR</t>
        </is>
      </c>
      <c r="H23" s="14" t="n">
        <v>25.07</v>
      </c>
      <c r="I23" s="16" t="n">
        <v>32944.1</v>
      </c>
      <c r="J23" s="16" t="n">
        <v>32944.1</v>
      </c>
      <c r="K23" s="14" t="n">
        <v>0.93</v>
      </c>
      <c r="L23" s="14" t="n">
        <v>1.43739</v>
      </c>
      <c r="M23" s="17">
        <f>IF(OR(F23="",K23="",K23&lt;=0),"",F23/K23)</f>
        <v/>
      </c>
      <c r="N23" s="18" t="n">
        <v>3.4328358</v>
      </c>
      <c r="O23" s="19">
        <f>IF(OR(N23="",M23="",M23&lt;=0),"",N23/M23)</f>
        <v/>
      </c>
      <c r="P23" s="20" t="n">
        <v>0.14895001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28.579</v>
      </c>
      <c r="AB23" s="20" t="n">
        <v>0.063</v>
      </c>
      <c r="AC23" s="20" t="n">
        <v>0.214827525378065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2026-10-29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Unibail-Rodamco-Westfield</t>
        </is>
      </c>
      <c r="C24" s="12" t="inlineStr">
        <is>
          <t>URW.PA</t>
        </is>
      </c>
      <c r="D24" s="11" t="inlineStr">
        <is>
          <t>REIT / Centri commerciali</t>
        </is>
      </c>
      <c r="E24" s="13" t="inlineStr">
        <is>
          <t>Immobiliare</t>
        </is>
      </c>
      <c r="F24" s="14" t="n">
        <v>91.59999999999999</v>
      </c>
      <c r="G24" s="15" t="inlineStr">
        <is>
          <t>EUR</t>
        </is>
      </c>
      <c r="H24" s="14" t="n">
        <v>91.59999999999999</v>
      </c>
      <c r="I24" s="16" t="n">
        <v>13240.3</v>
      </c>
      <c r="J24" s="16" t="n">
        <v>13240.3</v>
      </c>
      <c r="K24" s="14" t="n">
        <v>10.77</v>
      </c>
      <c r="L24" s="14" t="n">
        <v>9.42226</v>
      </c>
      <c r="M24" s="17">
        <f>IF(OR(F24="",K24="",K24&lt;=0),"",F24/K24)</f>
        <v/>
      </c>
      <c r="N24" s="18" t="n">
        <v>0.80607545</v>
      </c>
      <c r="O24" s="19">
        <f>IF(OR(N24="",M24="",M24&lt;=0),"",N24/M24)</f>
        <v/>
      </c>
      <c r="P24" s="20" t="n">
        <v>0.086260006</v>
      </c>
      <c r="Q24" s="20" t="n">
        <v>-0.001367852461538597</v>
      </c>
      <c r="R24" s="20" t="n">
        <v>0.0596731239565902</v>
      </c>
      <c r="S24" s="21" t="n">
        <v>4</v>
      </c>
      <c r="T24" s="20" t="n"/>
      <c r="U24" s="20" t="n">
        <v>0.07164040830852487</v>
      </c>
      <c r="V24" s="20" t="n">
        <v>0.008273582823544059</v>
      </c>
      <c r="W24" s="20" t="n">
        <v>-0.09467768556617151</v>
      </c>
      <c r="X24" s="20" t="n">
        <v>0.009292284587948188</v>
      </c>
      <c r="Y24" s="14" t="n">
        <v>4.5</v>
      </c>
      <c r="Z24" s="19">
        <f>IF(OR(Y24="",F24="",F24=0),"",Y24/F24)</f>
        <v/>
      </c>
      <c r="AA24" s="22" t="n">
        <v>108.102</v>
      </c>
      <c r="AB24" s="20" t="n">
        <v>-0.004</v>
      </c>
      <c r="AC24" s="20" t="n">
        <v>0.5164792048129742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2026-10-29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76.15000000000001</v>
      </c>
      <c r="G25" s="15" t="inlineStr">
        <is>
          <t>EUR</t>
        </is>
      </c>
      <c r="H25" s="14" t="n">
        <v>76.15000000000001</v>
      </c>
      <c r="I25" s="16" t="n">
        <v>91232.89999999999</v>
      </c>
      <c r="J25" s="16" t="n">
        <v>91232.89999999999</v>
      </c>
      <c r="K25" s="14" t="n">
        <v>3.27</v>
      </c>
      <c r="L25" s="14" t="n">
        <v>9.054460000000001</v>
      </c>
      <c r="M25" s="17">
        <f>IF(OR(F25="",K25="",K25&lt;=0),"",F25/K25)</f>
        <v/>
      </c>
      <c r="N25" s="18" t="n">
        <v>1.3182724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2026-10-29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177.38</v>
      </c>
      <c r="G26" s="15" t="inlineStr">
        <is>
          <t>EUR</t>
        </is>
      </c>
      <c r="H26" s="14" t="n">
        <v>177.38</v>
      </c>
      <c r="I26" s="16" t="n">
        <v>113197.6</v>
      </c>
      <c r="J26" s="16" t="n">
        <v>113197.6</v>
      </c>
      <c r="K26" s="14" t="n">
        <v>5.54</v>
      </c>
      <c r="L26" s="14" t="n">
        <v>7.19501</v>
      </c>
      <c r="M26" s="17">
        <f>IF(OR(F26="",K26="",K26&lt;=0),"",F26/K26)</f>
        <v/>
      </c>
      <c r="N26" s="18" t="n">
        <v>4.257495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2026-10-29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23.6</v>
      </c>
      <c r="G27" s="15" t="inlineStr">
        <is>
          <t>EUR</t>
        </is>
      </c>
      <c r="H27" s="14" t="n">
        <v>23.6</v>
      </c>
      <c r="I27" s="16" t="n">
        <v>59958.3</v>
      </c>
      <c r="J27" s="16" t="n">
        <v>59958.3</v>
      </c>
      <c r="K27" s="14" t="n">
        <v>1.64</v>
      </c>
      <c r="L27" s="14" t="n">
        <v>2.11772</v>
      </c>
      <c r="M27" s="17">
        <f>IF(OR(F27="",K27="",K27&lt;=0),"",F27/K27)</f>
        <v/>
      </c>
      <c r="N27" s="18" t="n">
        <v>1.7592248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2026-10-29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178.2</v>
      </c>
      <c r="G28" s="15" t="inlineStr">
        <is>
          <t>EUR</t>
        </is>
      </c>
      <c r="H28" s="14" t="n">
        <v>178.2</v>
      </c>
      <c r="I28" s="16" t="n">
        <v>81681.89999999999</v>
      </c>
      <c r="J28" s="16" t="n">
        <v>81681.89999999999</v>
      </c>
      <c r="K28" s="14" t="n">
        <v>5.23</v>
      </c>
      <c r="L28" s="14" t="n">
        <v>7.92707</v>
      </c>
      <c r="M28" s="17">
        <f>IF(OR(F28="",K28="",K28&lt;=0),"",F28/K28)</f>
        <v/>
      </c>
      <c r="N28" s="18" t="n">
        <v>2.0883627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2026-10-29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32.85</v>
      </c>
      <c r="G29" s="15" t="inlineStr">
        <is>
          <t>EUR</t>
        </is>
      </c>
      <c r="H29" s="14" t="n">
        <v>32.85</v>
      </c>
      <c r="I29" s="16" t="n">
        <v>24376.9</v>
      </c>
      <c r="J29" s="16" t="n">
        <v>24376.9</v>
      </c>
      <c r="K29" s="14" t="n">
        <v>1.73</v>
      </c>
      <c r="L29" s="14" t="n">
        <v>2.63636</v>
      </c>
      <c r="M29" s="17">
        <f>IF(OR(F29="",K29="",K29&lt;=0),"",F29/K29)</f>
        <v/>
      </c>
      <c r="N29" s="18" t="n">
        <v>3.3713052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2026-10-29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87.08</v>
      </c>
      <c r="G30" s="15" t="inlineStr">
        <is>
          <t>EUR</t>
        </is>
      </c>
      <c r="H30" s="14" t="n">
        <v>87.08</v>
      </c>
      <c r="I30" s="16" t="n">
        <v>14900.5</v>
      </c>
      <c r="J30" s="16" t="n">
        <v>14900.5</v>
      </c>
      <c r="K30" s="14" t="n">
        <v>2.91</v>
      </c>
      <c r="L30" s="14" t="n">
        <v>4.70191</v>
      </c>
      <c r="M30" s="17">
        <f>IF(OR(F30="",K30="",K30&lt;=0),"",F30/K30)</f>
        <v/>
      </c>
      <c r="N30" s="18" t="n">
        <v>4.175698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2026-10-29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279</v>
      </c>
      <c r="G31" s="15" t="inlineStr">
        <is>
          <t>EUR</t>
        </is>
      </c>
      <c r="H31" s="14" t="n">
        <v>279</v>
      </c>
      <c r="I31" s="16" t="n">
        <v>115479</v>
      </c>
      <c r="J31" s="16" t="n">
        <v>115479</v>
      </c>
      <c r="K31" s="14" t="n">
        <v>9.220000000000001</v>
      </c>
      <c r="L31" s="14" t="n">
        <v>12.68956</v>
      </c>
      <c r="M31" s="17">
        <f>IF(OR(F31="",K31="",K31&lt;=0),"",F31/K31)</f>
        <v/>
      </c>
      <c r="N31" s="18" t="n">
        <v>7.9702897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2026-10-29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64.38</v>
      </c>
      <c r="G32" s="15" t="inlineStr">
        <is>
          <t>EUR</t>
        </is>
      </c>
      <c r="H32" s="14" t="n">
        <v>64.38</v>
      </c>
      <c r="I32" s="16" t="n">
        <v>41466.9</v>
      </c>
      <c r="J32" s="16" t="n">
        <v>41466.9</v>
      </c>
      <c r="K32" s="14" t="n">
        <v>3.1</v>
      </c>
      <c r="L32" s="14" t="n">
        <v>4.19641</v>
      </c>
      <c r="M32" s="17">
        <f>IF(OR(F32="",K32="",K32&lt;=0),"",F32/K32)</f>
        <v/>
      </c>
      <c r="N32" s="18" t="n">
        <v>2.3519526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2026-10-29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24.19</v>
      </c>
      <c r="G33" s="15" t="inlineStr">
        <is>
          <t>EUR</t>
        </is>
      </c>
      <c r="H33" s="14" t="n">
        <v>24.19</v>
      </c>
      <c r="I33" s="16" t="n">
        <v>5521.8</v>
      </c>
      <c r="J33" s="16" t="n">
        <v>5521.8</v>
      </c>
      <c r="K33" s="14" t="n">
        <v>2.07</v>
      </c>
      <c r="L33" s="14" t="n">
        <v>2.42348</v>
      </c>
      <c r="M33" s="17">
        <f>IF(OR(F33="",K33="",K33&lt;=0),"",F33/K33)</f>
        <v/>
      </c>
      <c r="N33" s="18" t="n">
        <v>-5.6797376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2026-10-29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176.28</v>
      </c>
      <c r="G34" s="15" t="inlineStr">
        <is>
          <t>EUR</t>
        </is>
      </c>
      <c r="H34" s="14" t="n">
        <v>176.28</v>
      </c>
      <c r="I34" s="16" t="n">
        <v>21615.1</v>
      </c>
      <c r="J34" s="16" t="n">
        <v>21615.1</v>
      </c>
      <c r="K34" s="14" t="n">
        <v>-2.93</v>
      </c>
      <c r="L34" s="14" t="n">
        <v>9.130739999999999</v>
      </c>
      <c r="M34" s="17">
        <f>IF(OR(F34="",K34="",K34&lt;=0),"",F34/K34)</f>
        <v/>
      </c>
      <c r="N34" s="18" t="n">
        <v>1.4925575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2026-10-29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32.11</v>
      </c>
      <c r="G35" s="15" t="inlineStr">
        <is>
          <t>EUR</t>
        </is>
      </c>
      <c r="H35" s="14" t="n">
        <v>32.11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0.38283616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2026-10-29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10.406</v>
      </c>
      <c r="G36" s="15" t="inlineStr">
        <is>
          <t>EUR</t>
        </is>
      </c>
      <c r="H36" s="14" t="n">
        <v>10.406</v>
      </c>
      <c r="I36" s="16" t="n">
        <v>588.5</v>
      </c>
      <c r="J36" s="16" t="n">
        <v>588.5</v>
      </c>
      <c r="K36" s="14" t="n">
        <v>-38.68</v>
      </c>
      <c r="L36" s="14" t="n">
        <v>3.44346</v>
      </c>
      <c r="M36" s="17">
        <f>IF(OR(F36="",K36="",K36&lt;=0),"",F36/K36)</f>
        <v/>
      </c>
      <c r="N36" s="18" t="n">
        <v>0.15789394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2026-10-29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34.305</v>
      </c>
      <c r="G2" s="15" t="inlineStr">
        <is>
          <t>EUR</t>
        </is>
      </c>
      <c r="H2" s="14" t="n">
        <v>34.305</v>
      </c>
      <c r="I2" s="16" t="n">
        <v>71695.89999999999</v>
      </c>
      <c r="J2" s="16" t="n">
        <v>71695.89999999999</v>
      </c>
      <c r="K2" s="14" t="n">
        <v>4.53</v>
      </c>
      <c r="L2" s="14" t="n">
        <v>4.2592</v>
      </c>
      <c r="M2" s="17">
        <f>IF(OR(F2="",K2="",K2&lt;=0),"",F2/K2)</f>
        <v/>
      </c>
      <c r="N2" s="18" t="n">
        <v>1.5382957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2026-10-29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163.35</v>
      </c>
      <c r="G3" s="15" t="inlineStr">
        <is>
          <t>EUR</t>
        </is>
      </c>
      <c r="H3" s="14" t="n">
        <v>163.35</v>
      </c>
      <c r="I3" s="16" t="n">
        <v>12922.2</v>
      </c>
      <c r="J3" s="16" t="n">
        <v>12922.2</v>
      </c>
      <c r="K3" s="14" t="n">
        <v>3.6</v>
      </c>
      <c r="L3" s="14" t="n">
        <v>6.51349</v>
      </c>
      <c r="M3" s="17">
        <f>IF(OR(F3="",K3="",K3&lt;=0),"",F3/K3)</f>
        <v/>
      </c>
      <c r="N3" s="18" t="n">
        <v>19.932888</v>
      </c>
      <c r="O3" s="19">
        <f>IF(OR(N3="",M3="",M3&lt;=0),"",N3/M3)</f>
        <v/>
      </c>
      <c r="P3" s="20" t="n">
        <v>0.56796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53.668</v>
      </c>
      <c r="AB3" s="20" t="n">
        <v>1.135</v>
      </c>
      <c r="AC3" s="20" t="n">
        <v>0.4913982321238021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2026-10-29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1504.8</v>
      </c>
      <c r="G4" s="15" t="inlineStr">
        <is>
          <t>EUR</t>
        </is>
      </c>
      <c r="H4" s="14" t="n">
        <v>1504.8</v>
      </c>
      <c r="I4" s="16" t="n">
        <v>579976.6</v>
      </c>
      <c r="J4" s="16" t="n">
        <v>579976.6</v>
      </c>
      <c r="K4" s="14" t="n">
        <v>35.45</v>
      </c>
      <c r="L4" s="14" t="n">
        <v>55.929</v>
      </c>
      <c r="M4" s="17">
        <f>IF(OR(F4="",K4="",K4&lt;=0),"",F4/K4)</f>
        <v/>
      </c>
      <c r="N4" s="18" t="n">
        <v>26.128178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2026-10-29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84.7</v>
      </c>
      <c r="G5" s="15" t="inlineStr">
        <is>
          <t>EUR</t>
        </is>
      </c>
      <c r="H5" s="14" t="n">
        <v>84.7</v>
      </c>
      <c r="I5" s="16" t="n">
        <v>18840.3</v>
      </c>
      <c r="J5" s="16" t="n">
        <v>18840.3</v>
      </c>
      <c r="K5" s="14" t="n">
        <v>5.7</v>
      </c>
      <c r="L5" s="14" t="n">
        <v>6.19452</v>
      </c>
      <c r="M5" s="17">
        <f>IF(OR(F5="",K5="",K5&lt;=0),"",F5/K5)</f>
        <v/>
      </c>
      <c r="N5" s="18" t="n">
        <v>20.113987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2026-10-29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28.85</v>
      </c>
      <c r="G6" s="15" t="inlineStr">
        <is>
          <t>EUR</t>
        </is>
      </c>
      <c r="H6" s="14" t="n">
        <v>28.85</v>
      </c>
      <c r="I6" s="16" t="n">
        <v>81963.3</v>
      </c>
      <c r="J6" s="16" t="n">
        <v>81963.3</v>
      </c>
      <c r="K6" s="14" t="n">
        <v>2.3</v>
      </c>
      <c r="L6" s="14" t="n">
        <v>2.99575</v>
      </c>
      <c r="M6" s="17">
        <f>IF(OR(F6="",K6="",K6&lt;=0),"",F6/K6)</f>
        <v/>
      </c>
      <c r="N6" s="18" t="n">
        <v>1.6420034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2026-10-29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815.9</v>
      </c>
      <c r="G7" s="15" t="inlineStr">
        <is>
          <t>EUR</t>
        </is>
      </c>
      <c r="H7" s="14" t="n">
        <v>815.9</v>
      </c>
      <c r="I7" s="16" t="n">
        <v>25755.3</v>
      </c>
      <c r="J7" s="16" t="n">
        <v>25755.3</v>
      </c>
      <c r="K7" s="14" t="n">
        <v>30.83</v>
      </c>
      <c r="L7" s="14" t="n">
        <v>46.24443</v>
      </c>
      <c r="M7" s="17">
        <f>IF(OR(F7="",K7="",K7&lt;=0),"",F7/K7)</f>
        <v/>
      </c>
      <c r="N7" s="18" t="n">
        <v>4.358813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2026-10-29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32.52</v>
      </c>
      <c r="G8" s="15" t="inlineStr">
        <is>
          <t>EUR</t>
        </is>
      </c>
      <c r="H8" s="14" t="n">
        <v>32.52</v>
      </c>
      <c r="I8" s="16" t="n">
        <v>28390.3</v>
      </c>
      <c r="J8" s="16" t="n">
        <v>28390.3</v>
      </c>
      <c r="K8" s="14" t="n">
        <v>2.51</v>
      </c>
      <c r="L8" s="14" t="n">
        <v>2.91723</v>
      </c>
      <c r="M8" s="17">
        <f>IF(OR(F8="",K8="",K8&lt;=0),"",F8/K8)</f>
        <v/>
      </c>
      <c r="N8" s="18" t="n">
        <v>1.9670942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2026-10-29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ABN AMRO</t>
        </is>
      </c>
      <c r="C9" s="12" t="inlineStr">
        <is>
          <t>ABN.AS</t>
        </is>
      </c>
      <c r="D9" s="11" t="inlineStr">
        <is>
          <t>Banca</t>
        </is>
      </c>
      <c r="E9" s="13" t="inlineStr">
        <is>
          <t>Finanziario</t>
        </is>
      </c>
      <c r="F9" s="14" t="n">
        <v>40.16</v>
      </c>
      <c r="G9" s="15" t="inlineStr">
        <is>
          <t>EUR</t>
        </is>
      </c>
      <c r="H9" s="14" t="n">
        <v>40.16</v>
      </c>
      <c r="I9" s="16" t="n">
        <v>32727.8</v>
      </c>
      <c r="J9" s="16" t="n">
        <v>32727.8</v>
      </c>
      <c r="K9" s="14" t="n">
        <v>2.79</v>
      </c>
      <c r="L9" s="14" t="n">
        <v>3.82455</v>
      </c>
      <c r="M9" s="17">
        <f>IF(OR(F9="",K9="",K9&lt;=0),"",F9/K9)</f>
        <v/>
      </c>
      <c r="N9" s="18" t="n">
        <v>1.1972336</v>
      </c>
      <c r="O9" s="19">
        <f>IF(OR(N9="",M9="",M9&lt;=0),"",N9/M9)</f>
        <v/>
      </c>
      <c r="P9" s="20" t="n">
        <v>0.0912</v>
      </c>
      <c r="Q9" s="20" t="n">
        <v>0.09219355240720387</v>
      </c>
      <c r="R9" s="20" t="n">
        <v>0.01186740445601576</v>
      </c>
      <c r="S9" s="21" t="n">
        <v>4</v>
      </c>
      <c r="T9" s="20" t="n"/>
      <c r="U9" s="20" t="n">
        <v>0.08328402366863906</v>
      </c>
      <c r="V9" s="20" t="n">
        <v>0.09204780510227534</v>
      </c>
      <c r="W9" s="20" t="n">
        <v>0.1116030787056195</v>
      </c>
      <c r="X9" s="20" t="n">
        <v>0.08183930215228159</v>
      </c>
      <c r="Y9" s="14" t="n">
        <v>1.38</v>
      </c>
      <c r="Z9" s="19">
        <f>IF(OR(Y9="",F9="",F9=0),"",Y9/F9)</f>
        <v/>
      </c>
      <c r="AA9" s="22" t="n"/>
      <c r="AB9" s="20" t="n">
        <v>0.118</v>
      </c>
      <c r="AC9" s="20" t="n">
        <v>0.2616811653687586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2026-10-29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15.835</v>
      </c>
      <c r="G10" s="15" t="inlineStr">
        <is>
          <t>EUR</t>
        </is>
      </c>
      <c r="H10" s="14" t="n">
        <v>15.835</v>
      </c>
      <c r="I10" s="16" t="n">
        <v>28474.7</v>
      </c>
      <c r="J10" s="16" t="n">
        <v>28474.7</v>
      </c>
      <c r="K10" s="14" t="n">
        <v>0.17</v>
      </c>
      <c r="L10" s="14" t="n">
        <v>1.08996</v>
      </c>
      <c r="M10" s="17">
        <f>IF(OR(F10="",K10="",K10&lt;=0),"",F10/K10)</f>
        <v/>
      </c>
      <c r="N10" s="18" t="n">
        <v>7.9175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2026-10-29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KPN</t>
        </is>
      </c>
      <c r="C11" s="12" t="inlineStr">
        <is>
          <t>KPN.AS</t>
        </is>
      </c>
      <c r="D11" s="11" t="inlineStr">
        <is>
          <t>Telecomunicazioni</t>
        </is>
      </c>
      <c r="E11" s="13" t="inlineStr">
        <is>
          <t>Industriale</t>
        </is>
      </c>
      <c r="F11" s="14" t="n">
        <v>4.265</v>
      </c>
      <c r="G11" s="15" t="inlineStr">
        <is>
          <t>EUR</t>
        </is>
      </c>
      <c r="H11" s="14" t="n">
        <v>4.265</v>
      </c>
      <c r="I11" s="16" t="n">
        <v>16088.1</v>
      </c>
      <c r="J11" s="16" t="n">
        <v>16088.1</v>
      </c>
      <c r="K11" s="14" t="n">
        <v>0.22</v>
      </c>
      <c r="L11" s="14" t="n">
        <v>0.26948</v>
      </c>
      <c r="M11" s="17">
        <f>IF(OR(F11="",K11="",K11&lt;=0),"",F11/K11)</f>
        <v/>
      </c>
      <c r="N11" s="18" t="n">
        <v>7.0148025</v>
      </c>
      <c r="O11" s="19">
        <f>IF(OR(N11="",M11="",M11&lt;=0),"",N11/M11)</f>
        <v/>
      </c>
      <c r="P11" s="20" t="n">
        <v>0.26111</v>
      </c>
      <c r="Q11" s="20" t="n">
        <v>0.2322421454389839</v>
      </c>
      <c r="R11" s="20" t="n">
        <v>0.01386888068970513</v>
      </c>
      <c r="S11" s="21" t="n">
        <v>4</v>
      </c>
      <c r="T11" s="20" t="n"/>
      <c r="U11" s="20" t="n">
        <v>0.243104918965027</v>
      </c>
      <c r="V11" s="20" t="n">
        <v>0.2401585952987822</v>
      </c>
      <c r="W11" s="20" t="n">
        <v>0.2372119168071951</v>
      </c>
      <c r="X11" s="20" t="n">
        <v>0.2084931506849315</v>
      </c>
      <c r="Y11" s="14" t="n">
        <v>0.19</v>
      </c>
      <c r="Z11" s="19">
        <f>IF(OR(Y11="",F11="",F11=0),"",Y11/F11)</f>
        <v/>
      </c>
      <c r="AA11" s="22" t="n">
        <v>218.133</v>
      </c>
      <c r="AB11" s="20" t="n">
        <v>0.005</v>
      </c>
      <c r="AC11" s="20" t="n">
        <v>0.1428324995687424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2026-10-29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78.26000000000001</v>
      </c>
      <c r="G12" s="15" t="inlineStr">
        <is>
          <t>EUR</t>
        </is>
      </c>
      <c r="H12" s="14" t="n">
        <v>78.26000000000001</v>
      </c>
      <c r="I12" s="16" t="n">
        <v>20259.1</v>
      </c>
      <c r="J12" s="16" t="n">
        <v>20259.1</v>
      </c>
      <c r="K12" s="14" t="n">
        <v>6.79</v>
      </c>
      <c r="L12" s="14" t="n">
        <v>8.92845</v>
      </c>
      <c r="M12" s="17">
        <f>IF(OR(F12="",K12="",K12&lt;=0),"",F12/K12)</f>
        <v/>
      </c>
      <c r="N12" s="18" t="n">
        <v>0.9747045600000001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2026-10-29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789.6</v>
      </c>
      <c r="G13" s="15" t="inlineStr">
        <is>
          <t>EUR</t>
        </is>
      </c>
      <c r="H13" s="14" t="n">
        <v>789.6</v>
      </c>
      <c r="I13" s="16" t="n">
        <v>38533.7</v>
      </c>
      <c r="J13" s="16" t="n">
        <v>38533.7</v>
      </c>
      <c r="K13" s="14" t="n">
        <v>21.14</v>
      </c>
      <c r="L13" s="14" t="n">
        <v>33.35957</v>
      </c>
      <c r="M13" s="17">
        <f>IF(OR(F13="",K13="",K13&lt;=0),"",F13/K13)</f>
        <v/>
      </c>
      <c r="N13" s="18" t="n">
        <v>8.245614</v>
      </c>
      <c r="O13" s="19">
        <f>IF(OR(N13="",M13="",M13&lt;=0),"",N13/M13)</f>
        <v/>
      </c>
      <c r="P13" s="20" t="n">
        <v>0.23452999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2.009</v>
      </c>
      <c r="AB13" s="20" t="n">
        <v>0.449</v>
      </c>
      <c r="AC13" s="20" t="n">
        <v>0.26803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2026-10-29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58.86</v>
      </c>
      <c r="G14" s="15" t="inlineStr">
        <is>
          <t>EUR</t>
        </is>
      </c>
      <c r="H14" s="14" t="n">
        <v>58.86</v>
      </c>
      <c r="I14" s="16" t="n">
        <v>10088.6</v>
      </c>
      <c r="J14" s="16" t="n">
        <v>10088.6</v>
      </c>
      <c r="K14" s="14" t="n">
        <v>3.83</v>
      </c>
      <c r="L14" s="14" t="n">
        <v>4.24469</v>
      </c>
      <c r="M14" s="17">
        <f>IF(OR(F14="",K14="",K14&lt;=0),"",F14/K14)</f>
        <v/>
      </c>
      <c r="N14" s="18" t="n">
        <v>2.0788302</v>
      </c>
      <c r="O14" s="19">
        <f>IF(OR(N14="",M14="",M14&lt;=0),"",N14/M14)</f>
        <v/>
      </c>
      <c r="P14" s="20" t="n">
        <v>0.14863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129.548</v>
      </c>
      <c r="AB14" s="20" t="n">
        <v>-0.004</v>
      </c>
      <c r="AC14" s="20" t="n">
        <v>0.06438275251033668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2026-10-29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101.65</v>
      </c>
      <c r="G15" s="15" t="inlineStr">
        <is>
          <t>EUR</t>
        </is>
      </c>
      <c r="H15" s="14" t="n">
        <v>101.65</v>
      </c>
      <c r="I15" s="16" t="n">
        <v>6000.7</v>
      </c>
      <c r="J15" s="16" t="n">
        <v>6000.7</v>
      </c>
      <c r="K15" s="14" t="n">
        <v>3.87</v>
      </c>
      <c r="L15" s="14" t="n">
        <v>6.52951</v>
      </c>
      <c r="M15" s="17">
        <f>IF(OR(F15="",K15="",K15&lt;=0),"",F15/K15)</f>
        <v/>
      </c>
      <c r="N15" s="18" t="n">
        <v>2.8271449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2026-10-29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77.84</v>
      </c>
      <c r="G16" s="15" t="inlineStr">
        <is>
          <t>EUR</t>
        </is>
      </c>
      <c r="H16" s="14" t="n">
        <v>77.84</v>
      </c>
      <c r="I16" s="16" t="n">
        <v>43033.1</v>
      </c>
      <c r="J16" s="16" t="n">
        <v>43033.1</v>
      </c>
      <c r="K16" s="14" t="n">
        <v>4.17</v>
      </c>
      <c r="L16" s="14" t="n">
        <v>5.70725</v>
      </c>
      <c r="M16" s="17">
        <f>IF(OR(F16="",K16="",K16&lt;=0),"",F16/K16)</f>
        <v/>
      </c>
      <c r="N16" s="18" t="n">
        <v>2.2324834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2026-10-29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40.25</v>
      </c>
      <c r="G17" s="15" t="inlineStr">
        <is>
          <t>EUR</t>
        </is>
      </c>
      <c r="H17" s="14" t="n">
        <v>40.25</v>
      </c>
      <c r="I17" s="16" t="n">
        <v>7061.9</v>
      </c>
      <c r="J17" s="16" t="n">
        <v>7061.9</v>
      </c>
      <c r="K17" s="14" t="n">
        <v>1.94</v>
      </c>
      <c r="L17" s="14" t="n">
        <v>2.94334</v>
      </c>
      <c r="M17" s="17">
        <f>IF(OR(F17="",K17="",K17&lt;=0),"",F17/K17)</f>
        <v/>
      </c>
      <c r="N17" s="18" t="n">
        <v>1.7547301</v>
      </c>
      <c r="O17" s="19">
        <f>IF(OR(N17="",M17="",M17&lt;=0),"",N17/M17)</f>
        <v/>
      </c>
      <c r="P17" s="20" t="n">
        <v>0.08777001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45.896</v>
      </c>
      <c r="AB17" s="20" t="n">
        <v>0.053</v>
      </c>
      <c r="AC17" s="20" t="n">
        <v>0.01473328422238592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2026-10-29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7.472</v>
      </c>
      <c r="G18" s="15" t="inlineStr">
        <is>
          <t>EUR</t>
        </is>
      </c>
      <c r="H18" s="14" t="n">
        <v>7.472</v>
      </c>
      <c r="I18" s="16" t="n">
        <v>10883.8</v>
      </c>
      <c r="J18" s="16" t="n">
        <v>10883.8</v>
      </c>
      <c r="K18" s="14" t="n">
        <v>0.59</v>
      </c>
      <c r="L18" s="14" t="n">
        <v>0.9792</v>
      </c>
      <c r="M18" s="17">
        <f>IF(OR(F18="",K18="",K18&lt;=0),"",F18/K18)</f>
        <v/>
      </c>
      <c r="N18" s="18" t="n">
        <v>1.2445036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2026-10-29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24.28</v>
      </c>
      <c r="G19" s="15" t="inlineStr">
        <is>
          <t>EUR</t>
        </is>
      </c>
      <c r="H19" s="14" t="n">
        <v>24.28</v>
      </c>
      <c r="I19" s="16" t="n">
        <v>23731.9</v>
      </c>
      <c r="J19" s="16" t="n">
        <v>23731.9</v>
      </c>
      <c r="K19" s="14" t="n">
        <v>1.17</v>
      </c>
      <c r="L19" s="14" t="n">
        <v>1.68397</v>
      </c>
      <c r="M19" s="17">
        <f>IF(OR(F19="",K19="",K19&lt;=0),"",F19/K19)</f>
        <v/>
      </c>
      <c r="N19" s="18" t="n">
        <v>2.0732644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2026-10-29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54.78</v>
      </c>
      <c r="G20" s="15" t="inlineStr">
        <is>
          <t>EUR</t>
        </is>
      </c>
      <c r="H20" s="14" t="n">
        <v>54.78</v>
      </c>
      <c r="I20" s="16" t="n">
        <v>41191</v>
      </c>
      <c r="J20" s="16" t="n">
        <v>41191</v>
      </c>
      <c r="K20" s="14" t="n">
        <v>1.99</v>
      </c>
      <c r="L20" s="14" t="n">
        <v>6.635061</v>
      </c>
      <c r="M20" s="17">
        <f>IF(OR(F20="",K20="",K20&lt;=0),"",F20/K20)</f>
        <v/>
      </c>
      <c r="N20" s="18" t="n">
        <v>0.84648216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2026-10-29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106.4</v>
      </c>
      <c r="G21" s="15" t="inlineStr">
        <is>
          <t>EUR</t>
        </is>
      </c>
      <c r="H21" s="14" t="n">
        <v>106.4</v>
      </c>
      <c r="I21" s="16" t="n">
        <v>26000</v>
      </c>
      <c r="J21" s="16" t="n">
        <v>26000</v>
      </c>
      <c r="K21" s="14" t="n">
        <v>-5.2</v>
      </c>
      <c r="L21" s="14" t="n">
        <v>4.13858</v>
      </c>
      <c r="M21" s="17">
        <f>IF(OR(F21="",K21="",K21&lt;=0),"",F21/K21)</f>
        <v/>
      </c>
      <c r="N21" s="18" t="n">
        <v>1.4933962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2026-10-29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644</v>
      </c>
      <c r="G2" s="15" t="inlineStr">
        <is>
          <t>CHF</t>
        </is>
      </c>
      <c r="H2" s="14" t="n">
        <v>698.2013725511454</v>
      </c>
      <c r="I2" s="16" t="n">
        <v>18001.77802834004</v>
      </c>
      <c r="J2" s="16" t="n">
        <v>16604.3</v>
      </c>
      <c r="K2" s="14" t="n">
        <v>45.8</v>
      </c>
      <c r="L2" s="14" t="n">
        <v>45.60035</v>
      </c>
      <c r="M2" s="17">
        <f>IF(OR(F2="",K2="",K2&lt;=0),"",F2/K2)</f>
        <v/>
      </c>
      <c r="N2" s="18" t="n">
        <v>11.3300495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2026-10-29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Kuehne + Nagel</t>
        </is>
      </c>
      <c r="C3" s="12" t="inlineStr">
        <is>
          <t>KNIN.SW</t>
        </is>
      </c>
      <c r="D3" s="11" t="inlineStr">
        <is>
          <t>Logistica</t>
        </is>
      </c>
      <c r="E3" s="13" t="inlineStr">
        <is>
          <t>Industriale</t>
        </is>
      </c>
      <c r="F3" s="14" t="n">
        <v>236.7</v>
      </c>
      <c r="G3" s="15" t="inlineStr">
        <is>
          <t>CHF</t>
        </is>
      </c>
      <c r="H3" s="14" t="n">
        <v>256.6215293212051</v>
      </c>
      <c r="I3" s="16" t="n">
        <v>30476.3814954953</v>
      </c>
      <c r="J3" s="16" t="n">
        <v>28110.5</v>
      </c>
      <c r="K3" s="14" t="n">
        <v>8.199999999999999</v>
      </c>
      <c r="L3" s="14" t="n">
        <v>9.83731</v>
      </c>
      <c r="M3" s="17">
        <f>IF(OR(F3="",K3="",K3&lt;=0),"",F3/K3)</f>
        <v/>
      </c>
      <c r="N3" s="18" t="n">
        <v>10.746879</v>
      </c>
      <c r="O3" s="19">
        <f>IF(OR(N3="",M3="",M3&lt;=0),"",N3/M3)</f>
        <v/>
      </c>
      <c r="P3" s="20" t="n">
        <v>0.42051998</v>
      </c>
      <c r="Q3" s="20" t="n">
        <v>0.464756209938601</v>
      </c>
      <c r="R3" s="20" t="n">
        <v>0.1055333217304714</v>
      </c>
      <c r="S3" s="21" t="n">
        <v>4</v>
      </c>
      <c r="T3" s="20" t="n"/>
      <c r="U3" s="20" t="n">
        <v>0.4045871559633027</v>
      </c>
      <c r="V3" s="20" t="n">
        <v>0.3619368679129635</v>
      </c>
      <c r="W3" s="20" t="n">
        <v>0.4538534728829686</v>
      </c>
      <c r="X3" s="20" t="n">
        <v>0.6386473429951691</v>
      </c>
      <c r="Y3" s="14" t="n">
        <v>6</v>
      </c>
      <c r="Z3" s="19">
        <f>IF(OR(Y3="",F3="",F3=0),"",Y3/F3)</f>
        <v/>
      </c>
      <c r="AA3" s="22" t="n">
        <v>150.788</v>
      </c>
      <c r="AB3" s="20" t="n">
        <v>0.222</v>
      </c>
      <c r="AC3" s="20" t="n">
        <v>0.03991665304788364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2026-10-29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Zurich Insurance</t>
        </is>
      </c>
      <c r="C4" s="12" t="inlineStr">
        <is>
          <t>ZURN.SW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621.4</v>
      </c>
      <c r="G4" s="15" t="inlineStr">
        <is>
          <t>CHF</t>
        </is>
      </c>
      <c r="H4" s="14" t="n">
        <v>673.6992746945368</v>
      </c>
      <c r="I4" s="16" t="n">
        <v>100630.007480729</v>
      </c>
      <c r="J4" s="16" t="n">
        <v>92818.10000000001</v>
      </c>
      <c r="K4" s="14" t="n">
        <v>39.19</v>
      </c>
      <c r="L4" s="14" t="n">
        <v>43.32851</v>
      </c>
      <c r="M4" s="17">
        <f>IF(OR(F4="",K4="",K4&lt;=0),"",F4/K4)</f>
        <v/>
      </c>
      <c r="N4" s="18" t="n">
        <v>3.5430636</v>
      </c>
      <c r="O4" s="19">
        <f>IF(OR(N4="",M4="",M4&lt;=0),"",N4/M4)</f>
        <v/>
      </c>
      <c r="P4" s="20" t="n">
        <v>0.25695</v>
      </c>
      <c r="Q4" s="20" t="n">
        <v>0.1990037305965541</v>
      </c>
      <c r="R4" s="20" t="n">
        <v>0.03527491247151992</v>
      </c>
      <c r="S4" s="21" t="n">
        <v>4</v>
      </c>
      <c r="T4" s="20" t="n"/>
      <c r="U4" s="20" t="n">
        <v>0.238400841662283</v>
      </c>
      <c r="V4" s="20" t="n">
        <v>0.2282506281407035</v>
      </c>
      <c r="W4" s="20" t="n">
        <v>0.1750201126307321</v>
      </c>
      <c r="X4" s="20" t="n">
        <v>0.1543433399524978</v>
      </c>
      <c r="Y4" s="14" t="n">
        <v>30</v>
      </c>
      <c r="Z4" s="19">
        <f>IF(OR(Y4="",F4="",F4=0),"",Y4/F4)</f>
        <v/>
      </c>
      <c r="AA4" s="22" t="n">
        <v>46.416</v>
      </c>
      <c r="AB4" s="20" t="n">
        <v>0.113</v>
      </c>
      <c r="AC4" s="20" t="n">
        <v>0.08144806730574039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2026-10-29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Geberit</t>
        </is>
      </c>
      <c r="C5" s="12" t="inlineStr">
        <is>
          <t>GEBN.SW</t>
        </is>
      </c>
      <c r="D5" s="11" t="inlineStr">
        <is>
          <t>Sanitari e impianti</t>
        </is>
      </c>
      <c r="E5" s="13" t="inlineStr">
        <is>
          <t>Industriale</t>
        </is>
      </c>
      <c r="F5" s="14" t="n">
        <v>575.8</v>
      </c>
      <c r="G5" s="15" t="inlineStr">
        <is>
          <t>CHF</t>
        </is>
      </c>
      <c r="H5" s="14" t="n">
        <v>624.2614135325302</v>
      </c>
      <c r="I5" s="16" t="n">
        <v>20200.13660461637</v>
      </c>
      <c r="J5" s="16" t="n">
        <v>18632</v>
      </c>
      <c r="K5" s="14" t="n">
        <v>18.86</v>
      </c>
      <c r="L5" s="14" t="n">
        <v>21.05513</v>
      </c>
      <c r="M5" s="17">
        <f>IF(OR(F5="",K5="",K5&lt;=0),"",F5/K5)</f>
        <v/>
      </c>
      <c r="N5" s="18" t="n">
        <v>16.809715</v>
      </c>
      <c r="O5" s="19">
        <f>IF(OR(N5="",M5="",M5&lt;=0),"",N5/M5)</f>
        <v/>
      </c>
      <c r="P5" s="20" t="n">
        <v>0.54099</v>
      </c>
      <c r="Q5" s="20" t="n">
        <v>0.4479606337234692</v>
      </c>
      <c r="R5" s="20" t="n">
        <v>0.03149127407751199</v>
      </c>
      <c r="S5" s="21" t="n">
        <v>4</v>
      </c>
      <c r="T5" s="20" t="n"/>
      <c r="U5" s="20" t="n">
        <v>0.3940412629358645</v>
      </c>
      <c r="V5" s="20" t="n">
        <v>0.4586021505376344</v>
      </c>
      <c r="W5" s="20" t="n">
        <v>0.4673888341792288</v>
      </c>
      <c r="X5" s="20" t="n">
        <v>0.471810287241149</v>
      </c>
      <c r="Y5" s="14" t="n">
        <v>12.9</v>
      </c>
      <c r="Z5" s="19">
        <f>IF(OR(Y5="",F5="",F5=0),"",Y5/F5)</f>
        <v/>
      </c>
      <c r="AA5" s="22" t="n">
        <v>134.428</v>
      </c>
      <c r="AB5" s="20" t="n">
        <v>0.065</v>
      </c>
      <c r="AC5" s="20" t="n">
        <v>0.196939507414082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2026-10-29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Julius Baer Gruppe</t>
        </is>
      </c>
      <c r="C6" s="12" t="inlineStr">
        <is>
          <t>BAER.SW</t>
        </is>
      </c>
      <c r="D6" s="11" t="inlineStr">
        <is>
          <t>Gestione patrimoni</t>
        </is>
      </c>
      <c r="E6" s="13" t="inlineStr">
        <is>
          <t>Finanziario</t>
        </is>
      </c>
      <c r="F6" s="14" t="n">
        <v>69.7</v>
      </c>
      <c r="G6" s="15" t="inlineStr">
        <is>
          <t>CHF</t>
        </is>
      </c>
      <c r="H6" s="14" t="n">
        <v>75.56620445157583</v>
      </c>
      <c r="I6" s="16" t="n">
        <v>15548.85783362425</v>
      </c>
      <c r="J6" s="16" t="n">
        <v>14341.8</v>
      </c>
      <c r="K6" s="14" t="n">
        <v>5.54</v>
      </c>
      <c r="L6" s="14" t="n">
        <v>6.23501</v>
      </c>
      <c r="M6" s="17">
        <f>IF(OR(F6="",K6="",K6&lt;=0),"",F6/K6)</f>
        <v/>
      </c>
      <c r="N6" s="18" t="n">
        <v>1.9447544</v>
      </c>
      <c r="O6" s="19">
        <f>IF(OR(N6="",M6="",M6&lt;=0),"",N6/M6)</f>
        <v/>
      </c>
      <c r="P6" s="20" t="n">
        <v>0.16169001</v>
      </c>
      <c r="Q6" s="20" t="n">
        <v>0.1200210000885957</v>
      </c>
      <c r="R6" s="20" t="n">
        <v>0.03239015609690895</v>
      </c>
      <c r="S6" s="21" t="n">
        <v>4</v>
      </c>
      <c r="T6" s="20" t="n"/>
      <c r="U6" s="20" t="n">
        <v>0.1056556265736975</v>
      </c>
      <c r="V6" s="20" t="n">
        <v>0.1497055980314615</v>
      </c>
      <c r="W6" s="20" t="n">
        <v>0.07368574813756837</v>
      </c>
      <c r="X6" s="20" t="n">
        <v>0.1510370276116554</v>
      </c>
      <c r="Y6" s="14" t="n">
        <v>2.6</v>
      </c>
      <c r="Z6" s="19">
        <f>IF(OR(Y6="",F6="",F6=0),"",Y6/F6)</f>
        <v/>
      </c>
      <c r="AA6" s="22" t="n"/>
      <c r="AB6" s="20" t="n">
        <v>0.257</v>
      </c>
      <c r="AC6" s="20" t="n">
        <v>0.2798606497202866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2026-10-29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ABB</t>
        </is>
      </c>
      <c r="C7" s="12" t="inlineStr">
        <is>
          <t>ABBN.SW</t>
        </is>
      </c>
      <c r="D7" s="11" t="inlineStr">
        <is>
          <t>Automazione / Elettrificazione</t>
        </is>
      </c>
      <c r="E7" s="13" t="inlineStr">
        <is>
          <t>Industriale</t>
        </is>
      </c>
      <c r="F7" s="14" t="n">
        <v>73.12</v>
      </c>
      <c r="G7" s="15" t="inlineStr">
        <is>
          <t>CHF</t>
        </is>
      </c>
      <c r="H7" s="14" t="n">
        <v>79.27404403872632</v>
      </c>
      <c r="I7" s="16" t="n">
        <v>143228.639266238</v>
      </c>
      <c r="J7" s="16" t="n">
        <v>132109.8</v>
      </c>
      <c r="K7" s="14" t="n">
        <v>2.2</v>
      </c>
      <c r="L7" s="14" t="n">
        <v>3.0835092</v>
      </c>
      <c r="M7" s="17">
        <f>IF(OR(F7="",K7="",K7&lt;=0),"",F7/K7)</f>
        <v/>
      </c>
      <c r="N7" s="18" t="n">
        <v>9.668258</v>
      </c>
      <c r="O7" s="19">
        <f>IF(OR(N7="",M7="",M7&lt;=0),"",N7/M7)</f>
        <v/>
      </c>
      <c r="P7" s="20" t="n">
        <v>0.31301</v>
      </c>
      <c r="Q7" s="20" t="n">
        <v>0.2600388332410384</v>
      </c>
      <c r="R7" s="20" t="n">
        <v>0.03907452780269946</v>
      </c>
      <c r="S7" s="21" t="n">
        <v>4</v>
      </c>
      <c r="T7" s="20" t="n"/>
      <c r="U7" s="20" t="n">
        <v>0.2942748803381612</v>
      </c>
      <c r="V7" s="20" t="n">
        <v>0.2729038074762466</v>
      </c>
      <c r="W7" s="20" t="n">
        <v>0.2792692020879941</v>
      </c>
      <c r="X7" s="20" t="n">
        <v>0.1937074430617516</v>
      </c>
      <c r="Y7" s="14" t="n">
        <v>0.9399999999999999</v>
      </c>
      <c r="Z7" s="19">
        <f>IF(OR(Y7="",F7="",F7=0),"",Y7/F7)</f>
        <v/>
      </c>
      <c r="AA7" s="22" t="n">
        <v>50.8</v>
      </c>
      <c r="AB7" s="20" t="n">
        <v>0.143</v>
      </c>
      <c r="AC7" s="20" t="n">
        <v>0.1512943971101746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2026-10-29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SGS</t>
        </is>
      </c>
      <c r="C8" s="12" t="inlineStr">
        <is>
          <t>SGSN.SW</t>
        </is>
      </c>
      <c r="D8" s="11" t="inlineStr">
        <is>
          <t>Ispezione e certificazione</t>
        </is>
      </c>
      <c r="E8" s="13" t="inlineStr">
        <is>
          <t>Industriale</t>
        </is>
      </c>
      <c r="F8" s="14" t="n">
        <v>103.4</v>
      </c>
      <c r="G8" s="15" t="inlineStr">
        <is>
          <t>CHF</t>
        </is>
      </c>
      <c r="H8" s="14" t="n">
        <v>112.1025185120938</v>
      </c>
      <c r="I8" s="16" t="n">
        <v>22172.23023298676</v>
      </c>
      <c r="J8" s="16" t="n">
        <v>20451</v>
      </c>
      <c r="K8" s="14" t="n">
        <v>3.37</v>
      </c>
      <c r="L8" s="14" t="n">
        <v>4.53711</v>
      </c>
      <c r="M8" s="17">
        <f>IF(OR(F8="",K8="",K8&lt;=0),"",F8/K8)</f>
        <v/>
      </c>
      <c r="N8" s="18" t="n">
        <v>20.290422</v>
      </c>
      <c r="O8" s="19">
        <f>IF(OR(N8="",M8="",M8&lt;=0),"",N8/M8)</f>
        <v/>
      </c>
      <c r="P8" s="20" t="n">
        <v>0.76313</v>
      </c>
      <c r="Q8" s="20" t="n">
        <v>0.8843363128257563</v>
      </c>
      <c r="R8" s="20" t="n">
        <v>0.1921909984470007</v>
      </c>
      <c r="S8" s="21" t="n">
        <v>4</v>
      </c>
      <c r="T8" s="20" t="n"/>
      <c r="U8" s="20" t="n">
        <v>0.7413984461709212</v>
      </c>
      <c r="V8" s="20" t="n">
        <v>0.7289836888331243</v>
      </c>
      <c r="W8" s="20" t="n">
        <v>1.20479302832244</v>
      </c>
      <c r="X8" s="20" t="n">
        <v>0.8621700879765396</v>
      </c>
      <c r="Y8" s="14" t="n">
        <v>3.2</v>
      </c>
      <c r="Z8" s="19">
        <f>IF(OR(Y8="",F8="",F8=0),"",Y8/F8)</f>
        <v/>
      </c>
      <c r="AA8" s="22" t="n">
        <v>464.47</v>
      </c>
      <c r="AB8" s="20" t="n">
        <v>0.076</v>
      </c>
      <c r="AC8" s="20" t="n">
        <v>0.09546436285097193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2026-10-29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81.66</v>
      </c>
      <c r="G9" s="15" t="inlineStr">
        <is>
          <t>CHF</t>
        </is>
      </c>
      <c r="H9" s="14" t="n">
        <v>88.53280137038281</v>
      </c>
      <c r="I9" s="16" t="n">
        <v>12710.30063857237</v>
      </c>
      <c r="J9" s="16" t="n">
        <v>11723.6</v>
      </c>
      <c r="K9" s="14" t="n">
        <v>4.42</v>
      </c>
      <c r="L9" s="14" t="n">
        <v>4.8887944</v>
      </c>
      <c r="M9" s="17">
        <f>IF(OR(F9="",K9="",K9&lt;=0),"",F9/K9)</f>
        <v/>
      </c>
      <c r="N9" s="18" t="n">
        <v>6.5119734</v>
      </c>
      <c r="O9" s="19">
        <f>IF(OR(N9="",M9="",M9&lt;=0),"",N9/M9)</f>
        <v/>
      </c>
      <c r="P9" s="20" t="n">
        <v>0.38162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/>
      <c r="AB9" s="20" t="n">
        <v>0.028</v>
      </c>
      <c r="AC9" s="20" t="n">
        <v>0.1673773987189204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2026-10-29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82.81</v>
      </c>
      <c r="G10" s="15" t="inlineStr">
        <is>
          <t>CHF</t>
        </is>
      </c>
      <c r="H10" s="14" t="n">
        <v>89.77958953565272</v>
      </c>
      <c r="I10" s="16" t="n">
        <v>230932.8143803463</v>
      </c>
      <c r="J10" s="16" t="n">
        <v>213005.5</v>
      </c>
      <c r="K10" s="14" t="n">
        <v>2.89</v>
      </c>
      <c r="L10" s="14" t="n">
        <v>4.76536</v>
      </c>
      <c r="M10" s="17">
        <f>IF(OR(F10="",K10="",K10&lt;=0),"",F10/K10)</f>
        <v/>
      </c>
      <c r="N10" s="18" t="n">
        <v>7.289613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2026-10-29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150.85</v>
      </c>
      <c r="G11" s="15" t="inlineStr">
        <is>
          <t>CHF</t>
        </is>
      </c>
      <c r="H11" s="14" t="n">
        <v>163.546082374752</v>
      </c>
      <c r="I11" s="16" t="n">
        <v>48232.92171254485</v>
      </c>
      <c r="J11" s="16" t="n">
        <v>44488.6</v>
      </c>
      <c r="K11" s="14" t="n">
        <v>13.03</v>
      </c>
      <c r="L11" s="14" t="n">
        <v>12.805937</v>
      </c>
      <c r="M11" s="17">
        <f>IF(OR(F11="",K11="",K11&lt;=0),"",F11/K11)</f>
        <v/>
      </c>
      <c r="N11" s="18" t="n">
        <v>2.2000046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2026-10-29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Novartis</t>
        </is>
      </c>
      <c r="C12" s="12" t="inlineStr">
        <is>
          <t>NOVN.SW</t>
        </is>
      </c>
      <c r="D12" s="11" t="inlineStr">
        <is>
          <t>Farmaceutica</t>
        </is>
      </c>
      <c r="E12" s="13" t="inlineStr">
        <is>
          <t>Salute</t>
        </is>
      </c>
      <c r="F12" s="14" t="n">
        <v>132.3</v>
      </c>
      <c r="G12" s="15" t="inlineStr">
        <is>
          <t>CHF</t>
        </is>
      </c>
      <c r="H12" s="14" t="n">
        <v>143.4348471871375</v>
      </c>
      <c r="I12" s="16" t="n">
        <v>270894.4349881284</v>
      </c>
      <c r="J12" s="16" t="n">
        <v>249864.9</v>
      </c>
      <c r="K12" s="14" t="n">
        <v>4.17</v>
      </c>
      <c r="L12" s="14" t="n">
        <v>8.216567</v>
      </c>
      <c r="M12" s="17">
        <f>IF(OR(F12="",K12="",K12&lt;=0),"",F12/K12)</f>
        <v/>
      </c>
      <c r="N12" s="18" t="n">
        <v>8.142303</v>
      </c>
      <c r="O12" s="19">
        <f>IF(OR(N12="",M12="",M12&lt;=0),"",N12/M12)</f>
        <v/>
      </c>
      <c r="P12" s="20" t="n">
        <v>0.24328</v>
      </c>
      <c r="Q12" s="20" t="n">
        <v>0.2524150557605632</v>
      </c>
      <c r="R12" s="20" t="n">
        <v>0.07989744316384528</v>
      </c>
      <c r="S12" s="21" t="n">
        <v>4</v>
      </c>
      <c r="T12" s="20" t="n"/>
      <c r="U12" s="20" t="n">
        <v>0.3031432907001951</v>
      </c>
      <c r="V12" s="20" t="n">
        <v>0.2711029378377151</v>
      </c>
      <c r="W12" s="20" t="n">
        <v>0.3182120127713374</v>
      </c>
      <c r="X12" s="20" t="n">
        <v>0.1172019817330053</v>
      </c>
      <c r="Y12" s="14" t="n">
        <v>3.7</v>
      </c>
      <c r="Z12" s="19">
        <f>IF(OR(Y12="",F12="",F12=0),"",Y12/F12)</f>
        <v/>
      </c>
      <c r="AA12" s="22" t="n">
        <v>128.607</v>
      </c>
      <c r="AB12" s="20" t="n">
        <v>0.047</v>
      </c>
      <c r="AC12" s="20" t="n">
        <v>0.1769947339520768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2026-10-29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Sonova Holding</t>
        </is>
      </c>
      <c r="C13" s="12" t="inlineStr">
        <is>
          <t>SOON.SW</t>
        </is>
      </c>
      <c r="D13" s="11" t="inlineStr">
        <is>
          <t>Apparecchi acustici</t>
        </is>
      </c>
      <c r="E13" s="13" t="inlineStr">
        <is>
          <t>Salute</t>
        </is>
      </c>
      <c r="F13" s="14" t="n">
        <v>281.6</v>
      </c>
      <c r="G13" s="15" t="inlineStr">
        <is>
          <t>CHF</t>
        </is>
      </c>
      <c r="H13" s="14" t="n">
        <v>305.30047594783</v>
      </c>
      <c r="I13" s="16" t="n">
        <v>18136.21431746479</v>
      </c>
      <c r="J13" s="16" t="n">
        <v>16728.3</v>
      </c>
      <c r="K13" s="14" t="n">
        <v>9.01</v>
      </c>
      <c r="L13" s="14" t="n">
        <v>12.24307</v>
      </c>
      <c r="M13" s="17">
        <f>IF(OR(F13="",K13="",K13&lt;=0),"",F13/K13)</f>
        <v/>
      </c>
      <c r="N13" s="18" t="n">
        <v>6.399709</v>
      </c>
      <c r="O13" s="19">
        <f>IF(OR(N13="",M13="",M13&lt;=0),"",N13/M13)</f>
        <v/>
      </c>
      <c r="P13" s="20" t="n">
        <v>0.20524</v>
      </c>
      <c r="Q13" s="20" t="n">
        <v>0.225882106970715</v>
      </c>
      <c r="R13" s="20" t="n">
        <v>0.04752069499990572</v>
      </c>
      <c r="S13" s="21" t="n">
        <v>4</v>
      </c>
      <c r="T13" s="20" t="n">
        <v>0.1647346876315085</v>
      </c>
      <c r="U13" s="20" t="n">
        <v>0.2028447046461007</v>
      </c>
      <c r="V13" s="20" t="n">
        <v>0.2432804404145078</v>
      </c>
      <c r="W13" s="20" t="n">
        <v>0.2926685951907431</v>
      </c>
      <c r="X13" s="20" t="n"/>
      <c r="Y13" s="14" t="n">
        <v>4.7</v>
      </c>
      <c r="Z13" s="19">
        <f>IF(OR(Y13="",F13="",F13=0),"",Y13/F13)</f>
        <v/>
      </c>
      <c r="AA13" s="22" t="n">
        <v>64.938</v>
      </c>
      <c r="AB13" s="20" t="n"/>
      <c r="AC13" s="20" t="n">
        <v>0.1489503402756593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2026-10-29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Givaudan</t>
        </is>
      </c>
      <c r="C14" s="12" t="inlineStr">
        <is>
          <t>GIVN.SW</t>
        </is>
      </c>
      <c r="D14" s="11" t="inlineStr">
        <is>
          <t>Aromi e fragranze</t>
        </is>
      </c>
      <c r="E14" s="13" t="inlineStr">
        <is>
          <t>Materiali</t>
        </is>
      </c>
      <c r="F14" s="14" t="n">
        <v>3916</v>
      </c>
      <c r="G14" s="15" t="inlineStr">
        <is>
          <t>CHF</t>
        </is>
      </c>
      <c r="H14" s="14" t="n">
        <v>4245.584743649511</v>
      </c>
      <c r="I14" s="16" t="n">
        <v>39192.2981016295</v>
      </c>
      <c r="J14" s="16" t="n">
        <v>36149.8</v>
      </c>
      <c r="K14" s="14" t="n">
        <v>102.7</v>
      </c>
      <c r="L14" s="14" t="n">
        <v>134.14758</v>
      </c>
      <c r="M14" s="17">
        <f>IF(OR(F14="",K14="",K14&lt;=0),"",F14/K14)</f>
        <v/>
      </c>
      <c r="N14" s="18" t="n">
        <v>8.21214</v>
      </c>
      <c r="O14" s="19">
        <f>IF(OR(N14="",M14="",M14&lt;=0),"",N14/M14)</f>
        <v/>
      </c>
      <c r="P14" s="20" t="n">
        <v>0.22337</v>
      </c>
      <c r="Q14" s="20" t="n">
        <v>0.2250160278421974</v>
      </c>
      <c r="R14" s="20" t="n">
        <v>0.01425094170273812</v>
      </c>
      <c r="S14" s="21" t="n">
        <v>4</v>
      </c>
      <c r="T14" s="20" t="n"/>
      <c r="U14" s="20" t="n">
        <v>0.2360590698699581</v>
      </c>
      <c r="V14" s="20" t="n">
        <v>0.2380952380952381</v>
      </c>
      <c r="W14" s="20" t="n">
        <v>0.223641372401703</v>
      </c>
      <c r="X14" s="20" t="n">
        <v>0.2022684310018903</v>
      </c>
      <c r="Y14" s="14" t="n">
        <v>72</v>
      </c>
      <c r="Z14" s="19">
        <f>IF(OR(Y14="",F14="",F14=0),"",Y14/F14)</f>
        <v/>
      </c>
      <c r="AA14" s="22" t="n">
        <v>110.755</v>
      </c>
      <c r="AB14" s="20" t="n">
        <v>-0.017</v>
      </c>
      <c r="AC14" s="20" t="n">
        <v>0.1276766595289079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2026-10-29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178.35</v>
      </c>
      <c r="G15" s="15" t="inlineStr">
        <is>
          <t>CHF</t>
        </is>
      </c>
      <c r="H15" s="14" t="n">
        <v>193.3605819790322</v>
      </c>
      <c r="I15" s="16" t="n">
        <v>31022.58312824571</v>
      </c>
      <c r="J15" s="16" t="n">
        <v>28614.3</v>
      </c>
      <c r="K15" s="14" t="n">
        <v>6.48</v>
      </c>
      <c r="L15" s="14" t="n">
        <v>8.290979999999999</v>
      </c>
      <c r="M15" s="17">
        <f>IF(OR(F15="",K15="",K15&lt;=0),"",F15/K15)</f>
        <v/>
      </c>
      <c r="N15" s="18" t="n">
        <v>4.1991386</v>
      </c>
      <c r="O15" s="19">
        <f>IF(OR(N15="",M15="",M15&lt;=0),"",N15/M15)</f>
        <v/>
      </c>
      <c r="P15" s="20" t="n">
        <v>0.1557158394038455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0.076</v>
      </c>
      <c r="AC15" s="20" t="n">
        <v>0.09473007883013579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2026-10-29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96.44</v>
      </c>
      <c r="G16" s="15" t="inlineStr">
        <is>
          <t>CHF</t>
        </is>
      </c>
      <c r="H16" s="14" t="n">
        <v>104.556739703156</v>
      </c>
      <c r="I16" s="16" t="n">
        <v>16671.61768054034</v>
      </c>
      <c r="J16" s="16" t="n">
        <v>15377.4</v>
      </c>
      <c r="K16" s="14" t="n">
        <v>2.31</v>
      </c>
      <c r="L16" s="14" t="n">
        <v>3.86234</v>
      </c>
      <c r="M16" s="17">
        <f>IF(OR(F16="",K16="",K16&lt;=0),"",F16/K16)</f>
        <v/>
      </c>
      <c r="N16" s="18" t="n">
        <v>6.7229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2026-10-29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39.71</v>
      </c>
      <c r="G17" s="15" t="inlineStr">
        <is>
          <t>CHF</t>
        </is>
      </c>
      <c r="H17" s="14" t="n">
        <v>43.05213742858072</v>
      </c>
      <c r="I17" s="16" t="n">
        <v>130459.0348775437</v>
      </c>
      <c r="J17" s="16" t="n">
        <v>120331.5</v>
      </c>
      <c r="K17" s="14" t="n">
        <v>2.41</v>
      </c>
      <c r="L17" s="14" t="n">
        <v>3.55485</v>
      </c>
      <c r="M17" s="17">
        <f>IF(OR(F17="",K17="",K17&lt;=0),"",F17/K17)</f>
        <v/>
      </c>
      <c r="N17" s="18" t="n">
        <v>1.6510018</v>
      </c>
      <c r="O17" s="19">
        <f>IF(OR(N17="",M17="",M17&lt;=0),"",N17/M17)</f>
        <v/>
      </c>
      <c r="P17" s="20" t="n">
        <v>0.1334862670999826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0.057</v>
      </c>
      <c r="AC17" s="20" t="n">
        <v>0.2057088581879691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2026-10-29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958.2</v>
      </c>
      <c r="G18" s="15" t="inlineStr">
        <is>
          <t>CHF</t>
        </is>
      </c>
      <c r="H18" s="14" t="n">
        <v>1038.845582575322</v>
      </c>
      <c r="I18" s="16" t="n">
        <v>29031.08297104199</v>
      </c>
      <c r="J18" s="16" t="n">
        <v>26777.4</v>
      </c>
      <c r="K18" s="14" t="n">
        <v>45.92</v>
      </c>
      <c r="L18" s="14" t="n">
        <v>51.42405</v>
      </c>
      <c r="M18" s="17">
        <f>IF(OR(F18="",K18="",K18&lt;=0),"",F18/K18)</f>
        <v/>
      </c>
      <c r="N18" s="18" t="n">
        <v>4.240949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2026-10-29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688.5</v>
      </c>
      <c r="G19" s="15" t="inlineStr">
        <is>
          <t>CHF</t>
        </is>
      </c>
      <c r="H19" s="14" t="n">
        <v>746.4466537289807</v>
      </c>
      <c r="I19" s="16" t="n">
        <v>38667.34607586977</v>
      </c>
      <c r="J19" s="16" t="n">
        <v>35665.6</v>
      </c>
      <c r="K19" s="14" t="n">
        <v>25.38</v>
      </c>
      <c r="L19" s="14" t="n">
        <v>30.67039</v>
      </c>
      <c r="M19" s="17">
        <f>IF(OR(F19="",K19="",K19&lt;=0),"",F19/K19)</f>
        <v/>
      </c>
      <c r="N19" s="18" t="n">
        <v>3.0965114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2026-10-29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69.84</v>
      </c>
      <c r="G20" s="15" t="inlineStr">
        <is>
          <t>CHF</t>
        </is>
      </c>
      <c r="H20" s="14" t="n">
        <v>75.71798735865217</v>
      </c>
      <c r="I20" s="16" t="n">
        <v>41881.56596593558</v>
      </c>
      <c r="J20" s="16" t="n">
        <v>38630.3</v>
      </c>
      <c r="K20" s="14" t="n">
        <v>0.7</v>
      </c>
      <c r="L20" s="14" t="n">
        <v>4.30151</v>
      </c>
      <c r="M20" s="17">
        <f>IF(OR(F20="",K20="",K20&lt;=0),"",F20/K20)</f>
        <v/>
      </c>
      <c r="N20" s="18" t="n">
        <v>2.4479494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2026-10-29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164.4</v>
      </c>
      <c r="G21" s="15" t="inlineStr">
        <is>
          <t>CHF</t>
        </is>
      </c>
      <c r="H21" s="14" t="n">
        <v>178.2364994524974</v>
      </c>
      <c r="I21" s="16" t="n">
        <v>104792.4368745731</v>
      </c>
      <c r="J21" s="16" t="n">
        <v>96657.39999999999</v>
      </c>
      <c r="K21" s="14" t="n">
        <v>5.47</v>
      </c>
      <c r="L21" s="14" t="n">
        <v>7.9357815</v>
      </c>
      <c r="M21" s="17">
        <f>IF(OR(F21="",K21="",K21&lt;=0),"",F21/K21)</f>
        <v/>
      </c>
      <c r="N21" s="18" t="n">
        <v>4.338313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2026-10-29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58.76</v>
      </c>
      <c r="G22" s="15" t="inlineStr">
        <is>
          <t>CHF</t>
        </is>
      </c>
      <c r="H22" s="14" t="n">
        <v>63.70545442718214</v>
      </c>
      <c r="I22" s="16" t="n">
        <v>30795.2340167178</v>
      </c>
      <c r="J22" s="16" t="n">
        <v>28404.6</v>
      </c>
      <c r="K22" s="14" t="n">
        <v>1.05</v>
      </c>
      <c r="L22" s="14" t="n">
        <v>3.6069438</v>
      </c>
      <c r="M22" s="17">
        <f>IF(OR(F22="",K22="",K22&lt;=0),"",F22/K22)</f>
        <v/>
      </c>
      <c r="N22" s="18" t="n">
        <v>1.5957129</v>
      </c>
      <c r="O22" s="19">
        <f>IF(OR(N22="",M22="",M22&lt;=0),"",N22/M22)</f>
        <v/>
      </c>
      <c r="P22" s="20" t="n">
        <v>0.029409999</v>
      </c>
      <c r="Q22" s="20" t="n">
        <v>0.0389901517069396</v>
      </c>
      <c r="R22" s="20" t="n">
        <v>0.01273131028150238</v>
      </c>
      <c r="S22" s="21" t="n">
        <v>4</v>
      </c>
      <c r="T22" s="20" t="n"/>
      <c r="U22" s="20" t="n">
        <v>0.044476717799764</v>
      </c>
      <c r="V22" s="20" t="n">
        <v>0.04723240384169257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2026-10-29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640.8</v>
      </c>
      <c r="G23" s="15" t="inlineStr">
        <is>
          <t>CHF</t>
        </is>
      </c>
      <c r="H23" s="14" t="n">
        <v>694.732048960829</v>
      </c>
      <c r="I23" s="16" t="n">
        <v>48523.04389778505</v>
      </c>
      <c r="J23" s="16" t="n">
        <v>44756.2</v>
      </c>
      <c r="K23" s="14" t="n">
        <v>15.09</v>
      </c>
      <c r="L23" s="14" t="n">
        <v>22.35069</v>
      </c>
      <c r="M23" s="17">
        <f>IF(OR(F23="",K23="",K23&lt;=0),"",F23/K23)</f>
        <v/>
      </c>
      <c r="N23" s="18" t="n">
        <v>5.5064316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2026-10-29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222.12</v>
      </c>
      <c r="G2" s="15" t="inlineStr">
        <is>
          <t>USD</t>
        </is>
      </c>
      <c r="H2" s="14" t="n">
        <v>198.8196137178015</v>
      </c>
      <c r="I2" s="16" t="n">
        <v>63013.87691443989</v>
      </c>
      <c r="J2" s="16" t="n">
        <v>70398.7</v>
      </c>
      <c r="K2" s="14" t="n">
        <v>20.17</v>
      </c>
      <c r="L2" s="14" t="n">
        <v>9.853579999999999</v>
      </c>
      <c r="M2" s="17">
        <f>IF(OR(F2="",K2="",K2&lt;=0),"",F2/K2)</f>
        <v/>
      </c>
      <c r="N2" s="18" t="n">
        <v>3.144572</v>
      </c>
      <c r="O2" s="19">
        <f>IF(OR(N2="",M2="",M2&lt;=0),"",N2/M2)</f>
        <v/>
      </c>
      <c r="P2" s="20" t="n">
        <v>0.44387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76.101</v>
      </c>
      <c r="AB2" s="20" t="n">
        <v>0.013</v>
      </c>
      <c r="AC2" s="20" t="n">
        <v>0.2399978736178623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2026-10-29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214.91</v>
      </c>
      <c r="G3" s="15" t="inlineStr">
        <is>
          <t>USD</t>
        </is>
      </c>
      <c r="H3" s="14" t="n">
        <v>192.3659426620417</v>
      </c>
      <c r="I3" s="16" t="n">
        <v>73026.6446209502</v>
      </c>
      <c r="J3" s="16" t="n">
        <v>81584.89999999999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15.824313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2026-10-29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Valero Energy</t>
        </is>
      </c>
      <c r="C4" s="12" t="inlineStr">
        <is>
          <t>VLO</t>
        </is>
      </c>
      <c r="D4" s="11" t="inlineStr">
        <is>
          <t>Raffinazione</t>
        </is>
      </c>
      <c r="E4" s="13" t="inlineStr">
        <is>
          <t>Energia</t>
        </is>
      </c>
      <c r="F4" s="14" t="n">
        <v>379.435</v>
      </c>
      <c r="G4" s="15" t="inlineStr">
        <is>
          <t>USD</t>
        </is>
      </c>
      <c r="H4" s="14" t="n">
        <v>339.6322714344228</v>
      </c>
      <c r="I4" s="16" t="n">
        <v>94754.30220867717</v>
      </c>
      <c r="J4" s="16" t="n">
        <v>105858.9</v>
      </c>
      <c r="K4" s="14" t="n">
        <v>43.97</v>
      </c>
      <c r="L4" s="14" t="n">
        <v>53.61123</v>
      </c>
      <c r="M4" s="17">
        <f>IF(OR(F4="",K4="",K4&lt;=0),"",F4/K4)</f>
        <v/>
      </c>
      <c r="N4" s="18" t="n">
        <v>4.3715305</v>
      </c>
      <c r="O4" s="19">
        <f>IF(OR(N4="",M4="",M4&lt;=0),"",N4/M4)</f>
        <v/>
      </c>
      <c r="P4" s="20" t="n">
        <v>0.5342851911121793</v>
      </c>
      <c r="Q4" s="20" t="n">
        <v>0.2591503425025153</v>
      </c>
      <c r="R4" s="20" t="n">
        <v>0.1626219038409605</v>
      </c>
      <c r="S4" s="21" t="n">
        <v>4</v>
      </c>
      <c r="T4" s="20" t="n"/>
      <c r="U4" s="20" t="n">
        <v>0.09896733403582719</v>
      </c>
      <c r="V4" s="20" t="n">
        <v>0.1130058746736292</v>
      </c>
      <c r="W4" s="20" t="n">
        <v>0.3353450239125484</v>
      </c>
      <c r="X4" s="20" t="n">
        <v>0.4892831373880565</v>
      </c>
      <c r="Y4" s="14" t="n">
        <v>4.8</v>
      </c>
      <c r="Z4" s="19">
        <f>IF(OR(Y4="",F4="",F4=0),"",Y4/F4)</f>
        <v/>
      </c>
      <c r="AA4" s="22" t="n">
        <v>40.148</v>
      </c>
      <c r="AB4" s="20" t="n">
        <v>0.519</v>
      </c>
      <c r="AC4" s="20" t="n">
        <v>0.1054553488470661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2026-10-29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247.51</v>
      </c>
      <c r="G5" s="15" t="inlineStr">
        <is>
          <t>USD</t>
        </is>
      </c>
      <c r="H5" s="14" t="n">
        <v>221.5462029141592</v>
      </c>
      <c r="I5" s="16" t="n">
        <v>86225.78933499081</v>
      </c>
      <c r="J5" s="16" t="n">
        <v>96330.89999999999</v>
      </c>
      <c r="K5" s="14" t="n">
        <v>17.91</v>
      </c>
      <c r="L5" s="14" t="n">
        <v>27.50756</v>
      </c>
      <c r="M5" s="17">
        <f>IF(OR(F5="",K5="",K5&lt;=0),"",F5/K5)</f>
        <v/>
      </c>
      <c r="N5" s="18" t="n">
        <v>8.226476999999999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2026-10-29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Alphabet</t>
        </is>
      </c>
      <c r="C6" s="12" t="inlineStr">
        <is>
          <t>GOOGL</t>
        </is>
      </c>
      <c r="D6" s="11" t="inlineStr">
        <is>
          <t>Internet / Cloud</t>
        </is>
      </c>
      <c r="E6" s="13" t="inlineStr">
        <is>
          <t>Tecnologia</t>
        </is>
      </c>
      <c r="F6" s="14" t="n">
        <v>282.055</v>
      </c>
      <c r="G6" s="15" t="inlineStr">
        <is>
          <t>USD</t>
        </is>
      </c>
      <c r="H6" s="14" t="n">
        <v>252.4674326813186</v>
      </c>
      <c r="I6" s="16" t="n">
        <v>3087660.366117385</v>
      </c>
      <c r="J6" s="16" t="n">
        <v>3449514.4</v>
      </c>
      <c r="K6" s="14" t="n">
        <v>19.15</v>
      </c>
      <c r="L6" s="14" t="n">
        <v>15.31129</v>
      </c>
      <c r="M6" s="17">
        <f>IF(OR(F6="",K6="",K6&lt;=0),"",F6/K6)</f>
        <v/>
      </c>
      <c r="N6" s="18" t="n">
        <v>8.210490999999999</v>
      </c>
      <c r="O6" s="19">
        <f>IF(OR(N6="",M6="",M6&lt;=0),"",N6/M6)</f>
        <v/>
      </c>
      <c r="P6" s="20" t="n">
        <v>0.48676</v>
      </c>
      <c r="Q6" s="20" t="n">
        <v>0.280199841988681</v>
      </c>
      <c r="R6" s="20" t="n">
        <v>0.03440628523217517</v>
      </c>
      <c r="S6" s="21" t="n">
        <v>4</v>
      </c>
      <c r="T6" s="20" t="n"/>
      <c r="U6" s="20" t="n">
        <v>0.3182786895115167</v>
      </c>
      <c r="V6" s="20" t="n">
        <v>0.3079757847202569</v>
      </c>
      <c r="W6" s="20" t="n">
        <v>0.2604109690555758</v>
      </c>
      <c r="X6" s="20" t="n">
        <v>0.2341339246673746</v>
      </c>
      <c r="Y6" s="14" t="n">
        <v>0.88</v>
      </c>
      <c r="Z6" s="19">
        <f>IF(OR(Y6="",F6="",F6=0),"",Y6/F6)</f>
        <v/>
      </c>
      <c r="AA6" s="22" t="n">
        <v>18.859</v>
      </c>
      <c r="AB6" s="20" t="n">
        <v>0.242</v>
      </c>
      <c r="AC6" s="20" t="n">
        <v>0.6060009406905044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2026-10-29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EOG Resources</t>
        </is>
      </c>
      <c r="C7" s="12" t="inlineStr">
        <is>
          <t>EOG</t>
        </is>
      </c>
      <c r="D7" s="11" t="inlineStr">
        <is>
          <t>Esplorazione e produzione</t>
        </is>
      </c>
      <c r="E7" s="13" t="inlineStr">
        <is>
          <t>Energia</t>
        </is>
      </c>
      <c r="F7" s="14" t="n">
        <v>161.13</v>
      </c>
      <c r="G7" s="15" t="inlineStr">
        <is>
          <t>USD</t>
        </is>
      </c>
      <c r="H7" s="14" t="n">
        <v>144.2274642461253</v>
      </c>
      <c r="I7" s="16" t="n">
        <v>76819.6309037216</v>
      </c>
      <c r="J7" s="16" t="n">
        <v>85822.39999999999</v>
      </c>
      <c r="K7" s="14" t="n">
        <v>12.85</v>
      </c>
      <c r="L7" s="14" t="n">
        <v>16.20957</v>
      </c>
      <c r="M7" s="17">
        <f>IF(OR(F7="",K7="",K7&lt;=0),"",F7/K7)</f>
        <v/>
      </c>
      <c r="N7" s="18" t="n">
        <v>2.6573322</v>
      </c>
      <c r="O7" s="19">
        <f>IF(OR(N7="",M7="",M7&lt;=0),"",N7/M7)</f>
        <v/>
      </c>
      <c r="P7" s="20" t="n">
        <v>0.22507</v>
      </c>
      <c r="Q7" s="20" t="n">
        <v>0.242138828379117</v>
      </c>
      <c r="R7" s="20" t="n">
        <v>0.05492470394983165</v>
      </c>
      <c r="S7" s="21" t="n">
        <v>4</v>
      </c>
      <c r="T7" s="20" t="n"/>
      <c r="U7" s="20" t="n">
        <v>0.1669292394328428</v>
      </c>
      <c r="V7" s="20" t="n">
        <v>0.2181527034854008</v>
      </c>
      <c r="W7" s="20" t="n">
        <v>0.2703453186187255</v>
      </c>
      <c r="X7" s="20" t="n">
        <v>0.3131280519794988</v>
      </c>
      <c r="Y7" s="14" t="n">
        <v>4.08</v>
      </c>
      <c r="Z7" s="19">
        <f>IF(OR(Y7="",F7="",F7=0),"",Y7/F7)</f>
        <v/>
      </c>
      <c r="AA7" s="22" t="n">
        <v>25.891</v>
      </c>
      <c r="AB7" s="20" t="n">
        <v>0.587</v>
      </c>
      <c r="AC7" s="20" t="n">
        <v>0.3044903133469135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2026-10-29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422.19</v>
      </c>
      <c r="G8" s="15" t="inlineStr">
        <is>
          <t>USD</t>
        </is>
      </c>
      <c r="H8" s="14" t="n">
        <v>377.9022722650756</v>
      </c>
      <c r="I8" s="16" t="n">
        <v>110323.492723195</v>
      </c>
      <c r="J8" s="16" t="n">
        <v>123252.7</v>
      </c>
      <c r="K8" s="14" t="n">
        <v>28.88</v>
      </c>
      <c r="L8" s="14" t="n">
        <v>60.30776</v>
      </c>
      <c r="M8" s="17">
        <f>IF(OR(F8="",K8="",K8&lt;=0),"",F8/K8)</f>
        <v/>
      </c>
      <c r="N8" s="18" t="n">
        <v>6.263017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2026-10-29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Phillips 66</t>
        </is>
      </c>
      <c r="C9" s="12" t="inlineStr">
        <is>
          <t>PSX</t>
        </is>
      </c>
      <c r="D9" s="11" t="inlineStr">
        <is>
          <t>Raffinazione</t>
        </is>
      </c>
      <c r="E9" s="13" t="inlineStr">
        <is>
          <t>Energia</t>
        </is>
      </c>
      <c r="F9" s="14" t="n">
        <v>269.7</v>
      </c>
      <c r="G9" s="15" t="inlineStr">
        <is>
          <t>USD</t>
        </is>
      </c>
      <c r="H9" s="14" t="n">
        <v>241.4084720857692</v>
      </c>
      <c r="I9" s="16" t="n">
        <v>94166.75856360079</v>
      </c>
      <c r="J9" s="16" t="n">
        <v>105202.5</v>
      </c>
      <c r="K9" s="14" t="n">
        <v>31.18</v>
      </c>
      <c r="L9" s="14" t="n">
        <v>30.35216</v>
      </c>
      <c r="M9" s="17">
        <f>IF(OR(F9="",K9="",K9&lt;=0),"",F9/K9)</f>
        <v/>
      </c>
      <c r="N9" s="18" t="n">
        <v>3.7186666</v>
      </c>
      <c r="O9" s="19">
        <f>IF(OR(N9="",M9="",M9&lt;=0),"",N9/M9)</f>
        <v/>
      </c>
      <c r="P9" s="20" t="n">
        <v>0.4444619165991884</v>
      </c>
      <c r="Q9" s="20" t="n">
        <v>0.2079323006455208</v>
      </c>
      <c r="R9" s="20" t="n">
        <v>0.1098238706639464</v>
      </c>
      <c r="S9" s="21" t="n">
        <v>4</v>
      </c>
      <c r="T9" s="20" t="n"/>
      <c r="U9" s="20" t="n">
        <v>0.151342247275977</v>
      </c>
      <c r="V9" s="20" t="n">
        <v>0.07724022183304145</v>
      </c>
      <c r="W9" s="20" t="n">
        <v>0.2293757970114116</v>
      </c>
      <c r="X9" s="20" t="n">
        <v>0.3737709364616532</v>
      </c>
      <c r="Y9" s="14" t="n">
        <v>5.32</v>
      </c>
      <c r="Z9" s="19">
        <f>IF(OR(Y9="",F9="",F9=0),"",Y9/F9)</f>
        <v/>
      </c>
      <c r="AA9" s="22" t="n">
        <v>62.884</v>
      </c>
      <c r="AB9" s="20" t="n">
        <v>0.492</v>
      </c>
      <c r="AC9" s="20" t="n">
        <v>0.09498700767510727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2026-10-29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Zoetis</t>
        </is>
      </c>
      <c r="C10" s="12" t="inlineStr">
        <is>
          <t>ZTS</t>
        </is>
      </c>
      <c r="D10" s="11" t="inlineStr">
        <is>
          <t>Salute animale</t>
        </is>
      </c>
      <c r="E10" s="13" t="inlineStr">
        <is>
          <t>Salute</t>
        </is>
      </c>
      <c r="F10" s="14" t="n">
        <v>78.325</v>
      </c>
      <c r="G10" s="15" t="inlineStr">
        <is>
          <t>USD</t>
        </is>
      </c>
      <c r="H10" s="14" t="n">
        <v>70.10870810573924</v>
      </c>
      <c r="I10" s="16" t="n">
        <v>28970.53832030545</v>
      </c>
      <c r="J10" s="16" t="n">
        <v>32365.7</v>
      </c>
      <c r="K10" s="14" t="n">
        <v>6.08</v>
      </c>
      <c r="L10" s="14" t="n">
        <v>6.43879</v>
      </c>
      <c r="M10" s="17">
        <f>IF(OR(F10="",K10="",K10&lt;=0),"",F10/K10)</f>
        <v/>
      </c>
      <c r="N10" s="18" t="n">
        <v>10.304565</v>
      </c>
      <c r="O10" s="19">
        <f>IF(OR(N10="",M10="",M10&lt;=0),"",N10/M10)</f>
        <v/>
      </c>
      <c r="P10" s="20" t="n">
        <v>0.64911</v>
      </c>
      <c r="Q10" s="20" t="n">
        <v>0.5681565925915136</v>
      </c>
      <c r="R10" s="20" t="n">
        <v>0.1366654174339068</v>
      </c>
      <c r="S10" s="21" t="n">
        <v>4</v>
      </c>
      <c r="T10" s="20" t="n"/>
      <c r="U10" s="20" t="n">
        <v>0.8024617232062444</v>
      </c>
      <c r="V10" s="20" t="n">
        <v>0.5211740041928721</v>
      </c>
      <c r="W10" s="20" t="n">
        <v>0.4690814488693216</v>
      </c>
      <c r="X10" s="20" t="n">
        <v>0.4799091940976163</v>
      </c>
      <c r="Y10" s="14" t="n">
        <v>2.12</v>
      </c>
      <c r="Z10" s="19">
        <f>IF(OR(Y10="",F10="",F10=0),"",Y10/F10)</f>
        <v/>
      </c>
      <c r="AA10" s="22" t="n">
        <v>293.996</v>
      </c>
      <c r="AB10" s="20" t="n">
        <v>-0.002</v>
      </c>
      <c r="AC10" s="20" t="n">
        <v>0.2785465232914334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2026-10-29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American Express</t>
        </is>
      </c>
      <c r="C11" s="12" t="inlineStr">
        <is>
          <t>AXP</t>
        </is>
      </c>
      <c r="D11" s="11" t="inlineStr">
        <is>
          <t>Pagamenti / Credito</t>
        </is>
      </c>
      <c r="E11" s="13" t="inlineStr">
        <is>
          <t>Finanziario</t>
        </is>
      </c>
      <c r="F11" s="14" t="n">
        <v>323.945</v>
      </c>
      <c r="G11" s="15" t="inlineStr">
        <is>
          <t>USD</t>
        </is>
      </c>
      <c r="H11" s="14" t="n">
        <v>289.9631720052818</v>
      </c>
      <c r="I11" s="16" t="n">
        <v>194435.413879922</v>
      </c>
      <c r="J11" s="16" t="n">
        <v>217222</v>
      </c>
      <c r="K11" s="14" t="n">
        <v>17.75</v>
      </c>
      <c r="L11" s="14" t="n">
        <v>20.20149</v>
      </c>
      <c r="M11" s="17">
        <f>IF(OR(F11="",K11="",K11&lt;=0),"",F11/K11)</f>
        <v/>
      </c>
      <c r="N11" s="18" t="n">
        <v>6.0721855</v>
      </c>
      <c r="O11" s="19">
        <f>IF(OR(N11="",M11="",M11&lt;=0),"",N11/M11)</f>
        <v/>
      </c>
      <c r="P11" s="20" t="n">
        <v>0.35933998</v>
      </c>
      <c r="Q11" s="20" t="n">
        <v>0.3152128333482085</v>
      </c>
      <c r="R11" s="20" t="n">
        <v>0.01461690524528727</v>
      </c>
      <c r="S11" s="21" t="n">
        <v>4</v>
      </c>
      <c r="T11" s="20" t="n"/>
      <c r="U11" s="20" t="n">
        <v>0.3236243054310808</v>
      </c>
      <c r="V11" s="20" t="n">
        <v>0.3346880782447793</v>
      </c>
      <c r="W11" s="20" t="n">
        <v>0.2984638414655879</v>
      </c>
      <c r="X11" s="20" t="n">
        <v>0.304075108251386</v>
      </c>
      <c r="Y11" s="14" t="n">
        <v>3.8</v>
      </c>
      <c r="Z11" s="19">
        <f>IF(OR(Y11="",F11="",F11=0),"",Y11/F11)</f>
        <v/>
      </c>
      <c r="AA11" s="22" t="n">
        <v>167.573</v>
      </c>
      <c r="AB11" s="20" t="n">
        <v>0.113</v>
      </c>
      <c r="AC11" s="20" t="n">
        <v>0.1674096671189257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2026-10-29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PepsiCo</t>
        </is>
      </c>
      <c r="C12" s="12" t="inlineStr">
        <is>
          <t>PEP</t>
        </is>
      </c>
      <c r="D12" s="11" t="inlineStr">
        <is>
          <t>Bevande e snack</t>
        </is>
      </c>
      <c r="E12" s="13" t="inlineStr">
        <is>
          <t>Consumi</t>
        </is>
      </c>
      <c r="F12" s="14" t="n">
        <v>133.31</v>
      </c>
      <c r="G12" s="15" t="inlineStr">
        <is>
          <t>USD</t>
        </is>
      </c>
      <c r="H12" s="14" t="n">
        <v>119.3257820309748</v>
      </c>
      <c r="I12" s="16" t="n">
        <v>162610.1331049516</v>
      </c>
      <c r="J12" s="16" t="n">
        <v>181667</v>
      </c>
      <c r="K12" s="14" t="n">
        <v>7.95</v>
      </c>
      <c r="L12" s="14" t="n">
        <v>8.638809999999999</v>
      </c>
      <c r="M12" s="17">
        <f>IF(OR(F12="",K12="",K12&lt;=0),"",F12/K12)</f>
        <v/>
      </c>
      <c r="N12" s="18" t="n">
        <v>8.157009</v>
      </c>
      <c r="O12" s="19">
        <f>IF(OR(N12="",M12="",M12&lt;=0),"",N12/M12)</f>
        <v/>
      </c>
      <c r="P12" s="20" t="n">
        <v>0.5218699999999999</v>
      </c>
      <c r="Q12" s="20" t="n">
        <v>0.486168855450935</v>
      </c>
      <c r="R12" s="20" t="n">
        <v>0.04979556056471136</v>
      </c>
      <c r="S12" s="21" t="n">
        <v>4</v>
      </c>
      <c r="T12" s="20" t="n"/>
      <c r="U12" s="20" t="n">
        <v>0.4038028030971283</v>
      </c>
      <c r="V12" s="20" t="n">
        <v>0.5309018347098277</v>
      </c>
      <c r="W12" s="20" t="n">
        <v>0.490406961033346</v>
      </c>
      <c r="X12" s="20" t="n">
        <v>0.5195638229634381</v>
      </c>
      <c r="Y12" s="14" t="n">
        <v>5.92</v>
      </c>
      <c r="Z12" s="19">
        <f>IF(OR(Y12="",F12="",F12=0),"",Y12/F12)</f>
        <v/>
      </c>
      <c r="AA12" s="22" t="n">
        <v>230.716</v>
      </c>
      <c r="AB12" s="20" t="n">
        <v>0.056</v>
      </c>
      <c r="AC12" s="20" t="n">
        <v>0.1160074527548576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2026-10-29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Target</t>
        </is>
      </c>
      <c r="C13" s="12" t="inlineStr">
        <is>
          <t>TGT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150.765</v>
      </c>
      <c r="G13" s="15" t="inlineStr">
        <is>
          <t>USD</t>
        </is>
      </c>
      <c r="H13" s="14" t="n">
        <v>134.9497526659659</v>
      </c>
      <c r="I13" s="16" t="n">
        <v>61306.56315968871</v>
      </c>
      <c r="J13" s="16" t="n">
        <v>68491.3</v>
      </c>
      <c r="K13" s="14" t="n">
        <v>9.630000000000001</v>
      </c>
      <c r="L13" s="14" t="n">
        <v>9.545249999999999</v>
      </c>
      <c r="M13" s="17">
        <f>IF(OR(F13="",K13="",K13&lt;=0),"",F13/K13)</f>
        <v/>
      </c>
      <c r="N13" s="18" t="n">
        <v>3.838506</v>
      </c>
      <c r="O13" s="19">
        <f>IF(OR(N13="",M13="",M13&lt;=0),"",N13/M13)</f>
        <v/>
      </c>
      <c r="P13" s="20" t="n">
        <v>0.26408002</v>
      </c>
      <c r="Q13" s="20" t="n">
        <v>0.265930196598988</v>
      </c>
      <c r="R13" s="20" t="n">
        <v>0.03014032785235156</v>
      </c>
      <c r="S13" s="21" t="n">
        <v>4</v>
      </c>
      <c r="T13" s="20" t="n">
        <v>0.2291988864831426</v>
      </c>
      <c r="U13" s="20" t="n">
        <v>0.278944497477158</v>
      </c>
      <c r="V13" s="20" t="n">
        <v>0.3080702799285289</v>
      </c>
      <c r="W13" s="20" t="n">
        <v>0.2475071225071225</v>
      </c>
      <c r="X13" s="20" t="n"/>
      <c r="Y13" s="14" t="n">
        <v>4.64</v>
      </c>
      <c r="Z13" s="19">
        <f>IF(OR(Y13="",F13="",F13=0),"",Y13/F13)</f>
        <v/>
      </c>
      <c r="AA13" s="22" t="n">
        <v>107.583</v>
      </c>
      <c r="AB13" s="20" t="n">
        <v>0.053</v>
      </c>
      <c r="AC13" s="20" t="n">
        <v>0.04191639625882802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2026-10-29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PayPal</t>
        </is>
      </c>
      <c r="C14" s="12" t="inlineStr">
        <is>
          <t>PYPL</t>
        </is>
      </c>
      <c r="D14" s="11" t="inlineStr">
        <is>
          <t>Pagamenti</t>
        </is>
      </c>
      <c r="E14" s="13" t="inlineStr">
        <is>
          <t>Finanziario</t>
        </is>
      </c>
      <c r="F14" s="14" t="n">
        <v>57.2</v>
      </c>
      <c r="G14" s="15" t="inlineStr">
        <is>
          <t>USD</t>
        </is>
      </c>
      <c r="H14" s="14" t="n">
        <v>51.19972044236559</v>
      </c>
      <c r="I14" s="16" t="n">
        <v>42529.51323745499</v>
      </c>
      <c r="J14" s="16" t="n">
        <v>47513.7</v>
      </c>
      <c r="K14" s="14" t="n">
        <v>5.24</v>
      </c>
      <c r="L14" s="14" t="n">
        <v>5.87615</v>
      </c>
      <c r="M14" s="17">
        <f>IF(OR(F14="",K14="",K14&lt;=0),"",F14/K14)</f>
        <v/>
      </c>
      <c r="N14" s="18" t="n">
        <v>2.4573612</v>
      </c>
      <c r="O14" s="19">
        <f>IF(OR(N14="",M14="",M14&lt;=0),"",N14/M14)</f>
        <v/>
      </c>
      <c r="P14" s="20" t="n">
        <v>0.23825</v>
      </c>
      <c r="Q14" s="20" t="n">
        <v>0.1956185673090926</v>
      </c>
      <c r="R14" s="20" t="n">
        <v>0.04962294251893289</v>
      </c>
      <c r="S14" s="21" t="n">
        <v>4</v>
      </c>
      <c r="T14" s="20" t="n"/>
      <c r="U14" s="20" t="n">
        <v>0.2583432069510269</v>
      </c>
      <c r="V14" s="20" t="n">
        <v>0.2031150511828378</v>
      </c>
      <c r="W14" s="20" t="n">
        <v>0.2017006317989644</v>
      </c>
      <c r="X14" s="20" t="n">
        <v>0.1193153793035415</v>
      </c>
      <c r="Y14" s="14" t="n">
        <v>0.5600000000000001</v>
      </c>
      <c r="Z14" s="19">
        <f>IF(OR(Y14="",F14="",F14=0),"",Y14/F14)</f>
        <v/>
      </c>
      <c r="AA14" s="22" t="n">
        <v>73.146</v>
      </c>
      <c r="AB14" s="20" t="n">
        <v>0.02</v>
      </c>
      <c r="AC14" s="20" t="n">
        <v>0.1424997004702761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2026-10-29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Netflix</t>
        </is>
      </c>
      <c r="C15" s="12" t="inlineStr">
        <is>
          <t>NFLX</t>
        </is>
      </c>
      <c r="D15" s="11" t="inlineStr">
        <is>
          <t>Streaming</t>
        </is>
      </c>
      <c r="E15" s="13" t="inlineStr">
        <is>
          <t>Consumi</t>
        </is>
      </c>
      <c r="F15" s="14" t="n">
        <v>61.895</v>
      </c>
      <c r="G15" s="15" t="inlineStr">
        <is>
          <t>USD</t>
        </is>
      </c>
      <c r="H15" s="14" t="n">
        <v>55.40221497867514</v>
      </c>
      <c r="I15" s="16" t="n">
        <v>230691.439693174</v>
      </c>
      <c r="J15" s="16" t="n">
        <v>257727</v>
      </c>
      <c r="K15" s="14" t="n">
        <v>3.46</v>
      </c>
      <c r="L15" s="14" t="n">
        <v>3.77134</v>
      </c>
      <c r="M15" s="17">
        <f>IF(OR(F15="",K15="",K15&lt;=0),"",F15/K15)</f>
        <v/>
      </c>
      <c r="N15" s="18" t="n">
        <v>8.678492</v>
      </c>
      <c r="O15" s="19">
        <f>IF(OR(N15="",M15="",M15&lt;=0),"",N15/M15)</f>
        <v/>
      </c>
      <c r="P15" s="20" t="n">
        <v>0.53463</v>
      </c>
      <c r="Q15" s="20" t="n">
        <v>0.3108822652973959</v>
      </c>
      <c r="R15" s="20" t="n">
        <v>0.07637252776064919</v>
      </c>
      <c r="S15" s="21" t="n">
        <v>4</v>
      </c>
      <c r="T15" s="20" t="n"/>
      <c r="U15" s="20" t="n">
        <v>0.4125868742290204</v>
      </c>
      <c r="V15" s="20" t="n">
        <v>0.3520766023750739</v>
      </c>
      <c r="W15" s="20" t="n">
        <v>0.262672808597771</v>
      </c>
      <c r="X15" s="20" t="n">
        <v>0.2161927759877186</v>
      </c>
      <c r="Y15" s="14" t="n"/>
      <c r="Z15" s="19">
        <f>IF(OR(Y15="",F15="",F15=0),"",Y15/F15)</f>
        <v/>
      </c>
      <c r="AA15" s="22" t="n">
        <v>59.857</v>
      </c>
      <c r="AB15" s="20" t="n">
        <v>0.118</v>
      </c>
      <c r="AC15" s="20" t="n">
        <v>0.3268185307423786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2026-10-29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Microsoft</t>
        </is>
      </c>
      <c r="C16" s="12" t="inlineStr">
        <is>
          <t>MSFT</t>
        </is>
      </c>
      <c r="D16" s="11" t="inlineStr">
        <is>
          <t>Software / Cloud</t>
        </is>
      </c>
      <c r="E16" s="13" t="inlineStr">
        <is>
          <t>Tecnologia</t>
        </is>
      </c>
      <c r="F16" s="14" t="n">
        <v>529.17</v>
      </c>
      <c r="G16" s="15" t="inlineStr">
        <is>
          <t>USD</t>
        </is>
      </c>
      <c r="H16" s="14" t="n">
        <v>473.660071092423</v>
      </c>
      <c r="I16" s="16" t="n">
        <v>3517184.487988474</v>
      </c>
      <c r="J16" s="16" t="n">
        <v>3929376</v>
      </c>
      <c r="K16" s="14" t="n">
        <v>17.95</v>
      </c>
      <c r="L16" s="14" t="n">
        <v>23.68972</v>
      </c>
      <c r="M16" s="17">
        <f>IF(OR(F16="",K16="",K16&lt;=0),"",F16/K16)</f>
        <v/>
      </c>
      <c r="N16" s="18" t="n">
        <v>8.883908</v>
      </c>
      <c r="O16" s="19">
        <f>IF(OR(N16="",M16="",M16&lt;=0),"",N16/M16)</f>
        <v/>
      </c>
      <c r="P16" s="20" t="n">
        <v>0.34039003</v>
      </c>
      <c r="Q16" s="20" t="n">
        <v>0.3194939082909419</v>
      </c>
      <c r="R16" s="20" t="n">
        <v>0.0217208688577156</v>
      </c>
      <c r="S16" s="21" t="n">
        <v>4</v>
      </c>
      <c r="T16" s="20" t="n">
        <v>0.30233483352811</v>
      </c>
      <c r="U16" s="20" t="n">
        <v>0.2964722734140952</v>
      </c>
      <c r="V16" s="20" t="n">
        <v>0.3282813797829982</v>
      </c>
      <c r="W16" s="20" t="n">
        <v>0.3508871464385641</v>
      </c>
      <c r="X16" s="20" t="n"/>
      <c r="Y16" s="14" t="n">
        <v>3.92</v>
      </c>
      <c r="Z16" s="19">
        <f>IF(OR(Y16="",F16="",F16=0),"",Y16/F16)</f>
        <v/>
      </c>
      <c r="AA16" s="22" t="n">
        <v>29.118</v>
      </c>
      <c r="AB16" s="20" t="n">
        <v>0.177</v>
      </c>
      <c r="AC16" s="20" t="n">
        <v>0.403053884998448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2026-10-29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United Rentals</t>
        </is>
      </c>
      <c r="C17" s="12" t="inlineStr">
        <is>
          <t>URI</t>
        </is>
      </c>
      <c r="D17" s="11" t="inlineStr">
        <is>
          <t>Noleggio attrezzature</t>
        </is>
      </c>
      <c r="E17" s="13" t="inlineStr">
        <is>
          <t>Industriale</t>
        </is>
      </c>
      <c r="F17" s="14" t="n">
        <v>1194.01</v>
      </c>
      <c r="G17" s="15" t="inlineStr">
        <is>
          <t>USD</t>
        </is>
      </c>
      <c r="H17" s="14" t="n">
        <v>1068.758360234072</v>
      </c>
      <c r="I17" s="16" t="n">
        <v>66173.84847174205</v>
      </c>
      <c r="J17" s="16" t="n">
        <v>73929</v>
      </c>
      <c r="K17" s="14" t="n">
        <v>41.59</v>
      </c>
      <c r="L17" s="14" t="n">
        <v>57.31793</v>
      </c>
      <c r="M17" s="17">
        <f>IF(OR(F17="",K17="",K17&lt;=0),"",F17/K17)</f>
        <v/>
      </c>
      <c r="N17" s="18" t="n">
        <v>8.069380000000001</v>
      </c>
      <c r="O17" s="19">
        <f>IF(OR(N17="",M17="",M17&lt;=0),"",N17/M17)</f>
        <v/>
      </c>
      <c r="P17" s="20" t="n">
        <v>0.30563998</v>
      </c>
      <c r="Q17" s="20" t="n">
        <v>0.2932459241968061</v>
      </c>
      <c r="R17" s="20" t="n">
        <v>0.008747380113543703</v>
      </c>
      <c r="S17" s="21" t="n">
        <v>4</v>
      </c>
      <c r="T17" s="20" t="n"/>
      <c r="U17" s="20" t="n">
        <v>0.278099910793934</v>
      </c>
      <c r="V17" s="20" t="n">
        <v>0.298654604500116</v>
      </c>
      <c r="W17" s="20" t="n">
        <v>0.2981549815498155</v>
      </c>
      <c r="X17" s="20" t="n">
        <v>0.2980741999433588</v>
      </c>
      <c r="Y17" s="14" t="n">
        <v>7.88</v>
      </c>
      <c r="Z17" s="19">
        <f>IF(OR(Y17="",F17="",F17=0),"",Y17/F17)</f>
        <v/>
      </c>
      <c r="AA17" s="22" t="n">
        <v>163.662</v>
      </c>
      <c r="AB17" s="20" t="n">
        <v>0.157</v>
      </c>
      <c r="AC17" s="20" t="n">
        <v>0.1774644348096155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2026-10-29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Lam Research</t>
        </is>
      </c>
      <c r="C18" s="12" t="inlineStr">
        <is>
          <t>LRCX</t>
        </is>
      </c>
      <c r="D18" s="11" t="inlineStr">
        <is>
          <t>Apparecchiature semicond.</t>
        </is>
      </c>
      <c r="E18" s="13" t="inlineStr">
        <is>
          <t>Tecnologia</t>
        </is>
      </c>
      <c r="F18" s="14" t="n">
        <v>254.31</v>
      </c>
      <c r="G18" s="15" t="inlineStr">
        <is>
          <t>USD</t>
        </is>
      </c>
      <c r="H18" s="14" t="n">
        <v>227.6328829667481</v>
      </c>
      <c r="I18" s="16" t="n">
        <v>284865.3089312363</v>
      </c>
      <c r="J18" s="16" t="n">
        <v>318249.7</v>
      </c>
      <c r="K18" s="14" t="n">
        <v>6.71</v>
      </c>
      <c r="L18" s="14" t="n">
        <v>12.15311</v>
      </c>
      <c r="M18" s="17">
        <f>IF(OR(F18="",K18="",K18&lt;=0),"",F18/K18)</f>
        <v/>
      </c>
      <c r="N18" s="18" t="n">
        <v>22.840849</v>
      </c>
      <c r="O18" s="19">
        <f>IF(OR(N18="",M18="",M18&lt;=0),"",N18/M18)</f>
        <v/>
      </c>
      <c r="P18" s="20" t="n">
        <v>0.7012</v>
      </c>
      <c r="Q18" s="20" t="n">
        <v>0.5309012392377671</v>
      </c>
      <c r="R18" s="20" t="n">
        <v>0.05000376314785111</v>
      </c>
      <c r="S18" s="21" t="n">
        <v>4</v>
      </c>
      <c r="T18" s="20" t="n">
        <v>0.5825869637054072</v>
      </c>
      <c r="U18" s="20" t="n">
        <v>0.5433405001754783</v>
      </c>
      <c r="V18" s="20" t="n">
        <v>0.4482455201468384</v>
      </c>
      <c r="W18" s="20" t="n">
        <v>0.5494319729233443</v>
      </c>
      <c r="X18" s="20" t="n">
        <v>0.7335166506699354</v>
      </c>
      <c r="Y18" s="14" t="n">
        <v>1.32</v>
      </c>
      <c r="Z18" s="19">
        <f>IF(OR(Y18="",F18="",F18=0),"",Y18/F18)</f>
        <v/>
      </c>
      <c r="AA18" s="22" t="n">
        <v>26.857</v>
      </c>
      <c r="AB18" s="20" t="n">
        <v>0.544</v>
      </c>
      <c r="AC18" s="20" t="n">
        <v>0.3637062225682863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2026-10-29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Apple</t>
        </is>
      </c>
      <c r="C19" s="12" t="inlineStr">
        <is>
          <t>AAPL</t>
        </is>
      </c>
      <c r="D19" s="11" t="inlineStr">
        <is>
          <t>Hardware / Consumer tech</t>
        </is>
      </c>
      <c r="E19" s="13" t="inlineStr">
        <is>
          <t>Tecnologia</t>
        </is>
      </c>
      <c r="F19" s="14" t="n">
        <v>349.8</v>
      </c>
      <c r="G19" s="15" t="inlineStr">
        <is>
          <t>USD</t>
        </is>
      </c>
      <c r="H19" s="14" t="n">
        <v>313.1059827052357</v>
      </c>
      <c r="I19" s="16" t="n">
        <v>4569459.850110133</v>
      </c>
      <c r="J19" s="16" t="n">
        <v>5104971.3</v>
      </c>
      <c r="K19" s="14" t="n">
        <v>8.720000000000001</v>
      </c>
      <c r="L19" s="14" t="n">
        <v>9.56245</v>
      </c>
      <c r="M19" s="17">
        <f>IF(OR(F19="",K19="",K19&lt;=0),"",F19/K19)</f>
        <v/>
      </c>
      <c r="N19" s="18" t="n">
        <v>47.526497</v>
      </c>
      <c r="O19" s="19">
        <f>IF(OR(N19="",M19="",M19&lt;=0),"",N19/M19)</f>
        <v/>
      </c>
      <c r="P19" s="20" t="n">
        <v>1.4875101</v>
      </c>
      <c r="Q19" s="20" t="n">
        <v>1.673853434253124</v>
      </c>
      <c r="R19" s="20" t="n">
        <v>0.1767542683955699</v>
      </c>
      <c r="S19" s="21" t="n">
        <v>4</v>
      </c>
      <c r="T19" s="20" t="n"/>
      <c r="U19" s="20" t="n">
        <v>1.519129833317511</v>
      </c>
      <c r="V19" s="20" t="n">
        <v>1.64593503072871</v>
      </c>
      <c r="W19" s="20" t="n">
        <v>1.560760145463908</v>
      </c>
      <c r="X19" s="20" t="n">
        <v>1.969588727502368</v>
      </c>
      <c r="Y19" s="14" t="n">
        <v>1.08</v>
      </c>
      <c r="Z19" s="19">
        <f>IF(OR(Y19="",F19="",F19=0),"",Y19/F19)</f>
        <v/>
      </c>
      <c r="AA19" s="22" t="n">
        <v>78.44499999999999</v>
      </c>
      <c r="AB19" s="20" t="n">
        <v>0.164</v>
      </c>
      <c r="AC19" s="20" t="n">
        <v>0.3098079752787983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2026-10-29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Progressive</t>
        </is>
      </c>
      <c r="C20" s="12" t="inlineStr">
        <is>
          <t>PGR</t>
        </is>
      </c>
      <c r="D20" s="11" t="inlineStr">
        <is>
          <t>Assicurazione</t>
        </is>
      </c>
      <c r="E20" s="13" t="inlineStr">
        <is>
          <t>Finanziario</t>
        </is>
      </c>
      <c r="F20" s="14" t="n">
        <v>229.48</v>
      </c>
      <c r="G20" s="15" t="inlineStr">
        <is>
          <t>USD</t>
        </is>
      </c>
      <c r="H20" s="14" t="n">
        <v>205.4075497747212</v>
      </c>
      <c r="I20" s="16" t="n">
        <v>119033.7108984513</v>
      </c>
      <c r="J20" s="16" t="n">
        <v>132983.7</v>
      </c>
      <c r="K20" s="14" t="n">
        <v>19.85</v>
      </c>
      <c r="L20" s="14" t="n">
        <v>16.29467</v>
      </c>
      <c r="M20" s="17">
        <f>IF(OR(F20="",K20="",K20&lt;=0),"",F20/K20)</f>
        <v/>
      </c>
      <c r="N20" s="18" t="n">
        <v>3.8562882</v>
      </c>
      <c r="O20" s="19">
        <f>IF(OR(N20="",M20="",M20&lt;=0),"",N20/M20)</f>
        <v/>
      </c>
      <c r="P20" s="20" t="n">
        <v>0.33238998</v>
      </c>
      <c r="Q20" s="20" t="n">
        <v>0.2355508402188087</v>
      </c>
      <c r="R20" s="20" t="n">
        <v>0.128500392044818</v>
      </c>
      <c r="S20" s="21" t="n">
        <v>4</v>
      </c>
      <c r="T20" s="20" t="n"/>
      <c r="U20" s="20" t="n">
        <v>0.3729182468753092</v>
      </c>
      <c r="V20" s="20" t="n">
        <v>0.3313664960337619</v>
      </c>
      <c r="W20" s="20" t="n">
        <v>0.1924840952803669</v>
      </c>
      <c r="X20" s="20" t="n">
        <v>0.04543452268579699</v>
      </c>
      <c r="Y20" s="14" t="n">
        <v>0.4</v>
      </c>
      <c r="Z20" s="19">
        <f>IF(OR(Y20="",F20="",F20=0),"",Y20/F20)</f>
        <v/>
      </c>
      <c r="AA20" s="22" t="n">
        <v>24.327</v>
      </c>
      <c r="AB20" s="20" t="n">
        <v>0.03</v>
      </c>
      <c r="AC20" s="20" t="n">
        <v>0.1326152152173169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2026-10-29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Arista Networks</t>
        </is>
      </c>
      <c r="C21" s="12" t="inlineStr">
        <is>
          <t>ANET</t>
        </is>
      </c>
      <c r="D21" s="11" t="inlineStr">
        <is>
          <t>Reti</t>
        </is>
      </c>
      <c r="E21" s="13" t="inlineStr">
        <is>
          <t>Tecnologia</t>
        </is>
      </c>
      <c r="F21" s="14" t="n">
        <v>184.695</v>
      </c>
      <c r="G21" s="15" t="inlineStr">
        <is>
          <t>USD</t>
        </is>
      </c>
      <c r="H21" s="14" t="n">
        <v>165.3204959283691</v>
      </c>
      <c r="I21" s="16" t="n">
        <v>208506.2964914944</v>
      </c>
      <c r="J21" s="16" t="n">
        <v>232941.9</v>
      </c>
      <c r="K21" s="14" t="n">
        <v>3.17</v>
      </c>
      <c r="L21" s="14" t="n">
        <v>5.22238</v>
      </c>
      <c r="M21" s="17">
        <f>IF(OR(F21="",K21="",K21&lt;=0),"",F21/K21)</f>
        <v/>
      </c>
      <c r="N21" s="18" t="n">
        <v>15.741499</v>
      </c>
      <c r="O21" s="19">
        <f>IF(OR(N21="",M21="",M21&lt;=0),"",N21/M21)</f>
        <v/>
      </c>
      <c r="P21" s="20" t="n">
        <v>0.31476</v>
      </c>
      <c r="Q21" s="20" t="n">
        <v>0.283789737682183</v>
      </c>
      <c r="R21" s="20" t="n">
        <v>0.00446577937764146</v>
      </c>
      <c r="S21" s="21" t="n">
        <v>4</v>
      </c>
      <c r="T21" s="20" t="n"/>
      <c r="U21" s="20" t="n">
        <v>0.2838527141182652</v>
      </c>
      <c r="V21" s="20" t="n">
        <v>0.2853583863609077</v>
      </c>
      <c r="W21" s="20" t="n">
        <v>0.2891374069667529</v>
      </c>
      <c r="X21" s="20" t="n">
        <v>0.2768104432828062</v>
      </c>
      <c r="Y21" s="14" t="n"/>
      <c r="Z21" s="19">
        <f>IF(OR(Y21="",F21="",F21=0),"",Y21/F21)</f>
        <v/>
      </c>
      <c r="AA21" s="22" t="n"/>
      <c r="AB21" s="20" t="n">
        <v>0.377</v>
      </c>
      <c r="AC21" s="20" t="n">
        <v>0.4491155672518516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2026-10-29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Caterpillar</t>
        </is>
      </c>
      <c r="C22" s="12" t="inlineStr">
        <is>
          <t>CAT</t>
        </is>
      </c>
      <c r="D22" s="11" t="inlineStr">
        <is>
          <t>Macchine movimento terra</t>
        </is>
      </c>
      <c r="E22" s="13" t="inlineStr">
        <is>
          <t>Industriale</t>
        </is>
      </c>
      <c r="F22" s="14" t="n">
        <v>649.27</v>
      </c>
      <c r="G22" s="15" t="inlineStr">
        <is>
          <t>USD</t>
        </is>
      </c>
      <c r="H22" s="14" t="n">
        <v>581.1615820212361</v>
      </c>
      <c r="I22" s="16" t="n">
        <v>267145.372118136</v>
      </c>
      <c r="J22" s="16" t="n">
        <v>298453.1</v>
      </c>
      <c r="K22" s="14" t="n">
        <v>23.23</v>
      </c>
      <c r="L22" s="14" t="n">
        <v>32.58528</v>
      </c>
      <c r="M22" s="17">
        <f>IF(OR(F22="",K22="",K22&lt;=0),"",F22/K22)</f>
        <v/>
      </c>
      <c r="N22" s="18" t="n">
        <v>15.388098</v>
      </c>
      <c r="O22" s="19">
        <f>IF(OR(N22="",M22="",M22&lt;=0),"",N22/M22)</f>
        <v/>
      </c>
      <c r="P22" s="20" t="n">
        <v>0.56972003</v>
      </c>
      <c r="Q22" s="20" t="n">
        <v>0.4807783755577582</v>
      </c>
      <c r="R22" s="20" t="n">
        <v>0.06174601377681064</v>
      </c>
      <c r="S22" s="21" t="n">
        <v>4</v>
      </c>
      <c r="T22" s="20" t="n"/>
      <c r="U22" s="20" t="n">
        <v>0.4167370297401257</v>
      </c>
      <c r="V22" s="20" t="n">
        <v>0.5536914473346672</v>
      </c>
      <c r="W22" s="20" t="n">
        <v>0.5301631271160357</v>
      </c>
      <c r="X22" s="20" t="n">
        <v>0.4225218980402042</v>
      </c>
      <c r="Y22" s="14" t="n">
        <v>6.52</v>
      </c>
      <c r="Z22" s="19">
        <f>IF(OR(Y22="",F22="",F22=0),"",Y22/F22)</f>
        <v/>
      </c>
      <c r="AA22" s="22" t="n">
        <v>232.783</v>
      </c>
      <c r="AB22" s="20" t="n">
        <v>0.24</v>
      </c>
      <c r="AC22" s="20" t="n">
        <v>0.160440312121795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2026-10-29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Mastercard</t>
        </is>
      </c>
      <c r="C23" s="12" t="inlineStr">
        <is>
          <t>MA</t>
        </is>
      </c>
      <c r="D23" s="11" t="inlineStr">
        <is>
          <t>Pagamenti</t>
        </is>
      </c>
      <c r="E23" s="13" t="inlineStr">
        <is>
          <t>Finanziario</t>
        </is>
      </c>
      <c r="F23" s="14" t="n">
        <v>635.95</v>
      </c>
      <c r="G23" s="15" t="inlineStr">
        <is>
          <t>USD</t>
        </is>
      </c>
      <c r="H23" s="14" t="n">
        <v>569.2388499182237</v>
      </c>
      <c r="I23" s="16" t="n">
        <v>498658.8716584126</v>
      </c>
      <c r="J23" s="16" t="n">
        <v>557098.5</v>
      </c>
      <c r="K23" s="14" t="n">
        <v>18.18</v>
      </c>
      <c r="L23" s="14" t="n">
        <v>23.07045</v>
      </c>
      <c r="M23" s="17">
        <f>IF(OR(F23="",K23="",K23&lt;=0),"",F23/K23)</f>
        <v/>
      </c>
      <c r="N23" s="18" t="n">
        <v>99.42934</v>
      </c>
      <c r="O23" s="19">
        <f>IF(OR(N23="",M23="",M23&lt;=0),"",N23/M23)</f>
        <v/>
      </c>
      <c r="P23" s="20" t="n">
        <v>2.41202</v>
      </c>
      <c r="Q23" s="20" t="n">
        <v>1.778040213012595</v>
      </c>
      <c r="R23" s="20" t="n">
        <v>0.1832547811414374</v>
      </c>
      <c r="S23" s="21" t="n">
        <v>4</v>
      </c>
      <c r="T23" s="20" t="n"/>
      <c r="U23" s="20" t="n">
        <v>1.934599974150187</v>
      </c>
      <c r="V23" s="20" t="n">
        <v>1.985196607555898</v>
      </c>
      <c r="W23" s="20" t="n">
        <v>1.615673257324289</v>
      </c>
      <c r="X23" s="20" t="n">
        <v>1.576691013020006</v>
      </c>
      <c r="Y23" s="14" t="n">
        <v>3.48</v>
      </c>
      <c r="Z23" s="19">
        <f>IF(OR(Y23="",F23="",F23=0),"",Y23/F23)</f>
        <v/>
      </c>
      <c r="AA23" s="22" t="n">
        <v>439.583</v>
      </c>
      <c r="AB23" s="20" t="n">
        <v>0.141</v>
      </c>
      <c r="AC23" s="20" t="n">
        <v>0.4957762937391357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2026-10-29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Visa</t>
        </is>
      </c>
      <c r="C24" s="12" t="inlineStr">
        <is>
          <t>V</t>
        </is>
      </c>
      <c r="D24" s="11" t="inlineStr">
        <is>
          <t>Pagamenti</t>
        </is>
      </c>
      <c r="E24" s="13" t="inlineStr">
        <is>
          <t>Finanziario</t>
        </is>
      </c>
      <c r="F24" s="14" t="n">
        <v>410.27</v>
      </c>
      <c r="G24" s="15" t="inlineStr">
        <is>
          <t>USD</t>
        </is>
      </c>
      <c r="H24" s="14" t="n">
        <v>367.2326801728904</v>
      </c>
      <c r="I24" s="16" t="n">
        <v>686360.0006301504</v>
      </c>
      <c r="J24" s="16" t="n">
        <v>766797</v>
      </c>
      <c r="K24" s="14" t="n">
        <v>12.32</v>
      </c>
      <c r="L24" s="14" t="n">
        <v>17.13864</v>
      </c>
      <c r="M24" s="17">
        <f>IF(OR(F24="",K24="",K24&lt;=0),"",F24/K24)</f>
        <v/>
      </c>
      <c r="N24" s="18" t="n">
        <v>21.055683</v>
      </c>
      <c r="O24" s="19">
        <f>IF(OR(N24="",M24="",M24&lt;=0),"",N24/M24)</f>
        <v/>
      </c>
      <c r="P24" s="20" t="n">
        <v>0.63507</v>
      </c>
      <c r="Q24" s="20" t="n">
        <v>0.4749707904577081</v>
      </c>
      <c r="R24" s="20" t="n">
        <v>0.0436591756067068</v>
      </c>
      <c r="S24" s="21" t="n">
        <v>4</v>
      </c>
      <c r="T24" s="20" t="n"/>
      <c r="U24" s="20" t="n">
        <v>0.5291091825160252</v>
      </c>
      <c r="V24" s="20" t="n">
        <v>0.504458696374275</v>
      </c>
      <c r="W24" s="20" t="n">
        <v>0.445950481501562</v>
      </c>
      <c r="X24" s="20" t="n">
        <v>0.4203648014389703</v>
      </c>
      <c r="Y24" s="14" t="n">
        <v>2.68</v>
      </c>
      <c r="Z24" s="19">
        <f>IF(OR(Y24="",F24="",F24=0),"",Y24/F24)</f>
        <v/>
      </c>
      <c r="AA24" s="22" t="n">
        <v>61.12</v>
      </c>
      <c r="AB24" s="20" t="n">
        <v>0.132</v>
      </c>
      <c r="AC24" s="20" t="n">
        <v>0.51203996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2026-10-29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KLA Corporation</t>
        </is>
      </c>
      <c r="C25" s="12" t="inlineStr">
        <is>
          <t>KLAC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167.38</v>
      </c>
      <c r="G25" s="15" t="inlineStr">
        <is>
          <t>USD</t>
        </is>
      </c>
      <c r="H25" s="14" t="n">
        <v>149.8218392944607</v>
      </c>
      <c r="I25" s="16" t="n">
        <v>195518.4848892797</v>
      </c>
      <c r="J25" s="16" t="n">
        <v>218432</v>
      </c>
      <c r="K25" s="14" t="n">
        <v>3.99</v>
      </c>
      <c r="L25" s="14" t="n">
        <v>6.96319</v>
      </c>
      <c r="M25" s="17">
        <f>IF(OR(F25="",K25="",K25&lt;=0),"",F25/K25)</f>
        <v/>
      </c>
      <c r="N25" s="18" t="n">
        <v>34.45451</v>
      </c>
      <c r="O25" s="19">
        <f>IF(OR(N25="",M25="",M25&lt;=0),"",N25/M25)</f>
        <v/>
      </c>
      <c r="P25" s="20" t="n">
        <v>0.87496</v>
      </c>
      <c r="Q25" s="20" t="n">
        <v>0.9016067947009443</v>
      </c>
      <c r="R25" s="20" t="n">
        <v>0.1538102798939616</v>
      </c>
      <c r="S25" s="21" t="n">
        <v>4</v>
      </c>
      <c r="T25" s="20" t="n">
        <v>0.7607729037988479</v>
      </c>
      <c r="U25" s="20" t="n">
        <v>0.8655692449130551</v>
      </c>
      <c r="V25" s="20" t="n">
        <v>0.8199605264095421</v>
      </c>
      <c r="W25" s="20" t="n">
        <v>1.160124503682332</v>
      </c>
      <c r="X25" s="20" t="n">
        <v>2.370431819008942</v>
      </c>
      <c r="Y25" s="14" t="n">
        <v>0.92</v>
      </c>
      <c r="Z25" s="19">
        <f>IF(OR(Y25="",F25="",F25=0),"",Y25/F25)</f>
        <v/>
      </c>
      <c r="AA25" s="22" t="n">
        <v>96.88</v>
      </c>
      <c r="AB25" s="20" t="n">
        <v>0.152</v>
      </c>
      <c r="AC25" s="20" t="n">
        <v>0.3557406191520203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2026-10-29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Union Pacific</t>
        </is>
      </c>
      <c r="C26" s="12" t="inlineStr">
        <is>
          <t>UNP</t>
        </is>
      </c>
      <c r="D26" s="11" t="inlineStr">
        <is>
          <t>Ferrovie</t>
        </is>
      </c>
      <c r="E26" s="13" t="inlineStr">
        <is>
          <t>Industriale</t>
        </is>
      </c>
      <c r="F26" s="14" t="n">
        <v>300.1932</v>
      </c>
      <c r="G26" s="15" t="inlineStr">
        <is>
          <t>USD</t>
        </is>
      </c>
      <c r="H26" s="14" t="n">
        <v>268.7029356415933</v>
      </c>
      <c r="I26" s="16" t="n">
        <v>159629.8081192015</v>
      </c>
      <c r="J26" s="16" t="n">
        <v>178337.4</v>
      </c>
      <c r="K26" s="14" t="n">
        <v>12.82</v>
      </c>
      <c r="L26" s="14" t="n">
        <v>14.39239</v>
      </c>
      <c r="M26" s="17">
        <f>IF(OR(F26="",K26="",K26&lt;=0),"",F26/K26)</f>
        <v/>
      </c>
      <c r="N26" s="18" t="n">
        <v>8.101725</v>
      </c>
      <c r="O26" s="19">
        <f>IF(OR(N26="",M26="",M26&lt;=0),"",N26/M26)</f>
        <v/>
      </c>
      <c r="P26" s="20" t="n">
        <v>0.38747</v>
      </c>
      <c r="Q26" s="20" t="n">
        <v>0.4481773006556505</v>
      </c>
      <c r="R26" s="20" t="n">
        <v>0.07521532837259973</v>
      </c>
      <c r="S26" s="21" t="n">
        <v>4</v>
      </c>
      <c r="T26" s="20" t="n"/>
      <c r="U26" s="20" t="n">
        <v>0.3865273190014621</v>
      </c>
      <c r="V26" s="20" t="n">
        <v>0.3994671403197158</v>
      </c>
      <c r="W26" s="20" t="n">
        <v>0.4313632675142007</v>
      </c>
      <c r="X26" s="20" t="n">
        <v>0.5753514757872236</v>
      </c>
      <c r="Y26" s="14" t="n">
        <v>5.68</v>
      </c>
      <c r="Z26" s="19">
        <f>IF(OR(Y26="",F26="",F26=0),"",Y26/F26)</f>
        <v/>
      </c>
      <c r="AA26" s="22" t="n">
        <v>141.303</v>
      </c>
      <c r="AB26" s="20" t="n">
        <v>0.153</v>
      </c>
      <c r="AC26" s="20" t="n">
        <v>0.3108119082823337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2026-10-29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423.59</v>
      </c>
      <c r="G27" s="15" t="inlineStr">
        <is>
          <t>USD</t>
        </is>
      </c>
      <c r="H27" s="14" t="n">
        <v>379.1554122759027</v>
      </c>
      <c r="I27" s="16" t="n">
        <v>300896.7290897478</v>
      </c>
      <c r="J27" s="16" t="n">
        <v>336159.9</v>
      </c>
      <c r="K27" s="14" t="n">
        <v>11.59</v>
      </c>
      <c r="L27" s="14" t="n">
        <v>18.55464</v>
      </c>
      <c r="M27" s="17">
        <f>IF(OR(F27="",K27="",K27&lt;=0),"",F27/K27)</f>
        <v/>
      </c>
      <c r="N27" s="18" t="n">
        <v>13.117896</v>
      </c>
      <c r="O27" s="19">
        <f>IF(OR(N27="",M27="",M27&lt;=0),"",N27/M27)</f>
        <v/>
      </c>
      <c r="P27" s="20" t="n">
        <v>0.41068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>
        <v>2.12</v>
      </c>
      <c r="Z27" s="19">
        <f>IF(OR(Y27="",F27="",F27=0),"",Y27/F27)</f>
        <v/>
      </c>
      <c r="AA27" s="22" t="n">
        <v>28.666</v>
      </c>
      <c r="AB27" s="20" t="n">
        <v>0.248</v>
      </c>
      <c r="AC27" s="20" t="n">
        <v>0.3266709080654258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2026-10-29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1366.8</v>
      </c>
      <c r="G28" s="15" t="inlineStr">
        <is>
          <t>USD</t>
        </is>
      </c>
      <c r="H28" s="14" t="n">
        <v>1223.422690570372</v>
      </c>
      <c r="I28" s="16" t="n">
        <v>1090506.515611976</v>
      </c>
      <c r="J28" s="16" t="n">
        <v>1218306.9</v>
      </c>
      <c r="K28" s="14" t="n">
        <v>29.79</v>
      </c>
      <c r="L28" s="14" t="n">
        <v>47.46411</v>
      </c>
      <c r="M28" s="17">
        <f>IF(OR(F28="",K28="",K28&lt;=0),"",F28/K28)</f>
        <v/>
      </c>
      <c r="N28" s="18" t="n">
        <v>35.96653</v>
      </c>
      <c r="O28" s="19">
        <f>IF(OR(N28="",M28="",M28&lt;=0),"",N28/M28)</f>
        <v/>
      </c>
      <c r="P28" s="20" t="n">
        <v>1.02286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>
        <v>6.92</v>
      </c>
      <c r="Z28" s="19">
        <f>IF(OR(Y28="",F28="",F28=0),"",Y28/F28)</f>
        <v/>
      </c>
      <c r="AA28" s="22" t="n">
        <v>162.071</v>
      </c>
      <c r="AB28" s="20" t="n">
        <v>0.477</v>
      </c>
      <c r="AC28" s="20" t="n">
        <v>0.4098098933705641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2026-10-29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Booking Holdings</t>
        </is>
      </c>
      <c r="C29" s="12" t="inlineStr">
        <is>
          <t>BKNG</t>
        </is>
      </c>
      <c r="D29" s="11" t="inlineStr">
        <is>
          <t>Viaggi</t>
        </is>
      </c>
      <c r="E29" s="13" t="inlineStr">
        <is>
          <t>Consumi</t>
        </is>
      </c>
      <c r="F29" s="14" t="n">
        <v>148.92</v>
      </c>
      <c r="G29" s="15" t="inlineStr">
        <is>
          <t>USD</t>
        </is>
      </c>
      <c r="H29" s="14" t="n">
        <v>133.2982931516972</v>
      </c>
      <c r="I29" s="16" t="n">
        <v>103289.9758824254</v>
      </c>
      <c r="J29" s="16" t="n">
        <v>115394.9</v>
      </c>
      <c r="K29" s="14" t="n">
        <v>9.02</v>
      </c>
      <c r="L29" s="14" t="n">
        <v>12.37401</v>
      </c>
      <c r="M29" s="17">
        <f>IF(OR(F29="",K29="",K29&lt;=0),"",F29/K29)</f>
        <v/>
      </c>
      <c r="N29" s="18" t="n">
        <v>-10.468157</v>
      </c>
      <c r="O29" s="19">
        <f>IF(OR(N29="",M29="",M29&lt;=0),"",N29/M29)</f>
        <v/>
      </c>
      <c r="P29" s="20" t="n">
        <v>1.09920920201294</v>
      </c>
      <c r="Q29" s="20" t="n">
        <v>1.09920920201294</v>
      </c>
      <c r="R29" s="20" t="n"/>
      <c r="S29" s="21" t="n">
        <v>1</v>
      </c>
      <c r="T29" s="20" t="n"/>
      <c r="U29" s="20" t="n"/>
      <c r="V29" s="20" t="n"/>
      <c r="W29" s="20" t="n"/>
      <c r="X29" s="20" t="n">
        <v>1.09920920201294</v>
      </c>
      <c r="Y29" s="14" t="n">
        <v>1.68</v>
      </c>
      <c r="Z29" s="19">
        <f>IF(OR(Y29="",F29="",F29=0),"",Y29/F29)</f>
        <v/>
      </c>
      <c r="AA29" s="22" t="n"/>
      <c r="AB29" s="20" t="n">
        <v>0.081</v>
      </c>
      <c r="AC29" s="20" t="n">
        <v>0.2678233063119961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2026-10-29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Travelers</t>
        </is>
      </c>
      <c r="C30" s="12" t="inlineStr">
        <is>
          <t>TRV</t>
        </is>
      </c>
      <c r="D30" s="11" t="inlineStr">
        <is>
          <t>Assicurazione</t>
        </is>
      </c>
      <c r="E30" s="13" t="inlineStr">
        <is>
          <t>Finanziario</t>
        </is>
      </c>
      <c r="F30" s="14" t="n">
        <v>398.13</v>
      </c>
      <c r="G30" s="15" t="inlineStr">
        <is>
          <t>USD</t>
        </is>
      </c>
      <c r="H30" s="14" t="n">
        <v>356.3661660790037</v>
      </c>
      <c r="I30" s="16" t="n">
        <v>73019.39431088757</v>
      </c>
      <c r="J30" s="16" t="n">
        <v>81576.8</v>
      </c>
      <c r="K30" s="14" t="n">
        <v>38.03</v>
      </c>
      <c r="L30" s="14" t="n">
        <v>31.11071</v>
      </c>
      <c r="M30" s="17">
        <f>IF(OR(F30="",K30="",K30&lt;=0),"",F30/K30)</f>
        <v/>
      </c>
      <c r="N30" s="18" t="n">
        <v>2.8134806</v>
      </c>
      <c r="O30" s="19">
        <f>IF(OR(N30="",M30="",M30&lt;=0),"",N30/M30)</f>
        <v/>
      </c>
      <c r="P30" s="20" t="n">
        <v>0.27497</v>
      </c>
      <c r="Q30" s="20" t="n">
        <v>0.1556010112383756</v>
      </c>
      <c r="R30" s="20" t="n">
        <v>0.03026061633724604</v>
      </c>
      <c r="S30" s="21" t="n">
        <v>4</v>
      </c>
      <c r="T30" s="20" t="n"/>
      <c r="U30" s="20" t="n">
        <v>0.1911594819723962</v>
      </c>
      <c r="V30" s="20" t="n">
        <v>0.1794071202985932</v>
      </c>
      <c r="W30" s="20" t="n">
        <v>0.1200192608643313</v>
      </c>
      <c r="X30" s="20" t="n">
        <v>0.1318181818181818</v>
      </c>
      <c r="Y30" s="14" t="n">
        <v>5</v>
      </c>
      <c r="Z30" s="19">
        <f>IF(OR(Y30="",F30="",F30=0),"",Y30/F30)</f>
        <v/>
      </c>
      <c r="AA30" s="22" t="n">
        <v>33.844</v>
      </c>
      <c r="AB30" s="20" t="n">
        <v>-0.005</v>
      </c>
      <c r="AC30" s="20" t="n">
        <v>0.1694109936921439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2026-10-29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92.455</v>
      </c>
      <c r="G31" s="15" t="inlineStr">
        <is>
          <t>USD</t>
        </is>
      </c>
      <c r="H31" s="14" t="n">
        <v>82.75647121501591</v>
      </c>
      <c r="I31" s="16" t="n">
        <v>356010.2743159288</v>
      </c>
      <c r="J31" s="16" t="n">
        <v>397732.4</v>
      </c>
      <c r="K31" s="14" t="n">
        <v>3.33</v>
      </c>
      <c r="L31" s="14" t="n">
        <v>3.52319</v>
      </c>
      <c r="M31" s="17">
        <f>IF(OR(F31="",K31="",K31&lt;=0),"",F31/K31)</f>
        <v/>
      </c>
      <c r="N31" s="18" t="n">
        <v>11.005238</v>
      </c>
      <c r="O31" s="19">
        <f>IF(OR(N31="",M31="",M31&lt;=0),"",N31/M31)</f>
        <v/>
      </c>
      <c r="P31" s="20" t="n">
        <v>0.40592998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105.277</v>
      </c>
      <c r="AB31" s="20" t="n">
        <v>0.074</v>
      </c>
      <c r="AC31" s="20" t="n">
        <v>0.3051459125174694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2026-10-29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Airbnb</t>
        </is>
      </c>
      <c r="C32" s="12" t="inlineStr">
        <is>
          <t>ABNB</t>
        </is>
      </c>
      <c r="D32" s="11" t="inlineStr">
        <is>
          <t>Viaggi / Piattaforme</t>
        </is>
      </c>
      <c r="E32" s="13" t="inlineStr">
        <is>
          <t>Consumi</t>
        </is>
      </c>
      <c r="F32" s="14" t="n">
        <v>166.825</v>
      </c>
      <c r="G32" s="15" t="inlineStr">
        <is>
          <t>USD</t>
        </is>
      </c>
      <c r="H32" s="14" t="n">
        <v>149.3250587901685</v>
      </c>
      <c r="I32" s="16" t="n">
        <v>89413.68801253426</v>
      </c>
      <c r="J32" s="16" t="n">
        <v>99892.39999999999</v>
      </c>
      <c r="K32" s="14" t="n">
        <v>4.39</v>
      </c>
      <c r="L32" s="14" t="n">
        <v>6.20918</v>
      </c>
      <c r="M32" s="17">
        <f>IF(OR(F32="",K32="",K32&lt;=0),"",F32/K32)</f>
        <v/>
      </c>
      <c r="N32" s="18" t="n">
        <v>12.620092</v>
      </c>
      <c r="O32" s="19">
        <f>IF(OR(N32="",M32="",M32&lt;=0),"",N32/M32)</f>
        <v/>
      </c>
      <c r="P32" s="20" t="n">
        <v>0.34542</v>
      </c>
      <c r="Q32" s="20" t="n">
        <v>0.3871020421928419</v>
      </c>
      <c r="R32" s="20" t="n">
        <v>0.1160358943905926</v>
      </c>
      <c r="S32" s="21" t="n">
        <v>4</v>
      </c>
      <c r="T32" s="20" t="n"/>
      <c r="U32" s="20" t="n">
        <v>0.3062568605927552</v>
      </c>
      <c r="V32" s="20" t="n">
        <v>0.3147883975273419</v>
      </c>
      <c r="W32" s="20" t="n">
        <v>0.5868952847519902</v>
      </c>
      <c r="X32" s="20" t="n">
        <v>0.3404676258992806</v>
      </c>
      <c r="Y32" s="14" t="n"/>
      <c r="Z32" s="19">
        <f>IF(OR(Y32="",F32="",F32=0),"",Y32/F32)</f>
        <v/>
      </c>
      <c r="AA32" s="22" t="n">
        <v>32.004</v>
      </c>
      <c r="AB32" s="20" t="n">
        <v>0.165</v>
      </c>
      <c r="AC32" s="20" t="n">
        <v>0.2198349860305531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2026-10-29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Lockheed Martin</t>
        </is>
      </c>
      <c r="C33" s="12" t="inlineStr">
        <is>
          <t>LMT</t>
        </is>
      </c>
      <c r="D33" s="11" t="inlineStr">
        <is>
          <t>Difesa</t>
        </is>
      </c>
      <c r="E33" s="13" t="inlineStr">
        <is>
          <t>Industriale</t>
        </is>
      </c>
      <c r="F33" s="14" t="n">
        <v>647.83</v>
      </c>
      <c r="G33" s="15" t="inlineStr">
        <is>
          <t>USD</t>
        </is>
      </c>
      <c r="H33" s="14" t="n">
        <v>579.8726380100996</v>
      </c>
      <c r="I33" s="16" t="n">
        <v>133953.237827356</v>
      </c>
      <c r="J33" s="16" t="n">
        <v>149651.7</v>
      </c>
      <c r="K33" s="14" t="n">
        <v>28.16</v>
      </c>
      <c r="L33" s="14" t="n">
        <v>33.27559</v>
      </c>
      <c r="M33" s="17">
        <f>IF(OR(F33="",K33="",K33&lt;=0),"",F33/K33)</f>
        <v/>
      </c>
      <c r="N33" s="18" t="n">
        <v>14.806867</v>
      </c>
      <c r="O33" s="19">
        <f>IF(OR(N33="",M33="",M33&lt;=0),"",N33/M33)</f>
        <v/>
      </c>
      <c r="P33" s="20" t="n">
        <v>0.8018999999999999</v>
      </c>
      <c r="Q33" s="20" t="n">
        <v>0.8050196518940778</v>
      </c>
      <c r="R33" s="20" t="n">
        <v>0.1437100287177017</v>
      </c>
      <c r="S33" s="21" t="n">
        <v>4</v>
      </c>
      <c r="T33" s="20" t="n"/>
      <c r="U33" s="20" t="n">
        <v>0.746466299657789</v>
      </c>
      <c r="V33" s="20" t="n">
        <v>0.8425706616137691</v>
      </c>
      <c r="W33" s="20" t="n">
        <v>1.012435991221653</v>
      </c>
      <c r="X33" s="20" t="n">
        <v>0.6186056550830995</v>
      </c>
      <c r="Y33" s="14" t="n">
        <v>14.4</v>
      </c>
      <c r="Z33" s="19">
        <f>IF(OR(Y33="",F33="",F33=0),"",Y33/F33)</f>
        <v/>
      </c>
      <c r="AA33" s="22" t="n">
        <v>203.697</v>
      </c>
      <c r="AB33" s="20" t="n">
        <v>0.113</v>
      </c>
      <c r="AC33" s="20" t="n">
        <v>0.08678445709412642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2026-10-29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Sherwin-Williams</t>
        </is>
      </c>
      <c r="C34" s="12" t="inlineStr">
        <is>
          <t>SHW</t>
        </is>
      </c>
      <c r="D34" s="11" t="inlineStr">
        <is>
          <t>Vernici</t>
        </is>
      </c>
      <c r="E34" s="13" t="inlineStr">
        <is>
          <t>Materiali</t>
        </is>
      </c>
      <c r="F34" s="14" t="n">
        <v>327.32</v>
      </c>
      <c r="G34" s="15" t="inlineStr">
        <is>
          <t>USD</t>
        </is>
      </c>
      <c r="H34" s="14" t="n">
        <v>292.9841345313829</v>
      </c>
      <c r="I34" s="16" t="n">
        <v>70781.46527155186</v>
      </c>
      <c r="J34" s="16" t="n">
        <v>79076.60000000001</v>
      </c>
      <c r="K34" s="14" t="n">
        <v>10.87</v>
      </c>
      <c r="L34" s="14" t="n">
        <v>13.25235</v>
      </c>
      <c r="M34" s="17">
        <f>IF(OR(F34="",K34="",K34&lt;=0),"",F34/K34)</f>
        <v/>
      </c>
      <c r="N34" s="18" t="n">
        <v>19.768087</v>
      </c>
      <c r="O34" s="19">
        <f>IF(OR(N34="",M34="",M34&lt;=0),"",N34/M34)</f>
        <v/>
      </c>
      <c r="P34" s="20" t="n">
        <v>0.63701</v>
      </c>
      <c r="Q34" s="20" t="n">
        <v>0.628633586608092</v>
      </c>
      <c r="R34" s="20" t="n">
        <v>0.04100468246861673</v>
      </c>
      <c r="S34" s="21" t="n">
        <v>4</v>
      </c>
      <c r="T34" s="20" t="n"/>
      <c r="U34" s="20" t="n">
        <v>0.5585759954765892</v>
      </c>
      <c r="V34" s="20" t="n">
        <v>0.661877962085308</v>
      </c>
      <c r="W34" s="20" t="n">
        <v>0.642876365789332</v>
      </c>
      <c r="X34" s="20" t="n">
        <v>0.6512040230811386</v>
      </c>
      <c r="Y34" s="14" t="n">
        <v>3.2</v>
      </c>
      <c r="Z34" s="19">
        <f>IF(OR(Y34="",F34="",F34=0),"",Y34/F34)</f>
        <v/>
      </c>
      <c r="AA34" s="22" t="n">
        <v>372.16</v>
      </c>
      <c r="AB34" s="20" t="n">
        <v>0.079</v>
      </c>
      <c r="AC34" s="20" t="n">
        <v>0.1135176907055565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2026-10-29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Texas Instruments</t>
        </is>
      </c>
      <c r="C35" s="12" t="inlineStr">
        <is>
          <t>TXN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306.745</v>
      </c>
      <c r="G35" s="15" t="inlineStr">
        <is>
          <t>USD</t>
        </is>
      </c>
      <c r="H35" s="14" t="n">
        <v>274.5674518722628</v>
      </c>
      <c r="I35" s="16" t="n">
        <v>251022.6517588357</v>
      </c>
      <c r="J35" s="16" t="n">
        <v>280440.9</v>
      </c>
      <c r="K35" s="14" t="n">
        <v>7.71</v>
      </c>
      <c r="L35" s="14" t="n">
        <v>11.52254</v>
      </c>
      <c r="M35" s="17">
        <f>IF(OR(F35="",K35="",K35&lt;=0),"",F35/K35)</f>
        <v/>
      </c>
      <c r="N35" s="18" t="n">
        <v>14.613864</v>
      </c>
      <c r="O35" s="19">
        <f>IF(OR(N35="",M35="",M35&lt;=0),"",N35/M35)</f>
        <v/>
      </c>
      <c r="P35" s="20" t="n">
        <v>0.39723998</v>
      </c>
      <c r="Q35" s="20" t="n">
        <v>0.3941751364874861</v>
      </c>
      <c r="R35" s="20" t="n">
        <v>0.124723387337169</v>
      </c>
      <c r="S35" s="21" t="n">
        <v>4</v>
      </c>
      <c r="T35" s="20" t="n"/>
      <c r="U35" s="20" t="n">
        <v>0.3073188717507528</v>
      </c>
      <c r="V35" s="20" t="n">
        <v>0.2839140980890966</v>
      </c>
      <c r="W35" s="20" t="n">
        <v>0.3852754926910102</v>
      </c>
      <c r="X35" s="20" t="n">
        <v>0.6001920834190848</v>
      </c>
      <c r="Y35" s="14" t="n">
        <v>6.08</v>
      </c>
      <c r="Z35" s="19">
        <f>IF(OR(Y35="",F35="",F35=0),"",Y35/F35)</f>
        <v/>
      </c>
      <c r="AA35" s="22" t="n">
        <v>70.654</v>
      </c>
      <c r="AB35" s="20" t="n">
        <v>0.277</v>
      </c>
      <c r="AC35" s="20" t="n">
        <v>0.3999547562492931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2026-10-29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Accenture</t>
        </is>
      </c>
      <c r="C36" s="12" t="inlineStr">
        <is>
          <t>ACN</t>
        </is>
      </c>
      <c r="D36" s="11" t="inlineStr">
        <is>
          <t>Consulenza IT</t>
        </is>
      </c>
      <c r="E36" s="13" t="inlineStr">
        <is>
          <t>Tecnologia</t>
        </is>
      </c>
      <c r="F36" s="14" t="n">
        <v>246</v>
      </c>
      <c r="G36" s="15" t="inlineStr">
        <is>
          <t>USD</t>
        </is>
      </c>
      <c r="H36" s="14" t="n">
        <v>220.1946019024814</v>
      </c>
      <c r="I36" s="16" t="n">
        <v>134746.296434208</v>
      </c>
      <c r="J36" s="16" t="n">
        <v>150537.7</v>
      </c>
      <c r="K36" s="14" t="n">
        <v>13.56</v>
      </c>
      <c r="L36" s="14" t="n">
        <v>15.88779</v>
      </c>
      <c r="M36" s="17">
        <f>IF(OR(F36="",K36="",K36&lt;=0),"",F36/K36)</f>
        <v/>
      </c>
      <c r="N36" s="18" t="n">
        <v>4.6408963</v>
      </c>
      <c r="O36" s="19">
        <f>IF(OR(N36="",M36="",M36&lt;=0),"",N36/M36)</f>
        <v/>
      </c>
      <c r="P36" s="20" t="n">
        <v>0.26025</v>
      </c>
      <c r="Q36" s="20" t="n">
        <v>0.2588635049240464</v>
      </c>
      <c r="R36" s="20" t="n">
        <v>0.008339439583416456</v>
      </c>
      <c r="S36" s="21" t="n">
        <v>4</v>
      </c>
      <c r="T36" s="20" t="n">
        <v>0.2650549037268238</v>
      </c>
      <c r="U36" s="20" t="n">
        <v>0.2461395487020766</v>
      </c>
      <c r="V36" s="20" t="n">
        <v>0.2568092866657528</v>
      </c>
      <c r="W36" s="20" t="n">
        <v>0.2674502806015326</v>
      </c>
      <c r="X36" s="20" t="n">
        <v>0.3110982911185091</v>
      </c>
      <c r="Y36" s="14" t="n">
        <v>6.84</v>
      </c>
      <c r="Z36" s="19">
        <f>IF(OR(Y36="",F36="",F36=0),"",Y36/F36)</f>
        <v/>
      </c>
      <c r="AA36" s="22" t="n">
        <v>40.283</v>
      </c>
      <c r="AB36" s="20" t="n">
        <v>0.062</v>
      </c>
      <c r="AC36" s="20" t="n">
        <v>0.1127887208797057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2026-10-29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Chipotle Mexican Grill</t>
        </is>
      </c>
      <c r="C37" s="12" t="inlineStr">
        <is>
          <t>CMG</t>
        </is>
      </c>
      <c r="D37" s="11" t="inlineStr">
        <is>
          <t>Ristorazione</t>
        </is>
      </c>
      <c r="E37" s="13" t="inlineStr">
        <is>
          <t>Consumi</t>
        </is>
      </c>
      <c r="F37" s="14" t="n">
        <v>31.275</v>
      </c>
      <c r="G37" s="15" t="inlineStr">
        <is>
          <t>USD</t>
        </is>
      </c>
      <c r="H37" s="14" t="n">
        <v>27.99425274187034</v>
      </c>
      <c r="I37" s="16" t="n">
        <v>35424.38839606672</v>
      </c>
      <c r="J37" s="16" t="n">
        <v>39575.9</v>
      </c>
      <c r="K37" s="14" t="n">
        <v>1.09</v>
      </c>
      <c r="L37" s="14" t="n">
        <v>1.36565</v>
      </c>
      <c r="M37" s="17">
        <f>IF(OR(F37="",K37="",K37&lt;=0),"",F37/K37)</f>
        <v/>
      </c>
      <c r="N37" s="18" t="n">
        <v>18.025936</v>
      </c>
      <c r="O37" s="19">
        <f>IF(OR(N37="",M37="",M37&lt;=0),"",N37/M37)</f>
        <v/>
      </c>
      <c r="P37" s="20" t="n">
        <v>0.49560001</v>
      </c>
      <c r="Q37" s="20" t="n">
        <v>0.4357911689420391</v>
      </c>
      <c r="R37" s="20" t="n">
        <v>0.06324374116647129</v>
      </c>
      <c r="S37" s="21" t="n">
        <v>4</v>
      </c>
      <c r="T37" s="20" t="n"/>
      <c r="U37" s="20" t="n">
        <v>0.5425553600340846</v>
      </c>
      <c r="V37" s="20" t="n">
        <v>0.4196664465445107</v>
      </c>
      <c r="W37" s="20" t="n">
        <v>0.4012586347036631</v>
      </c>
      <c r="X37" s="20" t="n">
        <v>0.3796842344858982</v>
      </c>
      <c r="Y37" s="14" t="n"/>
      <c r="Z37" s="19">
        <f>IF(OR(Y37="",F37="",F37=0),"",Y37/F37)</f>
        <v/>
      </c>
      <c r="AA37" s="22" t="n">
        <v>246.35</v>
      </c>
      <c r="AB37" s="20" t="n">
        <v>0.093</v>
      </c>
      <c r="AC37" s="20" t="n">
        <v>0.1190217542914609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2026-10-29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CSX Corporation</t>
        </is>
      </c>
      <c r="C38" s="12" t="inlineStr">
        <is>
          <t>CSX</t>
        </is>
      </c>
      <c r="D38" s="11" t="inlineStr">
        <is>
          <t>Ferrovie</t>
        </is>
      </c>
      <c r="E38" s="13" t="inlineStr">
        <is>
          <t>Industriale</t>
        </is>
      </c>
      <c r="F38" s="14" t="n">
        <v>51.625</v>
      </c>
      <c r="G38" s="15" t="inlineStr">
        <is>
          <t>USD</t>
        </is>
      </c>
      <c r="H38" s="14" t="n">
        <v>46.20953789925041</v>
      </c>
      <c r="I38" s="16" t="n">
        <v>85601.99413960123</v>
      </c>
      <c r="J38" s="16" t="n">
        <v>95634</v>
      </c>
      <c r="K38" s="14" t="n">
        <v>1.92</v>
      </c>
      <c r="L38" s="14" t="n">
        <v>2.33649</v>
      </c>
      <c r="M38" s="17">
        <f>IF(OR(F38="",K38="",K38&lt;=0),"",F38/K38)</f>
        <v/>
      </c>
      <c r="N38" s="18" t="n">
        <v>6.615197</v>
      </c>
      <c r="O38" s="19">
        <f>IF(OR(N38="",M38="",M38&lt;=0),"",N38/M38)</f>
        <v/>
      </c>
      <c r="P38" s="20" t="n">
        <v>0.26389</v>
      </c>
      <c r="Q38" s="20" t="n">
        <v>0.2823661415471586</v>
      </c>
      <c r="R38" s="20" t="n">
        <v>0.04013263354129347</v>
      </c>
      <c r="S38" s="21" t="n">
        <v>4</v>
      </c>
      <c r="T38" s="20" t="n"/>
      <c r="U38" s="20" t="n">
        <v>0.219612314709236</v>
      </c>
      <c r="V38" s="20" t="n">
        <v>0.2775555911054231</v>
      </c>
      <c r="W38" s="20" t="n">
        <v>0.3061769616026711</v>
      </c>
      <c r="X38" s="20" t="n">
        <v>0.326119698771304</v>
      </c>
      <c r="Y38" s="14" t="n">
        <v>0.5600000000000001</v>
      </c>
      <c r="Z38" s="19">
        <f>IF(OR(Y38="",F38="",F38=0),"",Y38/F38)</f>
        <v/>
      </c>
      <c r="AA38" s="22" t="n">
        <v>135.169</v>
      </c>
      <c r="AB38" s="20" t="n">
        <v>0.12</v>
      </c>
      <c r="AC38" s="20" t="n">
        <v>0.2541158058472893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2026-10-29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TJX Companies</t>
        </is>
      </c>
      <c r="C39" s="12" t="inlineStr">
        <is>
          <t>TJX</t>
        </is>
      </c>
      <c r="D39" s="11" t="inlineStr">
        <is>
          <t>Abbigliamento / Retail</t>
        </is>
      </c>
      <c r="E39" s="13" t="inlineStr">
        <is>
          <t>Consumi</t>
        </is>
      </c>
      <c r="F39" s="14" t="n">
        <v>141.18</v>
      </c>
      <c r="G39" s="15" t="inlineStr">
        <is>
          <t>USD</t>
        </is>
      </c>
      <c r="H39" s="14" t="n">
        <v>126.3702190918387</v>
      </c>
      <c r="I39" s="16" t="n">
        <v>139601.7664261593</v>
      </c>
      <c r="J39" s="16" t="n">
        <v>155962.2</v>
      </c>
      <c r="K39" s="14" t="n">
        <v>5.4</v>
      </c>
      <c r="L39" s="14" t="n">
        <v>5.76386</v>
      </c>
      <c r="M39" s="17">
        <f>IF(OR(F39="",K39="",K39&lt;=0),"",F39/K39)</f>
        <v/>
      </c>
      <c r="N39" s="18" t="n">
        <v>14.596773</v>
      </c>
      <c r="O39" s="19">
        <f>IF(OR(N39="",M39="",M39&lt;=0),"",N39/M39)</f>
        <v/>
      </c>
      <c r="P39" s="20" t="n">
        <v>0.62171</v>
      </c>
      <c r="Q39" s="20" t="n">
        <v>0.5702624372175532</v>
      </c>
      <c r="R39" s="20" t="n">
        <v>0.02863520188802303</v>
      </c>
      <c r="S39" s="21" t="n">
        <v>4</v>
      </c>
      <c r="T39" s="20" t="n">
        <v>0.5391560353287537</v>
      </c>
      <c r="U39" s="20" t="n">
        <v>0.5795305611819374</v>
      </c>
      <c r="V39" s="20" t="n">
        <v>0.6127088468912627</v>
      </c>
      <c r="W39" s="20" t="n">
        <v>0.549654305468259</v>
      </c>
      <c r="X39" s="20" t="n"/>
      <c r="Y39" s="14" t="n">
        <v>1.92</v>
      </c>
      <c r="Z39" s="19">
        <f>IF(OR(Y39="",F39="",F39=0),"",Y39/F39)</f>
        <v/>
      </c>
      <c r="AA39" s="22" t="n">
        <v>134.419</v>
      </c>
      <c r="AB39" s="20" t="n">
        <v>0.054</v>
      </c>
      <c r="AC39" s="20" t="n">
        <v>0.1004936031272776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2026-10-29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Waste Management</t>
        </is>
      </c>
      <c r="C40" s="12" t="inlineStr">
        <is>
          <t>WM</t>
        </is>
      </c>
      <c r="D40" s="11" t="inlineStr">
        <is>
          <t>Servizi ambientali</t>
        </is>
      </c>
      <c r="E40" s="13" t="inlineStr">
        <is>
          <t>Industriale</t>
        </is>
      </c>
      <c r="F40" s="14" t="n">
        <v>228.655</v>
      </c>
      <c r="G40" s="15" t="inlineStr">
        <is>
          <t>USD</t>
        </is>
      </c>
      <c r="H40" s="14" t="n">
        <v>204.669092268341</v>
      </c>
      <c r="I40" s="16" t="n">
        <v>81383.56682315402</v>
      </c>
      <c r="J40" s="16" t="n">
        <v>90921.2</v>
      </c>
      <c r="K40" s="14" t="n">
        <v>7.62</v>
      </c>
      <c r="L40" s="14" t="n">
        <v>8.979039999999999</v>
      </c>
      <c r="M40" s="17">
        <f>IF(OR(F40="",K40="",K40&lt;=0),"",F40/K40)</f>
        <v/>
      </c>
      <c r="N40" s="18" t="n">
        <v>9.243814</v>
      </c>
      <c r="O40" s="19">
        <f>IF(OR(N40="",M40="",M40&lt;=0),"",N40/M40)</f>
        <v/>
      </c>
      <c r="P40" s="20" t="n">
        <v>0.31679</v>
      </c>
      <c r="Q40" s="20" t="n">
        <v>0.3160924607555183</v>
      </c>
      <c r="R40" s="20" t="n">
        <v>0.02613080609356336</v>
      </c>
      <c r="S40" s="21" t="n">
        <v>4</v>
      </c>
      <c r="T40" s="20" t="n"/>
      <c r="U40" s="20" t="n">
        <v>0.2710710710710711</v>
      </c>
      <c r="V40" s="20" t="n">
        <v>0.3327678138633058</v>
      </c>
      <c r="W40" s="20" t="n">
        <v>0.333767926988266</v>
      </c>
      <c r="X40" s="20" t="n">
        <v>0.3267630310994306</v>
      </c>
      <c r="Y40" s="14" t="n">
        <v>3.78</v>
      </c>
      <c r="Z40" s="19">
        <f>IF(OR(Y40="",F40="",F40=0),"",Y40/F40)</f>
        <v/>
      </c>
      <c r="AA40" s="22" t="n">
        <v>236.826</v>
      </c>
      <c r="AB40" s="20" t="n">
        <v>0.063</v>
      </c>
      <c r="AC40" s="20" t="n">
        <v>0.11776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2026-10-29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Costco Wholesale</t>
        </is>
      </c>
      <c r="C41" s="12" t="inlineStr">
        <is>
          <t>COST</t>
        </is>
      </c>
      <c r="D41" s="11" t="inlineStr">
        <is>
          <t>Grande distribuzione</t>
        </is>
      </c>
      <c r="E41" s="13" t="inlineStr">
        <is>
          <t>Consumi</t>
        </is>
      </c>
      <c r="F41" s="14" t="n">
        <v>991.29</v>
      </c>
      <c r="G41" s="15" t="inlineStr">
        <is>
          <t>USD</t>
        </is>
      </c>
      <c r="H41" s="14" t="n">
        <v>887.3036866663037</v>
      </c>
      <c r="I41" s="16" t="n">
        <v>393190.3118671643</v>
      </c>
      <c r="J41" s="16" t="n">
        <v>439269.7</v>
      </c>
      <c r="K41" s="14" t="n">
        <v>20.76</v>
      </c>
      <c r="L41" s="14" t="n">
        <v>25.02632</v>
      </c>
      <c r="M41" s="17">
        <f>IF(OR(F41="",K41="",K41&lt;=0),"",F41/K41)</f>
        <v/>
      </c>
      <c r="N41" s="18" t="n">
        <v>12.272844</v>
      </c>
      <c r="O41" s="19">
        <f>IF(OR(N41="",M41="",M41&lt;=0),"",N41/M41)</f>
        <v/>
      </c>
      <c r="P41" s="20" t="n">
        <v>0.28402</v>
      </c>
      <c r="Q41" s="20" t="n">
        <v>0.2745902594424048</v>
      </c>
      <c r="R41" s="20" t="n">
        <v>0.02364902907763609</v>
      </c>
      <c r="S41" s="21" t="n">
        <v>4</v>
      </c>
      <c r="T41" s="20" t="n">
        <v>0.2576879032483311</v>
      </c>
      <c r="U41" s="20" t="n">
        <v>0.2777053902071047</v>
      </c>
      <c r="V41" s="20" t="n">
        <v>0.3118702904072475</v>
      </c>
      <c r="W41" s="20" t="n">
        <v>0.2510974539069359</v>
      </c>
      <c r="X41" s="20" t="n">
        <v>0.2831121015405484</v>
      </c>
      <c r="Y41" s="14" t="n">
        <v>5.88</v>
      </c>
      <c r="Z41" s="19">
        <f>IF(OR(Y41="",F41="",F41=0),"",Y41/F41)</f>
        <v/>
      </c>
      <c r="AA41" s="22" t="n">
        <v>28.436</v>
      </c>
      <c r="AB41" s="20" t="n">
        <v>0.111</v>
      </c>
      <c r="AC41" s="20" t="n">
        <v>0.03043337836215257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2026-10-29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Illinois Tool Works</t>
        </is>
      </c>
      <c r="C42" s="12" t="inlineStr">
        <is>
          <t>ITW</t>
        </is>
      </c>
      <c r="D42" s="11" t="inlineStr">
        <is>
          <t>Componenti industriali</t>
        </is>
      </c>
      <c r="E42" s="13" t="inlineStr">
        <is>
          <t>Industriale</t>
        </is>
      </c>
      <c r="F42" s="14" t="n">
        <v>279.495</v>
      </c>
      <c r="G42" s="15" t="inlineStr">
        <is>
          <t>USD</t>
        </is>
      </c>
      <c r="H42" s="14" t="n">
        <v>250.1759766615205</v>
      </c>
      <c r="I42" s="16" t="n">
        <v>71250.1396356012</v>
      </c>
      <c r="J42" s="16" t="n">
        <v>79600.2</v>
      </c>
      <c r="K42" s="14" t="n">
        <v>11.21</v>
      </c>
      <c r="L42" s="14" t="n">
        <v>12.34222</v>
      </c>
      <c r="M42" s="17">
        <f>IF(OR(F42="",K42="",K42&lt;=0),"",F42/K42)</f>
        <v/>
      </c>
      <c r="N42" s="18" t="n">
        <v>25.323458</v>
      </c>
      <c r="O42" s="19">
        <f>IF(OR(N42="",M42="",M42&lt;=0),"",N42/M42)</f>
        <v/>
      </c>
      <c r="P42" s="20" t="n">
        <v>1.01653</v>
      </c>
      <c r="Q42" s="20" t="n">
        <v>0.9917050145447759</v>
      </c>
      <c r="R42" s="20" t="n">
        <v>0.03703105237820289</v>
      </c>
      <c r="S42" s="21" t="n">
        <v>4</v>
      </c>
      <c r="T42" s="20" t="n"/>
      <c r="U42" s="20" t="n">
        <v>0.9506976744186046</v>
      </c>
      <c r="V42" s="20" t="n">
        <v>1.051869722557298</v>
      </c>
      <c r="W42" s="20" t="n">
        <v>0.9817397078353254</v>
      </c>
      <c r="X42" s="20" t="n">
        <v>0.9825129533678757</v>
      </c>
      <c r="Y42" s="14" t="n">
        <v>6.88</v>
      </c>
      <c r="Z42" s="19">
        <f>IF(OR(Y42="",F42="",F42=0),"",Y42/F42)</f>
        <v/>
      </c>
      <c r="AA42" s="22" t="n">
        <v>298.281</v>
      </c>
      <c r="AB42" s="20" t="n">
        <v>0.044</v>
      </c>
      <c r="AC42" s="20" t="n">
        <v>0.2011967090501122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2026-10-29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Procter &amp; Gamble</t>
        </is>
      </c>
      <c r="C43" s="12" t="inlineStr">
        <is>
          <t>PG</t>
        </is>
      </c>
      <c r="D43" s="11" t="inlineStr">
        <is>
          <t>Beni per la casa</t>
        </is>
      </c>
      <c r="E43" s="13" t="inlineStr">
        <is>
          <t>Consumi</t>
        </is>
      </c>
      <c r="F43" s="14" t="n">
        <v>159.61</v>
      </c>
      <c r="G43" s="15" t="inlineStr">
        <is>
          <t>USD</t>
        </is>
      </c>
      <c r="H43" s="14" t="n">
        <v>142.8669122343701</v>
      </c>
      <c r="I43" s="16" t="n">
        <v>331134.4604910017</v>
      </c>
      <c r="J43" s="16" t="n">
        <v>369941.3</v>
      </c>
      <c r="K43" s="14" t="n">
        <v>6.64</v>
      </c>
      <c r="L43" s="14" t="n">
        <v>7.39552</v>
      </c>
      <c r="M43" s="17">
        <f>IF(OR(F43="",K43="",K43&lt;=0),"",F43/K43)</f>
        <v/>
      </c>
      <c r="N43" s="18" t="n">
        <v>6.806687</v>
      </c>
      <c r="O43" s="19">
        <f>IF(OR(N43="",M43="",M43&lt;=0),"",N43/M43)</f>
        <v/>
      </c>
      <c r="P43" s="20" t="n">
        <v>0.29609</v>
      </c>
      <c r="Q43" s="20" t="n">
        <v>0.3032410724344928</v>
      </c>
      <c r="R43" s="20" t="n">
        <v>0.007281835576251603</v>
      </c>
      <c r="S43" s="21" t="n">
        <v>4</v>
      </c>
      <c r="T43" s="20" t="n">
        <v>0.2967030935078863</v>
      </c>
      <c r="U43" s="20" t="n">
        <v>0.3071214335153426</v>
      </c>
      <c r="V43" s="20" t="n">
        <v>0.2958875233663445</v>
      </c>
      <c r="W43" s="20" t="n">
        <v>0.3132522393483977</v>
      </c>
      <c r="X43" s="20" t="n">
        <v>0.3164266243104595</v>
      </c>
      <c r="Y43" s="14" t="n">
        <v>4.35</v>
      </c>
      <c r="Z43" s="19">
        <f>IF(OR(Y43="",F43="",F43=0),"",Y43/F43)</f>
        <v/>
      </c>
      <c r="AA43" s="22" t="n">
        <v>70.343</v>
      </c>
      <c r="AB43" s="20" t="n">
        <v>0.04</v>
      </c>
      <c r="AC43" s="20" t="n">
        <v>0.1808070653552716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2026-10-29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JPMorgan Chase</t>
        </is>
      </c>
      <c r="C44" s="12" t="inlineStr">
        <is>
          <t>JPM</t>
        </is>
      </c>
      <c r="D44" s="11" t="inlineStr">
        <is>
          <t>Banca</t>
        </is>
      </c>
      <c r="E44" s="13" t="inlineStr">
        <is>
          <t>Finanziario</t>
        </is>
      </c>
      <c r="F44" s="14" t="n">
        <v>342.64</v>
      </c>
      <c r="G44" s="15" t="inlineStr">
        <is>
          <t>USD</t>
        </is>
      </c>
      <c r="H44" s="14" t="n">
        <v>306.6970666498626</v>
      </c>
      <c r="I44" s="16" t="n">
        <v>814464.8340269761</v>
      </c>
      <c r="J44" s="16" t="n">
        <v>909914.9</v>
      </c>
      <c r="K44" s="14" t="n">
        <v>23.84</v>
      </c>
      <c r="L44" s="14" t="n">
        <v>25.53124</v>
      </c>
      <c r="M44" s="17">
        <f>IF(OR(F44="",K44="",K44&lt;=0),"",F44/K44)</f>
        <v/>
      </c>
      <c r="N44" s="18" t="n">
        <v>2.5899303</v>
      </c>
      <c r="O44" s="19">
        <f>IF(OR(N44="",M44="",M44&lt;=0),"",N44/M44)</f>
        <v/>
      </c>
      <c r="P44" s="20" t="n">
        <v>0.18013</v>
      </c>
      <c r="Q44" s="20" t="n">
        <v>0.1517527710837262</v>
      </c>
      <c r="R44" s="20" t="n">
        <v>0.01478123957270239</v>
      </c>
      <c r="S44" s="21" t="n">
        <v>4</v>
      </c>
      <c r="T44" s="20" t="n"/>
      <c r="U44" s="20" t="n">
        <v>0.1574007140531622</v>
      </c>
      <c r="V44" s="20" t="n">
        <v>0.1696001253052866</v>
      </c>
      <c r="W44" s="20" t="n">
        <v>0.1511293834902006</v>
      </c>
      <c r="X44" s="20" t="n">
        <v>0.1288808614862554</v>
      </c>
      <c r="Y44" s="14" t="n">
        <v>6.6</v>
      </c>
      <c r="Z44" s="19">
        <f>IF(OR(Y44="",F44="",F44=0),"",Y44/F44)</f>
        <v/>
      </c>
      <c r="AA44" s="22" t="n"/>
      <c r="AB44" s="20" t="n">
        <v>0.102</v>
      </c>
      <c r="AC44" s="20" t="n">
        <v>0.3548422550385764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2026-10-29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NVIDIA</t>
        </is>
      </c>
      <c r="C45" s="12" t="inlineStr">
        <is>
          <t>NVDA</t>
        </is>
      </c>
      <c r="D45" s="11" t="inlineStr">
        <is>
          <t>Semiconduttori</t>
        </is>
      </c>
      <c r="E45" s="13" t="inlineStr">
        <is>
          <t>Tecnologia</t>
        </is>
      </c>
      <c r="F45" s="14" t="n">
        <v>212.75</v>
      </c>
      <c r="G45" s="15" t="inlineStr">
        <is>
          <t>USD</t>
        </is>
      </c>
      <c r="H45" s="14" t="n">
        <v>190.432526645337</v>
      </c>
      <c r="I45" s="16" t="n">
        <v>4598374.176149953</v>
      </c>
      <c r="J45" s="16" t="n">
        <v>5137274.2</v>
      </c>
      <c r="K45" s="14" t="n">
        <v>7.91</v>
      </c>
      <c r="L45" s="14" t="n">
        <v>15.9146</v>
      </c>
      <c r="M45" s="17">
        <f>IF(OR(F45="",K45="",K45&lt;=0),"",F45/K45)</f>
        <v/>
      </c>
      <c r="N45" s="18" t="n">
        <v>22.434883</v>
      </c>
      <c r="O45" s="19">
        <f>IF(OR(N45="",M45="",M45&lt;=0),"",N45/M45)</f>
        <v/>
      </c>
      <c r="P45" s="20" t="n">
        <v>1.17211</v>
      </c>
      <c r="Q45" s="20" t="n">
        <v>0.6430369043825913</v>
      </c>
      <c r="R45" s="20" t="n">
        <v>0.2698604910859732</v>
      </c>
      <c r="S45" s="21" t="n">
        <v>4</v>
      </c>
      <c r="T45" s="20" t="n">
        <v>0.7633333969089534</v>
      </c>
      <c r="U45" s="20" t="n">
        <v>0.9187288060811577</v>
      </c>
      <c r="V45" s="20" t="n">
        <v>0.6924472986178976</v>
      </c>
      <c r="W45" s="20" t="n">
        <v>0.1976381159223564</v>
      </c>
      <c r="X45" s="20" t="n"/>
      <c r="Y45" s="14" t="n">
        <v>1</v>
      </c>
      <c r="Z45" s="19">
        <f>IF(OR(Y45="",F45="",F45=0),"",Y45/F45)</f>
        <v/>
      </c>
      <c r="AA45" s="22" t="n">
        <v>16.971</v>
      </c>
      <c r="AB45" s="20" t="n">
        <v>1.059</v>
      </c>
      <c r="AC45" s="20" t="n">
        <v>0.8932193547407126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2026-10-29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Cadence Design</t>
        </is>
      </c>
      <c r="C46" s="12" t="inlineStr">
        <is>
          <t>CDNS</t>
        </is>
      </c>
      <c r="D46" s="11" t="inlineStr">
        <is>
          <t>Software EDA</t>
        </is>
      </c>
      <c r="E46" s="13" t="inlineStr">
        <is>
          <t>Tecnologia</t>
        </is>
      </c>
      <c r="F46" s="14" t="n">
        <v>342.275</v>
      </c>
      <c r="G46" s="15" t="inlineStr">
        <is>
          <t>USD</t>
        </is>
      </c>
      <c r="H46" s="14" t="n">
        <v>306.3703551470398</v>
      </c>
      <c r="I46" s="16" t="n">
        <v>84061.61653629236</v>
      </c>
      <c r="J46" s="16" t="n">
        <v>93913.10000000001</v>
      </c>
      <c r="K46" s="14" t="n">
        <v>5.03</v>
      </c>
      <c r="L46" s="14" t="n">
        <v>9.8453</v>
      </c>
      <c r="M46" s="17">
        <f>IF(OR(F46="",K46="",K46&lt;=0),"",F46/K46)</f>
        <v/>
      </c>
      <c r="N46" s="18" t="n">
        <v>13.628309</v>
      </c>
      <c r="O46" s="19">
        <f>IF(OR(N46="",M46="",M46&lt;=0),"",N46/M46)</f>
        <v/>
      </c>
      <c r="P46" s="20" t="n">
        <v>0.22869</v>
      </c>
      <c r="Q46" s="20" t="n">
        <v>0.2608754092791846</v>
      </c>
      <c r="R46" s="20" t="n">
        <v>0.04740689685132777</v>
      </c>
      <c r="S46" s="21" t="n">
        <v>4</v>
      </c>
      <c r="T46" s="20" t="n"/>
      <c r="U46" s="20" t="n">
        <v>0.2025669227963051</v>
      </c>
      <c r="V46" s="20" t="n">
        <v>0.2258406728206954</v>
      </c>
      <c r="W46" s="20" t="n">
        <v>0.3058346412491837</v>
      </c>
      <c r="X46" s="20" t="n">
        <v>0.3092594002505544</v>
      </c>
      <c r="Y46" s="14" t="n"/>
      <c r="Z46" s="19">
        <f>IF(OR(Y46="",F46="",F46=0),"",Y46/F46)</f>
        <v/>
      </c>
      <c r="AA46" s="22" t="n">
        <v>38.3</v>
      </c>
      <c r="AB46" s="20" t="n">
        <v>0.22</v>
      </c>
      <c r="AC46" s="20" t="n">
        <v>0.2606535445543209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2026-10-29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Meta Platforms</t>
        </is>
      </c>
      <c r="C47" s="12" t="inlineStr">
        <is>
          <t>META</t>
        </is>
      </c>
      <c r="D47" s="11" t="inlineStr">
        <is>
          <t>Internet / Pubblicita'</t>
        </is>
      </c>
      <c r="E47" s="13" t="inlineStr">
        <is>
          <t>Tecnologia</t>
        </is>
      </c>
      <c r="F47" s="14" t="n">
        <v>627.64</v>
      </c>
      <c r="G47" s="15" t="inlineStr">
        <is>
          <t>USD</t>
        </is>
      </c>
      <c r="H47" s="14" t="n">
        <v>561.8005688539569</v>
      </c>
      <c r="I47" s="16" t="n">
        <v>1436430.265980758</v>
      </c>
      <c r="J47" s="16" t="n">
        <v>1604770.7</v>
      </c>
      <c r="K47" s="14" t="n">
        <v>29.31</v>
      </c>
      <c r="L47" s="14" t="n">
        <v>35.58785</v>
      </c>
      <c r="M47" s="17">
        <f>IF(OR(F47="",K47="",K47&lt;=0),"",F47/K47)</f>
        <v/>
      </c>
      <c r="N47" s="18" t="n">
        <v>5.8896284</v>
      </c>
      <c r="O47" s="19">
        <f>IF(OR(N47="",M47="",M47&lt;=0),"",N47/M47)</f>
        <v/>
      </c>
      <c r="P47" s="20" t="n">
        <v>0.32264</v>
      </c>
      <c r="Q47" s="20" t="n">
        <v>0.2648871265585463</v>
      </c>
      <c r="R47" s="20" t="n">
        <v>0.05609730945851681</v>
      </c>
      <c r="S47" s="21" t="n">
        <v>4</v>
      </c>
      <c r="T47" s="20" t="n"/>
      <c r="U47" s="20" t="n">
        <v>0.2782966539773433</v>
      </c>
      <c r="V47" s="20" t="n">
        <v>0.3414423145364849</v>
      </c>
      <c r="W47" s="20" t="n">
        <v>0.2552621957589052</v>
      </c>
      <c r="X47" s="20" t="n">
        <v>0.1845473419614519</v>
      </c>
      <c r="Y47" s="14" t="n">
        <v>2.1</v>
      </c>
      <c r="Z47" s="19">
        <f>IF(OR(Y47="",F47="",F47=0),"",Y47/F47)</f>
        <v/>
      </c>
      <c r="AA47" s="22" t="n">
        <v>42.161</v>
      </c>
      <c r="AB47" s="20" t="n">
        <v>0.261</v>
      </c>
      <c r="AC47" s="20" t="n">
        <v>0.3744364740702407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2026-10-29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Cisco Systems</t>
        </is>
      </c>
      <c r="C48" s="12" t="inlineStr">
        <is>
          <t>CSCO</t>
        </is>
      </c>
      <c r="D48" s="11" t="inlineStr">
        <is>
          <t>Reti</t>
        </is>
      </c>
      <c r="E48" s="13" t="inlineStr">
        <is>
          <t>Tecnologia</t>
        </is>
      </c>
      <c r="F48" s="14" t="n">
        <v>108.65</v>
      </c>
      <c r="G48" s="15" t="inlineStr">
        <is>
          <t>USD</t>
        </is>
      </c>
      <c r="H48" s="14" t="n">
        <v>97.25261584026261</v>
      </c>
      <c r="I48" s="16" t="n">
        <v>383426.9190228085</v>
      </c>
      <c r="J48" s="16" t="n">
        <v>428362.1</v>
      </c>
      <c r="K48" s="14" t="n">
        <v>3.33</v>
      </c>
      <c r="L48" s="14" t="n">
        <v>5.62203</v>
      </c>
      <c r="M48" s="17">
        <f>IF(OR(F48="",K48="",K48&lt;=0),"",F48/K48)</f>
        <v/>
      </c>
      <c r="N48" s="18" t="n">
        <v>8.526249999999999</v>
      </c>
      <c r="O48" s="19">
        <f>IF(OR(N48="",M48="",M48&lt;=0),"",N48/M48)</f>
        <v/>
      </c>
      <c r="P48" s="20" t="n">
        <v>0.27319</v>
      </c>
      <c r="Q48" s="20" t="n">
        <v>0.2481407932680991</v>
      </c>
      <c r="R48" s="20" t="n">
        <v>0.0271800865071588</v>
      </c>
      <c r="S48" s="21" t="n">
        <v>4</v>
      </c>
      <c r="T48" s="20" t="n">
        <v>0.2638361340359948</v>
      </c>
      <c r="U48" s="20" t="n">
        <v>0.2173216916081378</v>
      </c>
      <c r="V48" s="20" t="n">
        <v>0.2270277405020129</v>
      </c>
      <c r="W48" s="20" t="n">
        <v>0.2843776069262507</v>
      </c>
      <c r="X48" s="20" t="n">
        <v>0.2969853921001684</v>
      </c>
      <c r="Y48" s="14" t="n">
        <v>1.68</v>
      </c>
      <c r="Z48" s="19">
        <f>IF(OR(Y48="",F48="",F48=0),"",Y48/F48)</f>
        <v/>
      </c>
      <c r="AA48" s="22" t="n">
        <v>62.017</v>
      </c>
      <c r="AB48" s="20" t="n">
        <v>0.176</v>
      </c>
      <c r="AC48" s="20" t="n">
        <v>0.2095065190682985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2026-10-29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Charles Schwab</t>
        </is>
      </c>
      <c r="C49" s="12" t="inlineStr">
        <is>
          <t>SCHW</t>
        </is>
      </c>
      <c r="D49" s="11" t="inlineStr">
        <is>
          <t>Intermediazione</t>
        </is>
      </c>
      <c r="E49" s="13" t="inlineStr">
        <is>
          <t>Finanziario</t>
        </is>
      </c>
      <c r="F49" s="14" t="n">
        <v>89.34</v>
      </c>
      <c r="G49" s="15" t="inlineStr">
        <is>
          <t>USD</t>
        </is>
      </c>
      <c r="H49" s="14" t="n">
        <v>79.96823469092556</v>
      </c>
      <c r="I49" s="16" t="n">
        <v>138291.8770748418</v>
      </c>
      <c r="J49" s="16" t="n">
        <v>154498.8</v>
      </c>
      <c r="K49" s="14" t="n">
        <v>5.85</v>
      </c>
      <c r="L49" s="14" t="n">
        <v>7.80304</v>
      </c>
      <c r="M49" s="17">
        <f>IF(OR(F49="",K49="",K49&lt;=0),"",F49/K49)</f>
        <v/>
      </c>
      <c r="N49" s="18" t="n">
        <v>3.0035298</v>
      </c>
      <c r="O49" s="19">
        <f>IF(OR(N49="",M49="",M49&lt;=0),"",N49/M49)</f>
        <v/>
      </c>
      <c r="P49" s="20" t="n">
        <v>0.21122</v>
      </c>
      <c r="Q49" s="20" t="n">
        <v>0.1554644312241724</v>
      </c>
      <c r="R49" s="20" t="n">
        <v>0.03275755535947185</v>
      </c>
      <c r="S49" s="21" t="n">
        <v>4</v>
      </c>
      <c r="T49" s="20" t="n"/>
      <c r="U49" s="20" t="n">
        <v>0.179099645928174</v>
      </c>
      <c r="V49" s="20" t="n">
        <v>0.1228320413436692</v>
      </c>
      <c r="W49" s="20" t="n">
        <v>0.1237120953171542</v>
      </c>
      <c r="X49" s="20" t="n">
        <v>0.1962139423076923</v>
      </c>
      <c r="Y49" s="14" t="n">
        <v>1.28</v>
      </c>
      <c r="Z49" s="19">
        <f>IF(OR(Y49="",F49="",F49=0),"",Y49/F49)</f>
        <v/>
      </c>
      <c r="AA49" s="22" t="n">
        <v>77.821</v>
      </c>
      <c r="AB49" s="20" t="n">
        <v>0.169</v>
      </c>
      <c r="AC49" s="20" t="n">
        <v>0.4287655077964968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2026-10-29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United Parcel Service</t>
        </is>
      </c>
      <c r="C50" s="12" t="inlineStr">
        <is>
          <t>UPS</t>
        </is>
      </c>
      <c r="D50" s="11" t="inlineStr">
        <is>
          <t>Logistica</t>
        </is>
      </c>
      <c r="E50" s="13" t="inlineStr">
        <is>
          <t>Industriale</t>
        </is>
      </c>
      <c r="F50" s="14" t="n">
        <v>106.625</v>
      </c>
      <c r="G50" s="15" t="inlineStr">
        <is>
          <t>USD</t>
        </is>
      </c>
      <c r="H50" s="14" t="n">
        <v>95.44003832460193</v>
      </c>
      <c r="I50" s="16" t="n">
        <v>81198.63916155625</v>
      </c>
      <c r="J50" s="16" t="n">
        <v>90714.60000000001</v>
      </c>
      <c r="K50" s="14" t="n">
        <v>5.38</v>
      </c>
      <c r="L50" s="14" t="n">
        <v>8.08633</v>
      </c>
      <c r="M50" s="17">
        <f>IF(OR(F50="",K50="",K50&lt;=0),"",F50/K50)</f>
        <v/>
      </c>
      <c r="N50" s="18" t="n">
        <v>6.051706</v>
      </c>
      <c r="O50" s="19">
        <f>IF(OR(N50="",M50="",M50&lt;=0),"",N50/M50)</f>
        <v/>
      </c>
      <c r="P50" s="20" t="n">
        <v>0.28645</v>
      </c>
      <c r="Q50" s="20" t="n">
        <v>0.4151223305037616</v>
      </c>
      <c r="R50" s="20" t="n">
        <v>0.09887106435484694</v>
      </c>
      <c r="S50" s="21" t="n">
        <v>4</v>
      </c>
      <c r="T50" s="20" t="n"/>
      <c r="U50" s="20" t="n">
        <v>0.3433783200838109</v>
      </c>
      <c r="V50" s="20" t="n">
        <v>0.3458547673166646</v>
      </c>
      <c r="W50" s="20" t="n">
        <v>0.3876112330983474</v>
      </c>
      <c r="X50" s="20" t="n">
        <v>0.5836450015162236</v>
      </c>
      <c r="Y50" s="14" t="n">
        <v>6.56</v>
      </c>
      <c r="Z50" s="19">
        <f>IF(OR(Y50="",F50="",F50=0),"",Y50/F50)</f>
        <v/>
      </c>
      <c r="AA50" s="22" t="n">
        <v>201.584</v>
      </c>
      <c r="AB50" s="20" t="n">
        <v>0.067</v>
      </c>
      <c r="AC50" s="20" t="n">
        <v>0.04987536941834628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2026-10-29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Bank of America</t>
        </is>
      </c>
      <c r="C51" s="12" t="inlineStr">
        <is>
          <t>BAC</t>
        </is>
      </c>
      <c r="D51" s="11" t="inlineStr">
        <is>
          <t>Banca</t>
        </is>
      </c>
      <c r="E51" s="13" t="inlineStr">
        <is>
          <t>Finanziario</t>
        </is>
      </c>
      <c r="F51" s="14" t="n">
        <v>51.52</v>
      </c>
      <c r="G51" s="15" t="inlineStr">
        <is>
          <t>USD</t>
        </is>
      </c>
      <c r="H51" s="14" t="n">
        <v>46.11555239843837</v>
      </c>
      <c r="I51" s="16" t="n">
        <v>319243.9519882677</v>
      </c>
      <c r="J51" s="16" t="n">
        <v>356657.3</v>
      </c>
      <c r="K51" s="14" t="n">
        <v>4.19</v>
      </c>
      <c r="L51" s="14" t="n">
        <v>5.19213</v>
      </c>
      <c r="M51" s="17">
        <f>IF(OR(F51="",K51="",K51&lt;=0),"",F51/K51)</f>
        <v/>
      </c>
      <c r="N51" s="18" t="n">
        <v>1.3124442</v>
      </c>
      <c r="O51" s="19">
        <f>IF(OR(N51="",M51="",M51&lt;=0),"",N51/M51)</f>
        <v/>
      </c>
      <c r="P51" s="20" t="n">
        <v>0.1073</v>
      </c>
      <c r="Q51" s="20" t="n">
        <v>0.09583073596940467</v>
      </c>
      <c r="R51" s="20" t="n">
        <v>0.004886619979617854</v>
      </c>
      <c r="S51" s="21" t="n">
        <v>4</v>
      </c>
      <c r="T51" s="20" t="n"/>
      <c r="U51" s="20" t="n">
        <v>0.1006090824850038</v>
      </c>
      <c r="V51" s="20" t="n">
        <v>0.09175644553906444</v>
      </c>
      <c r="W51" s="20" t="n">
        <v>0.0901949623859062</v>
      </c>
      <c r="X51" s="20" t="n">
        <v>0.1007624534676442</v>
      </c>
      <c r="Y51" s="14" t="n">
        <v>1.28</v>
      </c>
      <c r="Z51" s="19">
        <f>IF(OR(Y51="",F51="",F51=0),"",Y51/F51)</f>
        <v/>
      </c>
      <c r="AA51" s="22" t="n"/>
      <c r="AB51" s="20" t="n">
        <v>0.07099999999999999</v>
      </c>
      <c r="AC51" s="20" t="n">
        <v>0.2720054449543312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2026-10-29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Cigna Group</t>
        </is>
      </c>
      <c r="C52" s="12" t="inlineStr">
        <is>
          <t>CI</t>
        </is>
      </c>
      <c r="D52" s="11" t="inlineStr">
        <is>
          <t>Assicurazione sanitaria</t>
        </is>
      </c>
      <c r="E52" s="13" t="inlineStr">
        <is>
          <t>Salute</t>
        </is>
      </c>
      <c r="F52" s="14" t="n">
        <v>296.44</v>
      </c>
      <c r="G52" s="15" t="inlineStr">
        <is>
          <t>USD</t>
        </is>
      </c>
      <c r="H52" s="14" t="n">
        <v>265.3434462925674</v>
      </c>
      <c r="I52" s="16" t="n">
        <v>70114.43674578873</v>
      </c>
      <c r="J52" s="16" t="n">
        <v>78331.39999999999</v>
      </c>
      <c r="K52" s="14" t="n">
        <v>24.19</v>
      </c>
      <c r="L52" s="14" t="n">
        <v>33.48837</v>
      </c>
      <c r="M52" s="17">
        <f>IF(OR(F52="",K52="",K52&lt;=0),"",F52/K52)</f>
        <v/>
      </c>
      <c r="N52" s="18" t="n">
        <v>1.834145</v>
      </c>
      <c r="O52" s="19">
        <f>IF(OR(N52="",M52="",M52&lt;=0),"",N52/M52)</f>
        <v/>
      </c>
      <c r="P52" s="20" t="n">
        <v>0.16758</v>
      </c>
      <c r="Q52" s="20" t="n">
        <v>0.1220696910352129</v>
      </c>
      <c r="R52" s="20" t="n">
        <v>0.02642867866442709</v>
      </c>
      <c r="S52" s="21" t="n">
        <v>4</v>
      </c>
      <c r="T52" s="20" t="n"/>
      <c r="U52" s="20" t="n">
        <v>0.1428091961738547</v>
      </c>
      <c r="V52" s="20" t="n">
        <v>0.0836887383325616</v>
      </c>
      <c r="W52" s="20" t="n">
        <v>0.1117192739545248</v>
      </c>
      <c r="X52" s="20" t="n">
        <v>0.1500615556799105</v>
      </c>
      <c r="Y52" s="14" t="n">
        <v>6.24</v>
      </c>
      <c r="Z52" s="19">
        <f>IF(OR(Y52="",F52="",F52=0),"",Y52/F52)</f>
        <v/>
      </c>
      <c r="AA52" s="22" t="n">
        <v>74.29000000000001</v>
      </c>
      <c r="AB52" s="20" t="n">
        <v>0.067</v>
      </c>
      <c r="AC52" s="20" t="n">
        <v>0.02342854221592527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2026-10-29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Goldman Sachs</t>
        </is>
      </c>
      <c r="C53" s="12" t="inlineStr">
        <is>
          <t>GS</t>
        </is>
      </c>
      <c r="D53" s="11" t="inlineStr">
        <is>
          <t>Banca d'investimento</t>
        </is>
      </c>
      <c r="E53" s="13" t="inlineStr">
        <is>
          <t>Finanziario</t>
        </is>
      </c>
      <c r="F53" s="14" t="n">
        <v>927.02</v>
      </c>
      <c r="G53" s="15" t="inlineStr">
        <is>
          <t>USD</t>
        </is>
      </c>
      <c r="H53" s="14" t="n">
        <v>829.7756091692612</v>
      </c>
      <c r="I53" s="16" t="n">
        <v>241606.9157574837</v>
      </c>
      <c r="J53" s="16" t="n">
        <v>269921.7</v>
      </c>
      <c r="K53" s="14" t="n">
        <v>69.55</v>
      </c>
      <c r="L53" s="14" t="n">
        <v>74.0915</v>
      </c>
      <c r="M53" s="17">
        <f>IF(OR(F53="",K53="",K53&lt;=0),"",F53/K53)</f>
        <v/>
      </c>
      <c r="N53" s="18" t="n">
        <v>2.4903424</v>
      </c>
      <c r="O53" s="19">
        <f>IF(OR(N53="",M53="",M53&lt;=0),"",N53/M53)</f>
        <v/>
      </c>
      <c r="P53" s="20" t="n">
        <v>0.17753</v>
      </c>
      <c r="Q53" s="20" t="n">
        <v>0.1058492814900844</v>
      </c>
      <c r="R53" s="20" t="n">
        <v>0.02401629869746958</v>
      </c>
      <c r="S53" s="21" t="n">
        <v>4</v>
      </c>
      <c r="T53" s="20" t="n"/>
      <c r="U53" s="20" t="n">
        <v>0.1374387862881285</v>
      </c>
      <c r="V53" s="20" t="n">
        <v>0.117020230171481</v>
      </c>
      <c r="W53" s="20" t="n">
        <v>0.07284547281981096</v>
      </c>
      <c r="X53" s="20" t="n">
        <v>0.09609263668091715</v>
      </c>
      <c r="Y53" s="14" t="n">
        <v>20</v>
      </c>
      <c r="Z53" s="19">
        <f>IF(OR(Y53="",F53="",F53=0),"",Y53/F53)</f>
        <v/>
      </c>
      <c r="AA53" s="22" t="n">
        <v>671.2</v>
      </c>
      <c r="AB53" s="20" t="n">
        <v>0.233</v>
      </c>
      <c r="AC53" s="20" t="n">
        <v>0.3646346232005902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2026-10-29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Nike</t>
        </is>
      </c>
      <c r="C54" s="12" t="inlineStr">
        <is>
          <t>NKE</t>
        </is>
      </c>
      <c r="D54" s="11" t="inlineStr">
        <is>
          <t>Abbigliamento sportivo</t>
        </is>
      </c>
      <c r="E54" s="13" t="inlineStr">
        <is>
          <t>Consumi</t>
        </is>
      </c>
      <c r="F54" s="14" t="n">
        <v>38.275</v>
      </c>
      <c r="G54" s="15" t="inlineStr">
        <is>
          <t>USD</t>
        </is>
      </c>
      <c r="H54" s="14" t="n">
        <v>34.25995279600599</v>
      </c>
      <c r="I54" s="16" t="n">
        <v>50879.99071960312</v>
      </c>
      <c r="J54" s="16" t="n">
        <v>56842.8</v>
      </c>
      <c r="K54" s="14" t="n">
        <v>2.08</v>
      </c>
      <c r="L54" s="14" t="n">
        <v>1.55707</v>
      </c>
      <c r="M54" s="17">
        <f>IF(OR(F54="",K54="",K54&lt;=0),"",F54/K54)</f>
        <v/>
      </c>
      <c r="N54" s="18" t="n">
        <v>3.7289293</v>
      </c>
      <c r="O54" s="19">
        <f>IF(OR(N54="",M54="",M54&lt;=0),"",N54/M54)</f>
        <v/>
      </c>
      <c r="P54" s="20" t="n">
        <v>0.21563</v>
      </c>
      <c r="Q54" s="20" t="n">
        <v>0.3024388129670675</v>
      </c>
      <c r="R54" s="20" t="n">
        <v>0.07793665822629463</v>
      </c>
      <c r="S54" s="21" t="n">
        <v>4</v>
      </c>
      <c r="T54" s="20" t="n">
        <v>0.2090817356205853</v>
      </c>
      <c r="U54" s="20" t="n">
        <v>0.2436237039279497</v>
      </c>
      <c r="V54" s="20" t="n">
        <v>0.395010395010395</v>
      </c>
      <c r="W54" s="20" t="n">
        <v>0.3620394173093402</v>
      </c>
      <c r="X54" s="20" t="n"/>
      <c r="Y54" s="14" t="n">
        <v>1.64</v>
      </c>
      <c r="Z54" s="19">
        <f>IF(OR(Y54="",F54="",F54=0),"",Y54/F54)</f>
        <v/>
      </c>
      <c r="AA54" s="22" t="n">
        <v>73.095</v>
      </c>
      <c r="AB54" s="20" t="n">
        <v>-0.043</v>
      </c>
      <c r="AC54" s="20" t="n">
        <v>0.06666235475667055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2026-10-29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Broadcom</t>
        </is>
      </c>
      <c r="C55" s="12" t="inlineStr">
        <is>
          <t>AVGO</t>
        </is>
      </c>
      <c r="D55" s="11" t="inlineStr">
        <is>
          <t>Semiconduttori</t>
        </is>
      </c>
      <c r="E55" s="13" t="inlineStr">
        <is>
          <t>Tecnologia</t>
        </is>
      </c>
      <c r="F55" s="14" t="n">
        <v>345.15</v>
      </c>
      <c r="G55" s="15" t="inlineStr">
        <is>
          <t>USD</t>
        </is>
      </c>
      <c r="H55" s="14" t="n">
        <v>308.9437676692741</v>
      </c>
      <c r="I55" s="16" t="n">
        <v>1474783.153072126</v>
      </c>
      <c r="J55" s="16" t="n">
        <v>1647618.3</v>
      </c>
      <c r="K55" s="14" t="n">
        <v>7.83</v>
      </c>
      <c r="L55" s="14" t="n">
        <v>19.4315</v>
      </c>
      <c r="M55" s="17">
        <f>IF(OR(F55="",K55="",K55&lt;=0),"",F55/K55)</f>
        <v/>
      </c>
      <c r="N55" s="18" t="n">
        <v>16.52859</v>
      </c>
      <c r="O55" s="19">
        <f>IF(OR(N55="",M55="",M55&lt;=0),"",N55/M55)</f>
        <v/>
      </c>
      <c r="P55" s="20" t="n">
        <v>0.44245</v>
      </c>
      <c r="Q55" s="20" t="n">
        <v>0.3662036929009307</v>
      </c>
      <c r="R55" s="20" t="n">
        <v>0.1955383898306939</v>
      </c>
      <c r="S55" s="21" t="n">
        <v>4</v>
      </c>
      <c r="T55" s="20" t="n"/>
      <c r="U55" s="20" t="n">
        <v>0.2844806377011268</v>
      </c>
      <c r="V55" s="20" t="n">
        <v>0.08710363781435622</v>
      </c>
      <c r="W55" s="20" t="n">
        <v>0.5870435217608805</v>
      </c>
      <c r="X55" s="20" t="n">
        <v>0.5061869743273592</v>
      </c>
      <c r="Y55" s="14" t="n">
        <v>2.6</v>
      </c>
      <c r="Z55" s="19">
        <f>IF(OR(Y55="",F55="",F55=0),"",Y55/F55)</f>
        <v/>
      </c>
      <c r="AA55" s="22" t="n">
        <v>59.604</v>
      </c>
      <c r="AB55" s="20" t="n">
        <v>0.855</v>
      </c>
      <c r="AC55" s="20" t="n">
        <v>0.5989481418128884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2026-10-29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Boeing</t>
        </is>
      </c>
      <c r="C56" s="12" t="inlineStr">
        <is>
          <t>BA</t>
        </is>
      </c>
      <c r="D56" s="11" t="inlineStr">
        <is>
          <t>Aerospazio</t>
        </is>
      </c>
      <c r="E56" s="13" t="inlineStr">
        <is>
          <t>Industriale</t>
        </is>
      </c>
      <c r="F56" s="14" t="n">
        <v>173.015</v>
      </c>
      <c r="G56" s="15" t="inlineStr">
        <is>
          <t>USD</t>
        </is>
      </c>
      <c r="H56" s="14" t="n">
        <v>154.8657278380399</v>
      </c>
      <c r="I56" s="16" t="n">
        <v>122723.3131303294</v>
      </c>
      <c r="J56" s="16" t="n">
        <v>137105.7</v>
      </c>
      <c r="K56" s="14" t="n">
        <v>9.69</v>
      </c>
      <c r="L56" s="14" t="n">
        <v>2.57332</v>
      </c>
      <c r="M56" s="17">
        <f>IF(OR(F56="",K56="",K56&lt;=0),"",F56/K56)</f>
        <v/>
      </c>
      <c r="N56" s="18" t="n">
        <v>20.946125</v>
      </c>
      <c r="O56" s="19">
        <f>IF(OR(N56="",M56="",M56&lt;=0),"",N56/M56)</f>
        <v/>
      </c>
      <c r="P56" s="20" t="n">
        <v>1.116774529579544</v>
      </c>
      <c r="Q56" s="20" t="n">
        <v>0.4097909790979098</v>
      </c>
      <c r="R56" s="20" t="n"/>
      <c r="S56" s="21" t="n">
        <v>1</v>
      </c>
      <c r="T56" s="20" t="n"/>
      <c r="U56" s="20" t="n">
        <v>0.4097909790979098</v>
      </c>
      <c r="V56" s="20" t="n"/>
      <c r="W56" s="20" t="n"/>
      <c r="X56" s="20" t="n"/>
      <c r="Y56" s="14" t="n"/>
      <c r="Z56" s="19">
        <f>IF(OR(Y56="",F56="",F56=0),"",Y56/F56)</f>
        <v/>
      </c>
      <c r="AA56" s="22" t="n">
        <v>738.525</v>
      </c>
      <c r="AB56" s="20" t="n">
        <v>0.039</v>
      </c>
      <c r="AC56" s="20" t="n">
        <v>0.08170975853704883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2026-10-29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457.8118</v>
      </c>
      <c r="G57" s="15" t="inlineStr">
        <is>
          <t>USD</t>
        </is>
      </c>
      <c r="H57" s="14" t="n">
        <v>409.7873457205627</v>
      </c>
      <c r="I57" s="16" t="n">
        <v>221544.1441841414</v>
      </c>
      <c r="J57" s="16" t="n">
        <v>247507.7</v>
      </c>
      <c r="K57" s="14" t="n">
        <v>16.1</v>
      </c>
      <c r="L57" s="14" t="n">
        <v>24.49175</v>
      </c>
      <c r="M57" s="17">
        <f>IF(OR(F57="",K57="",K57&lt;=0),"",F57/K57)</f>
        <v/>
      </c>
      <c r="N57" s="18" t="n">
        <v>21.175383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2026-10-29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Moody's</t>
        </is>
      </c>
      <c r="C58" s="12" t="inlineStr">
        <is>
          <t>MCO</t>
        </is>
      </c>
      <c r="D58" s="11" t="inlineStr">
        <is>
          <t>Dati e rating</t>
        </is>
      </c>
      <c r="E58" s="13" t="inlineStr">
        <is>
          <t>Finanziario</t>
        </is>
      </c>
      <c r="F58" s="14" t="n">
        <v>486.745</v>
      </c>
      <c r="G58" s="15" t="inlineStr">
        <is>
          <t>USD</t>
        </is>
      </c>
      <c r="H58" s="14" t="n">
        <v>435.6854532643223</v>
      </c>
      <c r="I58" s="16" t="n">
        <v>75122.70030906014</v>
      </c>
      <c r="J58" s="16" t="n">
        <v>83926.60000000001</v>
      </c>
      <c r="K58" s="14" t="n">
        <v>16.04</v>
      </c>
      <c r="L58" s="14" t="n">
        <v>18.68414</v>
      </c>
      <c r="M58" s="17">
        <f>IF(OR(F58="",K58="",K58&lt;=0),"",F58/K58)</f>
        <v/>
      </c>
      <c r="N58" s="18" t="n">
        <v>25.681686</v>
      </c>
      <c r="O58" s="19">
        <f>IF(OR(N58="",M58="",M58&lt;=0),"",N58/M58)</f>
        <v/>
      </c>
      <c r="P58" s="20" t="n">
        <v>0.76741</v>
      </c>
      <c r="Q58" s="20" t="n">
        <v>0.5534057442590806</v>
      </c>
      <c r="R58" s="20" t="n">
        <v>0.04536086460562505</v>
      </c>
      <c r="S58" s="21" t="n">
        <v>4</v>
      </c>
      <c r="T58" s="20" t="n"/>
      <c r="U58" s="20" t="n">
        <v>0.6065614208189443</v>
      </c>
      <c r="V58" s="20" t="n">
        <v>0.5772791023842917</v>
      </c>
      <c r="W58" s="20" t="n">
        <v>0.4843279083785413</v>
      </c>
      <c r="X58" s="20" t="n">
        <v>0.5454545454545454</v>
      </c>
      <c r="Y58" s="14" t="n">
        <v>4.12</v>
      </c>
      <c r="Z58" s="19">
        <f>IF(OR(Y58="",F58="",F58=0),"",Y58/F58)</f>
        <v/>
      </c>
      <c r="AA58" s="22" t="n">
        <v>223.271</v>
      </c>
      <c r="AB58" s="20" t="n">
        <v>0.008</v>
      </c>
      <c r="AC58" s="20" t="n">
        <v>0.3735423767815496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2026-10-29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AbbVie</t>
        </is>
      </c>
      <c r="C59" s="12" t="inlineStr">
        <is>
          <t>ABBV</t>
        </is>
      </c>
      <c r="D59" s="11" t="inlineStr">
        <is>
          <t>Farmaceutica</t>
        </is>
      </c>
      <c r="E59" s="13" t="inlineStr">
        <is>
          <t>Salute</t>
        </is>
      </c>
      <c r="F59" s="14" t="n">
        <v>288.72</v>
      </c>
      <c r="G59" s="15" t="inlineStr">
        <is>
          <t>USD</t>
        </is>
      </c>
      <c r="H59" s="14" t="n">
        <v>258.4332742328635</v>
      </c>
      <c r="I59" s="16" t="n">
        <v>456681.9036557316</v>
      </c>
      <c r="J59" s="16" t="n">
        <v>510202.1</v>
      </c>
      <c r="K59" s="14" t="n">
        <v>3.54</v>
      </c>
      <c r="L59" s="14" t="n">
        <v>16.20158</v>
      </c>
      <c r="M59" s="17">
        <f>IF(OR(F59="",K59="",K59&lt;=0),"",F59/K59)</f>
        <v/>
      </c>
      <c r="N59" s="18" t="n">
        <v>-85.954155</v>
      </c>
      <c r="O59" s="19">
        <f>IF(OR(N59="",M59="",M59&lt;=0),"",N59/M59)</f>
        <v/>
      </c>
      <c r="P59" s="20" t="n">
        <v>1.286616541353383</v>
      </c>
      <c r="Q59" s="20" t="n">
        <v>0.8140013147022048</v>
      </c>
      <c r="R59" s="20" t="n">
        <v>0.3456887382306248</v>
      </c>
      <c r="S59" s="21" t="n">
        <v>3</v>
      </c>
      <c r="T59" s="20" t="n"/>
      <c r="U59" s="20" t="n"/>
      <c r="V59" s="20" t="n">
        <v>1.286616541353383</v>
      </c>
      <c r="W59" s="20" t="n">
        <v>0.4694015444015444</v>
      </c>
      <c r="X59" s="20" t="n">
        <v>0.6859858583516866</v>
      </c>
      <c r="Y59" s="14" t="n">
        <v>6.92</v>
      </c>
      <c r="Z59" s="19">
        <f>IF(OR(Y59="",F59="",F59=0),"",Y59/F59)</f>
        <v/>
      </c>
      <c r="AA59" s="22" t="n"/>
      <c r="AB59" s="20" t="n">
        <v>0.102</v>
      </c>
      <c r="AC59" s="20" t="n">
        <v>0.1025179877043819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2026-10-29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Northrop Grumman</t>
        </is>
      </c>
      <c r="C60" s="12" t="inlineStr">
        <is>
          <t>NOC</t>
        </is>
      </c>
      <c r="D60" s="11" t="inlineStr">
        <is>
          <t>Difesa</t>
        </is>
      </c>
      <c r="E60" s="13" t="inlineStr">
        <is>
          <t>Industriale</t>
        </is>
      </c>
      <c r="F60" s="14" t="n">
        <v>564.775</v>
      </c>
      <c r="G60" s="15" t="inlineStr">
        <is>
          <t>USD</t>
        </is>
      </c>
      <c r="H60" s="14" t="n">
        <v>505.5301068677801</v>
      </c>
      <c r="I60" s="16" t="n">
        <v>71817.90157050667</v>
      </c>
      <c r="J60" s="16" t="n">
        <v>80234.5</v>
      </c>
      <c r="K60" s="14" t="n">
        <v>31.68</v>
      </c>
      <c r="L60" s="14" t="n">
        <v>30.00277</v>
      </c>
      <c r="M60" s="17">
        <f>IF(OR(F60="",K60="",K60&lt;=0),"",F60/K60)</f>
        <v/>
      </c>
      <c r="N60" s="18" t="n">
        <v>4.294508</v>
      </c>
      <c r="O60" s="19">
        <f>IF(OR(N60="",M60="",M60&lt;=0),"",N60/M60)</f>
        <v/>
      </c>
      <c r="P60" s="20" t="n">
        <v>0.26073998</v>
      </c>
      <c r="Q60" s="20" t="n">
        <v>0.2456284021316426</v>
      </c>
      <c r="R60" s="20" t="n">
        <v>0.06641956155607608</v>
      </c>
      <c r="S60" s="21" t="n">
        <v>4</v>
      </c>
      <c r="T60" s="20" t="n"/>
      <c r="U60" s="20" t="n">
        <v>0.250809643756747</v>
      </c>
      <c r="V60" s="20" t="n">
        <v>0.2729888816219752</v>
      </c>
      <c r="W60" s="20" t="n">
        <v>0.1389658668469077</v>
      </c>
      <c r="X60" s="20" t="n">
        <v>0.3197492163009404</v>
      </c>
      <c r="Y60" s="14" t="n">
        <v>9.880000000000001</v>
      </c>
      <c r="Z60" s="19">
        <f>IF(OR(Y60="",F60="",F60=0),"",Y60/F60)</f>
        <v/>
      </c>
      <c r="AA60" s="22" t="n">
        <v>93.127</v>
      </c>
      <c r="AB60" s="20" t="n">
        <v>0.067</v>
      </c>
      <c r="AC60" s="20" t="n">
        <v>0.1077370453353673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2026-10-29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Chubb</t>
        </is>
      </c>
      <c r="C61" s="12" t="inlineStr">
        <is>
          <t>CB</t>
        </is>
      </c>
      <c r="D61" s="11" t="inlineStr">
        <is>
          <t>Assicurazione</t>
        </is>
      </c>
      <c r="E61" s="13" t="inlineStr">
        <is>
          <t>Finanziario</t>
        </is>
      </c>
      <c r="F61" s="14" t="n">
        <v>360.345</v>
      </c>
      <c r="G61" s="15" t="inlineStr">
        <is>
          <t>USD</t>
        </is>
      </c>
      <c r="H61" s="14" t="n">
        <v>322.5448122867872</v>
      </c>
      <c r="I61" s="16" t="n">
        <v>123237.6375947732</v>
      </c>
      <c r="J61" s="16" t="n">
        <v>137680.3</v>
      </c>
      <c r="K61" s="14" t="n">
        <v>28.53</v>
      </c>
      <c r="L61" s="14" t="n">
        <v>29.46259</v>
      </c>
      <c r="M61" s="17">
        <f>IF(OR(F61="",K61="",K61&lt;=0),"",F61/K61)</f>
        <v/>
      </c>
      <c r="N61" s="18" t="n">
        <v>1.8824049</v>
      </c>
      <c r="O61" s="19">
        <f>IF(OR(N61="",M61="",M61&lt;=0),"",N61/M61)</f>
        <v/>
      </c>
      <c r="P61" s="20" t="n">
        <v>0.1425</v>
      </c>
      <c r="Q61" s="20" t="n">
        <v>0.1350415459271134</v>
      </c>
      <c r="R61" s="20" t="n">
        <v>0.0185040460098504</v>
      </c>
      <c r="S61" s="21" t="n">
        <v>4</v>
      </c>
      <c r="T61" s="20" t="n"/>
      <c r="U61" s="20" t="n">
        <v>0.1397833425979907</v>
      </c>
      <c r="V61" s="20" t="n">
        <v>0.1448274784836226</v>
      </c>
      <c r="W61" s="20" t="n">
        <v>0.1517132438200548</v>
      </c>
      <c r="X61" s="20" t="n">
        <v>0.1038421188067856</v>
      </c>
      <c r="Y61" s="14" t="n">
        <v>4.08</v>
      </c>
      <c r="Z61" s="19">
        <f>IF(OR(Y61="",F61="",F61=0),"",Y61/F61)</f>
        <v/>
      </c>
      <c r="AA61" s="22" t="n">
        <v>27.233</v>
      </c>
      <c r="AB61" s="20" t="n">
        <v>0.013</v>
      </c>
      <c r="AC61" s="20" t="n">
        <v>0.1878125931452085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2026-10-29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FedEx</t>
        </is>
      </c>
      <c r="C62" s="12" t="inlineStr">
        <is>
          <t>FDX</t>
        </is>
      </c>
      <c r="D62" s="11" t="inlineStr">
        <is>
          <t>Logistica</t>
        </is>
      </c>
      <c r="E62" s="13" t="inlineStr">
        <is>
          <t>Industriale</t>
        </is>
      </c>
      <c r="F62" s="14" t="n">
        <v>307.91</v>
      </c>
      <c r="G62" s="15" t="inlineStr">
        <is>
          <t>USD</t>
        </is>
      </c>
      <c r="H62" s="14" t="n">
        <v>275.6102433812725</v>
      </c>
      <c r="I62" s="16" t="n">
        <v>65228.80188357685</v>
      </c>
      <c r="J62" s="16" t="n">
        <v>72873.2</v>
      </c>
      <c r="K62" s="14" t="n">
        <v>18.55</v>
      </c>
      <c r="L62" s="14" t="n">
        <v>21.04872</v>
      </c>
      <c r="M62" s="17">
        <f>IF(OR(F62="",K62="",K62&lt;=0),"",F62/K62)</f>
        <v/>
      </c>
      <c r="N62" s="18" t="n">
        <v>2.335075</v>
      </c>
      <c r="O62" s="19">
        <f>IF(OR(N62="",M62="",M62&lt;=0),"",N62/M62)</f>
        <v/>
      </c>
      <c r="P62" s="20" t="n">
        <v>0.14846</v>
      </c>
      <c r="Q62" s="20" t="n">
        <v>0.1487776787174603</v>
      </c>
      <c r="R62" s="20" t="n">
        <v>0.006420595404348427</v>
      </c>
      <c r="S62" s="21" t="n">
        <v>4</v>
      </c>
      <c r="T62" s="20" t="n">
        <v>0.1400764685436218</v>
      </c>
      <c r="U62" s="20" t="n">
        <v>0.1457576405214789</v>
      </c>
      <c r="V62" s="20" t="n">
        <v>0.1570226959611341</v>
      </c>
      <c r="W62" s="20" t="n">
        <v>0.1522539098436063</v>
      </c>
      <c r="X62" s="20" t="n"/>
      <c r="Y62" s="14" t="n">
        <v>4.88</v>
      </c>
      <c r="Z62" s="19">
        <f>IF(OR(Y62="",F62="",F62=0),"",Y62/F62)</f>
        <v/>
      </c>
      <c r="AA62" s="22" t="n">
        <v>135.697</v>
      </c>
      <c r="AB62" s="20" t="n">
        <v>0.125</v>
      </c>
      <c r="AC62" s="20" t="n">
        <v>0.0467271945945946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2026-10-29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Marriott International</t>
        </is>
      </c>
      <c r="C63" s="12" t="inlineStr">
        <is>
          <t>MAR</t>
        </is>
      </c>
      <c r="D63" s="11" t="inlineStr">
        <is>
          <t>Alberghiero</t>
        </is>
      </c>
      <c r="E63" s="13" t="inlineStr">
        <is>
          <t>Consumi</t>
        </is>
      </c>
      <c r="F63" s="14" t="n">
        <v>398.74</v>
      </c>
      <c r="G63" s="15" t="inlineStr">
        <is>
          <t>USD</t>
        </is>
      </c>
      <c r="H63" s="14" t="n">
        <v>356.9121770837212</v>
      </c>
      <c r="I63" s="16" t="n">
        <v>93070.61909413015</v>
      </c>
      <c r="J63" s="16" t="n">
        <v>103977.9</v>
      </c>
      <c r="K63" s="14" t="n">
        <v>9.66</v>
      </c>
      <c r="L63" s="14" t="n">
        <v>13.16172</v>
      </c>
      <c r="M63" s="17">
        <f>IF(OR(F63="",K63="",K63&lt;=0),"",F63/K63)</f>
        <v/>
      </c>
      <c r="N63" s="18" t="n">
        <v>-23.069891</v>
      </c>
      <c r="O63" s="19">
        <f>IF(OR(N63="",M63="",M63&lt;=0),"",N63/M63)</f>
        <v/>
      </c>
      <c r="P63" s="20" t="n">
        <v>4.151408450704225</v>
      </c>
      <c r="Q63" s="20" t="n">
        <v>4.151408450704225</v>
      </c>
      <c r="R63" s="20" t="n"/>
      <c r="S63" s="21" t="n">
        <v>1</v>
      </c>
      <c r="T63" s="20" t="n"/>
      <c r="U63" s="20" t="n"/>
      <c r="V63" s="20" t="n"/>
      <c r="W63" s="20" t="n"/>
      <c r="X63" s="20" t="n">
        <v>4.151408450704225</v>
      </c>
      <c r="Y63" s="14" t="n">
        <v>2.92</v>
      </c>
      <c r="Z63" s="19">
        <f>IF(OR(Y63="",F63="",F63=0),"",Y63/F63)</f>
        <v/>
      </c>
      <c r="AA63" s="22" t="n"/>
      <c r="AB63" s="20" t="n">
        <v>0.111</v>
      </c>
      <c r="AC63" s="20" t="n">
        <v>0.09879325074467273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2026-10-29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GE Aerospace</t>
        </is>
      </c>
      <c r="C64" s="12" t="inlineStr">
        <is>
          <t>GE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311.37</v>
      </c>
      <c r="G64" s="15" t="inlineStr">
        <is>
          <t>USD</t>
        </is>
      </c>
      <c r="H64" s="14" t="n">
        <v>278.707289408031</v>
      </c>
      <c r="I64" s="16" t="n">
        <v>289176.2000784823</v>
      </c>
      <c r="J64" s="16" t="n">
        <v>323065.8</v>
      </c>
      <c r="K64" s="14" t="n">
        <v>8.75</v>
      </c>
      <c r="L64" s="14" t="n">
        <v>9.31296</v>
      </c>
      <c r="M64" s="17">
        <f>IF(OR(F64="",K64="",K64&lt;=0),"",F64/K64)</f>
        <v/>
      </c>
      <c r="N64" s="18" t="n">
        <v>18.36341</v>
      </c>
      <c r="O64" s="19">
        <f>IF(OR(N64="",M64="",M64&lt;=0),"",N64/M64)</f>
        <v/>
      </c>
      <c r="P64" s="20" t="n">
        <v>0.50165004</v>
      </c>
      <c r="Q64" s="20" t="n">
        <v>0.290242814454953</v>
      </c>
      <c r="R64" s="20" t="n">
        <v>0.1695110836679429</v>
      </c>
      <c r="S64" s="21" t="n">
        <v>4</v>
      </c>
      <c r="T64" s="20" t="n"/>
      <c r="U64" s="20" t="n">
        <v>0.4660277346468919</v>
      </c>
      <c r="V64" s="20" t="n">
        <v>0.3389515044979837</v>
      </c>
      <c r="W64" s="20" t="n">
        <v>0.3460205087034267</v>
      </c>
      <c r="X64" s="20" t="n">
        <v>0.009971509971509971</v>
      </c>
      <c r="Y64" s="14" t="n">
        <v>1.88</v>
      </c>
      <c r="Z64" s="19">
        <f>IF(OR(Y64="",F64="",F64=0),"",Y64/F64)</f>
        <v/>
      </c>
      <c r="AA64" s="22" t="n">
        <v>115.989</v>
      </c>
      <c r="AB64" s="20" t="n">
        <v>0.159</v>
      </c>
      <c r="AC64" s="20" t="n">
        <v>0.200676041260495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2026-10-29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Johnson &amp; Johnson</t>
        </is>
      </c>
      <c r="C65" s="12" t="inlineStr">
        <is>
          <t>JNJ</t>
        </is>
      </c>
      <c r="D65" s="11" t="inlineStr">
        <is>
          <t>Farmaceutica</t>
        </is>
      </c>
      <c r="E65" s="13" t="inlineStr">
        <is>
          <t>Salute</t>
        </is>
      </c>
      <c r="F65" s="14" t="n">
        <v>274.1619</v>
      </c>
      <c r="G65" s="15" t="inlineStr">
        <is>
          <t>USD</t>
        </is>
      </c>
      <c r="H65" s="14" t="n">
        <v>245.402318810276</v>
      </c>
      <c r="I65" s="16" t="n">
        <v>590759.4708741618</v>
      </c>
      <c r="J65" s="16" t="n">
        <v>659992.7</v>
      </c>
      <c r="K65" s="14" t="n">
        <v>6.59</v>
      </c>
      <c r="L65" s="14" t="n">
        <v>11.61786</v>
      </c>
      <c r="M65" s="17">
        <f>IF(OR(F65="",K65="",K65&lt;=0),"",F65/K65)</f>
        <v/>
      </c>
      <c r="N65" s="18" t="n">
        <v>8.094535</v>
      </c>
      <c r="O65" s="19">
        <f>IF(OR(N65="",M65="",M65&lt;=0),"",N65/M65)</f>
        <v/>
      </c>
      <c r="P65" s="20" t="n">
        <v>0.20018</v>
      </c>
      <c r="Q65" s="20" t="n">
        <v>0.3175483250119345</v>
      </c>
      <c r="R65" s="20" t="n">
        <v>0.1216970967224712</v>
      </c>
      <c r="S65" s="21" t="n">
        <v>4</v>
      </c>
      <c r="T65" s="20" t="n"/>
      <c r="U65" s="20" t="n">
        <v>0.3287059746885117</v>
      </c>
      <c r="V65" s="20" t="n">
        <v>0.1967547908798433</v>
      </c>
      <c r="W65" s="20" t="n">
        <v>0.5111379300316981</v>
      </c>
      <c r="X65" s="20" t="n">
        <v>0.233594604447685</v>
      </c>
      <c r="Y65" s="14" t="n">
        <v>5.36</v>
      </c>
      <c r="Z65" s="19">
        <f>IF(OR(Y65="",F65="",F65=0),"",Y65/F65)</f>
        <v/>
      </c>
      <c r="AA65" s="22" t="n">
        <v>54.767</v>
      </c>
      <c r="AB65" s="20" t="n">
        <v>0.059</v>
      </c>
      <c r="AC65" s="20" t="n">
        <v>0.1708725653923328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2026-10-29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925.76</v>
      </c>
      <c r="G66" s="15" t="inlineStr">
        <is>
          <t>USD</t>
        </is>
      </c>
      <c r="H66" s="14" t="n">
        <v>828.6477831595168</v>
      </c>
      <c r="I66" s="16" t="n">
        <v>104502.7468829037</v>
      </c>
      <c r="J66" s="16" t="n">
        <v>116749.8</v>
      </c>
      <c r="K66" s="14" t="n">
        <v>28.48</v>
      </c>
      <c r="L66" s="14" t="n">
        <v>39.74666</v>
      </c>
      <c r="M66" s="17">
        <f>IF(OR(F66="",K66="",K66&lt;=0),"",F66/K66)</f>
        <v/>
      </c>
      <c r="N66" s="18" t="n">
        <v>7.5784445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2026-10-29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PACCAR</t>
        </is>
      </c>
      <c r="C67" s="12" t="inlineStr">
        <is>
          <t>PCAR</t>
        </is>
      </c>
      <c r="D67" s="11" t="inlineStr">
        <is>
          <t>Veicoli industriali</t>
        </is>
      </c>
      <c r="E67" s="13" t="inlineStr">
        <is>
          <t>Industriale</t>
        </is>
      </c>
      <c r="F67" s="14" t="n">
        <v>101.48</v>
      </c>
      <c r="G67" s="15" t="inlineStr">
        <is>
          <t>USD</t>
        </is>
      </c>
      <c r="H67" s="14" t="n">
        <v>90.83474878481223</v>
      </c>
      <c r="I67" s="16" t="n">
        <v>47824.47733320348</v>
      </c>
      <c r="J67" s="16" t="n">
        <v>53429.2</v>
      </c>
      <c r="K67" s="14" t="n">
        <v>5.24</v>
      </c>
      <c r="L67" s="14" t="n">
        <v>6.88187</v>
      </c>
      <c r="M67" s="17">
        <f>IF(OR(F67="",K67="",K67&lt;=0),"",F67/K67)</f>
        <v/>
      </c>
      <c r="N67" s="18" t="n">
        <v>2.5527635</v>
      </c>
      <c r="O67" s="19">
        <f>IF(OR(N67="",M67="",M67&lt;=0),"",N67/M67)</f>
        <v/>
      </c>
      <c r="P67" s="20" t="n">
        <v>0.13706</v>
      </c>
      <c r="Q67" s="20" t="n">
        <v>0.2198824319294773</v>
      </c>
      <c r="R67" s="20" t="n">
        <v>0.06041575921139673</v>
      </c>
      <c r="S67" s="21" t="n">
        <v>4</v>
      </c>
      <c r="T67" s="20" t="n"/>
      <c r="U67" s="20" t="n">
        <v>0.123328488372093</v>
      </c>
      <c r="V67" s="20" t="n">
        <v>0.2377348359789569</v>
      </c>
      <c r="W67" s="20" t="n">
        <v>0.2897448169886893</v>
      </c>
      <c r="X67" s="20" t="n">
        <v>0.2287215863781698</v>
      </c>
      <c r="Y67" s="14" t="n">
        <v>1.4</v>
      </c>
      <c r="Z67" s="19">
        <f>IF(OR(Y67="",F67="",F67=0),"",Y67/F67)</f>
        <v/>
      </c>
      <c r="AA67" s="22" t="n">
        <v>79.12</v>
      </c>
      <c r="AB67" s="20" t="n">
        <v>0.19</v>
      </c>
      <c r="AC67" s="20" t="n">
        <v>0.09708980537743278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2026-10-29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Wells Fargo</t>
        </is>
      </c>
      <c r="C68" s="12" t="inlineStr">
        <is>
          <t>WFC</t>
        </is>
      </c>
      <c r="D68" s="11" t="inlineStr">
        <is>
          <t>Banca</t>
        </is>
      </c>
      <c r="E68" s="13" t="inlineStr">
        <is>
          <t>Finanziario</t>
        </is>
      </c>
      <c r="F68" s="14" t="n">
        <v>84.48</v>
      </c>
      <c r="G68" s="15" t="inlineStr">
        <is>
          <t>USD</t>
        </is>
      </c>
      <c r="H68" s="14" t="n">
        <v>75.61804865333994</v>
      </c>
      <c r="I68" s="16" t="n">
        <v>226994.0500912286</v>
      </c>
      <c r="J68" s="16" t="n">
        <v>253596.3</v>
      </c>
      <c r="K68" s="14" t="n">
        <v>7.09</v>
      </c>
      <c r="L68" s="14" t="n">
        <v>8.011520000000001</v>
      </c>
      <c r="M68" s="17">
        <f>IF(OR(F68="",K68="",K68&lt;=0),"",F68/K68)</f>
        <v/>
      </c>
      <c r="N68" s="18" t="n">
        <v>1.5982443</v>
      </c>
      <c r="O68" s="19">
        <f>IF(OR(N68="",M68="",M68&lt;=0),"",N68/M68)</f>
        <v/>
      </c>
      <c r="P68" s="20" t="n">
        <v>0.1291</v>
      </c>
      <c r="Q68" s="20" t="n">
        <v>0.1017166869476873</v>
      </c>
      <c r="R68" s="20" t="n">
        <v>0.01579883207450957</v>
      </c>
      <c r="S68" s="21" t="n">
        <v>4</v>
      </c>
      <c r="T68" s="20" t="n"/>
      <c r="U68" s="20" t="n">
        <v>0.1178133471733741</v>
      </c>
      <c r="V68" s="20" t="n">
        <v>0.1101049575703439</v>
      </c>
      <c r="W68" s="20" t="n">
        <v>0.1030608124478424</v>
      </c>
      <c r="X68" s="20" t="n">
        <v>0.07588763059918881</v>
      </c>
      <c r="Y68" s="14" t="n">
        <v>2</v>
      </c>
      <c r="Z68" s="19">
        <f>IF(OR(Y68="",F68="",F68=0),"",Y68/F68)</f>
        <v/>
      </c>
      <c r="AA68" s="22" t="n"/>
      <c r="AB68" s="20" t="n">
        <v>0.004</v>
      </c>
      <c r="AC68" s="20" t="n">
        <v>0.2625718340243013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2026-10-29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American Tower</t>
        </is>
      </c>
      <c r="C69" s="12" t="inlineStr">
        <is>
          <t>AMT</t>
        </is>
      </c>
      <c r="D69" s="11" t="inlineStr">
        <is>
          <t>REIT / Torri</t>
        </is>
      </c>
      <c r="E69" s="13" t="inlineStr">
        <is>
          <t>Immobiliare</t>
        </is>
      </c>
      <c r="F69" s="14" t="n">
        <v>185.355</v>
      </c>
      <c r="G69" s="15" t="inlineStr">
        <is>
          <t>USD</t>
        </is>
      </c>
      <c r="H69" s="14" t="n">
        <v>165.9112619334733</v>
      </c>
      <c r="I69" s="16" t="n">
        <v>76943.60225479271</v>
      </c>
      <c r="J69" s="16" t="n">
        <v>85960.89999999999</v>
      </c>
      <c r="K69" s="14" t="n">
        <v>7.1</v>
      </c>
      <c r="L69" s="14" t="n">
        <v>6.99519</v>
      </c>
      <c r="M69" s="17">
        <f>IF(OR(F69="",K69="",K69&lt;=0),"",F69/K69)</f>
        <v/>
      </c>
      <c r="N69" s="18" t="n">
        <v>24.466076</v>
      </c>
      <c r="O69" s="19">
        <f>IF(OR(N69="",M69="",M69&lt;=0),"",N69/M69)</f>
        <v/>
      </c>
      <c r="P69" s="20" t="n">
        <v>0.32959998</v>
      </c>
      <c r="Q69" s="20" t="n">
        <v>0.5073666137979995</v>
      </c>
      <c r="R69" s="20" t="n">
        <v>0.172987839167374</v>
      </c>
      <c r="S69" s="21" t="n">
        <v>4</v>
      </c>
      <c r="T69" s="20" t="n"/>
      <c r="U69" s="20" t="n">
        <v>0.692539356605065</v>
      </c>
      <c r="V69" s="20" t="n">
        <v>0.6667257997752942</v>
      </c>
      <c r="W69" s="20" t="n">
        <v>0.353318088704683</v>
      </c>
      <c r="X69" s="20" t="n">
        <v>0.3168832101069557</v>
      </c>
      <c r="Y69" s="14" t="n">
        <v>7.16</v>
      </c>
      <c r="Z69" s="19">
        <f>IF(OR(Y69="",F69="",F69=0),"",Y69/F69)</f>
        <v/>
      </c>
      <c r="AA69" s="22" t="n">
        <v>463.814</v>
      </c>
      <c r="AB69" s="20" t="n">
        <v>0.025</v>
      </c>
      <c r="AC69" s="20" t="n">
        <v>0.3112845859872612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2026-10-29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Micron Technology</t>
        </is>
      </c>
      <c r="C70" s="12" t="inlineStr">
        <is>
          <t>MU</t>
        </is>
      </c>
      <c r="D70" s="11" t="inlineStr">
        <is>
          <t>Semiconduttori / Memorie</t>
        </is>
      </c>
      <c r="E70" s="13" t="inlineStr">
        <is>
          <t>Tecnologia</t>
        </is>
      </c>
      <c r="F70" s="14" t="n">
        <v>932.14</v>
      </c>
      <c r="G70" s="15" t="inlineStr">
        <is>
          <t>USD</t>
        </is>
      </c>
      <c r="H70" s="14" t="n">
        <v>834.3585212088576</v>
      </c>
      <c r="I70" s="16" t="n">
        <v>944012.6581462693</v>
      </c>
      <c r="J70" s="16" t="n">
        <v>1054644.9</v>
      </c>
      <c r="K70" s="14" t="n">
        <v>74.33</v>
      </c>
      <c r="L70" s="14" t="n">
        <v>207.80438</v>
      </c>
      <c r="M70" s="17">
        <f>IF(OR(F70="",K70="",K70&lt;=0),"",F70/K70)</f>
        <v/>
      </c>
      <c r="N70" s="18" t="n">
        <v>7.618635</v>
      </c>
      <c r="O70" s="19">
        <f>IF(OR(N70="",M70="",M70&lt;=0),"",N70/M70)</f>
        <v/>
      </c>
      <c r="P70" s="20" t="n">
        <v>0.8826000000000001</v>
      </c>
      <c r="Q70" s="20" t="n">
        <v>0.1641786213008407</v>
      </c>
      <c r="R70" s="20" t="n">
        <v>0.2792176449178719</v>
      </c>
      <c r="S70" s="21" t="n">
        <v>4</v>
      </c>
      <c r="T70" s="20" t="n">
        <v>0.6140354680657329</v>
      </c>
      <c r="U70" s="20" t="n">
        <v>0.1576479276285424</v>
      </c>
      <c r="V70" s="20" t="n">
        <v>0.0172387051029226</v>
      </c>
      <c r="W70" s="20" t="n">
        <v>-0.132207615593835</v>
      </c>
      <c r="X70" s="20" t="n">
        <v>0.1740637585909792</v>
      </c>
      <c r="Y70" s="14" t="n">
        <v>0.6</v>
      </c>
      <c r="Z70" s="19">
        <f>IF(OR(Y70="",F70="",F70=0),"",Y70/F70)</f>
        <v/>
      </c>
      <c r="AA70" s="22" t="n">
        <v>3.743</v>
      </c>
      <c r="AB70" s="20" t="n">
        <v>3.793</v>
      </c>
      <c r="AC70" s="20" t="n">
        <v>0.6379628559930324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2026-10-29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Morgan Stanley</t>
        </is>
      </c>
      <c r="C71" s="12" t="inlineStr">
        <is>
          <t>MS</t>
        </is>
      </c>
      <c r="D71" s="11" t="inlineStr">
        <is>
          <t>Banca d'investimento</t>
        </is>
      </c>
      <c r="E71" s="13" t="inlineStr">
        <is>
          <t>Finanziario</t>
        </is>
      </c>
      <c r="F71" s="14" t="n">
        <v>190.495</v>
      </c>
      <c r="G71" s="15" t="inlineStr">
        <is>
          <t>USD</t>
        </is>
      </c>
      <c r="H71" s="14" t="n">
        <v>170.5120759732243</v>
      </c>
      <c r="I71" s="16" t="n">
        <v>266851.3317655955</v>
      </c>
      <c r="J71" s="16" t="n">
        <v>298124.6</v>
      </c>
      <c r="K71" s="14" t="n">
        <v>12.61</v>
      </c>
      <c r="L71" s="14" t="n">
        <v>13.65112</v>
      </c>
      <c r="M71" s="17">
        <f>IF(OR(F71="",K71="",K71&lt;=0),"",F71/K71)</f>
        <v/>
      </c>
      <c r="N71" s="18" t="n">
        <v>2.8096192</v>
      </c>
      <c r="O71" s="19">
        <f>IF(OR(N71="",M71="",M71&lt;=0),"",N71/M71)</f>
        <v/>
      </c>
      <c r="P71" s="20" t="n">
        <v>0.1870536981439717</v>
      </c>
      <c r="Q71" s="20" t="n">
        <v>0.1202621939362582</v>
      </c>
      <c r="R71" s="20" t="n">
        <v>0.02193423207360017</v>
      </c>
      <c r="S71" s="21" t="n">
        <v>4</v>
      </c>
      <c r="T71" s="20" t="n"/>
      <c r="U71" s="20" t="n">
        <v>0.1510409201662606</v>
      </c>
      <c r="V71" s="20" t="n">
        <v>0.1281204849250318</v>
      </c>
      <c r="W71" s="20" t="n">
        <v>0.09175266059492317</v>
      </c>
      <c r="X71" s="20" t="n">
        <v>0.1101347100588171</v>
      </c>
      <c r="Y71" s="14" t="n">
        <v>4.6</v>
      </c>
      <c r="Z71" s="19">
        <f>IF(OR(Y71="",F71="",F71=0),"",Y71/F71)</f>
        <v/>
      </c>
      <c r="AA71" s="22" t="n">
        <v>517.282</v>
      </c>
      <c r="AB71" s="20" t="n">
        <v>0.108</v>
      </c>
      <c r="AC71" s="20" t="n">
        <v>0.300882264924355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2026-10-29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Citigroup</t>
        </is>
      </c>
      <c r="C72" s="12" t="inlineStr">
        <is>
          <t>C</t>
        </is>
      </c>
      <c r="D72" s="11" t="inlineStr">
        <is>
          <t>Banca</t>
        </is>
      </c>
      <c r="E72" s="13" t="inlineStr">
        <is>
          <t>Finanziario</t>
        </is>
      </c>
      <c r="F72" s="14" t="n">
        <v>125.66</v>
      </c>
      <c r="G72" s="15" t="inlineStr">
        <is>
          <t>USD</t>
        </is>
      </c>
      <c r="H72" s="14" t="n">
        <v>112.4782669718122</v>
      </c>
      <c r="I72" s="16" t="n">
        <v>186173.9988485433</v>
      </c>
      <c r="J72" s="16" t="n">
        <v>207992.4</v>
      </c>
      <c r="K72" s="14" t="n">
        <v>10.26</v>
      </c>
      <c r="L72" s="14" t="n">
        <v>13.064</v>
      </c>
      <c r="M72" s="17">
        <f>IF(OR(F72="",K72="",K72&lt;=0),"",F72/K72)</f>
        <v/>
      </c>
      <c r="N72" s="18" t="n">
        <v>1.0869209</v>
      </c>
      <c r="O72" s="19">
        <f>IF(OR(N72="",M72="",M72&lt;=0),"",N72/M72)</f>
        <v/>
      </c>
      <c r="P72" s="20" t="n">
        <v>0.09353</v>
      </c>
      <c r="Q72" s="20" t="n">
        <v>0.06172167956388333</v>
      </c>
      <c r="R72" s="20" t="n">
        <v>0.01073520173144264</v>
      </c>
      <c r="S72" s="21" t="n">
        <v>4</v>
      </c>
      <c r="T72" s="20" t="n"/>
      <c r="U72" s="20" t="n">
        <v>0.06738863164241536</v>
      </c>
      <c r="V72" s="20" t="n">
        <v>0.06079636429879481</v>
      </c>
      <c r="W72" s="20" t="n">
        <v>0.04491538210685656</v>
      </c>
      <c r="X72" s="20" t="n">
        <v>0.07378634020746661</v>
      </c>
      <c r="Y72" s="14" t="n">
        <v>2.68</v>
      </c>
      <c r="Z72" s="19">
        <f>IF(OR(Y72="",F72="",F72=0),"",Y72/F72)</f>
        <v/>
      </c>
      <c r="AA72" s="22" t="n"/>
      <c r="AB72" s="20" t="n">
        <v>0.08</v>
      </c>
      <c r="AC72" s="20" t="n">
        <v>0.2096041586142959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2026-10-29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Blackstone</t>
        </is>
      </c>
      <c r="C73" s="12" t="inlineStr">
        <is>
          <t>BX</t>
        </is>
      </c>
      <c r="D73" s="11" t="inlineStr">
        <is>
          <t>Private equity</t>
        </is>
      </c>
      <c r="E73" s="13" t="inlineStr">
        <is>
          <t>Finanziario</t>
        </is>
      </c>
      <c r="F73" s="14" t="n">
        <v>119.305</v>
      </c>
      <c r="G73" s="15" t="inlineStr">
        <is>
          <t>USD</t>
        </is>
      </c>
      <c r="H73" s="14" t="n">
        <v>106.7899064226648</v>
      </c>
      <c r="I73" s="16" t="n">
        <v>127645.7366028592</v>
      </c>
      <c r="J73" s="16" t="n">
        <v>142605</v>
      </c>
      <c r="K73" s="14" t="n">
        <v>4.49</v>
      </c>
      <c r="L73" s="14" t="n">
        <v>7.37845</v>
      </c>
      <c r="M73" s="17">
        <f>IF(OR(F73="",K73="",K73&lt;=0),"",F73/K73)</f>
        <v/>
      </c>
      <c r="N73" s="18" t="n">
        <v>10.7958555</v>
      </c>
      <c r="O73" s="19">
        <f>IF(OR(N73="",M73="",M73&lt;=0),"",N73/M73)</f>
        <v/>
      </c>
      <c r="P73" s="20" t="n">
        <v>0.32381</v>
      </c>
      <c r="Q73" s="20" t="n">
        <v>0.2797041245748269</v>
      </c>
      <c r="R73" s="20" t="n">
        <v>0.06422837139830108</v>
      </c>
      <c r="S73" s="21" t="n">
        <v>4</v>
      </c>
      <c r="T73" s="20" t="n"/>
      <c r="U73" s="20" t="n">
        <v>0.3484167031522379</v>
      </c>
      <c r="V73" s="20" t="n">
        <v>0.3380905349413399</v>
      </c>
      <c r="W73" s="20" t="n">
        <v>0.2040371447122241</v>
      </c>
      <c r="X73" s="20" t="n">
        <v>0.2282721154935056</v>
      </c>
      <c r="Y73" s="14" t="n">
        <v>5.23</v>
      </c>
      <c r="Z73" s="19">
        <f>IF(OR(Y73="",F73="",F73=0),"",Y73/F73)</f>
        <v/>
      </c>
      <c r="AA73" s="22" t="n">
        <v>67.536</v>
      </c>
      <c r="AB73" s="20" t="n">
        <v>-0.005</v>
      </c>
      <c r="AC73" s="20" t="n">
        <v>0.286582398792201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2026-10-29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Qualcomm</t>
        </is>
      </c>
      <c r="C74" s="12" t="inlineStr">
        <is>
          <t>QCOM</t>
        </is>
      </c>
      <c r="D74" s="11" t="inlineStr">
        <is>
          <t>Semiconduttori</t>
        </is>
      </c>
      <c r="E74" s="13" t="inlineStr">
        <is>
          <t>Tecnologia</t>
        </is>
      </c>
      <c r="F74" s="14" t="n">
        <v>183.645</v>
      </c>
      <c r="G74" s="15" t="inlineStr">
        <is>
          <t>USD</t>
        </is>
      </c>
      <c r="H74" s="14" t="n">
        <v>164.3806409202487</v>
      </c>
      <c r="I74" s="16" t="n">
        <v>175532.1548565978</v>
      </c>
      <c r="J74" s="16" t="n">
        <v>196103.4</v>
      </c>
      <c r="K74" s="14" t="n">
        <v>8.640000000000001</v>
      </c>
      <c r="L74" s="14" t="n">
        <v>10.18637</v>
      </c>
      <c r="M74" s="17">
        <f>IF(OR(F74="",K74="",K74&lt;=0),"",F74/K74)</f>
        <v/>
      </c>
      <c r="N74" s="18" t="n">
        <v>7.018191</v>
      </c>
      <c r="O74" s="19">
        <f>IF(OR(N74="",M74="",M74&lt;=0),"",N74/M74)</f>
        <v/>
      </c>
      <c r="P74" s="20" t="n">
        <v>0.33754003</v>
      </c>
      <c r="Q74" s="20" t="n">
        <v>0.4251401367558992</v>
      </c>
      <c r="R74" s="20" t="n">
        <v>0.1748827626991776</v>
      </c>
      <c r="S74" s="21" t="n">
        <v>4</v>
      </c>
      <c r="T74" s="20" t="n"/>
      <c r="U74" s="20" t="n">
        <v>0.2612939734037537</v>
      </c>
      <c r="V74" s="20" t="n">
        <v>0.386008982263835</v>
      </c>
      <c r="W74" s="20" t="n">
        <v>0.3351095871368333</v>
      </c>
      <c r="X74" s="20" t="n">
        <v>0.718148004219175</v>
      </c>
      <c r="Y74" s="14" t="n">
        <v>3.68</v>
      </c>
      <c r="Z74" s="19">
        <f>IF(OR(Y74="",F74="",F74=0),"",Y74/F74)</f>
        <v/>
      </c>
      <c r="AA74" s="22" t="n">
        <v>55.21</v>
      </c>
      <c r="AB74" s="20" t="n">
        <v>-0.04</v>
      </c>
      <c r="AC74" s="20" t="n">
        <v>0.2091048743564267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2026-10-29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NextEra Energy</t>
        </is>
      </c>
      <c r="C75" s="12" t="inlineStr">
        <is>
          <t>NEE</t>
        </is>
      </c>
      <c r="D75" s="11" t="inlineStr">
        <is>
          <t>Utility / Rinnovabili</t>
        </is>
      </c>
      <c r="E75" s="13" t="inlineStr">
        <is>
          <t>Utility</t>
        </is>
      </c>
      <c r="F75" s="14" t="n">
        <v>81.95999999999999</v>
      </c>
      <c r="G75" s="15" t="inlineStr">
        <is>
          <t>USD</t>
        </is>
      </c>
      <c r="H75" s="14" t="n">
        <v>73.36239663385111</v>
      </c>
      <c r="I75" s="16" t="n">
        <v>153863.3948493798</v>
      </c>
      <c r="J75" s="16" t="n">
        <v>171895.2</v>
      </c>
      <c r="K75" s="14" t="n">
        <v>5.55</v>
      </c>
      <c r="L75" s="14" t="n">
        <v>4.37788</v>
      </c>
      <c r="M75" s="17">
        <f>IF(OR(F75="",K75="",K75&lt;=0),"",F75/K75)</f>
        <v/>
      </c>
      <c r="N75" s="18" t="n">
        <v>2.7951708</v>
      </c>
      <c r="O75" s="19">
        <f>IF(OR(N75="",M75="",M75&lt;=0),"",N75/M75)</f>
        <v/>
      </c>
      <c r="P75" s="20" t="n">
        <v>0.14064</v>
      </c>
      <c r="Q75" s="20" t="n">
        <v>0.1308789630201321</v>
      </c>
      <c r="R75" s="20" t="n">
        <v>0.01775346387851813</v>
      </c>
      <c r="S75" s="21" t="n">
        <v>4</v>
      </c>
      <c r="T75" s="20" t="n"/>
      <c r="U75" s="20" t="n">
        <v>0.1251648110167008</v>
      </c>
      <c r="V75" s="20" t="n">
        <v>0.138639947306441</v>
      </c>
      <c r="W75" s="20" t="n">
        <v>0.1539984831886745</v>
      </c>
      <c r="X75" s="20" t="n">
        <v>0.1057126105687119</v>
      </c>
      <c r="Y75" s="14" t="n">
        <v>2.49</v>
      </c>
      <c r="Z75" s="19">
        <f>IF(OR(Y75="",F75="",F75=0),"",Y75/F75)</f>
        <v/>
      </c>
      <c r="AA75" s="22" t="n">
        <v>153.254</v>
      </c>
      <c r="AB75" s="20" t="n">
        <v>0.016</v>
      </c>
      <c r="AC75" s="20" t="n">
        <v>0.4245221141106085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2026-10-29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Nucor</t>
        </is>
      </c>
      <c r="C76" s="12" t="inlineStr">
        <is>
          <t>NUE</t>
        </is>
      </c>
      <c r="D76" s="11" t="inlineStr">
        <is>
          <t>Acciaio</t>
        </is>
      </c>
      <c r="E76" s="13" t="inlineStr">
        <is>
          <t>Materiali</t>
        </is>
      </c>
      <c r="F76" s="14" t="n">
        <v>275.6</v>
      </c>
      <c r="G76" s="15" t="inlineStr">
        <is>
          <t>USD</t>
        </is>
      </c>
      <c r="H76" s="14" t="n">
        <v>246.6895621313978</v>
      </c>
      <c r="I76" s="16" t="n">
        <v>55967.82867356204</v>
      </c>
      <c r="J76" s="16" t="n">
        <v>62526.9</v>
      </c>
      <c r="K76" s="14" t="n">
        <v>15.7</v>
      </c>
      <c r="L76" s="14" t="n">
        <v>21.01599</v>
      </c>
      <c r="M76" s="17">
        <f>IF(OR(F76="",K76="",K76&lt;=0),"",F76/K76)</f>
        <v/>
      </c>
      <c r="N76" s="18" t="n">
        <v>2.7353482</v>
      </c>
      <c r="O76" s="19">
        <f>IF(OR(N76="",M76="",M76&lt;=0),"",N76/M76)</f>
        <v/>
      </c>
      <c r="P76" s="20" t="n">
        <v>0.17583</v>
      </c>
      <c r="Q76" s="20" t="n">
        <v>0.2030927127527553</v>
      </c>
      <c r="R76" s="20" t="n">
        <v>0.1315978865605651</v>
      </c>
      <c r="S76" s="21" t="n">
        <v>4</v>
      </c>
      <c r="T76" s="20" t="n"/>
      <c r="U76" s="20" t="n">
        <v>0.08330149025601834</v>
      </c>
      <c r="V76" s="20" t="n">
        <v>0.09988173844486055</v>
      </c>
      <c r="W76" s="20" t="n">
        <v>0.2160936007640879</v>
      </c>
      <c r="X76" s="20" t="n">
        <v>0.4130940215460545</v>
      </c>
      <c r="Y76" s="14" t="n">
        <v>2.24</v>
      </c>
      <c r="Z76" s="19">
        <f>IF(OR(Y76="",F76="",F76=0),"",Y76/F76)</f>
        <v/>
      </c>
      <c r="AA76" s="22" t="n">
        <v>29.443</v>
      </c>
      <c r="AB76" s="20" t="n">
        <v>0.32</v>
      </c>
      <c r="AC76" s="20" t="n">
        <v>0.110451158244599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2026-10-29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Eaton</t>
        </is>
      </c>
      <c r="C77" s="12" t="inlineStr">
        <is>
          <t>ETN</t>
        </is>
      </c>
      <c r="D77" s="11" t="inlineStr">
        <is>
          <t>Elettrificazione</t>
        </is>
      </c>
      <c r="E77" s="13" t="inlineStr">
        <is>
          <t>Industriale</t>
        </is>
      </c>
      <c r="F77" s="14" t="n">
        <v>390.8301</v>
      </c>
      <c r="G77" s="15" t="inlineStr">
        <is>
          <t>USD</t>
        </is>
      </c>
      <c r="H77" s="14" t="n">
        <v>349.8320255325487</v>
      </c>
      <c r="I77" s="16" t="n">
        <v>135839.7506036554</v>
      </c>
      <c r="J77" s="16" t="n">
        <v>151759.3</v>
      </c>
      <c r="K77" s="14" t="n">
        <v>9.83</v>
      </c>
      <c r="L77" s="14" t="n">
        <v>16.29552</v>
      </c>
      <c r="M77" s="17">
        <f>IF(OR(F77="",K77="",K77&lt;=0),"",F77/K77)</f>
        <v/>
      </c>
      <c r="N77" s="18" t="n">
        <v>7.4947767</v>
      </c>
      <c r="O77" s="19">
        <f>IF(OR(N77="",M77="",M77&lt;=0),"",N77/M77)</f>
        <v/>
      </c>
      <c r="P77" s="20" t="n">
        <v>0.19684</v>
      </c>
      <c r="Q77" s="20" t="n">
        <v>0.182290452743209</v>
      </c>
      <c r="R77" s="20" t="n">
        <v>0.02701399831554398</v>
      </c>
      <c r="S77" s="21" t="n">
        <v>4</v>
      </c>
      <c r="T77" s="20" t="n"/>
      <c r="U77" s="20" t="n">
        <v>0.2103989703989704</v>
      </c>
      <c r="V77" s="20" t="n">
        <v>0.2052141929900476</v>
      </c>
      <c r="W77" s="20" t="n">
        <v>0.1690481193528052</v>
      </c>
      <c r="X77" s="20" t="n">
        <v>0.144500528231013</v>
      </c>
      <c r="Y77" s="14" t="n">
        <v>4.4</v>
      </c>
      <c r="Z77" s="19">
        <f>IF(OR(Y77="",F77="",F77=0),"",Y77/F77)</f>
        <v/>
      </c>
      <c r="AA77" s="22" t="n">
        <v>105.059</v>
      </c>
      <c r="AB77" s="20" t="n">
        <v>0.214</v>
      </c>
      <c r="AC77" s="20" t="n">
        <v>0.1395001433984261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2026-10-29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Ecolab</t>
        </is>
      </c>
      <c r="C78" s="12" t="inlineStr">
        <is>
          <t>ECL</t>
        </is>
      </c>
      <c r="D78" s="11" t="inlineStr">
        <is>
          <t>Chimica specialistica</t>
        </is>
      </c>
      <c r="E78" s="13" t="inlineStr">
        <is>
          <t>Materiali</t>
        </is>
      </c>
      <c r="F78" s="14" t="n">
        <v>300.7</v>
      </c>
      <c r="G78" s="15" t="inlineStr">
        <is>
          <t>USD</t>
        </is>
      </c>
      <c r="H78" s="14" t="n">
        <v>269.1565723255128</v>
      </c>
      <c r="I78" s="16" t="n">
        <v>75452.27613190767</v>
      </c>
      <c r="J78" s="16" t="n">
        <v>84294.8</v>
      </c>
      <c r="K78" s="14" t="n">
        <v>7.35</v>
      </c>
      <c r="L78" s="14" t="n">
        <v>9.4049</v>
      </c>
      <c r="M78" s="17">
        <f>IF(OR(F78="",K78="",K78&lt;=0),"",F78/K78)</f>
        <v/>
      </c>
      <c r="N78" s="18" t="n">
        <v>8.08877</v>
      </c>
      <c r="O78" s="19">
        <f>IF(OR(N78="",M78="",M78&lt;=0),"",N78/M78)</f>
        <v/>
      </c>
      <c r="P78" s="20" t="n">
        <v>0.20767</v>
      </c>
      <c r="Q78" s="20" t="n">
        <v>0.1937744228136611</v>
      </c>
      <c r="R78" s="20" t="n">
        <v>0.03527525358757358</v>
      </c>
      <c r="S78" s="21" t="n">
        <v>4</v>
      </c>
      <c r="T78" s="20" t="n"/>
      <c r="U78" s="20" t="n">
        <v>0.2124288696933721</v>
      </c>
      <c r="V78" s="20" t="n">
        <v>0.2412158998778162</v>
      </c>
      <c r="W78" s="20" t="n">
        <v>0.1705843598891195</v>
      </c>
      <c r="X78" s="20" t="n">
        <v>0.1508685617943367</v>
      </c>
      <c r="Y78" s="14" t="n">
        <v>2.92</v>
      </c>
      <c r="Z78" s="19">
        <f>IF(OR(Y78="",F78="",F78=0),"",Y78/F78)</f>
        <v/>
      </c>
      <c r="AA78" s="22" t="n">
        <v>131.714</v>
      </c>
      <c r="AB78" s="20" t="n">
        <v>0.127</v>
      </c>
      <c r="AC78" s="20" t="n">
        <v>0.1295114812327438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2026-10-29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Norfolk Southern</t>
        </is>
      </c>
      <c r="C79" s="12" t="inlineStr">
        <is>
          <t>NSC</t>
        </is>
      </c>
      <c r="D79" s="11" t="inlineStr">
        <is>
          <t>Ferrovie</t>
        </is>
      </c>
      <c r="E79" s="13" t="inlineStr">
        <is>
          <t>Industriale</t>
        </is>
      </c>
      <c r="F79" s="14" t="n">
        <v>340.74</v>
      </c>
      <c r="G79" s="15" t="inlineStr">
        <is>
          <t>USD</t>
        </is>
      </c>
      <c r="H79" s="14" t="n">
        <v>304.9963766351687</v>
      </c>
      <c r="I79" s="16" t="n">
        <v>68507.28468190294</v>
      </c>
      <c r="J79" s="16" t="n">
        <v>76535.89999999999</v>
      </c>
      <c r="K79" s="14" t="n">
        <v>11.93</v>
      </c>
      <c r="L79" s="14" t="n">
        <v>14.50035</v>
      </c>
      <c r="M79" s="17">
        <f>IF(OR(F79="",K79="",K79&lt;=0),"",F79/K79)</f>
        <v/>
      </c>
      <c r="N79" s="18" t="n">
        <v>4.574796</v>
      </c>
      <c r="O79" s="19">
        <f>IF(OR(N79="",M79="",M79&lt;=0),"",N79/M79)</f>
        <v/>
      </c>
      <c r="P79" s="20" t="n">
        <v>0.16843</v>
      </c>
      <c r="Q79" s="20" t="n">
        <v>0.1919584509394721</v>
      </c>
      <c r="R79" s="20" t="n">
        <v>0.04103328172323672</v>
      </c>
      <c r="S79" s="21" t="n">
        <v>4</v>
      </c>
      <c r="T79" s="20" t="n"/>
      <c r="U79" s="20" t="n">
        <v>0.1847944941146202</v>
      </c>
      <c r="V79" s="20" t="n">
        <v>0.1832797427652733</v>
      </c>
      <c r="W79" s="20" t="n">
        <v>0.1429465613019326</v>
      </c>
      <c r="X79" s="20" t="n">
        <v>0.2568130055760622</v>
      </c>
      <c r="Y79" s="14" t="n">
        <v>5.4</v>
      </c>
      <c r="Z79" s="19">
        <f>IF(OR(Y79="",F79="",F79=0),"",Y79/F79)</f>
        <v/>
      </c>
      <c r="AA79" s="22" t="n">
        <v>102.493</v>
      </c>
      <c r="AB79" s="20" t="n">
        <v>0.136</v>
      </c>
      <c r="AC79" s="20" t="n">
        <v>0.22011493727422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2026-10-29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ConocoPhillips</t>
        </is>
      </c>
      <c r="C80" s="12" t="inlineStr">
        <is>
          <t>COP</t>
        </is>
      </c>
      <c r="D80" s="11" t="inlineStr">
        <is>
          <t>Esplorazione e produzione</t>
        </is>
      </c>
      <c r="E80" s="13" t="inlineStr">
        <is>
          <t>Energia</t>
        </is>
      </c>
      <c r="F80" s="14" t="n">
        <v>149.72</v>
      </c>
      <c r="G80" s="15" t="inlineStr">
        <is>
          <t>USD</t>
        </is>
      </c>
      <c r="H80" s="14" t="n">
        <v>134.0143731578842</v>
      </c>
      <c r="I80" s="16" t="n">
        <v>160996.4468110093</v>
      </c>
      <c r="J80" s="16" t="n">
        <v>179864.2</v>
      </c>
      <c r="K80" s="14" t="n">
        <v>7.55</v>
      </c>
      <c r="L80" s="14" t="n">
        <v>10.75049</v>
      </c>
      <c r="M80" s="17">
        <f>IF(OR(F80="",K80="",K80&lt;=0),"",F80/K80)</f>
        <v/>
      </c>
      <c r="N80" s="18" t="n">
        <v>2.7523577</v>
      </c>
      <c r="O80" s="19">
        <f>IF(OR(N80="",M80="",M80&lt;=0),"",N80/M80)</f>
        <v/>
      </c>
      <c r="P80" s="20" t="n">
        <v>0.1418</v>
      </c>
      <c r="Q80" s="20" t="n">
        <v>0.2195092664055975</v>
      </c>
      <c r="R80" s="20" t="n">
        <v>0.1046819831646029</v>
      </c>
      <c r="S80" s="21" t="n">
        <v>4</v>
      </c>
      <c r="T80" s="20" t="n"/>
      <c r="U80" s="20" t="n">
        <v>0.1238699272721634</v>
      </c>
      <c r="V80" s="20" t="n">
        <v>0.1426785604049633</v>
      </c>
      <c r="W80" s="20" t="n">
        <v>0.222346232675176</v>
      </c>
      <c r="X80" s="20" t="n">
        <v>0.3891423452700873</v>
      </c>
      <c r="Y80" s="14" t="n">
        <v>3.36</v>
      </c>
      <c r="Z80" s="19">
        <f>IF(OR(Y80="",F80="",F80=0),"",Y80/F80)</f>
        <v/>
      </c>
      <c r="AA80" s="22" t="n">
        <v>35.639</v>
      </c>
      <c r="AB80" s="20" t="n">
        <v>0.355</v>
      </c>
      <c r="AC80" s="20" t="n">
        <v>0.1569795092290988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2026-10-29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Deere &amp; Company</t>
        </is>
      </c>
      <c r="C81" s="12" t="inlineStr">
        <is>
          <t>DE</t>
        </is>
      </c>
      <c r="D81" s="11" t="inlineStr">
        <is>
          <t>Macchine agricole</t>
        </is>
      </c>
      <c r="E81" s="13" t="inlineStr">
        <is>
          <t>Industriale</t>
        </is>
      </c>
      <c r="F81" s="14" t="n">
        <v>659.505</v>
      </c>
      <c r="G81" s="15" t="inlineStr">
        <is>
          <t>USD</t>
        </is>
      </c>
      <c r="H81" s="14" t="n">
        <v>590.3229306003901</v>
      </c>
      <c r="I81" s="16" t="n">
        <v>159166.0568051947</v>
      </c>
      <c r="J81" s="16" t="n">
        <v>177819.3</v>
      </c>
      <c r="K81" s="14" t="n">
        <v>17.99</v>
      </c>
      <c r="L81" s="14" t="n">
        <v>22.77821</v>
      </c>
      <c r="M81" s="17">
        <f>IF(OR(F81="",K81="",K81&lt;=0),"",F81/K81)</f>
        <v/>
      </c>
      <c r="N81" s="18" t="n">
        <v>6.3529396</v>
      </c>
      <c r="O81" s="19">
        <f>IF(OR(N81="",M81="",M81&lt;=0),"",N81/M81)</f>
        <v/>
      </c>
      <c r="P81" s="20" t="n">
        <v>0.18242</v>
      </c>
      <c r="Q81" s="20" t="n">
        <v>0.3308055602273648</v>
      </c>
      <c r="R81" s="20" t="n">
        <v>0.09758236298151571</v>
      </c>
      <c r="S81" s="21" t="n">
        <v>4</v>
      </c>
      <c r="T81" s="20" t="n"/>
      <c r="U81" s="20" t="n">
        <v>0.193718689788054</v>
      </c>
      <c r="V81" s="20" t="n">
        <v>0.3109125941495884</v>
      </c>
      <c r="W81" s="20" t="n">
        <v>0.4666513656185449</v>
      </c>
      <c r="X81" s="20" t="n">
        <v>0.3519395913532721</v>
      </c>
      <c r="Y81" s="14" t="n">
        <v>6.48</v>
      </c>
      <c r="Z81" s="19">
        <f>IF(OR(Y81="",F81="",F81=0),"",Y81/F81)</f>
        <v/>
      </c>
      <c r="AA81" s="22" t="n">
        <v>230.298</v>
      </c>
      <c r="AB81" s="20" t="n">
        <v>0.049</v>
      </c>
      <c r="AC81" s="20" t="n">
        <v>0.1091010844285235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2026-10-29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Intuit</t>
        </is>
      </c>
      <c r="C82" s="12" t="inlineStr">
        <is>
          <t>INTU</t>
        </is>
      </c>
      <c r="D82" s="11" t="inlineStr">
        <is>
          <t>Software</t>
        </is>
      </c>
      <c r="E82" s="13" t="inlineStr">
        <is>
          <t>Tecnologia</t>
        </is>
      </c>
      <c r="F82" s="14" t="n">
        <v>329.99</v>
      </c>
      <c r="G82" s="15" t="inlineStr">
        <is>
          <t>USD</t>
        </is>
      </c>
      <c r="H82" s="14" t="n">
        <v>295.3740515520318</v>
      </c>
      <c r="I82" s="16" t="n">
        <v>78934.5732019947</v>
      </c>
      <c r="J82" s="16" t="n">
        <v>88185.2</v>
      </c>
      <c r="K82" s="14" t="n">
        <v>16.46</v>
      </c>
      <c r="L82" s="14" t="n">
        <v>26.94382</v>
      </c>
      <c r="M82" s="17">
        <f>IF(OR(F82="",K82="",K82&lt;=0),"",F82/K82)</f>
        <v/>
      </c>
      <c r="N82" s="18" t="n">
        <v>4.6632466</v>
      </c>
      <c r="O82" s="19">
        <f>IF(OR(N82="",M82="",M82&lt;=0),"",N82/M82)</f>
        <v/>
      </c>
      <c r="P82" s="20" t="n">
        <v>0.23596</v>
      </c>
      <c r="Q82" s="20" t="n">
        <v>0.183870579164923</v>
      </c>
      <c r="R82" s="20" t="n">
        <v>0.03868908414297412</v>
      </c>
      <c r="S82" s="21" t="n">
        <v>4</v>
      </c>
      <c r="T82" s="20" t="n">
        <v>0.2404170176916597</v>
      </c>
      <c r="U82" s="20" t="n">
        <v>0.1962962962962963</v>
      </c>
      <c r="V82" s="20" t="n">
        <v>0.1607181601215014</v>
      </c>
      <c r="W82" s="20" t="n">
        <v>0.1380508425502345</v>
      </c>
      <c r="X82" s="20" t="n">
        <v>0.125661456115808</v>
      </c>
      <c r="Y82" s="14" t="n">
        <v>5.52</v>
      </c>
      <c r="Z82" s="19">
        <f>IF(OR(Y82="",F82="",F82=0),"",Y82/F82)</f>
        <v/>
      </c>
      <c r="AA82" s="22" t="n">
        <v>44.34</v>
      </c>
      <c r="AB82" s="20" t="n">
        <v>0.137</v>
      </c>
      <c r="AC82" s="20" t="n">
        <v>0.2128869884371503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2026-10-29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Williams Companies</t>
        </is>
      </c>
      <c r="C83" s="12" t="inlineStr">
        <is>
          <t>WMB</t>
        </is>
      </c>
      <c r="D83" s="11" t="inlineStr">
        <is>
          <t>Gasdotti</t>
        </is>
      </c>
      <c r="E83" s="13" t="inlineStr">
        <is>
          <t>Energia</t>
        </is>
      </c>
      <c r="F83" s="14" t="n">
        <v>74.715</v>
      </c>
      <c r="G83" s="15" t="inlineStr">
        <is>
          <t>USD</t>
        </is>
      </c>
      <c r="H83" s="14" t="n">
        <v>66.87739707782072</v>
      </c>
      <c r="I83" s="16" t="n">
        <v>81802.29460677183</v>
      </c>
      <c r="J83" s="16" t="n">
        <v>91389</v>
      </c>
      <c r="K83" s="14" t="n">
        <v>2.51</v>
      </c>
      <c r="L83" s="14" t="n">
        <v>2.62027</v>
      </c>
      <c r="M83" s="17">
        <f>IF(OR(F83="",K83="",K83&lt;=0),"",F83/K83)</f>
        <v/>
      </c>
      <c r="N83" s="18" t="n">
        <v>6.9463553</v>
      </c>
      <c r="O83" s="19">
        <f>IF(OR(N83="",M83="",M83&lt;=0),"",N83/M83)</f>
        <v/>
      </c>
      <c r="P83" s="20" t="n">
        <v>0.21503</v>
      </c>
      <c r="Q83" s="20" t="n">
        <v>0.2045179374667133</v>
      </c>
      <c r="R83" s="20" t="n">
        <v>0.03170850933970622</v>
      </c>
      <c r="S83" s="21" t="n">
        <v>4</v>
      </c>
      <c r="T83" s="20" t="n"/>
      <c r="U83" s="20" t="n">
        <v>0.2044194581088467</v>
      </c>
      <c r="V83" s="20" t="n">
        <v>0.1789160501769058</v>
      </c>
      <c r="W83" s="20" t="n">
        <v>0.2563296242541526</v>
      </c>
      <c r="X83" s="20" t="n">
        <v>0.1784066173269482</v>
      </c>
      <c r="Y83" s="14" t="n">
        <v>2.1</v>
      </c>
      <c r="Z83" s="19">
        <f>IF(OR(Y83="",F83="",F83=0),"",Y83/F83)</f>
        <v/>
      </c>
      <c r="AA83" s="22" t="n">
        <v>200.371</v>
      </c>
      <c r="AB83" s="20" t="n">
        <v>0.078</v>
      </c>
      <c r="AC83" s="20" t="n">
        <v>0.2569037764016737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2026-10-29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Regeneron</t>
        </is>
      </c>
      <c r="C84" s="12" t="inlineStr">
        <is>
          <t>REGN</t>
        </is>
      </c>
      <c r="D84" s="11" t="inlineStr">
        <is>
          <t>Biotecnologie</t>
        </is>
      </c>
      <c r="E84" s="13" t="inlineStr">
        <is>
          <t>Salute</t>
        </is>
      </c>
      <c r="F84" s="14" t="n">
        <v>813.29</v>
      </c>
      <c r="G84" s="15" t="inlineStr">
        <is>
          <t>USD</t>
        </is>
      </c>
      <c r="H84" s="14" t="n">
        <v>727.9758852897116</v>
      </c>
      <c r="I84" s="16" t="n">
        <v>74948.78237755748</v>
      </c>
      <c r="J84" s="16" t="n">
        <v>83732.3</v>
      </c>
      <c r="K84" s="14" t="n">
        <v>40.44</v>
      </c>
      <c r="L84" s="14" t="n">
        <v>62.8191</v>
      </c>
      <c r="M84" s="17">
        <f>IF(OR(F84="",K84="",K84&lt;=0),"",F84/K84)</f>
        <v/>
      </c>
      <c r="N84" s="18" t="n">
        <v>2.5727987</v>
      </c>
      <c r="O84" s="19">
        <f>IF(OR(N84="",M84="",M84&lt;=0),"",N84/M84)</f>
        <v/>
      </c>
      <c r="P84" s="20" t="n">
        <v>0.14043</v>
      </c>
      <c r="Q84" s="20" t="n">
        <v>0.1595230520456649</v>
      </c>
      <c r="R84" s="20" t="n">
        <v>0.01865889297829353</v>
      </c>
      <c r="S84" s="21" t="n">
        <v>4</v>
      </c>
      <c r="T84" s="20" t="n"/>
      <c r="U84" s="20" t="n">
        <v>0.1441249772050331</v>
      </c>
      <c r="V84" s="20" t="n">
        <v>0.1503256840728224</v>
      </c>
      <c r="W84" s="20" t="n">
        <v>0.1522190266082986</v>
      </c>
      <c r="X84" s="20" t="n">
        <v>0.1914225202965055</v>
      </c>
      <c r="Y84" s="14" t="n">
        <v>3.76</v>
      </c>
      <c r="Z84" s="19">
        <f>IF(OR(Y84="",F84="",F84=0),"",Y84/F84)</f>
        <v/>
      </c>
      <c r="AA84" s="22" t="n">
        <v>8.535</v>
      </c>
      <c r="AB84" s="20" t="n">
        <v>0.167</v>
      </c>
      <c r="AC84" s="20" t="n">
        <v>0.301800884339987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2026-10-29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Cummins</t>
        </is>
      </c>
      <c r="C85" s="12" t="inlineStr">
        <is>
          <t>CMI</t>
        </is>
      </c>
      <c r="D85" s="11" t="inlineStr">
        <is>
          <t>Motori</t>
        </is>
      </c>
      <c r="E85" s="13" t="inlineStr">
        <is>
          <t>Industriale</t>
        </is>
      </c>
      <c r="F85" s="14" t="n">
        <v>516.83</v>
      </c>
      <c r="G85" s="15" t="inlineStr">
        <is>
          <t>USD</t>
        </is>
      </c>
      <c r="H85" s="14" t="n">
        <v>462.6145369969896</v>
      </c>
      <c r="I85" s="16" t="n">
        <v>63835.75774154094</v>
      </c>
      <c r="J85" s="16" t="n">
        <v>71316.89999999999</v>
      </c>
      <c r="K85" s="14" t="n">
        <v>19.57</v>
      </c>
      <c r="L85" s="14" t="n">
        <v>34.81221</v>
      </c>
      <c r="M85" s="17">
        <f>IF(OR(F85="",K85="",K85&lt;=0),"",F85/K85)</f>
        <v/>
      </c>
      <c r="N85" s="18" t="n">
        <v>5.5381966</v>
      </c>
      <c r="O85" s="19">
        <f>IF(OR(N85="",M85="",M85&lt;=0),"",N85/M85)</f>
        <v/>
      </c>
      <c r="P85" s="20" t="n">
        <v>0.21114</v>
      </c>
      <c r="Q85" s="20" t="n">
        <v>0.2342815370053821</v>
      </c>
      <c r="R85" s="20" t="n">
        <v>0.106522642649389</v>
      </c>
      <c r="S85" s="21" t="n">
        <v>4</v>
      </c>
      <c r="T85" s="20" t="n"/>
      <c r="U85" s="20" t="n">
        <v>0.2302210705320269</v>
      </c>
      <c r="V85" s="20" t="n">
        <v>0.3841884918703145</v>
      </c>
      <c r="W85" s="20" t="n">
        <v>0.08305084745762711</v>
      </c>
      <c r="X85" s="20" t="n">
        <v>0.2396657381615599</v>
      </c>
      <c r="Y85" s="14" t="n">
        <v>8.800000000000001</v>
      </c>
      <c r="Z85" s="19">
        <f>IF(OR(Y85="",F85="",F85=0),"",Y85/F85)</f>
        <v/>
      </c>
      <c r="AA85" s="22" t="n">
        <v>59.586</v>
      </c>
      <c r="AB85" s="20" t="n">
        <v>0.094</v>
      </c>
      <c r="AC85" s="20" t="n">
        <v>0.08063558253638253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2026-10-29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Vertiv Holdings</t>
        </is>
      </c>
      <c r="C86" s="12" t="inlineStr">
        <is>
          <t>VRT</t>
        </is>
      </c>
      <c r="D86" s="11" t="inlineStr">
        <is>
          <t>Infrastrutture data center</t>
        </is>
      </c>
      <c r="E86" s="13" t="inlineStr">
        <is>
          <t>Industriale</t>
        </is>
      </c>
      <c r="F86" s="14" t="n">
        <v>248.28</v>
      </c>
      <c r="G86" s="15" t="inlineStr">
        <is>
          <t>USD</t>
        </is>
      </c>
      <c r="H86" s="14" t="n">
        <v>222.2354299201141</v>
      </c>
      <c r="I86" s="16" t="n">
        <v>85566.81670929729</v>
      </c>
      <c r="J86" s="16" t="n">
        <v>95594.7</v>
      </c>
      <c r="K86" s="14" t="n">
        <v>5.35</v>
      </c>
      <c r="L86" s="14" t="n">
        <v>9.452030000000001</v>
      </c>
      <c r="M86" s="17">
        <f>IF(OR(F86="",K86="",K86&lt;=0),"",F86/K86)</f>
        <v/>
      </c>
      <c r="N86" s="18" t="n">
        <v>17.374388</v>
      </c>
      <c r="O86" s="19">
        <f>IF(OR(N86="",M86="",M86&lt;=0),"",N86/M86)</f>
        <v/>
      </c>
      <c r="P86" s="20" t="n">
        <v>0.46567002</v>
      </c>
      <c r="Q86" s="20" t="n">
        <v>0.2058394575908118</v>
      </c>
      <c r="R86" s="20" t="n">
        <v>0.1016672316552922</v>
      </c>
      <c r="S86" s="21" t="n">
        <v>4</v>
      </c>
      <c r="T86" s="20" t="n"/>
      <c r="U86" s="20" t="n">
        <v>0.3381625352041205</v>
      </c>
      <c r="V86" s="20" t="n">
        <v>0.2036725136589574</v>
      </c>
      <c r="W86" s="20" t="n">
        <v>0.2283984316839545</v>
      </c>
      <c r="X86" s="20" t="n">
        <v>0.05312434981621472</v>
      </c>
      <c r="Y86" s="14" t="n">
        <v>0.25</v>
      </c>
      <c r="Z86" s="19">
        <f>IF(OR(Y86="",F86="",F86=0),"",Y86/F86)</f>
        <v/>
      </c>
      <c r="AA86" s="22" t="n">
        <v>59.4</v>
      </c>
      <c r="AB86" s="20" t="n">
        <v>0.612</v>
      </c>
      <c r="AC86" s="20" t="n">
        <v>0.15995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2026-10-29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Exelon</t>
        </is>
      </c>
      <c r="C87" s="12" t="inlineStr">
        <is>
          <t>EXC</t>
        </is>
      </c>
      <c r="D87" s="11" t="inlineStr">
        <is>
          <t>Utility / Reti</t>
        </is>
      </c>
      <c r="E87" s="13" t="inlineStr">
        <is>
          <t>Utility</t>
        </is>
      </c>
      <c r="F87" s="14" t="n">
        <v>45.91</v>
      </c>
      <c r="G87" s="15" t="inlineStr">
        <is>
          <t>USD</t>
        </is>
      </c>
      <c r="H87" s="14" t="n">
        <v>41.09404135505251</v>
      </c>
      <c r="I87" s="16" t="n">
        <v>42337.33526579457</v>
      </c>
      <c r="J87" s="16" t="n">
        <v>47299</v>
      </c>
      <c r="K87" s="14" t="n">
        <v>2.72</v>
      </c>
      <c r="L87" s="14" t="n">
        <v>3.03214</v>
      </c>
      <c r="M87" s="17">
        <f>IF(OR(F87="",K87="",K87&lt;=0),"",F87/K87)</f>
        <v/>
      </c>
      <c r="N87" s="18" t="n">
        <v>1.5957594</v>
      </c>
      <c r="O87" s="19">
        <f>IF(OR(N87="",M87="",M87&lt;=0),"",N87/M87)</f>
        <v/>
      </c>
      <c r="P87" s="20" t="n">
        <v>0.09711</v>
      </c>
      <c r="Q87" s="20" t="n">
        <v>0.09139612675562522</v>
      </c>
      <c r="R87" s="20" t="n">
        <v>0.003040648385819987</v>
      </c>
      <c r="S87" s="21" t="n">
        <v>4</v>
      </c>
      <c r="T87" s="20" t="n"/>
      <c r="U87" s="20" t="n">
        <v>0.09611778595735815</v>
      </c>
      <c r="V87" s="20" t="n">
        <v>0.09137847776828498</v>
      </c>
      <c r="W87" s="20" t="n">
        <v>0.09039021549213745</v>
      </c>
      <c r="X87" s="20" t="n">
        <v>0.08769802780472033</v>
      </c>
      <c r="Y87" s="14" t="n">
        <v>1.68</v>
      </c>
      <c r="Z87" s="19">
        <f>IF(OR(Y87="",F87="",F87=0),"",Y87/F87)</f>
        <v/>
      </c>
      <c r="AA87" s="22" t="n">
        <v>177.362</v>
      </c>
      <c r="AB87" s="20" t="n">
        <v>0.099</v>
      </c>
      <c r="AC87" s="20" t="n">
        <v>0.1147250418006431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2026-10-29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Walmart</t>
        </is>
      </c>
      <c r="C88" s="12" t="inlineStr">
        <is>
          <t>WMT</t>
        </is>
      </c>
      <c r="D88" s="11" t="inlineStr">
        <is>
          <t>Grande distribuzione</t>
        </is>
      </c>
      <c r="E88" s="13" t="inlineStr">
        <is>
          <t>Consumi</t>
        </is>
      </c>
      <c r="F88" s="14" t="n">
        <v>121.11</v>
      </c>
      <c r="G88" s="15" t="inlineStr">
        <is>
          <t>USD</t>
        </is>
      </c>
      <c r="H88" s="14" t="n">
        <v>108.4055619366241</v>
      </c>
      <c r="I88" s="16" t="n">
        <v>860062.2130309375</v>
      </c>
      <c r="J88" s="16" t="n">
        <v>960856</v>
      </c>
      <c r="K88" s="14" t="n">
        <v>2.76</v>
      </c>
      <c r="L88" s="14" t="n">
        <v>3.22645</v>
      </c>
      <c r="M88" s="17">
        <f>IF(OR(F88="",K88="",K88&lt;=0),"",F88/K88)</f>
        <v/>
      </c>
      <c r="N88" s="18" t="n">
        <v>9.791413</v>
      </c>
      <c r="O88" s="19">
        <f>IF(OR(N88="",M88="",M88&lt;=0),"",N88/M88)</f>
        <v/>
      </c>
      <c r="P88" s="20" t="n">
        <v>0.22313999</v>
      </c>
      <c r="Q88" s="20" t="n">
        <v>0.1926449949502596</v>
      </c>
      <c r="R88" s="20" t="n">
        <v>0.02673988363519914</v>
      </c>
      <c r="S88" s="21" t="n">
        <v>4</v>
      </c>
      <c r="T88" s="20" t="n">
        <v>0.2197717257094673</v>
      </c>
      <c r="U88" s="20" t="n">
        <v>0.2135519101666795</v>
      </c>
      <c r="V88" s="20" t="n">
        <v>0.1849608280368705</v>
      </c>
      <c r="W88" s="20" t="n">
        <v>0.1522955158880211</v>
      </c>
      <c r="X88" s="20" t="n"/>
      <c r="Y88" s="14" t="n">
        <v>0.99</v>
      </c>
      <c r="Z88" s="19">
        <f>IF(OR(Y88="",F88="",F88=0),"",Y88/F88)</f>
        <v/>
      </c>
      <c r="AA88" s="22" t="n">
        <v>71.65300000000001</v>
      </c>
      <c r="AB88" s="20" t="n">
        <v>0.059</v>
      </c>
      <c r="AC88" s="20" t="n">
        <v>0.03095505551465794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2026-10-29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General Dynamics</t>
        </is>
      </c>
      <c r="C89" s="12" t="inlineStr">
        <is>
          <t>GD</t>
        </is>
      </c>
      <c r="D89" s="11" t="inlineStr">
        <is>
          <t>Difesa</t>
        </is>
      </c>
      <c r="E89" s="13" t="inlineStr">
        <is>
          <t>Industriale</t>
        </is>
      </c>
      <c r="F89" s="14" t="n">
        <v>369.805</v>
      </c>
      <c r="G89" s="15" t="inlineStr">
        <is>
          <t>USD</t>
        </is>
      </c>
      <c r="H89" s="14" t="n">
        <v>331.0124583599476</v>
      </c>
      <c r="I89" s="16" t="n">
        <v>89557.79911377937</v>
      </c>
      <c r="J89" s="16" t="n">
        <v>100053.4</v>
      </c>
      <c r="K89" s="14" t="n">
        <v>16.39</v>
      </c>
      <c r="L89" s="14" t="n">
        <v>18.62244</v>
      </c>
      <c r="M89" s="17">
        <f>IF(OR(F89="",K89="",K89&lt;=0),"",F89/K89)</f>
        <v/>
      </c>
      <c r="N89" s="18" t="n">
        <v>3.7241187</v>
      </c>
      <c r="O89" s="19">
        <f>IF(OR(N89="",M89="",M89&lt;=0),"",N89/M89)</f>
        <v/>
      </c>
      <c r="P89" s="20" t="n">
        <v>0.17803</v>
      </c>
      <c r="Q89" s="20" t="n">
        <v>0.1684858520025267</v>
      </c>
      <c r="R89" s="20" t="n">
        <v>0.009867017273558338</v>
      </c>
      <c r="S89" s="21" t="n">
        <v>4</v>
      </c>
      <c r="T89" s="20" t="n"/>
      <c r="U89" s="20" t="n">
        <v>0.1643119194442276</v>
      </c>
      <c r="V89" s="20" t="n">
        <v>0.1714182114852921</v>
      </c>
      <c r="W89" s="20" t="n">
        <v>0.1556411099112635</v>
      </c>
      <c r="X89" s="20" t="n">
        <v>0.1825721671693236</v>
      </c>
      <c r="Y89" s="14" t="n">
        <v>6.36</v>
      </c>
      <c r="Z89" s="19">
        <f>IF(OR(Y89="",F89="",F89=0),"",Y89/F89)</f>
        <v/>
      </c>
      <c r="AA89" s="22" t="n">
        <v>35.335</v>
      </c>
      <c r="AB89" s="20" t="n">
        <v>0.081</v>
      </c>
      <c r="AC89" s="20" t="n">
        <v>0.08538534850618458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2026-10-29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Intuitive Surgical</t>
        </is>
      </c>
      <c r="C90" s="12" t="inlineStr">
        <is>
          <t>ISRG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448.605</v>
      </c>
      <c r="G90" s="15" t="inlineStr">
        <is>
          <t>USD</t>
        </is>
      </c>
      <c r="H90" s="14" t="n">
        <v>401.5463389693604</v>
      </c>
      <c r="I90" s="16" t="n">
        <v>141857.5079556488</v>
      </c>
      <c r="J90" s="16" t="n">
        <v>158482.3</v>
      </c>
      <c r="K90" s="14" t="n">
        <v>8.27</v>
      </c>
      <c r="L90" s="14" t="n">
        <v>12.4521</v>
      </c>
      <c r="M90" s="17">
        <f>IF(OR(F90="",K90="",K90&lt;=0),"",F90/K90)</f>
        <v/>
      </c>
      <c r="N90" s="18" t="n">
        <v>9.726274999999999</v>
      </c>
      <c r="O90" s="19">
        <f>IF(OR(N90="",M90="",M90&lt;=0),"",N90/M90)</f>
        <v/>
      </c>
      <c r="P90" s="20" t="n">
        <v>0.17932</v>
      </c>
      <c r="Q90" s="20" t="n">
        <v>0.1391071575445574</v>
      </c>
      <c r="R90" s="20" t="n">
        <v>0.01450708906843886</v>
      </c>
      <c r="S90" s="21" t="n">
        <v>4</v>
      </c>
      <c r="T90" s="20" t="n"/>
      <c r="U90" s="20" t="n">
        <v>0.1602333931777379</v>
      </c>
      <c r="V90" s="20" t="n">
        <v>0.1413315321564833</v>
      </c>
      <c r="W90" s="20" t="n">
        <v>0.135110763774084</v>
      </c>
      <c r="X90" s="20" t="n">
        <v>0.1197529410699246</v>
      </c>
      <c r="Y90" s="14" t="n"/>
      <c r="Z90" s="19">
        <f>IF(OR(Y90="",F90="",F90=0),"",Y90/F90)</f>
        <v/>
      </c>
      <c r="AA90" s="22" t="n"/>
      <c r="AB90" s="20" t="n">
        <v>0.217</v>
      </c>
      <c r="AC90" s="20" t="n">
        <v>0.2938189784096893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2026-10-29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IBM</t>
        </is>
      </c>
      <c r="C91" s="12" t="inlineStr">
        <is>
          <t>IBM</t>
        </is>
      </c>
      <c r="D91" s="11" t="inlineStr">
        <is>
          <t>Servizi IT</t>
        </is>
      </c>
      <c r="E91" s="13" t="inlineStr">
        <is>
          <t>Tecnologia</t>
        </is>
      </c>
      <c r="F91" s="14" t="n">
        <v>255.37</v>
      </c>
      <c r="G91" s="15" t="inlineStr">
        <is>
          <t>USD</t>
        </is>
      </c>
      <c r="H91" s="14" t="n">
        <v>228.5816889749458</v>
      </c>
      <c r="I91" s="16" t="n">
        <v>216037.3099165623</v>
      </c>
      <c r="J91" s="16" t="n">
        <v>241355.5</v>
      </c>
      <c r="K91" s="14" t="n">
        <v>11.72</v>
      </c>
      <c r="L91" s="14" t="n">
        <v>13.23529</v>
      </c>
      <c r="M91" s="17">
        <f>IF(OR(F91="",K91="",K91&lt;=0),"",F91/K91)</f>
        <v/>
      </c>
      <c r="N91" s="18" t="n">
        <v>6.7917557</v>
      </c>
      <c r="O91" s="19">
        <f>IF(OR(N91="",M91="",M91&lt;=0),"",N91/M91)</f>
        <v/>
      </c>
      <c r="P91" s="20" t="n">
        <v>0.34769002</v>
      </c>
      <c r="Q91" s="20" t="n">
        <v>0.23817417040765</v>
      </c>
      <c r="R91" s="20" t="n">
        <v>0.1042197094136844</v>
      </c>
      <c r="S91" s="21" t="n">
        <v>4</v>
      </c>
      <c r="T91" s="20" t="n"/>
      <c r="U91" s="20" t="n">
        <v>0.3244609164420485</v>
      </c>
      <c r="V91" s="20" t="n">
        <v>0.2205661551983008</v>
      </c>
      <c r="W91" s="20" t="n">
        <v>0.3329339191408157</v>
      </c>
      <c r="X91" s="20" t="n">
        <v>0.07473569084943492</v>
      </c>
      <c r="Y91" s="14" t="n">
        <v>6.76</v>
      </c>
      <c r="Z91" s="19">
        <f>IF(OR(Y91="",F91="",F91=0),"",Y91/F91)</f>
        <v/>
      </c>
      <c r="AA91" s="22" t="n">
        <v>185.439</v>
      </c>
      <c r="AB91" s="20" t="n">
        <v>0.047</v>
      </c>
      <c r="AC91" s="20" t="n">
        <v>0.1652452101397773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2026-10-29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Elevance Health</t>
        </is>
      </c>
      <c r="C92" s="12" t="inlineStr">
        <is>
          <t>ELV</t>
        </is>
      </c>
      <c r="D92" s="11" t="inlineStr">
        <is>
          <t>Assicurazione sanitaria</t>
        </is>
      </c>
      <c r="E92" s="13" t="inlineStr">
        <is>
          <t>Salute</t>
        </is>
      </c>
      <c r="F92" s="14" t="n">
        <v>418.27</v>
      </c>
      <c r="G92" s="15" t="inlineStr">
        <is>
          <t>USD</t>
        </is>
      </c>
      <c r="H92" s="14" t="n">
        <v>374.3934802347596</v>
      </c>
      <c r="I92" s="16" t="n">
        <v>81194.43219151988</v>
      </c>
      <c r="J92" s="16" t="n">
        <v>90709.89999999999</v>
      </c>
      <c r="K92" s="14" t="n">
        <v>23.55</v>
      </c>
      <c r="L92" s="14" t="n">
        <v>30.2992</v>
      </c>
      <c r="M92" s="17">
        <f>IF(OR(F92="",K92="",K92&lt;=0),"",F92/K92)</f>
        <v/>
      </c>
      <c r="N92" s="18" t="n">
        <v>2.0231006</v>
      </c>
      <c r="O92" s="19">
        <f>IF(OR(N92="",M92="",M92&lt;=0),"",N92/M92)</f>
        <v/>
      </c>
      <c r="P92" s="20" t="n">
        <v>0.114829995</v>
      </c>
      <c r="Q92" s="20" t="n">
        <v>0.1471779214463593</v>
      </c>
      <c r="R92" s="20" t="n">
        <v>0.01225127753653764</v>
      </c>
      <c r="S92" s="21" t="n">
        <v>4</v>
      </c>
      <c r="T92" s="20" t="n"/>
      <c r="U92" s="20" t="n">
        <v>0.1290278474089604</v>
      </c>
      <c r="V92" s="20" t="n">
        <v>0.1447416192666102</v>
      </c>
      <c r="W92" s="20" t="n">
        <v>0.1523177123085534</v>
      </c>
      <c r="X92" s="20" t="n">
        <v>0.1626245068013134</v>
      </c>
      <c r="Y92" s="14" t="n">
        <v>6.88</v>
      </c>
      <c r="Z92" s="19">
        <f>IF(OR(Y92="",F92="",F92=0),"",Y92/F92)</f>
        <v/>
      </c>
      <c r="AA92" s="22" t="n">
        <v>68.663</v>
      </c>
      <c r="AB92" s="20" t="n">
        <v>0.014</v>
      </c>
      <c r="AC92" s="20" t="n">
        <v>0.02580790864030132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2026-10-29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Exxon Mobil</t>
        </is>
      </c>
      <c r="C93" s="12" t="inlineStr">
        <is>
          <t>XOM</t>
        </is>
      </c>
      <c r="D93" s="11" t="inlineStr">
        <is>
          <t>Petrolio integrato</t>
        </is>
      </c>
      <c r="E93" s="13" t="inlineStr">
        <is>
          <t>Energia</t>
        </is>
      </c>
      <c r="F93" s="14" t="n">
        <v>182.49</v>
      </c>
      <c r="G93" s="15" t="inlineStr">
        <is>
          <t>USD</t>
        </is>
      </c>
      <c r="H93" s="14" t="n">
        <v>163.3468004113164</v>
      </c>
      <c r="I93" s="16" t="n">
        <v>671667.6500832086</v>
      </c>
      <c r="J93" s="16" t="n">
        <v>750382.8</v>
      </c>
      <c r="K93" s="14" t="n">
        <v>7.77</v>
      </c>
      <c r="L93" s="14" t="n">
        <v>12.01328</v>
      </c>
      <c r="M93" s="17">
        <f>IF(OR(F93="",K93="",K93&lt;=0),"",F93/K93)</f>
        <v/>
      </c>
      <c r="N93" s="18" t="n">
        <v>2.892993</v>
      </c>
      <c r="O93" s="19">
        <f>IF(OR(N93="",M93="",M93&lt;=0),"",N93/M93)</f>
        <v/>
      </c>
      <c r="P93" s="20" t="n">
        <v>0.12584</v>
      </c>
      <c r="Q93" s="20" t="n">
        <v>0.1751305613408672</v>
      </c>
      <c r="R93" s="20" t="n">
        <v>0.06814950451387503</v>
      </c>
      <c r="S93" s="21" t="n">
        <v>4</v>
      </c>
      <c r="T93" s="20" t="n"/>
      <c r="U93" s="20" t="n">
        <v>0.1112010671354661</v>
      </c>
      <c r="V93" s="20" t="n">
        <v>0.1277184732940217</v>
      </c>
      <c r="W93" s="20" t="n">
        <v>0.1758283610511616</v>
      </c>
      <c r="X93" s="20" t="n">
        <v>0.2857743438828192</v>
      </c>
      <c r="Y93" s="14" t="n">
        <v>4.12</v>
      </c>
      <c r="Z93" s="19">
        <f>IF(OR(Y93="",F93="",F93=0),"",Y93/F93)</f>
        <v/>
      </c>
      <c r="AA93" s="22" t="n">
        <v>15.921</v>
      </c>
      <c r="AB93" s="20" t="n">
        <v>0.441</v>
      </c>
      <c r="AC93" s="20" t="n">
        <v>0.1011315052005989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2026-10-29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Kimberly-Clark</t>
        </is>
      </c>
      <c r="C94" s="12" t="inlineStr">
        <is>
          <t>KMB</t>
        </is>
      </c>
      <c r="D94" s="11" t="inlineStr">
        <is>
          <t>Beni per la casa</t>
        </is>
      </c>
      <c r="E94" s="13" t="inlineStr">
        <is>
          <t>Consumi</t>
        </is>
      </c>
      <c r="F94" s="14" t="n">
        <v>109.26</v>
      </c>
      <c r="G94" s="15" t="inlineStr">
        <is>
          <t>USD</t>
        </is>
      </c>
      <c r="H94" s="14" t="n">
        <v>97.79862684498013</v>
      </c>
      <c r="I94" s="16" t="n">
        <v>32463.30806048298</v>
      </c>
      <c r="J94" s="16" t="n">
        <v>36267.8</v>
      </c>
      <c r="K94" s="14" t="n">
        <v>5.07</v>
      </c>
      <c r="L94" s="14" t="n">
        <v>7.42749</v>
      </c>
      <c r="M94" s="17">
        <f>IF(OR(F94="",K94="",K94&lt;=0),"",F94/K94)</f>
        <v/>
      </c>
      <c r="N94" s="18" t="n">
        <v>20.763968</v>
      </c>
      <c r="O94" s="19">
        <f>IF(OR(N94="",M94="",M94&lt;=0),"",N94/M94)</f>
        <v/>
      </c>
      <c r="P94" s="20" t="n">
        <v>1.04913</v>
      </c>
      <c r="Q94" s="20" t="n">
        <v>2.459704758173796</v>
      </c>
      <c r="R94" s="20" t="n">
        <v>0.8670114317756352</v>
      </c>
      <c r="S94" s="21" t="n">
        <v>4</v>
      </c>
      <c r="T94" s="20" t="n"/>
      <c r="U94" s="20" t="n">
        <v>1.345539280958722</v>
      </c>
      <c r="V94" s="20" t="n">
        <v>3.029761904761905</v>
      </c>
      <c r="W94" s="20" t="n">
        <v>1.927868852459016</v>
      </c>
      <c r="X94" s="20" t="n">
        <v>3.535648994515539</v>
      </c>
      <c r="Y94" s="14" t="n">
        <v>5.12</v>
      </c>
      <c r="Z94" s="19">
        <f>IF(OR(Y94="",F94="",F94=0),"",Y94/F94)</f>
        <v/>
      </c>
      <c r="AA94" s="22" t="n">
        <v>348.933</v>
      </c>
      <c r="AB94" s="20" t="n">
        <v>0.006</v>
      </c>
      <c r="AC94" s="20" t="n">
        <v>0.1024502909953183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2026-10-29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SLB (Schlumberger)</t>
        </is>
      </c>
      <c r="C95" s="12" t="inlineStr">
        <is>
          <t>SLB</t>
        </is>
      </c>
      <c r="D95" s="11" t="inlineStr">
        <is>
          <t>Oil service</t>
        </is>
      </c>
      <c r="E95" s="13" t="inlineStr">
        <is>
          <t>Energia</t>
        </is>
      </c>
      <c r="F95" s="14" t="n">
        <v>54.01</v>
      </c>
      <c r="G95" s="15" t="inlineStr">
        <is>
          <t>USD</t>
        </is>
      </c>
      <c r="H95" s="14" t="n">
        <v>48.34435141769519</v>
      </c>
      <c r="I95" s="16" t="n">
        <v>71357.73065653078</v>
      </c>
      <c r="J95" s="16" t="n">
        <v>79720.39999999999</v>
      </c>
      <c r="K95" s="14" t="n">
        <v>2.06</v>
      </c>
      <c r="L95" s="14" t="n">
        <v>3.09306</v>
      </c>
      <c r="M95" s="17">
        <f>IF(OR(F95="",K95="",K95&lt;=0),"",F95/K95)</f>
        <v/>
      </c>
      <c r="N95" s="18" t="n">
        <v>2.9294353</v>
      </c>
      <c r="O95" s="19">
        <f>IF(OR(N95="",M95="",M95&lt;=0),"",N95/M95)</f>
        <v/>
      </c>
      <c r="P95" s="20" t="n">
        <v>0.1166</v>
      </c>
      <c r="Q95" s="20" t="n">
        <v>0.1857758605281961</v>
      </c>
      <c r="R95" s="20" t="n">
        <v>0.03323988575793588</v>
      </c>
      <c r="S95" s="21" t="n">
        <v>4</v>
      </c>
      <c r="T95" s="20" t="n"/>
      <c r="U95" s="20" t="n">
        <v>0.1292274694549772</v>
      </c>
      <c r="V95" s="20" t="n">
        <v>0.2111216280170374</v>
      </c>
      <c r="W95" s="20" t="n">
        <v>0.2081826737332211</v>
      </c>
      <c r="X95" s="20" t="n">
        <v>0.1945716709075488</v>
      </c>
      <c r="Y95" s="14" t="n">
        <v>1.18</v>
      </c>
      <c r="Z95" s="19">
        <f>IF(OR(Y95="",F95="",F95=0),"",Y95/F95)</f>
        <v/>
      </c>
      <c r="AA95" s="22" t="n">
        <v>47.036</v>
      </c>
      <c r="AB95" s="20" t="n">
        <v>0.058</v>
      </c>
      <c r="AC95" s="20" t="n">
        <v>0.08673126291027221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2026-10-29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Stryker</t>
        </is>
      </c>
      <c r="C96" s="12" t="inlineStr">
        <is>
          <t>SYK</t>
        </is>
      </c>
      <c r="D96" s="11" t="inlineStr">
        <is>
          <t>Dispositivi medicali</t>
        </is>
      </c>
      <c r="E96" s="13" t="inlineStr">
        <is>
          <t>Salute</t>
        </is>
      </c>
      <c r="F96" s="14" t="n">
        <v>311.515</v>
      </c>
      <c r="G96" s="15" t="inlineStr">
        <is>
          <t>USD</t>
        </is>
      </c>
      <c r="H96" s="14" t="n">
        <v>278.8370789091524</v>
      </c>
      <c r="I96" s="16" t="n">
        <v>106954.4258040862</v>
      </c>
      <c r="J96" s="16" t="n">
        <v>119488.8</v>
      </c>
      <c r="K96" s="14" t="n">
        <v>9.65</v>
      </c>
      <c r="L96" s="14" t="n">
        <v>16.6511</v>
      </c>
      <c r="M96" s="17">
        <f>IF(OR(F96="",K96="",K96&lt;=0),"",F96/K96)</f>
        <v/>
      </c>
      <c r="N96" s="18" t="n">
        <v>4.9812117</v>
      </c>
      <c r="O96" s="19">
        <f>IF(OR(N96="",M96="",M96&lt;=0),"",N96/M96)</f>
        <v/>
      </c>
      <c r="P96" s="20" t="n">
        <v>0.16508</v>
      </c>
      <c r="Q96" s="20" t="n">
        <v>0.150492516403552</v>
      </c>
      <c r="R96" s="20" t="n">
        <v>0.01145902874477022</v>
      </c>
      <c r="S96" s="21" t="n">
        <v>4</v>
      </c>
      <c r="T96" s="20" t="n"/>
      <c r="U96" s="20" t="n">
        <v>0.1447814451382694</v>
      </c>
      <c r="V96" s="20" t="n">
        <v>0.1450518561597364</v>
      </c>
      <c r="W96" s="20" t="n">
        <v>0.1702253536277094</v>
      </c>
      <c r="X96" s="20" t="n">
        <v>0.141911410688493</v>
      </c>
      <c r="Y96" s="14" t="n">
        <v>3.52</v>
      </c>
      <c r="Z96" s="19">
        <f>IF(OR(Y96="",F96="",F96=0),"",Y96/F96)</f>
        <v/>
      </c>
      <c r="AA96" s="22" t="n">
        <v>64.39100000000001</v>
      </c>
      <c r="AB96" s="20" t="n">
        <v>0.094</v>
      </c>
      <c r="AC96" s="20" t="n">
        <v>0.1484710915750916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2026-10-29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BlackRock</t>
        </is>
      </c>
      <c r="C97" s="12" t="inlineStr">
        <is>
          <t>BLK</t>
        </is>
      </c>
      <c r="D97" s="11" t="inlineStr">
        <is>
          <t>Risparmio gestito</t>
        </is>
      </c>
      <c r="E97" s="13" t="inlineStr">
        <is>
          <t>Finanziario</t>
        </is>
      </c>
      <c r="F97" s="14" t="n">
        <v>1166.2925</v>
      </c>
      <c r="G97" s="15" t="inlineStr">
        <is>
          <t>USD</t>
        </is>
      </c>
      <c r="H97" s="14" t="n">
        <v>1043.948425769715</v>
      </c>
      <c r="I97" s="16" t="n">
        <v>169616.7969454891</v>
      </c>
      <c r="J97" s="16" t="n">
        <v>189494.8</v>
      </c>
      <c r="K97" s="14" t="n">
        <v>43.92</v>
      </c>
      <c r="L97" s="14" t="n">
        <v>64.82592</v>
      </c>
      <c r="M97" s="17">
        <f>IF(OR(F97="",K97="",K97&lt;=0),"",F97/K97)</f>
        <v/>
      </c>
      <c r="N97" s="18" t="n">
        <v>3.1376915</v>
      </c>
      <c r="O97" s="19">
        <f>IF(OR(N97="",M97="",M97&lt;=0),"",N97/M97)</f>
        <v/>
      </c>
      <c r="P97" s="20" t="n">
        <v>0.1200718700030968</v>
      </c>
      <c r="Q97" s="20" t="n">
        <v>0.1276194741974955</v>
      </c>
      <c r="R97" s="20" t="n">
        <v>0.01644167432772636</v>
      </c>
      <c r="S97" s="21" t="n">
        <v>4</v>
      </c>
      <c r="T97" s="20" t="n"/>
      <c r="U97" s="20" t="n">
        <v>0.09935943315201833</v>
      </c>
      <c r="V97" s="20" t="n">
        <v>0.1340983261395936</v>
      </c>
      <c r="W97" s="20" t="n">
        <v>0.1398327699697563</v>
      </c>
      <c r="X97" s="20" t="n">
        <v>0.1371873675286138</v>
      </c>
      <c r="Y97" s="14" t="n">
        <v>22.92</v>
      </c>
      <c r="Z97" s="19">
        <f>IF(OR(Y97="",F97="",F97=0),"",Y97/F97)</f>
        <v/>
      </c>
      <c r="AA97" s="22" t="n">
        <v>23.192</v>
      </c>
      <c r="AB97" s="20" t="n">
        <v>0.191</v>
      </c>
      <c r="AC97" s="20" t="n">
        <v>0.2854311199207136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2026-10-29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501.685</v>
      </c>
      <c r="G98" s="15" t="inlineStr">
        <is>
          <t>USD</t>
        </is>
      </c>
      <c r="H98" s="14" t="n">
        <v>449.0582473798632</v>
      </c>
      <c r="I98" s="16" t="n">
        <v>207006.9144685397</v>
      </c>
      <c r="J98" s="16" t="n">
        <v>231266.8</v>
      </c>
      <c r="K98" s="14" t="n">
        <v>15.49</v>
      </c>
      <c r="L98" s="14" t="n">
        <v>19.5749</v>
      </c>
      <c r="M98" s="17">
        <f>IF(OR(F98="",K98="",K98&lt;=0),"",F98/K98)</f>
        <v/>
      </c>
      <c r="N98" s="18" t="n">
        <v>5.917632</v>
      </c>
      <c r="O98" s="19">
        <f>IF(OR(N98="",M98="",M98&lt;=0),"",N98/M98)</f>
        <v/>
      </c>
      <c r="P98" s="20" t="n">
        <v>0.18400998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68.947</v>
      </c>
      <c r="AB98" s="20" t="n">
        <v>0.093</v>
      </c>
      <c r="AC98" s="20" t="n">
        <v>0.2131465973047726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2026-10-29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Thermo Fisher</t>
        </is>
      </c>
      <c r="C99" s="12" t="inlineStr">
        <is>
          <t>TMO</t>
        </is>
      </c>
      <c r="D99" s="11" t="inlineStr">
        <is>
          <t>Strumentazione life science</t>
        </is>
      </c>
      <c r="E99" s="13" t="inlineStr">
        <is>
          <t>Salute</t>
        </is>
      </c>
      <c r="F99" s="14" t="n">
        <v>705.22</v>
      </c>
      <c r="G99" s="15" t="inlineStr">
        <is>
          <t>USD</t>
        </is>
      </c>
      <c r="H99" s="14" t="n">
        <v>631.2424274539346</v>
      </c>
      <c r="I99" s="16" t="n">
        <v>233400.1913365777</v>
      </c>
      <c r="J99" s="16" t="n">
        <v>260753.2</v>
      </c>
      <c r="K99" s="14" t="n">
        <v>18.96</v>
      </c>
      <c r="L99" s="14" t="n">
        <v>27.75241</v>
      </c>
      <c r="M99" s="17">
        <f>IF(OR(F99="",K99="",K99&lt;=0),"",F99/K99)</f>
        <v/>
      </c>
      <c r="N99" s="18" t="n">
        <v>4.764388</v>
      </c>
      <c r="O99" s="19">
        <f>IF(OR(N99="",M99="",M99&lt;=0),"",N99/M99)</f>
        <v/>
      </c>
      <c r="P99" s="20" t="n">
        <v>0.13379</v>
      </c>
      <c r="Q99" s="20" t="n">
        <v>0.1348992605873013</v>
      </c>
      <c r="R99" s="20" t="n">
        <v>0.0133965212757604</v>
      </c>
      <c r="S99" s="21" t="n">
        <v>4</v>
      </c>
      <c r="T99" s="20" t="n"/>
      <c r="U99" s="20" t="n">
        <v>0.1255266163611512</v>
      </c>
      <c r="V99" s="20" t="n">
        <v>0.1277604114147424</v>
      </c>
      <c r="W99" s="20" t="n">
        <v>0.1282764523376485</v>
      </c>
      <c r="X99" s="20" t="n">
        <v>0.1580335622356633</v>
      </c>
      <c r="Y99" s="14" t="n">
        <v>1.88</v>
      </c>
      <c r="Z99" s="19">
        <f>IF(OR(Y99="",F99="",F99=0),"",Y99/F99)</f>
        <v/>
      </c>
      <c r="AA99" s="22" t="n">
        <v>75.36199999999999</v>
      </c>
      <c r="AB99" s="20" t="n">
        <v>0.091</v>
      </c>
      <c r="AC99" s="20" t="n">
        <v>0.1587180465471194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2026-10-29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Oracle</t>
        </is>
      </c>
      <c r="C100" s="12" t="inlineStr">
        <is>
          <t>ORCL</t>
        </is>
      </c>
      <c r="D100" s="11" t="inlineStr">
        <is>
          <t>Software / Cloud</t>
        </is>
      </c>
      <c r="E100" s="13" t="inlineStr">
        <is>
          <t>Tecnologia</t>
        </is>
      </c>
      <c r="F100" s="14" t="n">
        <v>137.68</v>
      </c>
      <c r="G100" s="15" t="inlineStr">
        <is>
          <t>USD</t>
        </is>
      </c>
      <c r="H100" s="14" t="n">
        <v>123.2373690647709</v>
      </c>
      <c r="I100" s="16" t="n">
        <v>373539.9128673848</v>
      </c>
      <c r="J100" s="16" t="n">
        <v>417316.4</v>
      </c>
      <c r="K100" s="14" t="n">
        <v>6.38</v>
      </c>
      <c r="L100" s="14" t="n">
        <v>11.01903</v>
      </c>
      <c r="M100" s="17">
        <f>IF(OR(F100="",K100="",K100&lt;=0),"",F100/K100)</f>
        <v/>
      </c>
      <c r="N100" s="18" t="n">
        <v>6.734175</v>
      </c>
      <c r="O100" s="19">
        <f>IF(OR(N100="",M100="",M100&lt;=0),"",N100/M100)</f>
        <v/>
      </c>
      <c r="P100" s="20" t="n">
        <v>0.41192</v>
      </c>
      <c r="Q100" s="20" t="n">
        <v>2.534365642083217</v>
      </c>
      <c r="R100" s="20" t="n">
        <v>3.125849047166543</v>
      </c>
      <c r="S100" s="21" t="n">
        <v>4</v>
      </c>
      <c r="T100" s="20" t="n">
        <v>0.4019713936200245</v>
      </c>
      <c r="U100" s="20" t="n">
        <v>0.6084299056280866</v>
      </c>
      <c r="V100" s="20" t="n">
        <v>1.202550551470588</v>
      </c>
      <c r="W100" s="20" t="n">
        <v>7.924510717614166</v>
      </c>
      <c r="X100" s="20" t="n"/>
      <c r="Y100" s="14" t="n">
        <v>2</v>
      </c>
      <c r="Z100" s="19">
        <f>IF(OR(Y100="",F100="",F100=0),"",Y100/F100)</f>
        <v/>
      </c>
      <c r="AA100" s="22" t="n">
        <v>251.716</v>
      </c>
      <c r="AB100" s="20" t="n">
        <v>0.296</v>
      </c>
      <c r="AC100" s="20" t="n">
        <v>0.2781596719568865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2026-10-29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109.86</v>
      </c>
      <c r="G101" s="15" t="inlineStr">
        <is>
          <t>USD</t>
        </is>
      </c>
      <c r="H101" s="14" t="n">
        <v>98.33568684962033</v>
      </c>
      <c r="I101" s="16" t="n">
        <v>101665.5483883903</v>
      </c>
      <c r="J101" s="16" t="n">
        <v>113580.1</v>
      </c>
      <c r="K101" s="14" t="n">
        <v>1.39</v>
      </c>
      <c r="L101" s="14" t="n">
        <v>5.00166</v>
      </c>
      <c r="M101" s="17">
        <f>IF(OR(F101="",K101="",K101&lt;=0),"",F101/K101)</f>
        <v/>
      </c>
      <c r="N101" s="18" t="n">
        <v>8.874707000000001</v>
      </c>
      <c r="O101" s="19">
        <f>IF(OR(N101="",M101="",M101&lt;=0),"",N101/M101)</f>
        <v/>
      </c>
      <c r="P101" s="20" t="n">
        <v>0.14244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67.538</v>
      </c>
      <c r="AB101" s="20" t="n">
        <v>0.24</v>
      </c>
      <c r="AC101" s="20" t="n">
        <v>0.125771953607471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2026-10-29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404.5805</v>
      </c>
      <c r="G102" s="15" t="inlineStr">
        <is>
          <t>USD</t>
        </is>
      </c>
      <c r="H102" s="14" t="n">
        <v>362.1400086788896</v>
      </c>
      <c r="I102" s="16" t="n">
        <v>325055.0307484755</v>
      </c>
      <c r="J102" s="16" t="n">
        <v>363149.4</v>
      </c>
      <c r="K102" s="14" t="n">
        <v>17.52</v>
      </c>
      <c r="L102" s="14" t="n">
        <v>23.28611</v>
      </c>
      <c r="M102" s="17">
        <f>IF(OR(F102="",K102="",K102&lt;=0),"",F102/K102)</f>
        <v/>
      </c>
      <c r="N102" s="18" t="n">
        <v>3.5046213</v>
      </c>
      <c r="O102" s="19">
        <f>IF(OR(N102="",M102="",M102&lt;=0),"",N102/M102)</f>
        <v/>
      </c>
      <c r="P102" s="20" t="n">
        <v>0.15773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70.426</v>
      </c>
      <c r="AB102" s="20" t="n">
        <v>-0.004</v>
      </c>
      <c r="AC102" s="20" t="n">
        <v>0.03548965910355321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2026-10-29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American Electric Power</t>
        </is>
      </c>
      <c r="C103" s="12" t="inlineStr">
        <is>
          <t>AEP</t>
        </is>
      </c>
      <c r="D103" s="11" t="inlineStr">
        <is>
          <t>Utility</t>
        </is>
      </c>
      <c r="E103" s="13" t="inlineStr">
        <is>
          <t>Utility</t>
        </is>
      </c>
      <c r="F103" s="14" t="n">
        <v>128.97</v>
      </c>
      <c r="G103" s="15" t="inlineStr">
        <is>
          <t>USD</t>
        </is>
      </c>
      <c r="H103" s="14" t="n">
        <v>115.4410479974106</v>
      </c>
      <c r="I103" s="16" t="n">
        <v>62860.72530311667</v>
      </c>
      <c r="J103" s="16" t="n">
        <v>70227.60000000001</v>
      </c>
      <c r="K103" s="14" t="n">
        <v>6.12</v>
      </c>
      <c r="L103" s="14" t="n">
        <v>6.87694</v>
      </c>
      <c r="M103" s="17">
        <f>IF(OR(F103="",K103="",K103&lt;=0),"",F103/K103)</f>
        <v/>
      </c>
      <c r="N103" s="18" t="n">
        <v>2.1426435</v>
      </c>
      <c r="O103" s="19">
        <f>IF(OR(N103="",M103="",M103&lt;=0),"",N103/M103)</f>
        <v/>
      </c>
      <c r="P103" s="20" t="n">
        <v>0.106000006</v>
      </c>
      <c r="Q103" s="20" t="n">
        <v>0.1022771363241528</v>
      </c>
      <c r="R103" s="20" t="n">
        <v>0.01089640173381587</v>
      </c>
      <c r="S103" s="21" t="n">
        <v>4</v>
      </c>
      <c r="T103" s="20" t="n"/>
      <c r="U103" s="20" t="n">
        <v>0.1149720598625474</v>
      </c>
      <c r="V103" s="20" t="n">
        <v>0.1101172802850356</v>
      </c>
      <c r="W103" s="20" t="n">
        <v>0.08745697457489493</v>
      </c>
      <c r="X103" s="20" t="n">
        <v>0.09656223057413345</v>
      </c>
      <c r="Y103" s="14" t="n">
        <v>3.88</v>
      </c>
      <c r="Z103" s="19">
        <f>IF(OR(Y103="",F103="",F103=0),"",Y103/F103)</f>
        <v/>
      </c>
      <c r="AA103" s="22" t="n">
        <v>161.839</v>
      </c>
      <c r="AB103" s="20" t="n">
        <v>0.137</v>
      </c>
      <c r="AC103" s="20" t="n">
        <v>0.1534101298226367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2026-10-29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Abbott Laboratories</t>
        </is>
      </c>
      <c r="C104" s="12" t="inlineStr">
        <is>
          <t>ABT</t>
        </is>
      </c>
      <c r="D104" s="11" t="inlineStr">
        <is>
          <t>Dispositivi medicali</t>
        </is>
      </c>
      <c r="E104" s="13" t="inlineStr">
        <is>
          <t>Salute</t>
        </is>
      </c>
      <c r="F104" s="14" t="n">
        <v>103.545</v>
      </c>
      <c r="G104" s="15" t="inlineStr">
        <is>
          <t>USD</t>
        </is>
      </c>
      <c r="H104" s="14" t="n">
        <v>92.68313030078224</v>
      </c>
      <c r="I104" s="16" t="n">
        <v>161436.6569948127</v>
      </c>
      <c r="J104" s="16" t="n">
        <v>180356</v>
      </c>
      <c r="K104" s="14" t="n">
        <v>2.69</v>
      </c>
      <c r="L104" s="14" t="n">
        <v>5.93697</v>
      </c>
      <c r="M104" s="17">
        <f>IF(OR(F104="",K104="",K104&lt;=0),"",F104/K104)</f>
        <v/>
      </c>
      <c r="N104" s="18" t="n">
        <v>3.505603</v>
      </c>
      <c r="O104" s="19">
        <f>IF(OR(N104="",M104="",M104&lt;=0),"",N104/M104)</f>
        <v/>
      </c>
      <c r="P104" s="20" t="n">
        <v>0.09090744225612722</v>
      </c>
      <c r="Q104" s="20" t="n">
        <v>0.1858900339052967</v>
      </c>
      <c r="R104" s="20" t="n">
        <v>0.05957173353356353</v>
      </c>
      <c r="S104" s="21" t="n">
        <v>4</v>
      </c>
      <c r="T104" s="20" t="n"/>
      <c r="U104" s="20" t="n">
        <v>0.1251486667945521</v>
      </c>
      <c r="V104" s="20" t="n">
        <v>0.2811765693185633</v>
      </c>
      <c r="W104" s="20" t="n">
        <v>0.1482527264720359</v>
      </c>
      <c r="X104" s="20" t="n">
        <v>0.1889821730360355</v>
      </c>
      <c r="Y104" s="14" t="n">
        <v>2.52</v>
      </c>
      <c r="Z104" s="19">
        <f>IF(OR(Y104="",F104="",F104=0),"",Y104/F104)</f>
        <v/>
      </c>
      <c r="AA104" s="22" t="n">
        <v>63.212</v>
      </c>
      <c r="AB104" s="20" t="n">
        <v>0.145</v>
      </c>
      <c r="AC104" s="20" t="n">
        <v>0.1055089377368706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2026-10-29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Home Depot</t>
        </is>
      </c>
      <c r="C105" s="12" t="inlineStr">
        <is>
          <t>HD</t>
        </is>
      </c>
      <c r="D105" s="11" t="inlineStr">
        <is>
          <t>Distribuzione specializzata</t>
        </is>
      </c>
      <c r="E105" s="13" t="inlineStr">
        <is>
          <t>Consumi</t>
        </is>
      </c>
      <c r="F105" s="14" t="n">
        <v>325.65</v>
      </c>
      <c r="G105" s="15" t="inlineStr">
        <is>
          <t>USD</t>
        </is>
      </c>
      <c r="H105" s="14" t="n">
        <v>291.4893175184677</v>
      </c>
      <c r="I105" s="16" t="n">
        <v>290815.8442726489</v>
      </c>
      <c r="J105" s="16" t="n">
        <v>324897.6</v>
      </c>
      <c r="K105" s="14" t="n">
        <v>14.29</v>
      </c>
      <c r="L105" s="14" t="n">
        <v>16.0248</v>
      </c>
      <c r="M105" s="17">
        <f>IF(OR(F105="",K105="",K105&lt;=0),"",F105/K105)</f>
        <v/>
      </c>
      <c r="N105" s="18" t="n">
        <v>19.55856</v>
      </c>
      <c r="O105" s="19">
        <f>IF(OR(N105="",M105="",M105&lt;=0),"",N105/M105)</f>
        <v/>
      </c>
      <c r="P105" s="20" t="n">
        <v>1.0429599</v>
      </c>
      <c r="Q105" s="20" t="n">
        <v>7.197532049082098</v>
      </c>
      <c r="R105" s="20" t="n">
        <v>5.685105003247476</v>
      </c>
      <c r="S105" s="21" t="n">
        <v>4</v>
      </c>
      <c r="T105" s="20" t="n">
        <v>1.104815421837197</v>
      </c>
      <c r="U105" s="20" t="n">
        <v>2.229819277108434</v>
      </c>
      <c r="V105" s="20" t="n">
        <v>14.50478927203065</v>
      </c>
      <c r="W105" s="20" t="n">
        <v>10.95070422535211</v>
      </c>
      <c r="X105" s="20" t="n"/>
      <c r="Y105" s="14" t="n">
        <v>9.32</v>
      </c>
      <c r="Z105" s="19">
        <f>IF(OR(Y105="",F105="",F105=0),"",Y105/F105)</f>
        <v/>
      </c>
      <c r="AA105" s="22" t="n">
        <v>380.261</v>
      </c>
      <c r="AB105" s="20" t="n">
        <v>0.057</v>
      </c>
      <c r="AC105" s="20" t="n">
        <v>0.086390218298185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2026-10-29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Emerson Electric</t>
        </is>
      </c>
      <c r="C106" s="12" t="inlineStr">
        <is>
          <t>EMR</t>
        </is>
      </c>
      <c r="D106" s="11" t="inlineStr">
        <is>
          <t>Automazione</t>
        </is>
      </c>
      <c r="E106" s="13" t="inlineStr">
        <is>
          <t>Industriale</t>
        </is>
      </c>
      <c r="F106" s="14" t="n">
        <v>169.955</v>
      </c>
      <c r="G106" s="15" t="inlineStr">
        <is>
          <t>USD</t>
        </is>
      </c>
      <c r="H106" s="14" t="n">
        <v>152.1267218143749</v>
      </c>
      <c r="I106" s="16" t="n">
        <v>85206.1809161814</v>
      </c>
      <c r="J106" s="16" t="n">
        <v>95191.8</v>
      </c>
      <c r="K106" s="14" t="n">
        <v>4.57</v>
      </c>
      <c r="L106" s="14" t="n">
        <v>7.26139</v>
      </c>
      <c r="M106" s="17">
        <f>IF(OR(F106="",K106="",K106&lt;=0),"",F106/K106)</f>
        <v/>
      </c>
      <c r="N106" s="18" t="n">
        <v>4.6518407</v>
      </c>
      <c r="O106" s="19">
        <f>IF(OR(N106="",M106="",M106&lt;=0),"",N106/M106)</f>
        <v/>
      </c>
      <c r="P106" s="20" t="n">
        <v>0.128</v>
      </c>
      <c r="Q106" s="20" t="n">
        <v>0.2886765522946696</v>
      </c>
      <c r="R106" s="20" t="n">
        <v>0.2197445121017647</v>
      </c>
      <c r="S106" s="21" t="n">
        <v>4</v>
      </c>
      <c r="T106" s="20" t="n"/>
      <c r="U106" s="20" t="n">
        <v>0.1130559116457943</v>
      </c>
      <c r="V106" s="20" t="n">
        <v>0.09095951192457016</v>
      </c>
      <c r="W106" s="20" t="n">
        <v>0.6389385663879357</v>
      </c>
      <c r="X106" s="20" t="n">
        <v>0.3117522192203782</v>
      </c>
      <c r="Y106" s="14" t="n">
        <v>2.22</v>
      </c>
      <c r="Z106" s="19">
        <f>IF(OR(Y106="",F106="",F106=0),"",Y106/F106)</f>
        <v/>
      </c>
      <c r="AA106" s="22" t="n">
        <v>67.67700000000001</v>
      </c>
      <c r="AB106" s="20" t="n">
        <v>0.07000000000000001</v>
      </c>
      <c r="AC106" s="20" t="n">
        <v>0.1429840142095915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2026-10-29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Chevron</t>
        </is>
      </c>
      <c r="C107" s="12" t="inlineStr">
        <is>
          <t>CVX</t>
        </is>
      </c>
      <c r="D107" s="11" t="inlineStr">
        <is>
          <t>Petrolio integrato</t>
        </is>
      </c>
      <c r="E107" s="13" t="inlineStr">
        <is>
          <t>Energia</t>
        </is>
      </c>
      <c r="F107" s="14" t="n">
        <v>230.725</v>
      </c>
      <c r="G107" s="15" t="inlineStr">
        <is>
          <t>USD</t>
        </is>
      </c>
      <c r="H107" s="14" t="n">
        <v>206.5219492843496</v>
      </c>
      <c r="I107" s="16" t="n">
        <v>405114.118090186</v>
      </c>
      <c r="J107" s="16" t="n">
        <v>452590.9</v>
      </c>
      <c r="K107" s="14" t="n">
        <v>10.39</v>
      </c>
      <c r="L107" s="14" t="n">
        <v>15.71607</v>
      </c>
      <c r="M107" s="17">
        <f>IF(OR(F107="",K107="",K107&lt;=0),"",F107/K107)</f>
        <v/>
      </c>
      <c r="N107" s="18" t="n">
        <v>2.3835227</v>
      </c>
      <c r="O107" s="19">
        <f>IF(OR(N107="",M107="",M107&lt;=0),"",N107/M107)</f>
        <v/>
      </c>
      <c r="P107" s="20" t="n">
        <v>0.12231</v>
      </c>
      <c r="Q107" s="20" t="n">
        <v>0.1343324653779517</v>
      </c>
      <c r="R107" s="20" t="n">
        <v>0.05660306595463921</v>
      </c>
      <c r="S107" s="21" t="n">
        <v>4</v>
      </c>
      <c r="T107" s="20" t="n"/>
      <c r="U107" s="20" t="n">
        <v>0.06596406543309198</v>
      </c>
      <c r="V107" s="20" t="n">
        <v>0.1159482136057459</v>
      </c>
      <c r="W107" s="20" t="n">
        <v>0.1327621662928608</v>
      </c>
      <c r="X107" s="20" t="n">
        <v>0.2226554161801082</v>
      </c>
      <c r="Y107" s="14" t="n">
        <v>7.12</v>
      </c>
      <c r="Z107" s="19">
        <f>IF(OR(Y107="",F107="",F107=0),"",Y107/F107)</f>
        <v/>
      </c>
      <c r="AA107" s="22" t="n">
        <v>18.959</v>
      </c>
      <c r="AB107" s="20" t="n">
        <v>0.535</v>
      </c>
      <c r="AC107" s="20" t="n">
        <v>0.1116454820855383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2026-10-29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147.07</v>
      </c>
      <c r="G108" s="15" t="inlineStr">
        <is>
          <t>USD</t>
        </is>
      </c>
      <c r="H108" s="14" t="n">
        <v>131.64235813739</v>
      </c>
      <c r="I108" s="16" t="n">
        <v>324784.262996136</v>
      </c>
      <c r="J108" s="16" t="n">
        <v>362846.9</v>
      </c>
      <c r="K108" s="14" t="n">
        <v>1.26</v>
      </c>
      <c r="L108" s="14" t="n">
        <v>9.234080000000001</v>
      </c>
      <c r="M108" s="17">
        <f>IF(OR(F108="",K108="",K108&lt;=0),"",F108/K108)</f>
        <v/>
      </c>
      <c r="N108" s="18" t="n">
        <v>8.658307000000001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2026-10-29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Berkshire Hathaway B</t>
        </is>
      </c>
      <c r="C109" s="12" t="inlineStr">
        <is>
          <t>BRK-B</t>
        </is>
      </c>
      <c r="D109" s="11" t="inlineStr">
        <is>
          <t>Conglomerata / Holding</t>
        </is>
      </c>
      <c r="E109" s="13" t="inlineStr">
        <is>
          <t>Finanziario</t>
        </is>
      </c>
      <c r="F109" s="14" t="n">
        <v>544.33</v>
      </c>
      <c r="G109" s="15" t="inlineStr">
        <is>
          <t>USD</t>
        </is>
      </c>
      <c r="H109" s="14" t="n">
        <v>487.2297872096654</v>
      </c>
      <c r="I109" s="16" t="n">
        <v>1043017.611271672</v>
      </c>
      <c r="J109" s="16" t="n">
        <v>1165252.6</v>
      </c>
      <c r="K109" s="14" t="n">
        <v>39.76</v>
      </c>
      <c r="L109" s="14" t="n">
        <v>22.43148</v>
      </c>
      <c r="M109" s="17">
        <f>IF(OR(F109="",K109="",K109&lt;=0),"",F109/K109)</f>
        <v/>
      </c>
      <c r="N109" s="18" t="n">
        <v>0.0010423267</v>
      </c>
      <c r="O109" s="19">
        <f>IF(OR(N109="",M109="",M109&lt;=0),"",N109/M109)</f>
        <v/>
      </c>
      <c r="P109" s="20" t="n">
        <v>0.121199995</v>
      </c>
      <c r="Q109" s="20" t="n">
        <v>0.08843956355337573</v>
      </c>
      <c r="R109" s="20" t="n">
        <v>0.08353327161790873</v>
      </c>
      <c r="S109" s="21" t="n">
        <v>4</v>
      </c>
      <c r="T109" s="20" t="n"/>
      <c r="U109" s="20" t="n">
        <v>0.09334572962243821</v>
      </c>
      <c r="V109" s="20" t="n">
        <v>0.137048638060391</v>
      </c>
      <c r="W109" s="20" t="n">
        <v>0.1714370725119505</v>
      </c>
      <c r="X109" s="20" t="n">
        <v>-0.04807318598127683</v>
      </c>
      <c r="Y109" s="14" t="n"/>
      <c r="Z109" s="19">
        <f>IF(OR(Y109="",F109="",F109=0),"",Y109/F109)</f>
        <v/>
      </c>
      <c r="AA109" s="22" t="n">
        <v>17.142</v>
      </c>
      <c r="AB109" s="20" t="n">
        <v>0.1</v>
      </c>
      <c r="AC109" s="20" t="n">
        <v>0.208924256395516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2026-10-29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MetLife</t>
        </is>
      </c>
      <c r="C110" s="12" t="inlineStr">
        <is>
          <t>MET</t>
        </is>
      </c>
      <c r="D110" s="11" t="inlineStr">
        <is>
          <t>Assicurazione vita</t>
        </is>
      </c>
      <c r="E110" s="13" t="inlineStr">
        <is>
          <t>Finanziario</t>
        </is>
      </c>
      <c r="F110" s="14" t="n">
        <v>100.76</v>
      </c>
      <c r="G110" s="15" t="inlineStr">
        <is>
          <t>USD</t>
        </is>
      </c>
      <c r="H110" s="14" t="n">
        <v>90.19027677924399</v>
      </c>
      <c r="I110" s="16" t="n">
        <v>57313.88006519192</v>
      </c>
      <c r="J110" s="16" t="n">
        <v>64030.7</v>
      </c>
      <c r="K110" s="14" t="n">
        <v>5.22</v>
      </c>
      <c r="L110" s="14" t="n">
        <v>11.16356</v>
      </c>
      <c r="M110" s="17">
        <f>IF(OR(F110="",K110="",K110&lt;=0),"",F110/K110)</f>
        <v/>
      </c>
      <c r="N110" s="18" t="n">
        <v>2.341731</v>
      </c>
      <c r="O110" s="19">
        <f>IF(OR(N110="",M110="",M110&lt;=0),"",N110/M110)</f>
        <v/>
      </c>
      <c r="P110" s="20" t="n">
        <v>0.13094</v>
      </c>
      <c r="Q110" s="20" t="n">
        <v>0.1274159335614763</v>
      </c>
      <c r="R110" s="20" t="n">
        <v>0.04811596554463902</v>
      </c>
      <c r="S110" s="21" t="n">
        <v>4</v>
      </c>
      <c r="T110" s="20" t="n"/>
      <c r="U110" s="20" t="n">
        <v>0.1189872526234242</v>
      </c>
      <c r="V110" s="20" t="n">
        <v>0.1612679905265076</v>
      </c>
      <c r="W110" s="20" t="n">
        <v>0.05257371314342828</v>
      </c>
      <c r="X110" s="20" t="n">
        <v>0.1768347779525451</v>
      </c>
      <c r="Y110" s="14" t="n">
        <v>2.37</v>
      </c>
      <c r="Z110" s="19">
        <f>IF(OR(Y110="",F110="",F110=0),"",Y110/F110)</f>
        <v/>
      </c>
      <c r="AA110" s="22" t="n">
        <v>179.933</v>
      </c>
      <c r="AB110" s="20" t="n">
        <v>0.105</v>
      </c>
      <c r="AC110" s="20" t="n">
        <v>0.04548338403785656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2026-10-29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Medtronic</t>
        </is>
      </c>
      <c r="C111" s="12" t="inlineStr">
        <is>
          <t>MDT</t>
        </is>
      </c>
      <c r="D111" s="11" t="inlineStr">
        <is>
          <t>Dispositivi medicali</t>
        </is>
      </c>
      <c r="E111" s="13" t="inlineStr">
        <is>
          <t>Salute</t>
        </is>
      </c>
      <c r="F111" s="14" t="n">
        <v>97.125</v>
      </c>
      <c r="G111" s="15" t="inlineStr">
        <is>
          <t>USD</t>
        </is>
      </c>
      <c r="H111" s="14" t="n">
        <v>86.93658825113212</v>
      </c>
      <c r="I111" s="16" t="n">
        <v>111203.9130908018</v>
      </c>
      <c r="J111" s="16" t="n">
        <v>124236.3</v>
      </c>
      <c r="K111" s="14" t="n">
        <v>4.07</v>
      </c>
      <c r="L111" s="14" t="n">
        <v>6.40607</v>
      </c>
      <c r="M111" s="17">
        <f>IF(OR(F111="",K111="",K111&lt;=0),"",F111/K111)</f>
        <v/>
      </c>
      <c r="N111" s="18" t="n">
        <v>2.4750266</v>
      </c>
      <c r="O111" s="19">
        <f>IF(OR(N111="",M111="",M111&lt;=0),"",N111/M111)</f>
        <v/>
      </c>
      <c r="P111" s="20" t="n">
        <v>0.106479995</v>
      </c>
      <c r="Q111" s="20" t="n">
        <v>0.08508513928303943</v>
      </c>
      <c r="R111" s="20" t="n">
        <v>0.01198455172386248</v>
      </c>
      <c r="S111" s="21" t="n">
        <v>4</v>
      </c>
      <c r="T111" s="20" t="n">
        <v>0.09706245072074075</v>
      </c>
      <c r="U111" s="20" t="n">
        <v>0.09707646176911544</v>
      </c>
      <c r="V111" s="20" t="n">
        <v>0.07320667542916318</v>
      </c>
      <c r="W111" s="20" t="n">
        <v>0.07299496921313832</v>
      </c>
      <c r="X111" s="20" t="n"/>
      <c r="Y111" s="14" t="n">
        <v>2.88</v>
      </c>
      <c r="Z111" s="19">
        <f>IF(OR(Y111="",F111="",F111=0),"",Y111/F111)</f>
        <v/>
      </c>
      <c r="AA111" s="22" t="n">
        <v>55.365</v>
      </c>
      <c r="AB111" s="20" t="n">
        <v>0.137</v>
      </c>
      <c r="AC111" s="20" t="n">
        <v>0.1438510632493675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2026-10-29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Occidental Petroleum</t>
        </is>
      </c>
      <c r="C112" s="12" t="inlineStr">
        <is>
          <t>OXY</t>
        </is>
      </c>
      <c r="D112" s="11" t="inlineStr">
        <is>
          <t>Esplorazione e produzione</t>
        </is>
      </c>
      <c r="E112" s="13" t="inlineStr">
        <is>
          <t>Energia</t>
        </is>
      </c>
      <c r="F112" s="14" t="n">
        <v>62.655</v>
      </c>
      <c r="G112" s="15" t="inlineStr">
        <is>
          <t>USD</t>
        </is>
      </c>
      <c r="H112" s="14" t="n">
        <v>56.08249098455272</v>
      </c>
      <c r="I112" s="16" t="n">
        <v>56062.17221437717</v>
      </c>
      <c r="J112" s="16" t="n">
        <v>62632.3</v>
      </c>
      <c r="K112" s="14" t="n">
        <v>3.52</v>
      </c>
      <c r="L112" s="14" t="n">
        <v>5.01525</v>
      </c>
      <c r="M112" s="17">
        <f>IF(OR(F112="",K112="",K112&lt;=0),"",F112/K112)</f>
        <v/>
      </c>
      <c r="N112" s="18" t="n">
        <v>1.8720307</v>
      </c>
      <c r="O112" s="19">
        <f>IF(OR(N112="",M112="",M112&lt;=0),"",N112/M112)</f>
        <v/>
      </c>
      <c r="P112" s="20" t="n">
        <v>0.10629</v>
      </c>
      <c r="Q112" s="20" t="n">
        <v>0.1878668803897049</v>
      </c>
      <c r="R112" s="20" t="n">
        <v>0.1505382025614877</v>
      </c>
      <c r="S112" s="21" t="n">
        <v>4</v>
      </c>
      <c r="T112" s="20" t="n"/>
      <c r="U112" s="20" t="n">
        <v>0.06455014708331021</v>
      </c>
      <c r="V112" s="20" t="n">
        <v>0.08946397728270734</v>
      </c>
      <c r="W112" s="20" t="n">
        <v>0.1552396694214876</v>
      </c>
      <c r="X112" s="20" t="n">
        <v>0.4422137277713146</v>
      </c>
      <c r="Y112" s="14" t="n">
        <v>1.12</v>
      </c>
      <c r="Z112" s="19">
        <f>IF(OR(Y112="",F112="",F112=0),"",Y112/F112)</f>
        <v/>
      </c>
      <c r="AA112" s="22" t="n">
        <v>34.511</v>
      </c>
      <c r="AB112" s="20" t="n">
        <v>0.534</v>
      </c>
      <c r="AC112" s="20" t="n">
        <v>0.157412127263465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2026-10-29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Freeport-McMoRan</t>
        </is>
      </c>
      <c r="C113" s="12" t="inlineStr">
        <is>
          <t>FCX</t>
        </is>
      </c>
      <c r="D113" s="11" t="inlineStr">
        <is>
          <t>Rame</t>
        </is>
      </c>
      <c r="E113" s="13" t="inlineStr">
        <is>
          <t>Materiali</t>
        </is>
      </c>
      <c r="F113" s="14" t="n">
        <v>66.12</v>
      </c>
      <c r="G113" s="15" t="inlineStr">
        <is>
          <t>USD</t>
        </is>
      </c>
      <c r="H113" s="14" t="n">
        <v>59.18401251134987</v>
      </c>
      <c r="I113" s="16" t="n">
        <v>84989.29818430754</v>
      </c>
      <c r="J113" s="16" t="n">
        <v>94949.5</v>
      </c>
      <c r="K113" s="14" t="n">
        <v>2.38</v>
      </c>
      <c r="L113" s="14" t="n">
        <v>4.34257</v>
      </c>
      <c r="M113" s="17">
        <f>IF(OR(F113="",K113="",K113&lt;=0),"",F113/K113)</f>
        <v/>
      </c>
      <c r="N113" s="18" t="n">
        <v>4.412118</v>
      </c>
      <c r="O113" s="19">
        <f>IF(OR(N113="",M113="",M113&lt;=0),"",N113/M113)</f>
        <v/>
      </c>
      <c r="P113" s="20" t="n">
        <v>0.15719</v>
      </c>
      <c r="Q113" s="20" t="n">
        <v>0.139430342603264</v>
      </c>
      <c r="R113" s="20" t="n">
        <v>0.04833258025963022</v>
      </c>
      <c r="S113" s="21" t="n">
        <v>4</v>
      </c>
      <c r="T113" s="20" t="n"/>
      <c r="U113" s="20" t="n">
        <v>0.1166199269802635</v>
      </c>
      <c r="V113" s="20" t="n">
        <v>0.1074455377964848</v>
      </c>
      <c r="W113" s="20" t="n">
        <v>0.1107050859641766</v>
      </c>
      <c r="X113" s="20" t="n">
        <v>0.2229508196721312</v>
      </c>
      <c r="Y113" s="14" t="n">
        <v>0.6</v>
      </c>
      <c r="Z113" s="19">
        <f>IF(OR(Y113="",F113="",F113=0),"",Y113/F113)</f>
        <v/>
      </c>
      <c r="AA113" s="22" t="n">
        <v>30.81</v>
      </c>
      <c r="AB113" s="20" t="n">
        <v>0.082</v>
      </c>
      <c r="AC113" s="20" t="n">
        <v>0.1326644849700945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2026-10-29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Colgate-Palmolive</t>
        </is>
      </c>
      <c r="C114" s="12" t="inlineStr">
        <is>
          <t>CL</t>
        </is>
      </c>
      <c r="D114" s="11" t="inlineStr">
        <is>
          <t>Cura della persona</t>
        </is>
      </c>
      <c r="E114" s="13" t="inlineStr">
        <is>
          <t>Consumi</t>
        </is>
      </c>
      <c r="F114" s="14" t="n">
        <v>92.52500000000001</v>
      </c>
      <c r="G114" s="15" t="inlineStr">
        <is>
          <t>USD</t>
        </is>
      </c>
      <c r="H114" s="14" t="n">
        <v>82.81912821555727</v>
      </c>
      <c r="I114" s="16" t="n">
        <v>66021.14441042268</v>
      </c>
      <c r="J114" s="16" t="n">
        <v>73758.39999999999</v>
      </c>
      <c r="K114" s="14" t="n">
        <v>2.54</v>
      </c>
      <c r="L114" s="14" t="n">
        <v>4.08718</v>
      </c>
      <c r="M114" s="17">
        <f>IF(OR(F114="",K114="",K114&lt;=0),"",F114/K114)</f>
        <v/>
      </c>
      <c r="N114" s="18" t="n">
        <v>312.58447</v>
      </c>
      <c r="O114" s="19">
        <f>IF(OR(N114="",M114="",M114&lt;=0),"",N114/M114)</f>
        <v/>
      </c>
      <c r="P114" s="20" t="n">
        <v>2.67367</v>
      </c>
      <c r="Q114" s="20" t="n">
        <v>15.33422365753694</v>
      </c>
      <c r="R114" s="20" t="n">
        <v>14.47425872617575</v>
      </c>
      <c r="S114" s="21" t="n">
        <v>4</v>
      </c>
      <c r="T114" s="20" t="n"/>
      <c r="U114" s="20" t="n">
        <v>39.48148148148148</v>
      </c>
      <c r="V114" s="20" t="n">
        <v>13.62735849056604</v>
      </c>
      <c r="W114" s="20" t="n">
        <v>3.776683087027914</v>
      </c>
      <c r="X114" s="20" t="n">
        <v>4.451371571072319</v>
      </c>
      <c r="Y114" s="14" t="n">
        <v>2.12</v>
      </c>
      <c r="Z114" s="19">
        <f>IF(OR(Y114="",F114="",F114=0),"",Y114/F114)</f>
        <v/>
      </c>
      <c r="AA114" s="22" t="n">
        <v>1388.163</v>
      </c>
      <c r="AB114" s="20" t="n">
        <v>0.049</v>
      </c>
      <c r="AC114" s="20" t="n">
        <v>0.09999018742027278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2026-10-29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Palo Alto Networks</t>
        </is>
      </c>
      <c r="C115" s="12" t="inlineStr">
        <is>
          <t>PANW</t>
        </is>
      </c>
      <c r="D115" s="11" t="inlineStr">
        <is>
          <t>Cybersicurezza</t>
        </is>
      </c>
      <c r="E115" s="13" t="inlineStr">
        <is>
          <t>Tecnologia</t>
        </is>
      </c>
      <c r="F115" s="14" t="n">
        <v>375.74</v>
      </c>
      <c r="G115" s="15" t="inlineStr">
        <is>
          <t>USD</t>
        </is>
      </c>
      <c r="H115" s="14" t="n">
        <v>336.324876905847</v>
      </c>
      <c r="I115" s="16" t="n">
        <v>275262.7655582703</v>
      </c>
      <c r="J115" s="16" t="n">
        <v>307521.8</v>
      </c>
      <c r="K115" s="14" t="n">
        <v>0.4</v>
      </c>
      <c r="L115" s="14" t="n">
        <v>4.87907</v>
      </c>
      <c r="M115" s="17">
        <f>IF(OR(F115="",K115="",K115&lt;=0),"",F115/K115)</f>
        <v/>
      </c>
      <c r="N115" s="18" t="n">
        <v>11.138647</v>
      </c>
      <c r="O115" s="19">
        <f>IF(OR(N115="",M115="",M115&lt;=0),"",N115/M115)</f>
        <v/>
      </c>
      <c r="P115" s="20" t="n">
        <v>0.01739</v>
      </c>
      <c r="Q115" s="20" t="n">
        <v>0.2265668951458051</v>
      </c>
      <c r="R115" s="20" t="n">
        <v>0.1786925818781736</v>
      </c>
      <c r="S115" s="21" t="n">
        <v>4</v>
      </c>
      <c r="T115" s="20" t="n">
        <v>0.01116688491197439</v>
      </c>
      <c r="U115" s="20" t="n">
        <v>0.1449386503067485</v>
      </c>
      <c r="V115" s="20" t="n">
        <v>0.4986749714683638</v>
      </c>
      <c r="W115" s="20" t="n">
        <v>0.2514870738961336</v>
      </c>
      <c r="X115" s="20" t="n">
        <v>-1.271428571428571</v>
      </c>
      <c r="Y115" s="14" t="n"/>
      <c r="Z115" s="19">
        <f>IF(OR(Y115="",F115="",F115=0),"",Y115/F115)</f>
        <v/>
      </c>
      <c r="AA115" s="22" t="n">
        <v>9.337</v>
      </c>
      <c r="AB115" s="20" t="n">
        <v>0.345</v>
      </c>
      <c r="AC115" s="20" t="n">
        <v>0.02674216027874565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2026-10-29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Kinder Morgan</t>
        </is>
      </c>
      <c r="C116" s="12" t="inlineStr">
        <is>
          <t>KMI</t>
        </is>
      </c>
      <c r="D116" s="11" t="inlineStr">
        <is>
          <t>Gasdotti</t>
        </is>
      </c>
      <c r="E116" s="13" t="inlineStr">
        <is>
          <t>Energia</t>
        </is>
      </c>
      <c r="F116" s="14" t="n">
        <v>33.885</v>
      </c>
      <c r="G116" s="15" t="inlineStr">
        <is>
          <t>USD</t>
        </is>
      </c>
      <c r="H116" s="14" t="n">
        <v>30.3304637620552</v>
      </c>
      <c r="I116" s="16" t="n">
        <v>67567.60869378415</v>
      </c>
      <c r="J116" s="16" t="n">
        <v>75486.10000000001</v>
      </c>
      <c r="K116" s="14" t="n">
        <v>1.62</v>
      </c>
      <c r="L116" s="14" t="n">
        <v>1.54433</v>
      </c>
      <c r="M116" s="17">
        <f>IF(OR(F116="",K116="",K116&lt;=0),"",F116/K116)</f>
        <v/>
      </c>
      <c r="N116" s="18" t="n">
        <v>2.3891277</v>
      </c>
      <c r="O116" s="19">
        <f>IF(OR(N116="",M116="",M116&lt;=0),"",N116/M116)</f>
        <v/>
      </c>
      <c r="P116" s="20" t="n">
        <v>0.11428001</v>
      </c>
      <c r="Q116" s="20" t="n">
        <v>0.08635798073446269</v>
      </c>
      <c r="R116" s="20" t="n">
        <v>0.007167473388274325</v>
      </c>
      <c r="S116" s="21" t="n">
        <v>4</v>
      </c>
      <c r="T116" s="20" t="n"/>
      <c r="U116" s="20" t="n">
        <v>0.0980681599383865</v>
      </c>
      <c r="V116" s="20" t="n">
        <v>0.08558514296944089</v>
      </c>
      <c r="W116" s="20" t="n">
        <v>0.07889526826371016</v>
      </c>
      <c r="X116" s="20" t="n">
        <v>0.08288335176631319</v>
      </c>
      <c r="Y116" s="14" t="n">
        <v>1.19</v>
      </c>
      <c r="Z116" s="19">
        <f>IF(OR(Y116="",F116="",F116=0),"",Y116/F116)</f>
        <v/>
      </c>
      <c r="AA116" s="22" t="n">
        <v>101.736</v>
      </c>
      <c r="AB116" s="20" t="n">
        <v>0.093</v>
      </c>
      <c r="AC116" s="20" t="n">
        <v>0.2116667612918463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2026-10-29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1032.99</v>
      </c>
      <c r="G117" s="15" t="inlineStr">
        <is>
          <t>USD</t>
        </is>
      </c>
      <c r="H117" s="14" t="n">
        <v>924.6293569887977</v>
      </c>
      <c r="I117" s="16" t="n">
        <v>91234.7689782684</v>
      </c>
      <c r="J117" s="16" t="n">
        <v>101926.9</v>
      </c>
      <c r="K117" s="14" t="n">
        <v>15.54</v>
      </c>
      <c r="L117" s="14" t="n">
        <v>20.06333</v>
      </c>
      <c r="M117" s="17">
        <f>IF(OR(F117="",K117="",K117&lt;=0),"",F117/K117)</f>
        <v/>
      </c>
      <c r="N117" s="18" t="n">
        <v>7.1677675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2026-10-29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487.675</v>
      </c>
      <c r="G118" s="15" t="inlineStr">
        <is>
          <t>USD</t>
        </is>
      </c>
      <c r="H118" s="14" t="n">
        <v>436.5178962715146</v>
      </c>
      <c r="I118" s="16" t="n">
        <v>83652.8243627604</v>
      </c>
      <c r="J118" s="16" t="n">
        <v>93456.39999999999</v>
      </c>
      <c r="K118" s="14" t="n">
        <v>5.66</v>
      </c>
      <c r="L118" s="14" t="n">
        <v>18.57906</v>
      </c>
      <c r="M118" s="17">
        <f>IF(OR(F118="",K118="",K118&lt;=0),"",F118/K118)</f>
        <v/>
      </c>
      <c r="N118" s="18" t="n">
        <v>2.999471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2026-10-29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93.09999999999999</v>
      </c>
      <c r="G119" s="15" t="inlineStr">
        <is>
          <t>USD</t>
        </is>
      </c>
      <c r="H119" s="14" t="n">
        <v>83.33381072000412</v>
      </c>
      <c r="I119" s="16" t="n">
        <v>95864.13670826615</v>
      </c>
      <c r="J119" s="16" t="n">
        <v>107098.8</v>
      </c>
      <c r="K119" s="14" t="n">
        <v>4.15</v>
      </c>
      <c r="L119" s="14" t="n">
        <v>4.91996</v>
      </c>
      <c r="M119" s="17">
        <f>IF(OR(F119="",K119="",K119&lt;=0),"",F119/K119)</f>
        <v/>
      </c>
      <c r="N119" s="18" t="n">
        <v>2.7065527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2026-10-29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Uber Technologies</t>
        </is>
      </c>
      <c r="C120" s="12" t="inlineStr">
        <is>
          <t>UBER</t>
        </is>
      </c>
      <c r="D120" s="11" t="inlineStr">
        <is>
          <t>Piattaforme</t>
        </is>
      </c>
      <c r="E120" s="13" t="inlineStr">
        <is>
          <t>Tecnologia</t>
        </is>
      </c>
      <c r="F120" s="14" t="n">
        <v>65.09</v>
      </c>
      <c r="G120" s="15" t="inlineStr">
        <is>
          <t>USD</t>
        </is>
      </c>
      <c r="H120" s="14" t="n">
        <v>58.26205950338419</v>
      </c>
      <c r="I120" s="16" t="n">
        <v>119003.7250481922</v>
      </c>
      <c r="J120" s="16" t="n">
        <v>132950.2</v>
      </c>
      <c r="K120" s="14" t="n">
        <v>4.56</v>
      </c>
      <c r="L120" s="14" t="n">
        <v>4.41235</v>
      </c>
      <c r="M120" s="17">
        <f>IF(OR(F120="",K120="",K120&lt;=0),"",F120/K120)</f>
        <v/>
      </c>
      <c r="N120" s="18" t="n">
        <v>4.86109</v>
      </c>
      <c r="O120" s="19">
        <f>IF(OR(N120="",M120="",M120&lt;=0),"",N120/M120)</f>
        <v/>
      </c>
      <c r="P120" s="20" t="n">
        <v>0.3716</v>
      </c>
      <c r="Q120" s="20" t="n">
        <v>-0.06216638498507329</v>
      </c>
      <c r="R120" s="20" t="n">
        <v>0.6911679096695134</v>
      </c>
      <c r="S120" s="21" t="n">
        <v>4</v>
      </c>
      <c r="T120" s="20" t="n"/>
      <c r="U120" s="20" t="n">
        <v>0.3717687955327096</v>
      </c>
      <c r="V120" s="20" t="n">
        <v>0.4571852676500603</v>
      </c>
      <c r="W120" s="20" t="n">
        <v>0.1677482442883812</v>
      </c>
      <c r="X120" s="20" t="n">
        <v>-1.245367847411444</v>
      </c>
      <c r="Y120" s="14" t="n"/>
      <c r="Z120" s="19">
        <f>IF(OR(Y120="",F120="",F120=0),"",Y120/F120)</f>
        <v/>
      </c>
      <c r="AA120" s="22" t="n">
        <v>51.872</v>
      </c>
      <c r="AB120" s="20" t="n">
        <v>0.122</v>
      </c>
      <c r="AC120" s="20" t="n">
        <v>0.1841513314493339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2026-10-29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Mondelez International</t>
        </is>
      </c>
      <c r="C121" s="12" t="inlineStr">
        <is>
          <t>MDLZ</t>
        </is>
      </c>
      <c r="D121" s="11" t="inlineStr">
        <is>
          <t>Alimentare</t>
        </is>
      </c>
      <c r="E121" s="13" t="inlineStr">
        <is>
          <t>Consumi</t>
        </is>
      </c>
      <c r="F121" s="14" t="n">
        <v>62.345</v>
      </c>
      <c r="G121" s="15" t="inlineStr">
        <is>
          <t>USD</t>
        </is>
      </c>
      <c r="H121" s="14" t="n">
        <v>55.80500998215528</v>
      </c>
      <c r="I121" s="16" t="n">
        <v>71634.04802891817</v>
      </c>
      <c r="J121" s="16" t="n">
        <v>80029.10000000001</v>
      </c>
      <c r="K121" s="14" t="n">
        <v>2.72</v>
      </c>
      <c r="L121" s="14" t="n">
        <v>3.35891</v>
      </c>
      <c r="M121" s="17">
        <f>IF(OR(F121="",K121="",K121&lt;=0),"",F121/K121)</f>
        <v/>
      </c>
      <c r="N121" s="18" t="n">
        <v>2.9969237</v>
      </c>
      <c r="O121" s="19">
        <f>IF(OR(N121="",M121="",M121&lt;=0),"",N121/M121)</f>
        <v/>
      </c>
      <c r="P121" s="20" t="n">
        <v>0.13340001</v>
      </c>
      <c r="Q121" s="20" t="n">
        <v>0.1355421523570761</v>
      </c>
      <c r="R121" s="20" t="n">
        <v>0.03766650206384878</v>
      </c>
      <c r="S121" s="21" t="n">
        <v>4</v>
      </c>
      <c r="T121" s="20" t="n"/>
      <c r="U121" s="20" t="n">
        <v>0.09486028330366128</v>
      </c>
      <c r="V121" s="20" t="n">
        <v>0.1712089707411258</v>
      </c>
      <c r="W121" s="20" t="n">
        <v>0.1750317662007624</v>
      </c>
      <c r="X121" s="20" t="n">
        <v>0.1010675891827549</v>
      </c>
      <c r="Y121" s="14" t="n">
        <v>2.08</v>
      </c>
      <c r="Z121" s="19">
        <f>IF(OR(Y121="",F121="",F121=0),"",Y121/F121)</f>
        <v/>
      </c>
      <c r="AA121" s="22" t="n">
        <v>82.643</v>
      </c>
      <c r="AB121" s="20" t="n">
        <v>0.041</v>
      </c>
      <c r="AC121" s="20" t="n">
        <v>0.09123699301969536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2026-10-29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Vertex Pharmaceuticals</t>
        </is>
      </c>
      <c r="C122" s="12" t="inlineStr">
        <is>
          <t>VRTX</t>
        </is>
      </c>
      <c r="D122" s="11" t="inlineStr">
        <is>
          <t>Biotecnologie</t>
        </is>
      </c>
      <c r="E122" s="13" t="inlineStr">
        <is>
          <t>Salute</t>
        </is>
      </c>
      <c r="F122" s="14" t="n">
        <v>537.605</v>
      </c>
      <c r="G122" s="15" t="inlineStr">
        <is>
          <t>USD</t>
        </is>
      </c>
      <c r="H122" s="14" t="n">
        <v>481.2102396576565</v>
      </c>
      <c r="I122" s="16" t="n">
        <v>121890.512083134</v>
      </c>
      <c r="J122" s="16" t="n">
        <v>136175.3</v>
      </c>
      <c r="K122" s="14" t="n">
        <v>17.17</v>
      </c>
      <c r="L122" s="14" t="n">
        <v>20.39659</v>
      </c>
      <c r="M122" s="17">
        <f>IF(OR(F122="",K122="",K122&lt;=0),"",F122/K122)</f>
        <v/>
      </c>
      <c r="N122" s="18" t="n">
        <v>6.726705</v>
      </c>
      <c r="O122" s="19">
        <f>IF(OR(N122="",M122="",M122&lt;=0),"",N122/M122)</f>
        <v/>
      </c>
      <c r="P122" s="20" t="n">
        <v>0.23542999</v>
      </c>
      <c r="Q122" s="20" t="n">
        <v>0.1559529985811414</v>
      </c>
      <c r="R122" s="20" t="n">
        <v>0.1095874808620584</v>
      </c>
      <c r="S122" s="21" t="n">
        <v>4</v>
      </c>
      <c r="T122" s="20" t="n"/>
      <c r="U122" s="20" t="n">
        <v>0.2117884044616357</v>
      </c>
      <c r="V122" s="20" t="n">
        <v>-0.03263943057722309</v>
      </c>
      <c r="W122" s="20" t="n">
        <v>0.2058883756911105</v>
      </c>
      <c r="X122" s="20" t="n">
        <v>0.2387746447490423</v>
      </c>
      <c r="Y122" s="14" t="n"/>
      <c r="Z122" s="19">
        <f>IF(OR(Y122="",F122="",F122=0),"",Y122/F122)</f>
        <v/>
      </c>
      <c r="AA122" s="22" t="n">
        <v>9.766999999999999</v>
      </c>
      <c r="AB122" s="20" t="n">
        <v>0.125</v>
      </c>
      <c r="AC122" s="20" t="n">
        <v>0.3670602244756818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2026-10-29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Amazon</t>
        </is>
      </c>
      <c r="C123" s="12" t="inlineStr">
        <is>
          <t>AMZN</t>
        </is>
      </c>
      <c r="D123" s="11" t="inlineStr">
        <is>
          <t>E-commerce / Cloud</t>
        </is>
      </c>
      <c r="E123" s="13" t="inlineStr">
        <is>
          <t>Tecnologia</t>
        </is>
      </c>
      <c r="F123" s="14" t="n">
        <v>244.69</v>
      </c>
      <c r="G123" s="15" t="inlineStr">
        <is>
          <t>USD</t>
        </is>
      </c>
      <c r="H123" s="14" t="n">
        <v>219.0220208923502</v>
      </c>
      <c r="I123" s="16" t="n">
        <v>2362440.135711483</v>
      </c>
      <c r="J123" s="16" t="n">
        <v>2639303</v>
      </c>
      <c r="K123" s="14" t="n">
        <v>12.43</v>
      </c>
      <c r="L123" s="14" t="n">
        <v>10.45009</v>
      </c>
      <c r="M123" s="17">
        <f>IF(OR(F123="",K123="",K123&lt;=0),"",F123/K123)</f>
        <v/>
      </c>
      <c r="N123" s="18" t="n">
        <v>4.783212</v>
      </c>
      <c r="O123" s="19">
        <f>IF(OR(N123="",M123="",M123&lt;=0),"",N123/M123)</f>
        <v/>
      </c>
      <c r="P123" s="20" t="n">
        <v>0.30558002</v>
      </c>
      <c r="Q123" s="20" t="n">
        <v>0.1320511298823096</v>
      </c>
      <c r="R123" s="20" t="n">
        <v>0.08935541595787762</v>
      </c>
      <c r="S123" s="21" t="n">
        <v>4</v>
      </c>
      <c r="T123" s="20" t="n"/>
      <c r="U123" s="20" t="n">
        <v>0.1889482198679041</v>
      </c>
      <c r="V123" s="20" t="n">
        <v>0.2071825715984194</v>
      </c>
      <c r="W123" s="20" t="n">
        <v>0.1507120743034056</v>
      </c>
      <c r="X123" s="20" t="n">
        <v>-0.01863834624049081</v>
      </c>
      <c r="Y123" s="14" t="n"/>
      <c r="Z123" s="19">
        <f>IF(OR(Y123="",F123="",F123=0),"",Y123/F123)</f>
        <v/>
      </c>
      <c r="AA123" s="22" t="n">
        <v>45.617</v>
      </c>
      <c r="AB123" s="20" t="n">
        <v>0.196</v>
      </c>
      <c r="AC123" s="20" t="n">
        <v>0.1886964314878564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2026-10-29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Analog Devices</t>
        </is>
      </c>
      <c r="C124" s="12" t="inlineStr">
        <is>
          <t>ADI</t>
        </is>
      </c>
      <c r="D124" s="11" t="inlineStr">
        <is>
          <t>Semiconduttori</t>
        </is>
      </c>
      <c r="E124" s="13" t="inlineStr">
        <is>
          <t>Tecnologia</t>
        </is>
      </c>
      <c r="F124" s="14" t="n">
        <v>426.355</v>
      </c>
      <c r="G124" s="15" t="inlineStr">
        <is>
          <t>USD</t>
        </is>
      </c>
      <c r="H124" s="14" t="n">
        <v>381.6303637972863</v>
      </c>
      <c r="I124" s="16" t="n">
        <v>184924.886787751</v>
      </c>
      <c r="J124" s="16" t="n">
        <v>206596.9</v>
      </c>
      <c r="K124" s="14" t="n">
        <v>8.42</v>
      </c>
      <c r="L124" s="14" t="n">
        <v>16.50078</v>
      </c>
      <c r="M124" s="17">
        <f>IF(OR(F124="",K124="",K124&lt;=0),"",F124/K124)</f>
        <v/>
      </c>
      <c r="N124" s="18" t="n">
        <v>6.157729</v>
      </c>
      <c r="O124" s="19">
        <f>IF(OR(N124="",M124="",M124&lt;=0),"",N124/M124)</f>
        <v/>
      </c>
      <c r="P124" s="20" t="n">
        <v>0.12227</v>
      </c>
      <c r="Q124" s="20" t="n">
        <v>0.0705274694515223</v>
      </c>
      <c r="R124" s="20" t="n">
        <v>0.01678852536801986</v>
      </c>
      <c r="S124" s="21" t="n">
        <v>4</v>
      </c>
      <c r="T124" s="20" t="n"/>
      <c r="U124" s="20" t="n">
        <v>0.06704987068897324</v>
      </c>
      <c r="V124" s="20" t="n">
        <v>0.04648789695635276</v>
      </c>
      <c r="W124" s="20" t="n">
        <v>0.09319745901616758</v>
      </c>
      <c r="X124" s="20" t="n">
        <v>0.07537465114459564</v>
      </c>
      <c r="Y124" s="14" t="n">
        <v>4.4</v>
      </c>
      <c r="Z124" s="19">
        <f>IF(OR(Y124="",F124="",F124=0),"",Y124/F124)</f>
        <v/>
      </c>
      <c r="AA124" s="22" t="n">
        <v>27.314</v>
      </c>
      <c r="AB124" s="20" t="n">
        <v>0.396</v>
      </c>
      <c r="AC124" s="20" t="n">
        <v>0.3752371913336716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2026-10-29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Constellation Energy</t>
        </is>
      </c>
      <c r="C125" s="12" t="inlineStr">
        <is>
          <t>CEG</t>
        </is>
      </c>
      <c r="D125" s="11" t="inlineStr">
        <is>
          <t>Utility / Nucleare</t>
        </is>
      </c>
      <c r="E125" s="13" t="inlineStr">
        <is>
          <t>Utility</t>
        </is>
      </c>
      <c r="F125" s="14" t="n">
        <v>263.395</v>
      </c>
      <c r="G125" s="15" t="inlineStr">
        <is>
          <t>USD</t>
        </is>
      </c>
      <c r="H125" s="14" t="n">
        <v>235.7648665370084</v>
      </c>
      <c r="I125" s="16" t="n">
        <v>83533.23900172718</v>
      </c>
      <c r="J125" s="16" t="n">
        <v>93322.8</v>
      </c>
      <c r="K125" s="14" t="n">
        <v>10.23</v>
      </c>
      <c r="L125" s="14" t="n">
        <v>13.32139</v>
      </c>
      <c r="M125" s="17">
        <f>IF(OR(F125="",K125="",K125&lt;=0),"",F125/K125)</f>
        <v/>
      </c>
      <c r="N125" s="18" t="n">
        <v>2.9266434</v>
      </c>
      <c r="O125" s="19">
        <f>IF(OR(N125="",M125="",M125&lt;=0),"",N125/M125)</f>
        <v/>
      </c>
      <c r="P125" s="20" t="n">
        <v>0.15055001</v>
      </c>
      <c r="Q125" s="20" t="n">
        <v>0.1446322510499069</v>
      </c>
      <c r="R125" s="20" t="n">
        <v>0.1063089118500449</v>
      </c>
      <c r="S125" s="21" t="n">
        <v>4</v>
      </c>
      <c r="T125" s="20" t="n"/>
      <c r="U125" s="20" t="n">
        <v>0.1597437487084108</v>
      </c>
      <c r="V125" s="20" t="n">
        <v>0.2847485948655628</v>
      </c>
      <c r="W125" s="20" t="n">
        <v>0.148558352402746</v>
      </c>
      <c r="X125" s="20" t="n">
        <v>-0.01452169177709203</v>
      </c>
      <c r="Y125" s="14" t="n">
        <v>1.71</v>
      </c>
      <c r="Z125" s="19">
        <f>IF(OR(Y125="",F125="",F125=0),"",Y125/F125)</f>
        <v/>
      </c>
      <c r="AA125" s="22" t="n">
        <v>76.419</v>
      </c>
      <c r="AB125" s="20" t="n">
        <v>0.23</v>
      </c>
      <c r="AC125" s="20" t="n">
        <v>0.1357067299573101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2026-10-29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Bristol-Myers Squibb</t>
        </is>
      </c>
      <c r="C126" s="12" t="inlineStr">
        <is>
          <t>BMY</t>
        </is>
      </c>
      <c r="D126" s="11" t="inlineStr">
        <is>
          <t>Farmaceutica</t>
        </is>
      </c>
      <c r="E126" s="13" t="inlineStr">
        <is>
          <t>Salute</t>
        </is>
      </c>
      <c r="F126" s="14" t="n">
        <v>60.51</v>
      </c>
      <c r="G126" s="15" t="inlineStr">
        <is>
          <t>USD</t>
        </is>
      </c>
      <c r="H126" s="14" t="n">
        <v>54.16250146796401</v>
      </c>
      <c r="I126" s="16" t="n">
        <v>110638.5679259172</v>
      </c>
      <c r="J126" s="16" t="n">
        <v>123604.7</v>
      </c>
      <c r="K126" s="14" t="n">
        <v>4.54</v>
      </c>
      <c r="L126" s="14" t="n">
        <v>6.61429</v>
      </c>
      <c r="M126" s="17">
        <f>IF(OR(F126="",K126="",K126&lt;=0),"",F126/K126)</f>
        <v/>
      </c>
      <c r="N126" s="18" t="n">
        <v>5.5386724</v>
      </c>
      <c r="O126" s="19">
        <f>IF(OR(N126="",M126="",M126&lt;=0),"",N126/M126)</f>
        <v/>
      </c>
      <c r="P126" s="20" t="n">
        <v>0.46598998</v>
      </c>
      <c r="Q126" s="20" t="n">
        <v>0.07761266271412175</v>
      </c>
      <c r="R126" s="20" t="n">
        <v>0.3666158804610691</v>
      </c>
      <c r="S126" s="21" t="n">
        <v>4</v>
      </c>
      <c r="T126" s="20" t="n"/>
      <c r="U126" s="20" t="n">
        <v>0.3818545986033671</v>
      </c>
      <c r="V126" s="20" t="n">
        <v>-0.5477808386899296</v>
      </c>
      <c r="W126" s="20" t="n">
        <v>0.2726809378185525</v>
      </c>
      <c r="X126" s="20" t="n">
        <v>0.203695953124497</v>
      </c>
      <c r="Y126" s="14" t="n">
        <v>2.52</v>
      </c>
      <c r="Z126" s="19">
        <f>IF(OR(Y126="",F126="",F126=0),"",Y126/F126)</f>
        <v/>
      </c>
      <c r="AA126" s="22" t="n">
        <v>201.859</v>
      </c>
      <c r="AB126" s="20" t="n">
        <v>0.057</v>
      </c>
      <c r="AC126" s="20" t="n">
        <v>0.1925925899367154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2026-10-29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Dominion Energy</t>
        </is>
      </c>
      <c r="C127" s="12" t="inlineStr">
        <is>
          <t>D</t>
        </is>
      </c>
      <c r="D127" s="11" t="inlineStr">
        <is>
          <t>Utility</t>
        </is>
      </c>
      <c r="E127" s="13" t="inlineStr">
        <is>
          <t>Utility</t>
        </is>
      </c>
      <c r="F127" s="14" t="n">
        <v>65.02500000000001</v>
      </c>
      <c r="G127" s="15" t="inlineStr">
        <is>
          <t>USD</t>
        </is>
      </c>
      <c r="H127" s="14" t="n">
        <v>58.20387800288151</v>
      </c>
      <c r="I127" s="16" t="n">
        <v>51191.84356229752</v>
      </c>
      <c r="J127" s="16" t="n">
        <v>57191.2</v>
      </c>
      <c r="K127" s="14" t="n">
        <v>2.89</v>
      </c>
      <c r="L127" s="14" t="n">
        <v>3.81143</v>
      </c>
      <c r="M127" s="17">
        <f>IF(OR(F127="",K127="",K127&lt;=0),"",F127/K127)</f>
        <v/>
      </c>
      <c r="N127" s="18" t="n">
        <v>2.0486767</v>
      </c>
      <c r="O127" s="19">
        <f>IF(OR(N127="",M127="",M127&lt;=0),"",N127/M127)</f>
        <v/>
      </c>
      <c r="P127" s="20" t="n">
        <v>0.08280999999999999</v>
      </c>
      <c r="Q127" s="20" t="n">
        <v>0.07325849609060171</v>
      </c>
      <c r="R127" s="20" t="n">
        <v>0.02128332004749445</v>
      </c>
      <c r="S127" s="21" t="n">
        <v>4</v>
      </c>
      <c r="T127" s="20" t="n"/>
      <c r="U127" s="20" t="n">
        <v>0.1030842760375477</v>
      </c>
      <c r="V127" s="20" t="n">
        <v>0.07571752968767449</v>
      </c>
      <c r="W127" s="20" t="n">
        <v>0.07117205354227882</v>
      </c>
      <c r="X127" s="20" t="n">
        <v>0.04306012509490582</v>
      </c>
      <c r="Y127" s="14" t="n">
        <v>2.67</v>
      </c>
      <c r="Z127" s="19">
        <f>IF(OR(Y127="",F127="",F127=0),"",Y127/F127)</f>
        <v/>
      </c>
      <c r="AA127" s="22" t="n">
        <v>160.459</v>
      </c>
      <c r="AB127" s="20" t="n">
        <v>0.176</v>
      </c>
      <c r="AC127" s="20" t="n">
        <v>0.1518235715497395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2026-10-29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Prologis</t>
        </is>
      </c>
      <c r="C128" s="12" t="inlineStr">
        <is>
          <t>PLD</t>
        </is>
      </c>
      <c r="D128" s="11" t="inlineStr">
        <is>
          <t>REIT / Logistica</t>
        </is>
      </c>
      <c r="E128" s="13" t="inlineStr">
        <is>
          <t>Immobiliare</t>
        </is>
      </c>
      <c r="F128" s="14" t="n">
        <v>127.48</v>
      </c>
      <c r="G128" s="15" t="inlineStr">
        <is>
          <t>USD</t>
        </is>
      </c>
      <c r="H128" s="14" t="n">
        <v>114.1073489858875</v>
      </c>
      <c r="I128" s="16" t="n">
        <v>110922.7621783727</v>
      </c>
      <c r="J128" s="16" t="n">
        <v>123922.2</v>
      </c>
      <c r="K128" s="14" t="n">
        <v>4.5</v>
      </c>
      <c r="L128" s="14" t="n">
        <v>3.1675</v>
      </c>
      <c r="M128" s="17">
        <f>IF(OR(F128="",K128="",K128&lt;=0),"",F128/K128)</f>
        <v/>
      </c>
      <c r="N128" s="18" t="n">
        <v>2.1669953</v>
      </c>
      <c r="O128" s="19">
        <f>IF(OR(N128="",M128="",M128&lt;=0),"",N128/M128)</f>
        <v/>
      </c>
      <c r="P128" s="20" t="n">
        <v>0.07709000000000001</v>
      </c>
      <c r="Q128" s="20" t="n">
        <v>0.06311608942280056</v>
      </c>
      <c r="R128" s="20" t="n">
        <v>0.004128986030073493</v>
      </c>
      <c r="S128" s="21" t="n">
        <v>4</v>
      </c>
      <c r="T128" s="20" t="n"/>
      <c r="U128" s="20" t="n">
        <v>0.06256875646722969</v>
      </c>
      <c r="V128" s="20" t="n">
        <v>0.06916693768350168</v>
      </c>
      <c r="W128" s="20" t="n">
        <v>0.05752378392246178</v>
      </c>
      <c r="X128" s="20" t="n">
        <v>0.06320487961800905</v>
      </c>
      <c r="Y128" s="14" t="n">
        <v>4.28</v>
      </c>
      <c r="Z128" s="19">
        <f>IF(OR(Y128="",F128="",F128=0),"",Y128/F128)</f>
        <v/>
      </c>
      <c r="AA128" s="22" t="n">
        <v>61.04</v>
      </c>
      <c r="AB128" s="20" t="n">
        <v>0.102</v>
      </c>
      <c r="AC128" s="20" t="n">
        <v>0.4840977719662071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2026-10-29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RTX Corporation</t>
        </is>
      </c>
      <c r="C129" s="12" t="inlineStr">
        <is>
          <t>RTX</t>
        </is>
      </c>
      <c r="D129" s="11" t="inlineStr">
        <is>
          <t>Difesa / Aerospazio</t>
        </is>
      </c>
      <c r="E129" s="13" t="inlineStr">
        <is>
          <t>Industriale</t>
        </is>
      </c>
      <c r="F129" s="14" t="n">
        <v>200.86</v>
      </c>
      <c r="G129" s="15" t="inlineStr">
        <is>
          <t>USD</t>
        </is>
      </c>
      <c r="H129" s="14" t="n">
        <v>179.7897875533838</v>
      </c>
      <c r="I129" s="16" t="n">
        <v>242615.6039561988</v>
      </c>
      <c r="J129" s="16" t="n">
        <v>271048.6</v>
      </c>
      <c r="K129" s="14" t="n">
        <v>6.15</v>
      </c>
      <c r="L129" s="14" t="n">
        <v>8.04612</v>
      </c>
      <c r="M129" s="17">
        <f>IF(OR(F129="",K129="",K129&lt;=0),"",F129/K129)</f>
        <v/>
      </c>
      <c r="N129" s="18" t="n">
        <v>3.9140263</v>
      </c>
      <c r="O129" s="19">
        <f>IF(OR(N129="",M129="",M129&lt;=0),"",N129/M129)</f>
        <v/>
      </c>
      <c r="P129" s="20" t="n">
        <v>0.1285</v>
      </c>
      <c r="Q129" s="20" t="n">
        <v>0.07688075362298834</v>
      </c>
      <c r="R129" s="20" t="n">
        <v>0.01786161675583029</v>
      </c>
      <c r="S129" s="21" t="n">
        <v>4</v>
      </c>
      <c r="T129" s="20" t="n"/>
      <c r="U129" s="20" t="n">
        <v>0.1031803203310599</v>
      </c>
      <c r="V129" s="20" t="n">
        <v>0.07936032980916284</v>
      </c>
      <c r="W129" s="20" t="n">
        <v>0.05342988059801331</v>
      </c>
      <c r="X129" s="20" t="n">
        <v>0.07155248375371737</v>
      </c>
      <c r="Y129" s="14" t="n">
        <v>2.92</v>
      </c>
      <c r="Z129" s="19">
        <f>IF(OR(Y129="",F129="",F129=0),"",Y129/F129)</f>
        <v/>
      </c>
      <c r="AA129" s="22" t="n">
        <v>54.758</v>
      </c>
      <c r="AB129" s="20" t="n">
        <v>0.111</v>
      </c>
      <c r="AC129" s="20" t="n">
        <v>0.09483877304380213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2026-10-29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Boston Scientific</t>
        </is>
      </c>
      <c r="C130" s="12" t="inlineStr">
        <is>
          <t>BSX</t>
        </is>
      </c>
      <c r="D130" s="11" t="inlineStr">
        <is>
          <t>Dispositivi medicali</t>
        </is>
      </c>
      <c r="E130" s="13" t="inlineStr">
        <is>
          <t>Salute</t>
        </is>
      </c>
      <c r="F130" s="14" t="n">
        <v>41.895</v>
      </c>
      <c r="G130" s="15" t="inlineStr">
        <is>
          <t>USD</t>
        </is>
      </c>
      <c r="H130" s="14" t="n">
        <v>37.50021482400186</v>
      </c>
      <c r="I130" s="16" t="n">
        <v>54346.44451955328</v>
      </c>
      <c r="J130" s="16" t="n">
        <v>60715.5</v>
      </c>
      <c r="K130" s="14" t="n">
        <v>2.37</v>
      </c>
      <c r="L130" s="14" t="n">
        <v>3.20827</v>
      </c>
      <c r="M130" s="17">
        <f>IF(OR(F130="",K130="",K130&lt;=0),"",F130/K130)</f>
        <v/>
      </c>
      <c r="N130" s="18" t="n">
        <v>2.5637968</v>
      </c>
      <c r="O130" s="19">
        <f>IF(OR(N130="",M130="",M130&lt;=0),"",N130/M130)</f>
        <v/>
      </c>
      <c r="P130" s="20" t="n">
        <v>0.1478769055587263</v>
      </c>
      <c r="Q130" s="20" t="n">
        <v>0.08177373868964678</v>
      </c>
      <c r="R130" s="20" t="n">
        <v>0.02833405857448824</v>
      </c>
      <c r="S130" s="21" t="n">
        <v>4</v>
      </c>
      <c r="T130" s="20" t="n"/>
      <c r="U130" s="20" t="n">
        <v>0.1195939253879168</v>
      </c>
      <c r="V130" s="20" t="n">
        <v>0.08516306844281121</v>
      </c>
      <c r="W130" s="20" t="n">
        <v>0.08262019604792283</v>
      </c>
      <c r="X130" s="20" t="n">
        <v>0.03971776487993627</v>
      </c>
      <c r="Y130" s="14" t="n"/>
      <c r="Z130" s="19">
        <f>IF(OR(Y130="",F130="",F130=0),"",Y130/F130)</f>
        <v/>
      </c>
      <c r="AA130" s="22" t="n">
        <v>50.151</v>
      </c>
      <c r="AB130" s="20" t="n">
        <v>0.014</v>
      </c>
      <c r="AC130" s="20" t="n">
        <v>0.1744545246587626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2026-10-29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2" t="inlineStr">
        <is>
          <t>XEL</t>
        </is>
      </c>
      <c r="D131" s="11" t="inlineStr">
        <is>
          <t>Utility</t>
        </is>
      </c>
      <c r="E131" s="13" t="inlineStr">
        <is>
          <t>Utility</t>
        </is>
      </c>
      <c r="F131" s="14" t="n">
        <v>79.14</v>
      </c>
      <c r="G131" s="15" t="inlineStr">
        <is>
          <t>USD</t>
        </is>
      </c>
      <c r="H131" s="14" t="n">
        <v>70.83821461204218</v>
      </c>
      <c r="I131" s="16" t="n">
        <v>44248.01574230285</v>
      </c>
      <c r="J131" s="16" t="n">
        <v>49433.6</v>
      </c>
      <c r="K131" s="14" t="n">
        <v>3.65</v>
      </c>
      <c r="L131" s="14" t="n">
        <v>4.53898</v>
      </c>
      <c r="M131" s="17">
        <f>IF(OR(F131="",K131="",K131&lt;=0),"",F131/K131)</f>
        <v/>
      </c>
      <c r="N131" s="18" t="n">
        <v>2.0540905</v>
      </c>
      <c r="O131" s="19">
        <f>IF(OR(N131="",M131="",M131&lt;=0),"",N131/M131)</f>
        <v/>
      </c>
      <c r="P131" s="20" t="n">
        <v>0.0992</v>
      </c>
      <c r="Q131" s="20" t="n">
        <v>0.09732189916854156</v>
      </c>
      <c r="R131" s="20" t="n">
        <v>0.007073008672390108</v>
      </c>
      <c r="S131" s="21" t="n">
        <v>4</v>
      </c>
      <c r="T131" s="20" t="n"/>
      <c r="U131" s="20" t="n">
        <v>0.08547587784319539</v>
      </c>
      <c r="V131" s="20" t="n">
        <v>0.09917016699108698</v>
      </c>
      <c r="W131" s="20" t="n">
        <v>0.1005336058128974</v>
      </c>
      <c r="X131" s="20" t="n">
        <v>0.1041079460269865</v>
      </c>
      <c r="Y131" s="14" t="n">
        <v>2.37</v>
      </c>
      <c r="Z131" s="19">
        <f>IF(OR(Y131="",F131="",F131=0),"",Y131/F131)</f>
        <v/>
      </c>
      <c r="AA131" s="22" t="n">
        <v>173.135</v>
      </c>
      <c r="AB131" s="20" t="n">
        <v>-0.051</v>
      </c>
      <c r="AC131" s="20" t="n">
        <v>0.1522257778989706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2026-10-29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S&amp;P Global</t>
        </is>
      </c>
      <c r="C132" s="12" t="inlineStr">
        <is>
          <t>SPGI</t>
        </is>
      </c>
      <c r="D132" s="11" t="inlineStr">
        <is>
          <t>Dati e rating</t>
        </is>
      </c>
      <c r="E132" s="13" t="inlineStr">
        <is>
          <t>Finanziario</t>
        </is>
      </c>
      <c r="F132" s="14" t="n">
        <v>459.73</v>
      </c>
      <c r="G132" s="15" t="inlineStr">
        <is>
          <t>USD</t>
        </is>
      </c>
      <c r="H132" s="14" t="n">
        <v>411.5043265553974</v>
      </c>
      <c r="I132" s="16" t="n">
        <v>119295.0801007095</v>
      </c>
      <c r="J132" s="16" t="n">
        <v>133275.7</v>
      </c>
      <c r="K132" s="14" t="n">
        <v>16.74</v>
      </c>
      <c r="L132" s="14" t="n">
        <v>20.17575</v>
      </c>
      <c r="M132" s="17">
        <f>IF(OR(F132="",K132="",K132&lt;=0),"",F132/K132)</f>
        <v/>
      </c>
      <c r="N132" s="18" t="n">
        <v>6.7209044</v>
      </c>
      <c r="O132" s="19">
        <f>IF(OR(N132="",M132="",M132&lt;=0),"",N132/M132)</f>
        <v/>
      </c>
      <c r="P132" s="20" t="n">
        <v>0.17875999</v>
      </c>
      <c r="Q132" s="20" t="n">
        <v>0.1064621835887914</v>
      </c>
      <c r="R132" s="20" t="n">
        <v>0.02575321793401057</v>
      </c>
      <c r="S132" s="21" t="n">
        <v>4</v>
      </c>
      <c r="T132" s="20" t="n"/>
      <c r="U132" s="20" t="n">
        <v>0.1436373566357182</v>
      </c>
      <c r="V132" s="20" t="n">
        <v>0.1161675563195513</v>
      </c>
      <c r="W132" s="20" t="n">
        <v>0.07678362573099415</v>
      </c>
      <c r="X132" s="20" t="n">
        <v>0.08926019566890184</v>
      </c>
      <c r="Y132" s="14" t="n">
        <v>3.88</v>
      </c>
      <c r="Z132" s="19">
        <f>IF(OR(Y132="",F132="",F132=0),"",Y132/F132)</f>
        <v/>
      </c>
      <c r="AA132" s="22" t="n">
        <v>53.479</v>
      </c>
      <c r="AB132" s="20" t="n">
        <v>-0.054</v>
      </c>
      <c r="AC132" s="20" t="n">
        <v>0.3395279123630673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2026-10-29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125.6325</v>
      </c>
      <c r="G133" s="15" t="inlineStr">
        <is>
          <t>USD</t>
        </is>
      </c>
      <c r="H133" s="14" t="n">
        <v>112.4536517215995</v>
      </c>
      <c r="I133" s="16" t="n">
        <v>87680.32684755801</v>
      </c>
      <c r="J133" s="16" t="n">
        <v>97955.89999999999</v>
      </c>
      <c r="K133" s="14" t="n">
        <v>6.64</v>
      </c>
      <c r="L133" s="14" t="n">
        <v>7.16947</v>
      </c>
      <c r="M133" s="17">
        <f>IF(OR(F133="",K133="",K133&lt;=0),"",F133/K133)</f>
        <v/>
      </c>
      <c r="N133" s="18" t="n">
        <v>1.822187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>
        <v>4.34</v>
      </c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2026-10-29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American International Group</t>
        </is>
      </c>
      <c r="C134" s="12" t="inlineStr">
        <is>
          <t>AIG</t>
        </is>
      </c>
      <c r="D134" s="11" t="inlineStr">
        <is>
          <t>Assicurazione</t>
        </is>
      </c>
      <c r="E134" s="13" t="inlineStr">
        <is>
          <t>Finanziario</t>
        </is>
      </c>
      <c r="F134" s="14" t="n">
        <v>81.20999999999999</v>
      </c>
      <c r="G134" s="15" t="inlineStr">
        <is>
          <t>USD</t>
        </is>
      </c>
      <c r="H134" s="14" t="n">
        <v>72.69107162805085</v>
      </c>
      <c r="I134" s="16" t="n">
        <v>38009.70574840385</v>
      </c>
      <c r="J134" s="16" t="n">
        <v>42464.2</v>
      </c>
      <c r="K134" s="14" t="n">
        <v>5.46</v>
      </c>
      <c r="L134" s="14" t="n">
        <v>8.81019</v>
      </c>
      <c r="M134" s="17">
        <f>IF(OR(F134="",K134="",K134&lt;=0),"",F134/K134)</f>
        <v/>
      </c>
      <c r="N134" s="18" t="n">
        <v>1.0494146</v>
      </c>
      <c r="O134" s="19">
        <f>IF(OR(N134="",M134="",M134&lt;=0),"",N134/M134)</f>
        <v/>
      </c>
      <c r="P134" s="20" t="n">
        <v>0.0722</v>
      </c>
      <c r="Q134" s="20" t="n">
        <v>0.09304718508131808</v>
      </c>
      <c r="R134" s="20" t="n">
        <v>0.1011020395574324</v>
      </c>
      <c r="S134" s="21" t="n">
        <v>4</v>
      </c>
      <c r="T134" s="20" t="n"/>
      <c r="U134" s="20" t="n">
        <v>0.07525705534893896</v>
      </c>
      <c r="V134" s="20" t="n">
        <v>-0.0330189788575057</v>
      </c>
      <c r="W134" s="20" t="n">
        <v>0.08032898943793963</v>
      </c>
      <c r="X134" s="20" t="n">
        <v>0.2496216743958994</v>
      </c>
      <c r="Y134" s="14" t="n">
        <v>2</v>
      </c>
      <c r="Z134" s="19">
        <f>IF(OR(Y134="",F134="",F134=0),"",Y134/F134)</f>
        <v/>
      </c>
      <c r="AA134" s="22" t="n">
        <v>22.466</v>
      </c>
      <c r="AB134" s="20" t="n">
        <v>0.005</v>
      </c>
      <c r="AC134" s="20" t="n">
        <v>0.1107417620079181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2026-10-29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Digital Realty</t>
        </is>
      </c>
      <c r="C135" s="12" t="inlineStr">
        <is>
          <t>DLR</t>
        </is>
      </c>
      <c r="D135" s="11" t="inlineStr">
        <is>
          <t>REIT / Data center</t>
        </is>
      </c>
      <c r="E135" s="13" t="inlineStr">
        <is>
          <t>Immobiliare</t>
        </is>
      </c>
      <c r="F135" s="14" t="n">
        <v>183.17</v>
      </c>
      <c r="G135" s="15" t="inlineStr">
        <is>
          <t>USD</t>
        </is>
      </c>
      <c r="H135" s="14" t="n">
        <v>163.9554684165752</v>
      </c>
      <c r="I135" s="16" t="n">
        <v>61862.59928449286</v>
      </c>
      <c r="J135" s="16" t="n">
        <v>69112.5</v>
      </c>
      <c r="K135" s="14" t="n">
        <v>2.06</v>
      </c>
      <c r="L135" s="14" t="n">
        <v>2.76208</v>
      </c>
      <c r="M135" s="17">
        <f>IF(OR(F135="",K135="",K135&lt;=0),"",F135/K135)</f>
        <v/>
      </c>
      <c r="N135" s="18" t="n">
        <v>2.53575</v>
      </c>
      <c r="O135" s="19">
        <f>IF(OR(N135="",M135="",M135&lt;=0),"",N135/M135)</f>
        <v/>
      </c>
      <c r="P135" s="20" t="n">
        <v>0.02912</v>
      </c>
      <c r="Q135" s="20" t="n">
        <v>0.03910587655461811</v>
      </c>
      <c r="R135" s="20" t="n">
        <v>0.01468646488418679</v>
      </c>
      <c r="S135" s="21" t="n">
        <v>4</v>
      </c>
      <c r="T135" s="20" t="n"/>
      <c r="U135" s="20" t="n">
        <v>0.05707965784893549</v>
      </c>
      <c r="V135" s="20" t="n">
        <v>0.02823237074736707</v>
      </c>
      <c r="W135" s="20" t="n">
        <v>0.04963181966879201</v>
      </c>
      <c r="X135" s="20" t="n">
        <v>0.0214796579533779</v>
      </c>
      <c r="Y135" s="14" t="n">
        <v>4.88</v>
      </c>
      <c r="Z135" s="19">
        <f>IF(OR(Y135="",F135="",F135=0),"",Y135/F135)</f>
        <v/>
      </c>
      <c r="AA135" s="22" t="n">
        <v>67.944</v>
      </c>
      <c r="AB135" s="20" t="n">
        <v>0.299</v>
      </c>
      <c r="AC135" s="20" t="n">
        <v>0.1240530332625953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2026-10-29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56.975</v>
      </c>
      <c r="G136" s="15" t="inlineStr">
        <is>
          <t>USD</t>
        </is>
      </c>
      <c r="H136" s="14" t="n">
        <v>50.99832294062551</v>
      </c>
      <c r="I136" s="16" t="n">
        <v>48255.55749692802</v>
      </c>
      <c r="J136" s="16" t="n">
        <v>53910.8</v>
      </c>
      <c r="K136" s="14" t="n">
        <v>1.38</v>
      </c>
      <c r="L136" s="14" t="n">
        <v>1.55302</v>
      </c>
      <c r="M136" s="17">
        <f>IF(OR(F136="",K136="",K136&lt;=0),"",F136/K136)</f>
        <v/>
      </c>
      <c r="N136" s="18" t="n">
        <v>1.3631035</v>
      </c>
      <c r="O136" s="19">
        <f>IF(OR(N136="",M136="",M136&lt;=0),"",N136/M136)</f>
        <v/>
      </c>
      <c r="P136" s="20" t="n">
        <v>0.03225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3.26</v>
      </c>
      <c r="Z136" s="19">
        <f>IF(OR(Y136="",F136="",F136=0),"",Y136/F136)</f>
        <v/>
      </c>
      <c r="AA136" s="22" t="n">
        <v>74.72199999999999</v>
      </c>
      <c r="AB136" s="20" t="n">
        <v>0.096</v>
      </c>
      <c r="AC136" s="20" t="n">
        <v>0.2204720546243532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2026-10-29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Sempra</t>
        </is>
      </c>
      <c r="C137" s="12" t="inlineStr">
        <is>
          <t>SRE</t>
        </is>
      </c>
      <c r="D137" s="11" t="inlineStr">
        <is>
          <t>Utility</t>
        </is>
      </c>
      <c r="E137" s="13" t="inlineStr">
        <is>
          <t>Utility</t>
        </is>
      </c>
      <c r="F137" s="14" t="n">
        <v>86.34</v>
      </c>
      <c r="G137" s="15" t="inlineStr">
        <is>
          <t>USD</t>
        </is>
      </c>
      <c r="H137" s="14" t="n">
        <v>77.28293466772456</v>
      </c>
      <c r="I137" s="16" t="n">
        <v>50535.37721662566</v>
      </c>
      <c r="J137" s="16" t="n">
        <v>56457.8</v>
      </c>
      <c r="K137" s="14" t="n">
        <v>3.46</v>
      </c>
      <c r="L137" s="14" t="n">
        <v>5.53961</v>
      </c>
      <c r="M137" s="17">
        <f>IF(OR(F137="",K137="",K137&lt;=0),"",F137/K137)</f>
        <v/>
      </c>
      <c r="N137" s="18" t="n">
        <v>1.7269381</v>
      </c>
      <c r="O137" s="19">
        <f>IF(OR(N137="",M137="",M137&lt;=0),"",N137/M137)</f>
        <v/>
      </c>
      <c r="P137" s="20" t="n">
        <v>0.06679</v>
      </c>
      <c r="Q137" s="20" t="n">
        <v>0.0839260568573944</v>
      </c>
      <c r="R137" s="20" t="n">
        <v>0.01796868981652871</v>
      </c>
      <c r="S137" s="21" t="n">
        <v>4</v>
      </c>
      <c r="T137" s="20" t="n"/>
      <c r="U137" s="20" t="n">
        <v>0.058107167710508</v>
      </c>
      <c r="V137" s="20" t="n">
        <v>0.09160745150758594</v>
      </c>
      <c r="W137" s="20" t="n">
        <v>0.1071615263983272</v>
      </c>
      <c r="X137" s="20" t="n">
        <v>0.07882808181315644</v>
      </c>
      <c r="Y137" s="14" t="n">
        <v>2.63</v>
      </c>
      <c r="Z137" s="19">
        <f>IF(OR(Y137="",F137="",F137=0),"",Y137/F137)</f>
        <v/>
      </c>
      <c r="AA137" s="22" t="n">
        <v>84.663</v>
      </c>
      <c r="AB137" s="20" t="n">
        <v>-0.001</v>
      </c>
      <c r="AC137" s="20" t="n">
        <v>0.1650853983360094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2026-10-29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Danaher</t>
        </is>
      </c>
      <c r="C138" s="12" t="inlineStr">
        <is>
          <t>DHR</t>
        </is>
      </c>
      <c r="D138" s="11" t="inlineStr">
        <is>
          <t>Strumentazione life science</t>
        </is>
      </c>
      <c r="E138" s="13" t="inlineStr">
        <is>
          <t>Salute</t>
        </is>
      </c>
      <c r="F138" s="14" t="n">
        <v>235.0449</v>
      </c>
      <c r="G138" s="15" t="inlineStr">
        <is>
          <t>USD</t>
        </is>
      </c>
      <c r="H138" s="14" t="n">
        <v>210.3886918077583</v>
      </c>
      <c r="I138" s="16" t="n">
        <v>147900.3281078588</v>
      </c>
      <c r="J138" s="16" t="n">
        <v>165233.3</v>
      </c>
      <c r="K138" s="14" t="n">
        <v>6.04</v>
      </c>
      <c r="L138" s="14" t="n">
        <v>9.316990000000001</v>
      </c>
      <c r="M138" s="17">
        <f>IF(OR(F138="",K138="",K138&lt;=0),"",F138/K138)</f>
        <v/>
      </c>
      <c r="N138" s="18" t="n">
        <v>3.0833244</v>
      </c>
      <c r="O138" s="19">
        <f>IF(OR(N138="",M138="",M138&lt;=0),"",N138/M138)</f>
        <v/>
      </c>
      <c r="P138" s="20" t="n">
        <v>0.081920005</v>
      </c>
      <c r="Q138" s="20" t="n">
        <v>0.081920005</v>
      </c>
      <c r="R138" s="20" t="n"/>
      <c r="S138" s="21" t="n">
        <v>0</v>
      </c>
      <c r="T138" s="20" t="n"/>
      <c r="U138" s="20" t="n">
        <v>0.06879354322914684</v>
      </c>
      <c r="V138" s="20" t="n">
        <v>0.07869931170902045</v>
      </c>
      <c r="W138" s="20" t="n">
        <v>0.08907003701903302</v>
      </c>
      <c r="X138" s="20" t="n">
        <v>0.1439439319515994</v>
      </c>
      <c r="Y138" s="14" t="n">
        <v>1.6</v>
      </c>
      <c r="Z138" s="19">
        <f>IF(OR(Y138="",F138="",F138=0),"",Y138/F138)</f>
        <v/>
      </c>
      <c r="AA138" s="22" t="n">
        <v>51.8</v>
      </c>
      <c r="AB138" s="20" t="n">
        <v>0.083</v>
      </c>
      <c r="AC138" s="20" t="n">
        <v>0.1745766825138391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2026-10-29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Walt Disney</t>
        </is>
      </c>
      <c r="C139" s="12" t="inlineStr">
        <is>
          <t>DIS</t>
        </is>
      </c>
      <c r="D139" s="11" t="inlineStr">
        <is>
          <t>Media / Intrattenimento</t>
        </is>
      </c>
      <c r="E139" s="13" t="inlineStr">
        <is>
          <t>Consumi</t>
        </is>
      </c>
      <c r="F139" s="14" t="n">
        <v>110.63</v>
      </c>
      <c r="G139" s="15" t="inlineStr">
        <is>
          <t>USD</t>
        </is>
      </c>
      <c r="H139" s="14" t="n">
        <v>99.02491385557525</v>
      </c>
      <c r="I139" s="16" t="n">
        <v>170985.0468173108</v>
      </c>
      <c r="J139" s="16" t="n">
        <v>191023.4</v>
      </c>
      <c r="K139" s="14" t="n">
        <v>4.85</v>
      </c>
      <c r="L139" s="14" t="n">
        <v>7.49504</v>
      </c>
      <c r="M139" s="17">
        <f>IF(OR(F139="",K139="",K139&lt;=0),"",F139/K139)</f>
        <v/>
      </c>
      <c r="N139" s="18" t="n">
        <v>1.7394106</v>
      </c>
      <c r="O139" s="19">
        <f>IF(OR(N139="",M139="",M139&lt;=0),"",N139/M139)</f>
        <v/>
      </c>
      <c r="P139" s="20" t="n">
        <v>0.0801</v>
      </c>
      <c r="Q139" s="20" t="n">
        <v>0.0801</v>
      </c>
      <c r="R139" s="20" t="n"/>
      <c r="S139" s="21" t="n">
        <v>0</v>
      </c>
      <c r="T139" s="20" t="n"/>
      <c r="U139" s="20" t="n">
        <v>0.1128980877226515</v>
      </c>
      <c r="V139" s="20" t="n">
        <v>0.04937634066894415</v>
      </c>
      <c r="W139" s="20" t="n">
        <v>0.02371143366540085</v>
      </c>
      <c r="X139" s="20" t="n">
        <v>0.0331024755810037</v>
      </c>
      <c r="Y139" s="14" t="n">
        <v>1.5</v>
      </c>
      <c r="Z139" s="19">
        <f>IF(OR(Y139="",F139="",F139=0),"",Y139/F139)</f>
        <v/>
      </c>
      <c r="AA139" s="22" t="n">
        <v>39.404</v>
      </c>
      <c r="AB139" s="20" t="n">
        <v>0.068</v>
      </c>
      <c r="AC139" s="20" t="n">
        <v>0.08699000599999999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2026-10-29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231.62</v>
      </c>
      <c r="G140" s="15" t="inlineStr">
        <is>
          <t>USD</t>
        </is>
      </c>
      <c r="H140" s="14" t="n">
        <v>207.3230637912713</v>
      </c>
      <c r="I140" s="16" t="n">
        <v>170626.9173042166</v>
      </c>
      <c r="J140" s="16" t="n">
        <v>190623.3</v>
      </c>
      <c r="K140" s="14" t="n">
        <v>10.93</v>
      </c>
      <c r="L140" s="14" t="n">
        <v>16.02297</v>
      </c>
      <c r="M140" s="17">
        <f>IF(OR(F140="",K140="",K140&lt;=0),"",F140/K140)</f>
        <v/>
      </c>
      <c r="N140" s="18" t="n">
        <v>4.966975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2026-10-29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3M</t>
        </is>
      </c>
      <c r="C141" s="12" t="inlineStr">
        <is>
          <t>MMM</t>
        </is>
      </c>
      <c r="D141" s="11" t="inlineStr">
        <is>
          <t>Conglomerata industriale</t>
        </is>
      </c>
      <c r="E141" s="13" t="inlineStr">
        <is>
          <t>Industriale</t>
        </is>
      </c>
      <c r="F141" s="14" t="n">
        <v>176.745</v>
      </c>
      <c r="G141" s="15" t="inlineStr">
        <is>
          <t>USD</t>
        </is>
      </c>
      <c r="H141" s="14" t="n">
        <v>158.2044508668864</v>
      </c>
      <c r="I141" s="16" t="n">
        <v>81589.6188449343</v>
      </c>
      <c r="J141" s="16" t="n">
        <v>91151.39999999999</v>
      </c>
      <c r="K141" s="14" t="n">
        <v>6.7</v>
      </c>
      <c r="L141" s="14" t="n">
        <v>9.90527</v>
      </c>
      <c r="M141" s="17">
        <f>IF(OR(F141="",K141="",K141&lt;=0),"",F141/K141)</f>
        <v/>
      </c>
      <c r="N141" s="18" t="n">
        <v>22.129084</v>
      </c>
      <c r="O141" s="19">
        <f>IF(OR(N141="",M141="",M141&lt;=0),"",N141/M141)</f>
        <v/>
      </c>
      <c r="P141" s="20" t="n">
        <v>0.7297</v>
      </c>
      <c r="Q141" s="20" t="n">
        <v>0.1786461650131368</v>
      </c>
      <c r="R141" s="20" t="n">
        <v>0.9748490004280096</v>
      </c>
      <c r="S141" s="21" t="n">
        <v>4</v>
      </c>
      <c r="T141" s="20" t="n"/>
      <c r="U141" s="20" t="n">
        <v>0.6911952360697575</v>
      </c>
      <c r="V141" s="20" t="n">
        <v>1.086153045288912</v>
      </c>
      <c r="W141" s="20" t="n">
        <v>-1.455169544414396</v>
      </c>
      <c r="X141" s="20" t="n">
        <v>0.3924059231082733</v>
      </c>
      <c r="Y141" s="14" t="n">
        <v>3.12</v>
      </c>
      <c r="Z141" s="19">
        <f>IF(OR(Y141="",F141="",F141=0),"",Y141/F141)</f>
        <v/>
      </c>
      <c r="AA141" s="22" t="n">
        <v>303.502</v>
      </c>
      <c r="AB141" s="20" t="n">
        <v>0.01</v>
      </c>
      <c r="AC141" s="20" t="n">
        <v>0.1417348084014751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2026-10-29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General Motors</t>
        </is>
      </c>
      <c r="C142" s="12" t="inlineStr">
        <is>
          <t>GM</t>
        </is>
      </c>
      <c r="D142" s="11" t="inlineStr">
        <is>
          <t>Auto</t>
        </is>
      </c>
      <c r="E142" s="13" t="inlineStr">
        <is>
          <t>Consumi</t>
        </is>
      </c>
      <c r="F142" s="14" t="n">
        <v>85.38</v>
      </c>
      <c r="G142" s="15" t="inlineStr">
        <is>
          <t>USD</t>
        </is>
      </c>
      <c r="H142" s="14" t="n">
        <v>76.42363866030023</v>
      </c>
      <c r="I142" s="16" t="n">
        <v>64883.65132059475</v>
      </c>
      <c r="J142" s="16" t="n">
        <v>72487.60000000001</v>
      </c>
      <c r="K142" s="14" t="n">
        <v>4.57</v>
      </c>
      <c r="L142" s="14" t="n">
        <v>14.80302</v>
      </c>
      <c r="M142" s="17">
        <f>IF(OR(F142="",K142="",K142&lt;=0),"",F142/K142)</f>
        <v/>
      </c>
      <c r="N142" s="18" t="n">
        <v>1.1541581</v>
      </c>
      <c r="O142" s="19">
        <f>IF(OR(N142="",M142="",M142&lt;=0),"",N142/M142)</f>
        <v/>
      </c>
      <c r="P142" s="20" t="n">
        <v>0.06282</v>
      </c>
      <c r="Q142" s="20" t="n">
        <v>0.1108625303622402</v>
      </c>
      <c r="R142" s="20" t="n">
        <v>0.04513231830896564</v>
      </c>
      <c r="S142" s="21" t="n">
        <v>4</v>
      </c>
      <c r="T142" s="20" t="n"/>
      <c r="U142" s="20" t="n">
        <v>0.04412703087419624</v>
      </c>
      <c r="V142" s="20" t="n">
        <v>0.09525621511922881</v>
      </c>
      <c r="W142" s="20" t="n">
        <v>0.1575304109759512</v>
      </c>
      <c r="X142" s="20" t="n">
        <v>0.1465364644795846</v>
      </c>
      <c r="Y142" s="14" t="n">
        <v>0.72</v>
      </c>
      <c r="Z142" s="19">
        <f>IF(OR(Y142="",F142="",F142=0),"",Y142/F142)</f>
        <v/>
      </c>
      <c r="AA142" s="22" t="n">
        <v>202.592</v>
      </c>
      <c r="AB142" s="20" t="n">
        <v>0.029</v>
      </c>
      <c r="AC142" s="20" t="n">
        <v>0.02094379530750896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2026-10-29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Biogen</t>
        </is>
      </c>
      <c r="C143" s="12" t="inlineStr">
        <is>
          <t>BIIB</t>
        </is>
      </c>
      <c r="D143" s="11" t="inlineStr">
        <is>
          <t>Biotecnologie / CNS</t>
        </is>
      </c>
      <c r="E143" s="13" t="inlineStr">
        <is>
          <t>Salute</t>
        </is>
      </c>
      <c r="F143" s="14" t="n">
        <v>250.79</v>
      </c>
      <c r="G143" s="15" t="inlineStr">
        <is>
          <t>USD</t>
        </is>
      </c>
      <c r="H143" s="14" t="n">
        <v>224.4821309395256</v>
      </c>
      <c r="I143" s="16" t="n">
        <v>33182.96846670085</v>
      </c>
      <c r="J143" s="16" t="n">
        <v>37071.8</v>
      </c>
      <c r="K143" s="14" t="n">
        <v>2.31</v>
      </c>
      <c r="L143" s="14" t="n">
        <v>16.27201</v>
      </c>
      <c r="M143" s="17">
        <f>IF(OR(F143="",K143="",K143&lt;=0),"",F143/K143)</f>
        <v/>
      </c>
      <c r="N143" s="18" t="n">
        <v>1.9591744</v>
      </c>
      <c r="O143" s="19">
        <f>IF(OR(N143="",M143="",M143&lt;=0),"",N143/M143)</f>
        <v/>
      </c>
      <c r="P143" s="20" t="n">
        <v>0.01872</v>
      </c>
      <c r="Q143" s="20" t="n">
        <v>0.1185831364623125</v>
      </c>
      <c r="R143" s="20" t="n">
        <v>0.06359027321197776</v>
      </c>
      <c r="S143" s="21" t="n">
        <v>4</v>
      </c>
      <c r="T143" s="20" t="n"/>
      <c r="U143" s="20" t="n">
        <v>0.0708174488409798</v>
      </c>
      <c r="V143" s="20" t="n">
        <v>0.09764297678870543</v>
      </c>
      <c r="W143" s="20" t="n">
        <v>0.07845588334662217</v>
      </c>
      <c r="X143" s="20" t="n">
        <v>0.2274162368729428</v>
      </c>
      <c r="Y143" s="14" t="n"/>
      <c r="Z143" s="19">
        <f>IF(OR(Y143="",F143="",F143=0),"",Y143/F143)</f>
        <v/>
      </c>
      <c r="AA143" s="22" t="n">
        <v>41.229</v>
      </c>
      <c r="AB143" s="20" t="n">
        <v>0.106</v>
      </c>
      <c r="AC143" s="20" t="n">
        <v>0.03513437000788627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2026-10-29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CVS Health</t>
        </is>
      </c>
      <c r="C144" s="12" t="inlineStr">
        <is>
          <t>CVS</t>
        </is>
      </c>
      <c r="D144" s="11" t="inlineStr">
        <is>
          <t>Distribuzione farmaceutica</t>
        </is>
      </c>
      <c r="E144" s="13" t="inlineStr">
        <is>
          <t>Salute</t>
        </is>
      </c>
      <c r="F144" s="14" t="n">
        <v>89.78</v>
      </c>
      <c r="G144" s="15" t="inlineStr">
        <is>
          <t>USD</t>
        </is>
      </c>
      <c r="H144" s="14" t="n">
        <v>80.36207869432836</v>
      </c>
      <c r="I144" s="16" t="n">
        <v>102780.7534880257</v>
      </c>
      <c r="J144" s="16" t="n">
        <v>114826</v>
      </c>
      <c r="K144" s="14" t="n">
        <v>3.8</v>
      </c>
      <c r="L144" s="14" t="n">
        <v>8.53519</v>
      </c>
      <c r="M144" s="17">
        <f>IF(OR(F144="",K144="",K144&lt;=0),"",F144/K144)</f>
        <v/>
      </c>
      <c r="N144" s="18" t="n">
        <v>1.4395895</v>
      </c>
      <c r="O144" s="19">
        <f>IF(OR(N144="",M144="",M144&lt;=0),"",N144/M144)</f>
        <v/>
      </c>
      <c r="P144" s="20" t="n">
        <v>0.06205</v>
      </c>
      <c r="Q144" s="20" t="n">
        <v>0.06350442630364242</v>
      </c>
      <c r="R144" s="20" t="n">
        <v>0.03040319688724718</v>
      </c>
      <c r="S144" s="21" t="n">
        <v>4</v>
      </c>
      <c r="T144" s="20" t="n"/>
      <c r="U144" s="20" t="n">
        <v>0.02350626213204988</v>
      </c>
      <c r="V144" s="20" t="n">
        <v>0.06106405505558497</v>
      </c>
      <c r="W144" s="20" t="n">
        <v>0.1091275290671061</v>
      </c>
      <c r="X144" s="20" t="n">
        <v>0.06031985895982873</v>
      </c>
      <c r="Y144" s="14" t="n">
        <v>2.66</v>
      </c>
      <c r="Z144" s="19">
        <f>IF(OR(Y144="",F144="",F144=0),"",Y144/F144)</f>
        <v/>
      </c>
      <c r="AA144" s="22" t="n">
        <v>95.503</v>
      </c>
      <c r="AB144" s="20" t="n">
        <v>0.07099999999999999</v>
      </c>
      <c r="AC144" s="20" t="n">
        <v>0.01216215176077619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2026-10-29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Vistra</t>
        </is>
      </c>
      <c r="C145" s="12" t="inlineStr">
        <is>
          <t>VST</t>
        </is>
      </c>
      <c r="D145" s="11" t="inlineStr">
        <is>
          <t>Utility / Generazione</t>
        </is>
      </c>
      <c r="E145" s="13" t="inlineStr">
        <is>
          <t>Utility</t>
        </is>
      </c>
      <c r="F145" s="14" t="n">
        <v>141.06</v>
      </c>
      <c r="G145" s="15" t="inlineStr">
        <is>
          <t>USD</t>
        </is>
      </c>
      <c r="H145" s="14" t="n">
        <v>126.2628070909107</v>
      </c>
      <c r="I145" s="16" t="n">
        <v>42378.241336148</v>
      </c>
      <c r="J145" s="16" t="n">
        <v>47344.7</v>
      </c>
      <c r="K145" s="14" t="n">
        <v>5.93</v>
      </c>
      <c r="L145" s="14" t="n">
        <v>10.34696</v>
      </c>
      <c r="M145" s="17">
        <f>IF(OR(F145="",K145="",K145&lt;=0),"",F145/K145)</f>
        <v/>
      </c>
      <c r="N145" s="18" t="n">
        <v>15.766179</v>
      </c>
      <c r="O145" s="19">
        <f>IF(OR(N145="",M145="",M145&lt;=0),"",N145/M145)</f>
        <v/>
      </c>
      <c r="P145" s="20" t="n">
        <v>0.42962003</v>
      </c>
      <c r="Q145" s="20" t="n">
        <v>0.1734015879673228</v>
      </c>
      <c r="R145" s="20" t="n">
        <v>0.2663256640903746</v>
      </c>
      <c r="S145" s="21" t="n">
        <v>4</v>
      </c>
      <c r="T145" s="20" t="n"/>
      <c r="U145" s="20" t="n">
        <v>0.1852069845006867</v>
      </c>
      <c r="V145" s="20" t="n">
        <v>0.4773788150807899</v>
      </c>
      <c r="W145" s="20" t="n">
        <v>0.2813265498398342</v>
      </c>
      <c r="X145" s="20" t="n">
        <v>-0.2503059975520196</v>
      </c>
      <c r="Y145" s="14" t="n">
        <v>0.92</v>
      </c>
      <c r="Z145" s="19">
        <f>IF(OR(Y145="",F145="",F145=0),"",Y145/F145)</f>
        <v/>
      </c>
      <c r="AA145" s="22" t="n">
        <v>373.28</v>
      </c>
      <c r="AB145" s="20" t="n">
        <v>-0.055</v>
      </c>
      <c r="AC145" s="20" t="n">
        <v>0.114274442665464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2026-10-29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Advanced Micro Devices</t>
        </is>
      </c>
      <c r="C146" s="12" t="inlineStr">
        <is>
          <t>AMD</t>
        </is>
      </c>
      <c r="D146" s="11" t="inlineStr">
        <is>
          <t>Semiconduttori</t>
        </is>
      </c>
      <c r="E146" s="13" t="inlineStr">
        <is>
          <t>Tecnologia</t>
        </is>
      </c>
      <c r="F146" s="14" t="n">
        <v>565.6950000000001</v>
      </c>
      <c r="G146" s="15" t="inlineStr">
        <is>
          <t>USD</t>
        </is>
      </c>
      <c r="H146" s="14" t="n">
        <v>506.3535988748951</v>
      </c>
      <c r="I146" s="16" t="n">
        <v>826609.6404419072</v>
      </c>
      <c r="J146" s="16" t="n">
        <v>923483</v>
      </c>
      <c r="K146" s="14" t="n">
        <v>3.92</v>
      </c>
      <c r="L146" s="14" t="n">
        <v>15.84721</v>
      </c>
      <c r="M146" s="17">
        <f>IF(OR(F146="",K146="",K146&lt;=0),"",F146/K146)</f>
        <v/>
      </c>
      <c r="N146" s="18" t="n">
        <v>13.73346</v>
      </c>
      <c r="O146" s="19">
        <f>IF(OR(N146="",M146="",M146&lt;=0),"",N146/M146)</f>
        <v/>
      </c>
      <c r="P146" s="20" t="n">
        <v>0.10196</v>
      </c>
      <c r="Q146" s="20" t="n">
        <v>0.03417627307619231</v>
      </c>
      <c r="R146" s="20" t="n">
        <v>0.02055555689875465</v>
      </c>
      <c r="S146" s="21" t="n">
        <v>4</v>
      </c>
      <c r="T146" s="20" t="n"/>
      <c r="U146" s="20" t="n">
        <v>0.06881061604152447</v>
      </c>
      <c r="V146" s="20" t="n">
        <v>0.02850541967759867</v>
      </c>
      <c r="W146" s="20" t="n">
        <v>0.0152794675445502</v>
      </c>
      <c r="X146" s="20" t="n">
        <v>0.02410958904109589</v>
      </c>
      <c r="Y146" s="14" t="n"/>
      <c r="Z146" s="19">
        <f>IF(OR(Y146="",F146="",F146=0),"",Y146/F146)</f>
        <v/>
      </c>
      <c r="AA146" s="22" t="n">
        <v>6.361</v>
      </c>
      <c r="AB146" s="20" t="n">
        <v>0.501</v>
      </c>
      <c r="AC146" s="20" t="n">
        <v>0.1867548194809319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2026-10-29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Tesla</t>
        </is>
      </c>
      <c r="C147" s="12" t="inlineStr">
        <is>
          <t>TSLA</t>
        </is>
      </c>
      <c r="D147" s="11" t="inlineStr">
        <is>
          <t>Auto elettriche</t>
        </is>
      </c>
      <c r="E147" s="13" t="inlineStr">
        <is>
          <t>Consumi</t>
        </is>
      </c>
      <c r="F147" s="14" t="n">
        <v>405.47</v>
      </c>
      <c r="G147" s="15" t="inlineStr">
        <is>
          <t>USD</t>
        </is>
      </c>
      <c r="H147" s="14" t="n">
        <v>362.9362001357688</v>
      </c>
      <c r="I147" s="16" t="n">
        <v>1434518.153344237</v>
      </c>
      <c r="J147" s="16" t="n">
        <v>1602634.5</v>
      </c>
      <c r="K147" s="14" t="n">
        <v>0.91</v>
      </c>
      <c r="L147" s="14" t="n">
        <v>2.15531</v>
      </c>
      <c r="M147" s="17">
        <f>IF(OR(F147="",K147="",K147&lt;=0),"",F147/K147)</f>
        <v/>
      </c>
      <c r="N147" s="18" t="n">
        <v>17.949797</v>
      </c>
      <c r="O147" s="19">
        <f>IF(OR(N147="",M147="",M147&lt;=0),"",N147/M147)</f>
        <v/>
      </c>
      <c r="P147" s="20" t="n">
        <v>0.03844</v>
      </c>
      <c r="Q147" s="20" t="n">
        <v>0.1662307907254467</v>
      </c>
      <c r="R147" s="20" t="n">
        <v>0.09713259207574809</v>
      </c>
      <c r="S147" s="21" t="n">
        <v>4</v>
      </c>
      <c r="T147" s="20" t="n"/>
      <c r="U147" s="20" t="n">
        <v>0.04619111971462313</v>
      </c>
      <c r="V147" s="20" t="n">
        <v>0.09778777447094482</v>
      </c>
      <c r="W147" s="20" t="n">
        <v>0.2394705750870134</v>
      </c>
      <c r="X147" s="20" t="n">
        <v>0.2814736936292054</v>
      </c>
      <c r="Y147" s="14" t="n"/>
      <c r="Z147" s="19">
        <f>IF(OR(Y147="",F147="",F147=0),"",Y147/F147)</f>
        <v/>
      </c>
      <c r="AA147" s="22" t="n">
        <v>18.295</v>
      </c>
      <c r="AB147" s="20" t="n">
        <v>-0.002</v>
      </c>
      <c r="AC147" s="20" t="n">
        <v>0.0339565735497274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2026-10-29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CrowdStrike</t>
        </is>
      </c>
      <c r="C148" s="12" t="inlineStr">
        <is>
          <t>CRWD</t>
        </is>
      </c>
      <c r="D148" s="11" t="inlineStr">
        <is>
          <t>Cybersicurezza</t>
        </is>
      </c>
      <c r="E148" s="13" t="inlineStr">
        <is>
          <t>Tecnologia</t>
        </is>
      </c>
      <c r="F148" s="14" t="n">
        <v>257.61</v>
      </c>
      <c r="G148" s="15" t="inlineStr">
        <is>
          <t>USD</t>
        </is>
      </c>
      <c r="H148" s="14" t="n">
        <v>230.5867129922692</v>
      </c>
      <c r="I148" s="16" t="n">
        <v>236105.7206199534</v>
      </c>
      <c r="J148" s="16" t="n">
        <v>263775.8</v>
      </c>
      <c r="K148" s="14" t="n">
        <v>0.05</v>
      </c>
      <c r="L148" s="14" t="n">
        <v>1.61123</v>
      </c>
      <c r="M148" s="17">
        <f>IF(OR(F148="",K148="",K148&lt;=0),"",F148/K148)</f>
        <v/>
      </c>
      <c r="N148" s="18" t="n">
        <v>51.697773</v>
      </c>
      <c r="O148" s="19">
        <f>IF(OR(N148="",M148="",M148&lt;=0),"",N148/M148)</f>
        <v/>
      </c>
      <c r="P148" s="20" t="n">
        <v>0.01461</v>
      </c>
      <c r="Q148" s="20" t="n">
        <v>-0.03380291957831719</v>
      </c>
      <c r="R148" s="20" t="n">
        <v>0.05799500312740814</v>
      </c>
      <c r="S148" s="21" t="n">
        <v>4</v>
      </c>
      <c r="T148" s="20" t="n">
        <v>-0.0366955033319107</v>
      </c>
      <c r="U148" s="20" t="n">
        <v>-0.004647363282262447</v>
      </c>
      <c r="V148" s="20" t="n">
        <v>0.03132923891577508</v>
      </c>
      <c r="W148" s="20" t="n">
        <v>-0.1251980506148707</v>
      </c>
      <c r="X148" s="20" t="n"/>
      <c r="Y148" s="14" t="n"/>
      <c r="Z148" s="19">
        <f>IF(OR(Y148="",F148="",F148=0),"",Y148/F148)</f>
        <v/>
      </c>
      <c r="AA148" s="22" t="n">
        <v>15.958</v>
      </c>
      <c r="AB148" s="20" t="n">
        <v>0.258</v>
      </c>
      <c r="AC148" s="20" t="n">
        <v>0.00935057216274713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2026-10-29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KKR &amp; Co.</t>
        </is>
      </c>
      <c r="C149" s="12" t="inlineStr">
        <is>
          <t>KKR</t>
        </is>
      </c>
      <c r="D149" s="11" t="inlineStr">
        <is>
          <t>Private equity</t>
        </is>
      </c>
      <c r="E149" s="13" t="inlineStr">
        <is>
          <t>Finanziario</t>
        </is>
      </c>
      <c r="F149" s="14" t="n">
        <v>95.16</v>
      </c>
      <c r="G149" s="15" t="inlineStr">
        <is>
          <t>USD</t>
        </is>
      </c>
      <c r="H149" s="14" t="n">
        <v>85.17771673593546</v>
      </c>
      <c r="I149" s="16" t="n">
        <v>78669.35506970322</v>
      </c>
      <c r="J149" s="16" t="n">
        <v>87888.89999999999</v>
      </c>
      <c r="K149" s="14" t="n">
        <v>3.13</v>
      </c>
      <c r="L149" s="14" t="n">
        <v>7.18788</v>
      </c>
      <c r="M149" s="17">
        <f>IF(OR(F149="",K149="",K149&lt;=0),"",F149/K149)</f>
        <v/>
      </c>
      <c r="N149" s="18" t="n">
        <v>2.9971654</v>
      </c>
      <c r="O149" s="19">
        <f>IF(OR(N149="",M149="",M149&lt;=0),"",N149/M149)</f>
        <v/>
      </c>
      <c r="P149" s="20" t="n">
        <v>0.0728</v>
      </c>
      <c r="Q149" s="20" t="n">
        <v>0.08557788220889605</v>
      </c>
      <c r="R149" s="20" t="n">
        <v>0.07234443895318442</v>
      </c>
      <c r="S149" s="21" t="n">
        <v>4</v>
      </c>
      <c r="T149" s="20" t="n"/>
      <c r="U149" s="20" t="n">
        <v>0.07670765539464512</v>
      </c>
      <c r="V149" s="20" t="n">
        <v>0.130065161007507</v>
      </c>
      <c r="W149" s="20" t="n">
        <v>0.1632753384773426</v>
      </c>
      <c r="X149" s="20" t="n">
        <v>-0.02773662604391048</v>
      </c>
      <c r="Y149" s="14" t="n">
        <v>0.78</v>
      </c>
      <c r="Z149" s="19">
        <f>IF(OR(Y149="",F149="",F149=0),"",Y149/F149)</f>
        <v/>
      </c>
      <c r="AA149" s="22" t="n">
        <v>69.812</v>
      </c>
      <c r="AB149" s="20" t="n">
        <v>0.078</v>
      </c>
      <c r="AC149" s="20" t="n">
        <v>0.1556813368747196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2026-10-29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GE Vernova</t>
        </is>
      </c>
      <c r="C150" s="12" t="inlineStr">
        <is>
          <t>GEV</t>
        </is>
      </c>
      <c r="D150" s="11" t="inlineStr">
        <is>
          <t>Elettrificazione / Energia</t>
        </is>
      </c>
      <c r="E150" s="13" t="inlineStr">
        <is>
          <t>Industriale</t>
        </is>
      </c>
      <c r="F150" s="14" t="n">
        <v>890.27</v>
      </c>
      <c r="G150" s="15" t="inlineStr">
        <is>
          <t>USD</t>
        </is>
      </c>
      <c r="H150" s="14" t="n">
        <v>796.8806838850491</v>
      </c>
      <c r="I150" s="16" t="n">
        <v>210916.084732315</v>
      </c>
      <c r="J150" s="16" t="n">
        <v>235634.1</v>
      </c>
      <c r="K150" s="14" t="n">
        <v>38.09</v>
      </c>
      <c r="L150" s="14" t="n">
        <v>25.28504</v>
      </c>
      <c r="M150" s="17">
        <f>IF(OR(F150="",K150="",K150&lt;=0),"",F150/K150)</f>
        <v/>
      </c>
      <c r="N150" s="18" t="n">
        <v>21.466774</v>
      </c>
      <c r="O150" s="19">
        <f>IF(OR(N150="",M150="",M150&lt;=0),"",N150/M150)</f>
        <v/>
      </c>
      <c r="P150" s="20" t="n">
        <v>0.93035007</v>
      </c>
      <c r="Q150" s="20" t="n">
        <v>0.07088699300491282</v>
      </c>
      <c r="R150" s="20" t="n">
        <v>0.2582280581877227</v>
      </c>
      <c r="S150" s="21" t="n">
        <v>4</v>
      </c>
      <c r="T150" s="20" t="n"/>
      <c r="U150" s="20" t="n">
        <v>0.4369296833064949</v>
      </c>
      <c r="V150" s="20" t="n">
        <v>0.1625811858369998</v>
      </c>
      <c r="W150" s="20" t="n">
        <v>-0.05906148867313916</v>
      </c>
      <c r="X150" s="20" t="n">
        <v>-0.2569014084507042</v>
      </c>
      <c r="Y150" s="14" t="n">
        <v>2</v>
      </c>
      <c r="Z150" s="19">
        <f>IF(OR(Y150="",F150="",F150=0),"",Y150/F150)</f>
        <v/>
      </c>
      <c r="AA150" s="22" t="n">
        <v>22.292</v>
      </c>
      <c r="AB150" s="20" t="n">
        <v>0.268</v>
      </c>
      <c r="AC150" s="20" t="n">
        <v>0.2723547336345487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2026-10-29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194.09</v>
      </c>
      <c r="G151" s="15" t="inlineStr">
        <is>
          <t>USD</t>
        </is>
      </c>
      <c r="H151" s="14" t="n">
        <v>173.7299605010269</v>
      </c>
      <c r="I151" s="16" t="n">
        <v>417483.2365670551</v>
      </c>
      <c r="J151" s="16" t="n">
        <v>466409.6</v>
      </c>
      <c r="K151" s="14" t="n">
        <v>1.16</v>
      </c>
      <c r="L151" s="14" t="n">
        <v>2.33671</v>
      </c>
      <c r="M151" s="17">
        <f>IF(OR(F151="",K151="",K151&lt;=0),"",F151/K151)</f>
        <v/>
      </c>
      <c r="N151" s="18" t="n">
        <v>47.711407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2026-10-29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29.625</v>
      </c>
      <c r="G152" s="15" t="inlineStr">
        <is>
          <t>USD</t>
        </is>
      </c>
      <c r="H152" s="14" t="n">
        <v>26.5173377291098</v>
      </c>
      <c r="I152" s="16" t="n">
        <v>151140.1425858508</v>
      </c>
      <c r="J152" s="16" t="n">
        <v>168852.8</v>
      </c>
      <c r="K152" s="14" t="n">
        <v>0.76</v>
      </c>
      <c r="L152" s="14" t="n">
        <v>2.88409</v>
      </c>
      <c r="M152" s="17">
        <f>IF(OR(F152="",K152="",K152&lt;=0),"",F152/K152)</f>
        <v/>
      </c>
      <c r="N152" s="18" t="n">
        <v>1.9818705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2026-10-29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219.215</v>
      </c>
      <c r="G153" s="15" t="inlineStr">
        <is>
          <t>USD</t>
        </is>
      </c>
      <c r="H153" s="14" t="n">
        <v>196.2193481953352</v>
      </c>
      <c r="I153" s="16" t="n">
        <v>176339.1770235705</v>
      </c>
      <c r="J153" s="16" t="n">
        <v>197005</v>
      </c>
      <c r="K153" s="14" t="n">
        <v>3.04</v>
      </c>
      <c r="L153" s="14" t="n">
        <v>7.32838</v>
      </c>
      <c r="M153" s="17">
        <f>IF(OR(F153="",K153="",K153&lt;=0),"",F153/K153)</f>
        <v/>
      </c>
      <c r="N153" s="18" t="n">
        <v>10.371895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2026-10-29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109.25</v>
      </c>
      <c r="G154" s="15" t="inlineStr">
        <is>
          <t>USD</t>
        </is>
      </c>
      <c r="H154" s="14" t="n">
        <v>97.7896758449028</v>
      </c>
      <c r="I154" s="16" t="n">
        <v>35431.45968612781</v>
      </c>
      <c r="J154" s="16" t="n">
        <v>39583.8</v>
      </c>
      <c r="K154" s="14" t="n">
        <v>0.5</v>
      </c>
      <c r="L154" s="14" t="n">
        <v>3.9344</v>
      </c>
      <c r="M154" s="17">
        <f>IF(OR(F154="",K154="",K154&lt;=0),"",F154/K154)</f>
        <v/>
      </c>
      <c r="N154" s="18" t="n">
        <v>10.38498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2026-10-29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310.62</v>
      </c>
      <c r="G155" s="15" t="inlineStr">
        <is>
          <t>USD</t>
        </is>
      </c>
      <c r="H155" s="14" t="n">
        <v>278.0359644022307</v>
      </c>
      <c r="I155" s="16" t="n">
        <v>61914.60459494219</v>
      </c>
      <c r="J155" s="16" t="n">
        <v>69170.60000000001</v>
      </c>
      <c r="K155" s="14" t="n">
        <v>-0.21</v>
      </c>
      <c r="L155" s="14" t="n">
        <v>14.44372</v>
      </c>
      <c r="M155" s="17">
        <f>IF(OR(F155="",K155="",K155&lt;=0),"",F155/K155)</f>
        <v/>
      </c>
      <c r="N155" s="18" t="n">
        <v>4.982116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2026-10-29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75.8001</v>
      </c>
      <c r="G156" s="15" t="inlineStr">
        <is>
          <t>USD</t>
        </is>
      </c>
      <c r="H156" s="14" t="n">
        <v>67.84867009621252</v>
      </c>
      <c r="I156" s="16" t="n">
        <v>113289.9436588251</v>
      </c>
      <c r="J156" s="16" t="n">
        <v>126566.8</v>
      </c>
      <c r="K156" s="14" t="n">
        <v>4.75</v>
      </c>
      <c r="L156" s="14" t="n">
        <v>5.87899</v>
      </c>
      <c r="M156" s="17">
        <f>IF(OR(F156="",K156="",K156&lt;=0),"",F156/K156)</f>
        <v/>
      </c>
      <c r="N156" s="18" t="n">
        <v>-47.434357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2026-10-29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476.6</v>
      </c>
      <c r="G157" s="15" t="inlineStr">
        <is>
          <t>USD</t>
        </is>
      </c>
      <c r="H157" s="14" t="n">
        <v>426.6046636858643</v>
      </c>
      <c r="I157" s="16" t="n">
        <v>271240.6336735191</v>
      </c>
      <c r="J157" s="16" t="n">
        <v>303028.3</v>
      </c>
      <c r="K157" s="14" t="n">
        <v>17.2</v>
      </c>
      <c r="L157" s="14" t="n">
        <v>30.26321</v>
      </c>
      <c r="M157" s="17">
        <f>IF(OR(F157="",K157="",K157&lt;=0),"",F157/K157)</f>
        <v/>
      </c>
      <c r="N157" s="18" t="n">
        <v>-213.72197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2026-10-29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33.28</v>
      </c>
      <c r="G158" s="15" t="inlineStr">
        <is>
          <t>USD</t>
        </is>
      </c>
      <c r="H158" s="14" t="n">
        <v>29.78892825737634</v>
      </c>
      <c r="I158" s="16" t="n">
        <v>21563.67526631015</v>
      </c>
      <c r="J158" s="16" t="n">
        <v>24090.8</v>
      </c>
      <c r="K158" s="14" t="n">
        <v>-1.29</v>
      </c>
      <c r="L158" s="14" t="n">
        <v>1.8378</v>
      </c>
      <c r="M158" s="17">
        <f>IF(OR(F158="",K158="",K158&lt;=0),"",F158/K158)</f>
        <v/>
      </c>
      <c r="N158" s="18" t="n">
        <v>1.4914403</v>
      </c>
      <c r="O158" s="19">
        <f>IF(OR(N158="",M158="",M158&lt;=0),"",N158/M158)</f>
        <v/>
      </c>
      <c r="P158" s="20" t="n">
        <v>-0.03243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107.566</v>
      </c>
      <c r="AB158" s="20" t="n">
        <v>0.13</v>
      </c>
      <c r="AC158" s="20" t="n">
        <v>-0.02264311449159328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2026-10-29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12.33</v>
      </c>
      <c r="G159" s="15" t="inlineStr">
        <is>
          <t>USD</t>
        </is>
      </c>
      <c r="H159" s="14" t="n">
        <v>11.03658309535608</v>
      </c>
      <c r="I159" s="16" t="n">
        <v>44009.47159024183</v>
      </c>
      <c r="J159" s="16" t="n">
        <v>49167.1</v>
      </c>
      <c r="K159" s="14" t="n">
        <v>-1.88</v>
      </c>
      <c r="L159" s="14" t="n">
        <v>1.91873</v>
      </c>
      <c r="M159" s="17">
        <f>IF(OR(F159="",K159="",K159&lt;=0),"",F159/K159)</f>
        <v/>
      </c>
      <c r="N159" s="18" t="n">
        <v>1.368024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2026-10-29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161.34</v>
      </c>
      <c r="G160" s="15" t="inlineStr">
        <is>
          <t>USD</t>
        </is>
      </c>
      <c r="H160" s="14" t="n">
        <v>144.4154352477494</v>
      </c>
      <c r="I160" s="16" t="n">
        <v>179068.6949871535</v>
      </c>
      <c r="J160" s="16" t="n">
        <v>200054.4</v>
      </c>
      <c r="K160" s="14" t="n">
        <v>-2.65</v>
      </c>
      <c r="L160" s="14" t="n">
        <v>9.911849999999999</v>
      </c>
      <c r="M160" s="17">
        <f>IF(OR(F160="",K160="",K160&lt;=0),"",F160/K160)</f>
        <v/>
      </c>
      <c r="N160" s="18" t="n">
        <v>16.926144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2026-10-29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91.29000000000001</v>
      </c>
      <c r="G161" s="15" t="inlineStr">
        <is>
          <t>USD</t>
        </is>
      </c>
      <c r="H161" s="14" t="n">
        <v>81.7136797060062</v>
      </c>
      <c r="I161" s="16" t="n">
        <v>431947.0680820227</v>
      </c>
      <c r="J161" s="16" t="n">
        <v>482568.5</v>
      </c>
      <c r="K161" s="14" t="n">
        <v>-2.12</v>
      </c>
      <c r="L161" s="14" t="n">
        <v>2.16186</v>
      </c>
      <c r="M161" s="17">
        <f>IF(OR(F161="",K161="",K161&lt;=0),"",F161/K161)</f>
        <v/>
      </c>
      <c r="N161" s="18" t="n">
        <v>5.2589436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2026-10-29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204.78</v>
      </c>
      <c r="G162" s="15" t="inlineStr">
        <is>
          <t>USD</t>
        </is>
      </c>
      <c r="H162" s="14" t="n">
        <v>183.2985795836997</v>
      </c>
      <c r="I162" s="16" t="n">
        <v>102840.3671485408</v>
      </c>
      <c r="J162" s="16" t="n">
        <v>114892.6</v>
      </c>
      <c r="K162" s="14" t="n">
        <v>11.83</v>
      </c>
      <c r="L162" s="14" t="n">
        <v>12.98594</v>
      </c>
      <c r="M162" s="17">
        <f>IF(OR(F162="",K162="",K162&lt;=0),"",F162/K162)</f>
        <v/>
      </c>
      <c r="N162" s="18" t="n">
        <v>-15.446934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2026-10-29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256.23</v>
      </c>
      <c r="G163" s="15" t="inlineStr">
        <is>
          <t>USD</t>
        </is>
      </c>
      <c r="H163" s="14" t="n">
        <v>229.3514749815968</v>
      </c>
      <c r="I163" s="16" t="n">
        <v>162292.2830922053</v>
      </c>
      <c r="J163" s="16" t="n">
        <v>181311.9</v>
      </c>
      <c r="K163" s="14" t="n">
        <v>12.31</v>
      </c>
      <c r="L163" s="14" t="n">
        <v>13.74116</v>
      </c>
      <c r="M163" s="17">
        <f>IF(OR(F163="",K163="",K163&lt;=0),"",F163/K163)</f>
        <v/>
      </c>
      <c r="N163" s="18" t="n">
        <v>-177.19226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2026-10-29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970.835</v>
      </c>
      <c r="G164" s="15" t="inlineStr">
        <is>
          <t>USD</t>
        </is>
      </c>
      <c r="H164" s="14" t="n">
        <v>868.9944160081118</v>
      </c>
      <c r="I164" s="16" t="n">
        <v>101316.3698753734</v>
      </c>
      <c r="J164" s="16" t="n">
        <v>113190</v>
      </c>
      <c r="K164" s="14" t="n">
        <v>37.31</v>
      </c>
      <c r="L164" s="14" t="n">
        <v>50.63093</v>
      </c>
      <c r="M164" s="17">
        <f>IF(OR(F164="",K164="",K164&lt;=0),"",F164/K164)</f>
        <v/>
      </c>
      <c r="N164" s="18" t="n">
        <v>-26.56038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2026-10-29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218.205</v>
      </c>
      <c r="G165" s="15" t="inlineStr">
        <is>
          <t>USD</t>
        </is>
      </c>
      <c r="H165" s="14" t="n">
        <v>195.3152971875242</v>
      </c>
      <c r="I165" s="16" t="n">
        <v>77976.90570372046</v>
      </c>
      <c r="J165" s="16" t="n">
        <v>87115.3</v>
      </c>
      <c r="K165" s="14" t="n">
        <v>-7.98</v>
      </c>
      <c r="L165" s="14" t="n">
        <v>-4.58527</v>
      </c>
      <c r="M165" s="17">
        <f>IF(OR(F165="",K165="",K165&lt;=0),"",F165/K165)</f>
        <v/>
      </c>
      <c r="N165" s="18" t="n">
        <v>12.877251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2026-10-29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207.54</v>
      </c>
      <c r="G166" s="15" t="inlineStr">
        <is>
          <t>USD</t>
        </is>
      </c>
      <c r="H166" s="14" t="n">
        <v>185.7690556050446</v>
      </c>
      <c r="I166" s="16" t="n">
        <v>289542.1169616439</v>
      </c>
      <c r="J166" s="16" t="n">
        <v>323474.6</v>
      </c>
      <c r="K166" s="14" t="n">
        <v>6.85</v>
      </c>
      <c r="L166" s="14" t="n">
        <v>9.057539999999999</v>
      </c>
      <c r="M166" s="17">
        <f>IF(OR(F166="",K166="",K166&lt;=0),"",F166/K166)</f>
        <v/>
      </c>
      <c r="N166" s="18" t="n">
        <v>-40.75805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0.055</v>
      </c>
      <c r="AC166" s="20" t="n">
        <v>0.2627681543003346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2026-10-29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104.165</v>
      </c>
      <c r="G167" s="15" t="inlineStr">
        <is>
          <t>USD</t>
        </is>
      </c>
      <c r="H167" s="14" t="n">
        <v>93.23809230557713</v>
      </c>
      <c r="I167" s="16" t="n">
        <v>106291.4252283579</v>
      </c>
      <c r="J167" s="16" t="n">
        <v>118748.1</v>
      </c>
      <c r="K167" s="14" t="n">
        <v>1.73</v>
      </c>
      <c r="L167" s="14" t="n">
        <v>3.12656</v>
      </c>
      <c r="M167" s="17">
        <f>IF(OR(F167="",K167="",K167&lt;=0),"",F167/K167)</f>
        <v/>
      </c>
      <c r="N167" s="18" t="n">
        <v>-15.470816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2026-10-29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2026-10-29T18:16:58Z</dcterms:created>
  <dcterms:modified xsi:type="dcterms:W3CDTF">2026-10-29T18:16:59Z</dcterms:modified>
</cp:coreProperties>
</file>
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BPE/" TargetMode="External" Id="rId13" /><Relationship Type="http://schemas.openxmlformats.org/officeDocument/2006/relationships/hyperlink" Target="https://www.tradingview.com/symbols/MIL-UNI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FBK/" TargetMode="External" Id="rId19" /><Relationship Type="http://schemas.openxmlformats.org/officeDocument/2006/relationships/hyperlink" Target="https://www.tradingview.com/symbols/MIL-MFEB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IF/" TargetMode="External" Id="rId24" /><Relationship Type="http://schemas.openxmlformats.org/officeDocument/2006/relationships/hyperlink" Target="https://www.tradingview.com/symbols/MIL-BMPS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TRN/" TargetMode="External" Id="rId28" /><Relationship Type="http://schemas.openxmlformats.org/officeDocument/2006/relationships/hyperlink" Target="https://www.tradingview.com/symbols/MIL-ENI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G/" TargetMode="External" Id="rId31" /><Relationship Type="http://schemas.openxmlformats.org/officeDocument/2006/relationships/hyperlink" Target="https://www.tradingview.com/symbols/MIL-SRG/" TargetMode="External" Id="rId32" /><Relationship Type="http://schemas.openxmlformats.org/officeDocument/2006/relationships/hyperlink" Target="https://www.tradingview.com/symbols/MIL-TEN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BAMI/" TargetMode="External" Id="rId35" /><Relationship Type="http://schemas.openxmlformats.org/officeDocument/2006/relationships/hyperlink" Target="https://www.tradingview.com/symbols/MIL-MONC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BDB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DAN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ADS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CAP/" TargetMode="External" Id="rId3" /><Relationship Type="http://schemas.openxmlformats.org/officeDocument/2006/relationships/hyperlink" Target="https://www.tradingview.com/symbols/EURONEXT-DG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MC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CA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NN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LOG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KNI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GOOGL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AXP/" TargetMode="External" Id="rId11" /><Relationship Type="http://schemas.openxmlformats.org/officeDocument/2006/relationships/hyperlink" Target="https://www.tradingview.com/symbols/MSFT/" TargetMode="External" Id="rId12" /><Relationship Type="http://schemas.openxmlformats.org/officeDocument/2006/relationships/hyperlink" Target="https://www.tradingview.com/symbols/PEP/" TargetMode="External" Id="rId13" /><Relationship Type="http://schemas.openxmlformats.org/officeDocument/2006/relationships/hyperlink" Target="https://www.tradingview.com/symbols/MCO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TRV/" TargetMode="External" Id="rId21" /><Relationship Type="http://schemas.openxmlformats.org/officeDocument/2006/relationships/hyperlink" Target="https://www.tradingview.com/symbols/TGT/" TargetMode="External" Id="rId22" /><Relationship Type="http://schemas.openxmlformats.org/officeDocument/2006/relationships/hyperlink" Target="https://www.tradingview.com/symbols/KLAC/" TargetMode="External" Id="rId23" /><Relationship Type="http://schemas.openxmlformats.org/officeDocument/2006/relationships/hyperlink" Target="https://www.tradingview.com/symbols/AMAT/" TargetMode="External" Id="rId24" /><Relationship Type="http://schemas.openxmlformats.org/officeDocument/2006/relationships/hyperlink" Target="https://www.tradingview.com/symbols/LLY/" TargetMode="External" Id="rId25" /><Relationship Type="http://schemas.openxmlformats.org/officeDocument/2006/relationships/hyperlink" Target="https://www.tradingview.com/symbols/URI/" TargetMode="External" Id="rId26" /><Relationship Type="http://schemas.openxmlformats.org/officeDocument/2006/relationships/hyperlink" Target="https://www.tradingview.com/symbols/COST/" TargetMode="External" Id="rId27" /><Relationship Type="http://schemas.openxmlformats.org/officeDocument/2006/relationships/hyperlink" Target="https://www.tradingview.com/symbols/LMT/" TargetMode="External" Id="rId28" /><Relationship Type="http://schemas.openxmlformats.org/officeDocument/2006/relationships/hyperlink" Target="https://www.tradingview.com/symbols/UPS/" TargetMode="External" Id="rId29" /><Relationship Type="http://schemas.openxmlformats.org/officeDocument/2006/relationships/hyperlink" Target="https://www.tradingview.com/symbols/UNP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NFLX/" TargetMode="External" Id="rId32" /><Relationship Type="http://schemas.openxmlformats.org/officeDocument/2006/relationships/hyperlink" Target="https://www.tradingview.com/symbols/KO/" TargetMode="External" Id="rId33" /><Relationship Type="http://schemas.openxmlformats.org/officeDocument/2006/relationships/hyperlink" Target="https://www.tradingview.com/symbols/VLO/" TargetMode="External" Id="rId34" /><Relationship Type="http://schemas.openxmlformats.org/officeDocument/2006/relationships/hyperlink" Target="https://www.tradingview.com/symbols/SHW/" TargetMode="External" Id="rId35" /><Relationship Type="http://schemas.openxmlformats.org/officeDocument/2006/relationships/hyperlink" Target="https://www.tradingview.com/symbols/TXN/" TargetMode="External" Id="rId36" /><Relationship Type="http://schemas.openxmlformats.org/officeDocument/2006/relationships/hyperlink" Target="https://www.tradingview.com/symbols/CB/" TargetMode="External" Id="rId37" /><Relationship Type="http://schemas.openxmlformats.org/officeDocument/2006/relationships/hyperlink" Target="https://www.tradingview.com/symbols/CMG/" TargetMode="External" Id="rId38" /><Relationship Type="http://schemas.openxmlformats.org/officeDocument/2006/relationships/hyperlink" Target="https://www.tradingview.com/symbols/ITW/" TargetMode="External" Id="rId39" /><Relationship Type="http://schemas.openxmlformats.org/officeDocument/2006/relationships/hyperlink" Target="https://www.tradingview.com/symbols/BX/" TargetMode="External" Id="rId40" /><Relationship Type="http://schemas.openxmlformats.org/officeDocument/2006/relationships/hyperlink" Target="https://www.tradingview.com/symbols/JPM/" TargetMode="External" Id="rId41" /><Relationship Type="http://schemas.openxmlformats.org/officeDocument/2006/relationships/hyperlink" Target="https://www.tradingview.com/symbols/TJX/" TargetMode="External" Id="rId42" /><Relationship Type="http://schemas.openxmlformats.org/officeDocument/2006/relationships/hyperlink" Target="https://www.tradingview.com/symbols/PSX/" TargetMode="External" Id="rId43" /><Relationship Type="http://schemas.openxmlformats.org/officeDocument/2006/relationships/hyperlink" Target="https://www.tradingview.com/symbols/CI/" TargetMode="External" Id="rId44" /><Relationship Type="http://schemas.openxmlformats.org/officeDocument/2006/relationships/hyperlink" Target="https://www.tradingview.com/symbols/NKE/" TargetMode="External" Id="rId45" /><Relationship Type="http://schemas.openxmlformats.org/officeDocument/2006/relationships/hyperlink" Target="https://www.tradingview.com/symbols/NVDA/" TargetMode="External" Id="rId46" /><Relationship Type="http://schemas.openxmlformats.org/officeDocument/2006/relationships/hyperlink" Target="https://www.tradingview.com/symbols/CSX/" TargetMode="External" Id="rId47" /><Relationship Type="http://schemas.openxmlformats.org/officeDocument/2006/relationships/hyperlink" Target="https://www.tradingview.com/symbols/NOC/" TargetMode="External" Id="rId48" /><Relationship Type="http://schemas.openxmlformats.org/officeDocument/2006/relationships/hyperlink" Target="https://www.tradingview.com/symbols/CDNS/" TargetMode="External" Id="rId49" /><Relationship Type="http://schemas.openxmlformats.org/officeDocument/2006/relationships/hyperlink" Target="https://www.tradingview.com/symbols/META/" TargetMode="External" Id="rId50" /><Relationship Type="http://schemas.openxmlformats.org/officeDocument/2006/relationships/hyperlink" Target="https://www.tradingview.com/symbols/WM/" TargetMode="External" Id="rId51" /><Relationship Type="http://schemas.openxmlformats.org/officeDocument/2006/relationships/hyperlink" Target="https://www.tradingview.com/symbols/CSCO/" TargetMode="External" Id="rId52" /><Relationship Type="http://schemas.openxmlformats.org/officeDocument/2006/relationships/hyperlink" Target="https://www.tradingview.com/symbols/PG/" TargetMode="External" Id="rId53" /><Relationship Type="http://schemas.openxmlformats.org/officeDocument/2006/relationships/hyperlink" Target="https://www.tradingview.com/symbols/PLTR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BAC/" TargetMode="External" Id="rId58" /><Relationship Type="http://schemas.openxmlformats.org/officeDocument/2006/relationships/hyperlink" Target="https://www.tradingview.com/symbols/BKNG/" TargetMode="External" Id="rId59" /><Relationship Type="http://schemas.openxmlformats.org/officeDocument/2006/relationships/hyperlink" Target="https://www.tradingview.com/symbols/WFC/" TargetMode="External" Id="rId60" /><Relationship Type="http://schemas.openxmlformats.org/officeDocument/2006/relationships/hyperlink" Target="https://www.tradingview.com/symbols/FDX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AMT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BA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ETN/" TargetMode="External" Id="rId71" /><Relationship Type="http://schemas.openxmlformats.org/officeDocument/2006/relationships/hyperlink" Target="https://www.tradingview.com/symbols/C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MS/" TargetMode="External" Id="rId74" /><Relationship Type="http://schemas.openxmlformats.org/officeDocument/2006/relationships/hyperlink" Target="https://www.tradingview.com/symbols/WMB/" TargetMode="External" Id="rId75" /><Relationship Type="http://schemas.openxmlformats.org/officeDocument/2006/relationships/hyperlink" Target="https://www.tradingview.com/symbols/REGN/" TargetMode="External" Id="rId76" /><Relationship Type="http://schemas.openxmlformats.org/officeDocument/2006/relationships/hyperlink" Target="https://www.tradingview.com/symbols/INTU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SCHW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KMB/" TargetMode="External" Id="rId83" /><Relationship Type="http://schemas.openxmlformats.org/officeDocument/2006/relationships/hyperlink" Target="https://www.tradingview.com/symbols/NEE/" TargetMode="External" Id="rId84" /><Relationship Type="http://schemas.openxmlformats.org/officeDocument/2006/relationships/hyperlink" Target="https://www.tradingview.com/symbols/WMT/" TargetMode="External" Id="rId85" /><Relationship Type="http://schemas.openxmlformats.org/officeDocument/2006/relationships/hyperlink" Target="https://www.tradingview.com/symbols/GD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DE/" TargetMode="External" Id="rId88" /><Relationship Type="http://schemas.openxmlformats.org/officeDocument/2006/relationships/hyperlink" Target="https://www.tradingview.com/symbols/ELV/" TargetMode="External" Id="rId89" /><Relationship Type="http://schemas.openxmlformats.org/officeDocument/2006/relationships/hyperlink" Target="https://www.tradingview.com/symbols/XOM/" TargetMode="External" Id="rId90" /><Relationship Type="http://schemas.openxmlformats.org/officeDocument/2006/relationships/hyperlink" Target="https://www.tradingview.com/symbols/SYK/" TargetMode="External" Id="rId91" /><Relationship Type="http://schemas.openxmlformats.org/officeDocument/2006/relationships/hyperlink" Target="https://www.tradingview.com/symbols/SLB/" TargetMode="External" Id="rId92" /><Relationship Type="http://schemas.openxmlformats.org/officeDocument/2006/relationships/hyperlink" Target="https://www.tradingview.com/symbols/BLK/" TargetMode="External" Id="rId93" /><Relationship Type="http://schemas.openxmlformats.org/officeDocument/2006/relationships/hyperlink" Target="https://www.tradingview.com/symbols/NUE/" TargetMode="External" Id="rId94" /><Relationship Type="http://schemas.openxmlformats.org/officeDocument/2006/relationships/hyperlink" Target="https://www.tradingview.com/symbols/IBM/" TargetMode="External" Id="rId95" /><Relationship Type="http://schemas.openxmlformats.org/officeDocument/2006/relationships/hyperlink" Target="https://www.tradingview.com/symbols/TMO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MET/" TargetMode="External" Id="rId99" /><Relationship Type="http://schemas.openxmlformats.org/officeDocument/2006/relationships/hyperlink" Target="https://www.tradingview.com/symbols/BRK.B/" TargetMode="External" Id="rId100" /><Relationship Type="http://schemas.openxmlformats.org/officeDocument/2006/relationships/hyperlink" Target="https://www.tradingview.com/symbols/NOW/" TargetMode="External" Id="rId101" /><Relationship Type="http://schemas.openxmlformats.org/officeDocument/2006/relationships/hyperlink" Target="https://www.tradingview.com/symbols/UNH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KMI/" TargetMode="External" Id="rId109" /><Relationship Type="http://schemas.openxmlformats.org/officeDocument/2006/relationships/hyperlink" Target="https://www.tradingview.com/symbols/OXY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SPGI/" TargetMode="External" Id="rId112" /><Relationship Type="http://schemas.openxmlformats.org/officeDocument/2006/relationships/hyperlink" Target="https://www.tradingview.com/symbols/AEP/" TargetMode="External" Id="rId113" /><Relationship Type="http://schemas.openxmlformats.org/officeDocument/2006/relationships/hyperlink" Target="https://www.tradingview.com/symbols/PCAR/" TargetMode="External" Id="rId114" /><Relationship Type="http://schemas.openxmlformats.org/officeDocument/2006/relationships/hyperlink" Target="https://www.tradingview.com/symbols/EQIX/" TargetMode="External" Id="rId115" /><Relationship Type="http://schemas.openxmlformats.org/officeDocument/2006/relationships/hyperlink" Target="https://www.tradingview.com/symbols/SNPS/" TargetMode="External" Id="rId116" /><Relationship Type="http://schemas.openxmlformats.org/officeDocument/2006/relationships/hyperlink" Target="https://www.tradingview.com/symbols/SO/" TargetMode="External" Id="rId117" /><Relationship Type="http://schemas.openxmlformats.org/officeDocument/2006/relationships/hyperlink" Target="https://www.tradingview.com/symbols/PLD/" TargetMode="External" Id="rId118" /><Relationship Type="http://schemas.openxmlformats.org/officeDocument/2006/relationships/hyperlink" Target="https://www.tradingview.com/symbols/RTX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VRTX/" TargetMode="External" Id="rId121" /><Relationship Type="http://schemas.openxmlformats.org/officeDocument/2006/relationships/hyperlink" Target="https://www.tradingview.com/symbols/ADI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BSX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TSLA/" TargetMode="External" Id="rId127" /><Relationship Type="http://schemas.openxmlformats.org/officeDocument/2006/relationships/hyperlink" Target="https://www.tradingview.com/symbols/AIG/" TargetMode="External" Id="rId128" /><Relationship Type="http://schemas.openxmlformats.org/officeDocument/2006/relationships/hyperlink" Target="https://www.tradingview.com/symbols/FCX/" TargetMode="External" Id="rId129" /><Relationship Type="http://schemas.openxmlformats.org/officeDocument/2006/relationships/hyperlink" Target="https://www.tradingview.com/symbols/BMY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HR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MMM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VST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CRWD/" TargetMode="External" Id="rId143" /><Relationship Type="http://schemas.openxmlformats.org/officeDocument/2006/relationships/hyperlink" Target="https://www.tradingview.com/symbols/PANW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38.36</v>
      </c>
      <c r="G2" s="15" t="inlineStr">
        <is>
          <t>EUR</t>
        </is>
      </c>
      <c r="H2" s="14" t="n">
        <v>38.36</v>
      </c>
      <c r="I2" s="16" t="n">
        <v>5410.5</v>
      </c>
      <c r="J2" s="16" t="n">
        <v>5410.5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2.7551534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78.62</v>
      </c>
      <c r="G3" s="15" t="inlineStr">
        <is>
          <t>EUR</t>
        </is>
      </c>
      <c r="H3" s="14" t="n">
        <v>78.62</v>
      </c>
      <c r="I3" s="16" t="n">
        <v>5346.2</v>
      </c>
      <c r="J3" s="16" t="n">
        <v>5346.2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9.756764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23.22</v>
      </c>
      <c r="G4" s="15" t="inlineStr">
        <is>
          <t>EUR</t>
        </is>
      </c>
      <c r="H4" s="14" t="n">
        <v>23.22</v>
      </c>
      <c r="I4" s="16" t="n">
        <v>17202.9</v>
      </c>
      <c r="J4" s="16" t="n">
        <v>17202.9</v>
      </c>
      <c r="K4" s="14" t="n">
        <v>1.78</v>
      </c>
      <c r="L4" s="14" t="n">
        <v>1.57559</v>
      </c>
      <c r="M4" s="17">
        <f>IF(OR(F4="",K4="",K4&lt;=0),"",F4/K4)</f>
        <v/>
      </c>
      <c r="N4" s="18" t="n">
        <v>3.7566733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65.84999999999999</v>
      </c>
      <c r="G5" s="15" t="inlineStr">
        <is>
          <t>EUR</t>
        </is>
      </c>
      <c r="H5" s="14" t="n">
        <v>65.84999999999999</v>
      </c>
      <c r="I5" s="16" t="n">
        <v>7526</v>
      </c>
      <c r="J5" s="16" t="n">
        <v>7526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5.3445334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8.295999999999999</v>
      </c>
      <c r="G6" s="15" t="inlineStr">
        <is>
          <t>EUR</t>
        </is>
      </c>
      <c r="H6" s="14" t="n">
        <v>8.295999999999999</v>
      </c>
      <c r="I6" s="16" t="n">
        <v>8441.9</v>
      </c>
      <c r="J6" s="16" t="n">
        <v>8441.9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2.2367213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2.065</v>
      </c>
      <c r="G7" s="15" t="inlineStr">
        <is>
          <t>EUR</t>
        </is>
      </c>
      <c r="H7" s="14" t="n">
        <v>2.065</v>
      </c>
      <c r="I7" s="16" t="n">
        <v>535.1</v>
      </c>
      <c r="J7" s="16" t="n">
        <v>535.1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1.8503584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12.38</v>
      </c>
      <c r="G8" s="15" t="inlineStr">
        <is>
          <t>EUR</t>
        </is>
      </c>
      <c r="H8" s="14" t="n">
        <v>12.38</v>
      </c>
      <c r="I8" s="16" t="n">
        <v>4042.2</v>
      </c>
      <c r="J8" s="16" t="n">
        <v>4042.2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6.9785795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2.338</v>
      </c>
      <c r="G9" s="15" t="inlineStr">
        <is>
          <t>EUR</t>
        </is>
      </c>
      <c r="H9" s="14" t="n">
        <v>2.338</v>
      </c>
      <c r="I9" s="16" t="n">
        <v>7314.3</v>
      </c>
      <c r="J9" s="16" t="n">
        <v>7314.3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1.406739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20.02</v>
      </c>
      <c r="G10" s="15" t="inlineStr">
        <is>
          <t>EUR</t>
        </is>
      </c>
      <c r="H10" s="14" t="n">
        <v>20.02</v>
      </c>
      <c r="I10" s="16" t="n">
        <v>4255.2</v>
      </c>
      <c r="J10" s="16" t="n">
        <v>4255.2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1.53023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20.58</v>
      </c>
      <c r="G11" s="15" t="inlineStr">
        <is>
          <t>EUR</t>
        </is>
      </c>
      <c r="H11" s="14" t="n">
        <v>20.58</v>
      </c>
      <c r="I11" s="16" t="n">
        <v>6998.9</v>
      </c>
      <c r="J11" s="16" t="n">
        <v>6998.9</v>
      </c>
      <c r="K11" s="14" t="n">
        <v>1.66</v>
      </c>
      <c r="L11" s="14" t="n">
        <v>1.70789</v>
      </c>
      <c r="M11" s="17">
        <f>IF(OR(F11="",K11="",K11&lt;=0),"",F11/K11)</f>
        <v/>
      </c>
      <c r="N11" s="18" t="n">
        <v>1.4818549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3.628</v>
      </c>
      <c r="G12" s="15" t="inlineStr">
        <is>
          <t>EUR</t>
        </is>
      </c>
      <c r="H12" s="14" t="n">
        <v>3.628</v>
      </c>
      <c r="I12" s="16" t="n">
        <v>5348.7</v>
      </c>
      <c r="J12" s="16" t="n">
        <v>5348.7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1.3135409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0.984</v>
      </c>
      <c r="G13" s="15" t="inlineStr">
        <is>
          <t>EUR</t>
        </is>
      </c>
      <c r="H13" s="14" t="n">
        <v>0.984</v>
      </c>
      <c r="I13" s="16" t="n">
        <v>509.1</v>
      </c>
      <c r="J13" s="16" t="n">
        <v>509.1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1.1068617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BPER Banca</t>
        </is>
      </c>
      <c r="C14" s="12" t="inlineStr">
        <is>
          <t>BPE.MI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14.356</v>
      </c>
      <c r="G14" s="15" t="inlineStr">
        <is>
          <t>EUR</t>
        </is>
      </c>
      <c r="H14" s="14" t="n">
        <v>14.356</v>
      </c>
      <c r="I14" s="16" t="n">
        <v>29944.5</v>
      </c>
      <c r="J14" s="16" t="n">
        <v>29944.5</v>
      </c>
      <c r="K14" s="14" t="n">
        <v>1.1</v>
      </c>
      <c r="L14" s="14" t="n">
        <v>1.30137</v>
      </c>
      <c r="M14" s="17">
        <f>IF(OR(F14="",K14="",K14&lt;=0),"",F14/K14)</f>
        <v/>
      </c>
      <c r="N14" s="18" t="n">
        <v>1.6623437</v>
      </c>
      <c r="O14" s="19">
        <f>IF(OR(N14="",M14="",M14&lt;=0),"",N14/M14)</f>
        <v/>
      </c>
      <c r="P14" s="20" t="n">
        <v>0.15279001</v>
      </c>
      <c r="Q14" s="20" t="n">
        <v>0.1445086984556243</v>
      </c>
      <c r="R14" s="20" t="n">
        <v>0.02916558394996791</v>
      </c>
      <c r="S14" s="21" t="n">
        <v>4</v>
      </c>
      <c r="T14" s="20" t="n"/>
      <c r="U14" s="20" t="n">
        <v>0.1097761581692051</v>
      </c>
      <c r="V14" s="20" t="n">
        <v>0.1235393192469138</v>
      </c>
      <c r="W14" s="20" t="n">
        <v>0.1622327383431547</v>
      </c>
      <c r="X14" s="20" t="n">
        <v>0.1824865780632235</v>
      </c>
      <c r="Y14" s="14" t="n">
        <v>1.26</v>
      </c>
      <c r="Z14" s="19">
        <f>IF(OR(Y14="",F14="",F14=0),"",Y14/F14)</f>
        <v/>
      </c>
      <c r="AA14" s="22" t="n"/>
      <c r="AB14" s="20" t="n">
        <v>0.54</v>
      </c>
      <c r="AC14" s="20" t="n">
        <v>0.3142613117453214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Unipol</t>
        </is>
      </c>
      <c r="C15" s="12" t="inlineStr">
        <is>
          <t>UNI.MI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28.05</v>
      </c>
      <c r="G15" s="15" t="inlineStr">
        <is>
          <t>EUR</t>
        </is>
      </c>
      <c r="H15" s="14" t="n">
        <v>28.05</v>
      </c>
      <c r="I15" s="16" t="n">
        <v>20117.6</v>
      </c>
      <c r="J15" s="16" t="n">
        <v>20117.6</v>
      </c>
      <c r="K15" s="14" t="n">
        <v>2.39</v>
      </c>
      <c r="L15" s="14" t="n">
        <v>2.26656</v>
      </c>
      <c r="M15" s="17">
        <f>IF(OR(F15="",K15="",K15&lt;=0),"",F15/K15)</f>
        <v/>
      </c>
      <c r="N15" s="18" t="n">
        <v>2.002999</v>
      </c>
      <c r="O15" s="19">
        <f>IF(OR(N15="",M15="",M15&lt;=0),"",N15/M15)</f>
        <v/>
      </c>
      <c r="P15" s="20" t="n">
        <v>0.16938</v>
      </c>
      <c r="Q15" s="20" t="n">
        <v>0.1181376184447107</v>
      </c>
      <c r="R15" s="20" t="n">
        <v>0.02618848036787977</v>
      </c>
      <c r="S15" s="21" t="n">
        <v>4</v>
      </c>
      <c r="T15" s="20" t="n"/>
      <c r="U15" s="20" t="n">
        <v>0.1426234241170244</v>
      </c>
      <c r="V15" s="20" t="n">
        <v>0.1152236884454458</v>
      </c>
      <c r="W15" s="20" t="n">
        <v>0.1381950546002259</v>
      </c>
      <c r="X15" s="20" t="n">
        <v>0.0765083066161469</v>
      </c>
      <c r="Y15" s="14" t="n">
        <v>1.12</v>
      </c>
      <c r="Z15" s="19">
        <f>IF(OR(Y15="",F15="",F15=0),"",Y15/F15)</f>
        <v/>
      </c>
      <c r="AA15" s="22" t="n">
        <v>40.819</v>
      </c>
      <c r="AB15" s="20" t="n">
        <v>0.232</v>
      </c>
      <c r="AC15" s="20" t="n">
        <v>0.1254284255815649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2.458</v>
      </c>
      <c r="G16" s="15" t="inlineStr">
        <is>
          <t>EUR</t>
        </is>
      </c>
      <c r="H16" s="14" t="n">
        <v>2.458</v>
      </c>
      <c r="I16" s="16" t="n">
        <v>1719.7</v>
      </c>
      <c r="J16" s="16" t="n">
        <v>1719.7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0.4936734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346</v>
      </c>
      <c r="G17" s="15" t="inlineStr">
        <is>
          <t>EUR</t>
        </is>
      </c>
      <c r="H17" s="14" t="n">
        <v>346</v>
      </c>
      <c r="I17" s="16" t="n">
        <v>60775.7</v>
      </c>
      <c r="J17" s="16" t="n">
        <v>60775.7</v>
      </c>
      <c r="K17" s="14" t="n">
        <v>9.26</v>
      </c>
      <c r="L17" s="14" t="n">
        <v>11.01595</v>
      </c>
      <c r="M17" s="17">
        <f>IF(OR(F17="",K17="",K17&lt;=0),"",F17/K17)</f>
        <v/>
      </c>
      <c r="N17" s="18" t="n">
        <v>16.637815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39.78</v>
      </c>
      <c r="G18" s="15" t="inlineStr">
        <is>
          <t>EUR</t>
        </is>
      </c>
      <c r="H18" s="14" t="n">
        <v>39.78</v>
      </c>
      <c r="I18" s="16" t="n">
        <v>7021.6</v>
      </c>
      <c r="J18" s="16" t="n">
        <v>7021.6</v>
      </c>
      <c r="K18" s="14" t="n">
        <v>4.76</v>
      </c>
      <c r="L18" s="14" t="n">
        <v>4.89076</v>
      </c>
      <c r="M18" s="17">
        <f>IF(OR(F18="",K18="",K18&lt;=0),"",F18/K18)</f>
        <v/>
      </c>
      <c r="N18" s="18" t="n">
        <v>0.96436363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25.66</v>
      </c>
      <c r="G19" s="15" t="inlineStr">
        <is>
          <t>EUR</t>
        </is>
      </c>
      <c r="H19" s="14" t="n">
        <v>25.66</v>
      </c>
      <c r="I19" s="16" t="n">
        <v>33136.7</v>
      </c>
      <c r="J19" s="16" t="n">
        <v>33136.7</v>
      </c>
      <c r="K19" s="14" t="n">
        <v>1.86</v>
      </c>
      <c r="L19" s="14" t="n">
        <v>1.97359</v>
      </c>
      <c r="M19" s="17">
        <f>IF(OR(F19="",K19="",K19&lt;=0),"",F19/K19)</f>
        <v/>
      </c>
      <c r="N19" s="18" t="n">
        <v>2.587476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631.496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FinecoBank</t>
        </is>
      </c>
      <c r="C20" s="12" t="inlineStr">
        <is>
          <t>FBK.MI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23.07</v>
      </c>
      <c r="G20" s="15" t="inlineStr">
        <is>
          <t>EUR</t>
        </is>
      </c>
      <c r="H20" s="14" t="n">
        <v>23.07</v>
      </c>
      <c r="I20" s="16" t="n">
        <v>14114.7</v>
      </c>
      <c r="J20" s="16" t="n">
        <v>14114.7</v>
      </c>
      <c r="K20" s="14" t="n">
        <v>1.1</v>
      </c>
      <c r="L20" s="14" t="n">
        <v>1.27613</v>
      </c>
      <c r="M20" s="17">
        <f>IF(OR(F20="",K20="",K20&lt;=0),"",F20/K20)</f>
        <v/>
      </c>
      <c r="N20" s="18" t="n">
        <v>5.8897114</v>
      </c>
      <c r="O20" s="19">
        <f>IF(OR(N20="",M20="",M20&lt;=0),"",N20/M20)</f>
        <v/>
      </c>
      <c r="P20" s="20" t="n">
        <v>0.28855</v>
      </c>
      <c r="Q20" s="20" t="n">
        <v>0.2570624236556285</v>
      </c>
      <c r="R20" s="20" t="n">
        <v>0.02097502353736271</v>
      </c>
      <c r="S20" s="21" t="n">
        <v>4</v>
      </c>
      <c r="T20" s="20" t="n"/>
      <c r="U20" s="20" t="n">
        <v>0.2534112396233302</v>
      </c>
      <c r="V20" s="20" t="n">
        <v>0.2730011819301958</v>
      </c>
      <c r="W20" s="20" t="n">
        <v>0.2775357273693247</v>
      </c>
      <c r="X20" s="20" t="n">
        <v>0.2243015456996635</v>
      </c>
      <c r="Y20" s="14" t="n">
        <v>0.79</v>
      </c>
      <c r="Z20" s="19">
        <f>IF(OR(Y20="",F20="",F20=0),"",Y20/F20)</f>
        <v/>
      </c>
      <c r="AA20" s="22" t="n"/>
      <c r="AB20" s="20" t="n">
        <v>0.18</v>
      </c>
      <c r="AC20" s="20" t="n">
        <v>0.4311898534625156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B</t>
        </is>
      </c>
      <c r="C21" s="12" t="inlineStr">
        <is>
          <t>MFEB.MI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3.434</v>
      </c>
      <c r="G21" s="15" t="inlineStr">
        <is>
          <t>EUR</t>
        </is>
      </c>
      <c r="H21" s="14" t="n">
        <v>3.434</v>
      </c>
      <c r="I21" s="16" t="n">
        <v>2402.5</v>
      </c>
      <c r="J21" s="16" t="n">
        <v>2402.5</v>
      </c>
      <c r="K21" s="14" t="n">
        <v>0.3</v>
      </c>
      <c r="L21" s="14" t="n">
        <v>0.5317</v>
      </c>
      <c r="M21" s="17">
        <f>IF(OR(F21="",K21="",K21&lt;=0),"",F21/K21)</f>
        <v/>
      </c>
      <c r="N21" s="18" t="n">
        <v>0.6896967000000001</v>
      </c>
      <c r="O21" s="19">
        <f>IF(OR(N21="",M21="",M21&lt;=0),"",N21/M21)</f>
        <v/>
      </c>
      <c r="P21" s="20" t="n">
        <v>0.07248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77.363</v>
      </c>
      <c r="AB21" s="20" t="n">
        <v>1.178</v>
      </c>
      <c r="AC21" s="20" t="n">
        <v>0.05589782118707739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>
        <is>
          <t>Stessa societa' di MFEA, voto multiplo</t>
        </is>
      </c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2.48</v>
      </c>
      <c r="G22" s="15" t="inlineStr">
        <is>
          <t>EUR</t>
        </is>
      </c>
      <c r="H22" s="14" t="n">
        <v>2.48</v>
      </c>
      <c r="I22" s="16" t="n">
        <v>3182</v>
      </c>
      <c r="J22" s="16" t="n">
        <v>3182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1.0791993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2026-09-09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84.22</v>
      </c>
      <c r="G23" s="15" t="inlineStr">
        <is>
          <t>EUR</t>
        </is>
      </c>
      <c r="H23" s="14" t="n">
        <v>84.22</v>
      </c>
      <c r="I23" s="16" t="n"/>
      <c r="J23" s="16" t="n"/>
      <c r="K23" s="14" t="n">
        <v>7.05</v>
      </c>
      <c r="L23" s="14" t="n">
        <v>8.351380000000001</v>
      </c>
      <c r="M23" s="17">
        <f>IF(OR(F23="",K23="",K23&lt;=0),"",F23/K23)</f>
        <v/>
      </c>
      <c r="N23" s="18" t="n">
        <v>1.7918768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2026-09-09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6.656</v>
      </c>
      <c r="G24" s="15" t="inlineStr">
        <is>
          <t>EUR</t>
        </is>
      </c>
      <c r="H24" s="14" t="n">
        <v>6.656</v>
      </c>
      <c r="I24" s="16" t="n">
        <v>115800.4</v>
      </c>
      <c r="J24" s="16" t="n">
        <v>115800.4</v>
      </c>
      <c r="K24" s="14" t="n">
        <v>0.5600000000000001</v>
      </c>
      <c r="L24" s="14" t="n">
        <v>0.65249</v>
      </c>
      <c r="M24" s="17">
        <f>IF(OR(F24="",K24="",K24&lt;=0),"",F24/K24)</f>
        <v/>
      </c>
      <c r="N24" s="18" t="n">
        <v>1.7023017</v>
      </c>
      <c r="O24" s="19">
        <f>IF(OR(N24="",M24="",M24&lt;=0),"",N24/M24)</f>
        <v/>
      </c>
      <c r="P24" s="20" t="n">
        <v>0.14261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0.064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2026-09-09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Ifis</t>
        </is>
      </c>
      <c r="C25" s="12" t="inlineStr">
        <is>
          <t>IF.MI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15.13</v>
      </c>
      <c r="G25" s="15" t="inlineStr">
        <is>
          <t>EUR</t>
        </is>
      </c>
      <c r="H25" s="14" t="n">
        <v>15.13</v>
      </c>
      <c r="I25" s="16" t="n">
        <v>924.1</v>
      </c>
      <c r="J25" s="16" t="n">
        <v>924.1</v>
      </c>
      <c r="K25" s="14" t="n">
        <v>4.22</v>
      </c>
      <c r="L25" s="14" t="n">
        <v>2.06451</v>
      </c>
      <c r="M25" s="17">
        <f>IF(OR(F25="",K25="",K25&lt;=0),"",F25/K25)</f>
        <v/>
      </c>
      <c r="N25" s="18" t="n">
        <v>0.4508209</v>
      </c>
      <c r="O25" s="19">
        <f>IF(OR(N25="",M25="",M25&lt;=0),"",N25/M25)</f>
        <v/>
      </c>
      <c r="P25" s="20" t="n">
        <v>0.12864</v>
      </c>
      <c r="Q25" s="20" t="n">
        <v>0.1080837120556844</v>
      </c>
      <c r="R25" s="20" t="n">
        <v>0.02703035448321747</v>
      </c>
      <c r="S25" s="21" t="n">
        <v>4</v>
      </c>
      <c r="T25" s="20" t="n"/>
      <c r="U25" s="20" t="n">
        <v>0.1547337791733341</v>
      </c>
      <c r="V25" s="20" t="n">
        <v>0.09327314395229491</v>
      </c>
      <c r="W25" s="20" t="n">
        <v>0.09533427133380451</v>
      </c>
      <c r="X25" s="20" t="n">
        <v>0.08899365376330386</v>
      </c>
      <c r="Y25" s="14" t="n">
        <v>2.12</v>
      </c>
      <c r="Z25" s="19">
        <f>IF(OR(Y25="",F25="",F25=0),"",Y25/F25)</f>
        <v/>
      </c>
      <c r="AA25" s="22" t="n"/>
      <c r="AB25" s="20" t="n">
        <v>-0.253</v>
      </c>
      <c r="AC25" s="20" t="n">
        <v>0.3467575509543882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2026-09-09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Banca Monte dei Paschi</t>
        </is>
      </c>
      <c r="C26" s="12" t="inlineStr">
        <is>
          <t>BMPS.MI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11.626</v>
      </c>
      <c r="G26" s="15" t="inlineStr">
        <is>
          <t>EUR</t>
        </is>
      </c>
      <c r="H26" s="14" t="n">
        <v>11.626</v>
      </c>
      <c r="I26" s="16" t="n">
        <v>35324.6</v>
      </c>
      <c r="J26" s="16" t="n">
        <v>35324.6</v>
      </c>
      <c r="K26" s="14" t="n">
        <v>1.2</v>
      </c>
      <c r="L26" s="14" t="n">
        <v>0.89188</v>
      </c>
      <c r="M26" s="17">
        <f>IF(OR(F26="",K26="",K26&lt;=0),"",F26/K26)</f>
        <v/>
      </c>
      <c r="N26" s="18" t="n">
        <v>1.3378597</v>
      </c>
      <c r="O26" s="19">
        <f>IF(OR(N26="",M26="",M26&lt;=0),"",N26/M26)</f>
        <v/>
      </c>
      <c r="P26" s="20" t="n">
        <v>0.15022</v>
      </c>
      <c r="Q26" s="20" t="n">
        <v>0.1118793043818977</v>
      </c>
      <c r="R26" s="20" t="n">
        <v>0.08689710531060152</v>
      </c>
      <c r="S26" s="21" t="n">
        <v>4</v>
      </c>
      <c r="T26" s="20" t="n"/>
      <c r="U26" s="20" t="n">
        <v>0.09712411852409344</v>
      </c>
      <c r="V26" s="20" t="n">
        <v>0.1674643066481196</v>
      </c>
      <c r="W26" s="20" t="n">
        <v>0.2056210488634617</v>
      </c>
      <c r="X26" s="20" t="n">
        <v>-0.02269225650808385</v>
      </c>
      <c r="Y26" s="14" t="n">
        <v>0.86</v>
      </c>
      <c r="Z26" s="19">
        <f>IF(OR(Y26="",F26="",F26=0),"",Y26/F26)</f>
        <v/>
      </c>
      <c r="AA26" s="22" t="n"/>
      <c r="AB26" s="20" t="n">
        <v>0.995</v>
      </c>
      <c r="AC26" s="20" t="n">
        <v>0.5880412296273519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2026-09-09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</v>
      </c>
      <c r="G27" s="15" t="inlineStr">
        <is>
          <t>EUR</t>
        </is>
      </c>
      <c r="H27" s="14" t="n">
        <v>10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1.3577733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2026-09-09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</v>
      </c>
      <c r="G28" s="15" t="inlineStr">
        <is>
          <t>EUR</t>
        </is>
      </c>
      <c r="H28" s="14" t="n">
        <v>52</v>
      </c>
      <c r="I28" s="16" t="n">
        <v>10650.3</v>
      </c>
      <c r="J28" s="16" t="n">
        <v>10650.3</v>
      </c>
      <c r="K28" s="14" t="n">
        <v>2.38</v>
      </c>
      <c r="L28" s="14" t="n">
        <v>3.7615</v>
      </c>
      <c r="M28" s="17">
        <f>IF(OR(F28="",K28="",K28&lt;=0),"",F28/K28)</f>
        <v/>
      </c>
      <c r="N28" s="18" t="n">
        <v>4.998558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2026-09-09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Terna</t>
        </is>
      </c>
      <c r="C29" s="12" t="inlineStr">
        <is>
          <t>TRN.MI</t>
        </is>
      </c>
      <c r="D29" s="11" t="inlineStr">
        <is>
          <t>Utility / Reti</t>
        </is>
      </c>
      <c r="E29" s="13" t="inlineStr">
        <is>
          <t>Utility</t>
        </is>
      </c>
      <c r="F29" s="14" t="n">
        <v>9.25</v>
      </c>
      <c r="G29" s="15" t="inlineStr">
        <is>
          <t>EUR</t>
        </is>
      </c>
      <c r="H29" s="14" t="n">
        <v>9.25</v>
      </c>
      <c r="I29" s="16" t="n">
        <v>18562.5</v>
      </c>
      <c r="J29" s="16" t="n">
        <v>18562.5</v>
      </c>
      <c r="K29" s="14" t="n">
        <v>0.53</v>
      </c>
      <c r="L29" s="14" t="n">
        <v>0.56177</v>
      </c>
      <c r="M29" s="17">
        <f>IF(OR(F29="",K29="",K29&lt;=0),"",F29/K29)</f>
        <v/>
      </c>
      <c r="N29" s="18" t="n">
        <v>3.1207829</v>
      </c>
      <c r="O29" s="19">
        <f>IF(OR(N29="",M29="",M29&lt;=0),"",N29/M29)</f>
        <v/>
      </c>
      <c r="P29" s="20" t="n">
        <v>0.13828</v>
      </c>
      <c r="Q29" s="20" t="n">
        <v>0.1473166531875201</v>
      </c>
      <c r="R29" s="20" t="n">
        <v>0.01230561727656675</v>
      </c>
      <c r="S29" s="21" t="n">
        <v>4</v>
      </c>
      <c r="T29" s="20" t="n"/>
      <c r="U29" s="20" t="n"/>
      <c r="V29" s="20" t="n">
        <v>0.1411312830599931</v>
      </c>
      <c r="W29" s="20" t="n">
        <v>0.1399974701157422</v>
      </c>
      <c r="X29" s="20" t="n">
        <v>0.1395310973624227</v>
      </c>
      <c r="Y29" s="14" t="n">
        <v>0.4</v>
      </c>
      <c r="Z29" s="19">
        <f>IF(OR(Y29="",F29="",F29=0),"",Y29/F29)</f>
        <v/>
      </c>
      <c r="AA29" s="22" t="n">
        <v>172.37</v>
      </c>
      <c r="AB29" s="20" t="n">
        <v>0.123</v>
      </c>
      <c r="AC29" s="20" t="n">
        <v>0.291854893908282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2026-09-09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Eni</t>
        </is>
      </c>
      <c r="C30" s="12" t="inlineStr">
        <is>
          <t>ENI.MI</t>
        </is>
      </c>
      <c r="D30" s="11" t="inlineStr">
        <is>
          <t>Energia</t>
        </is>
      </c>
      <c r="E30" s="13" t="inlineStr">
        <is>
          <t>Energia</t>
        </is>
      </c>
      <c r="F30" s="14" t="n">
        <v>23.95</v>
      </c>
      <c r="G30" s="15" t="inlineStr">
        <is>
          <t>EUR</t>
        </is>
      </c>
      <c r="H30" s="14" t="n">
        <v>23.95</v>
      </c>
      <c r="I30" s="16" t="n">
        <v>69008.7</v>
      </c>
      <c r="J30" s="16" t="n">
        <v>69008.7</v>
      </c>
      <c r="K30" s="14" t="n">
        <v>1.92</v>
      </c>
      <c r="L30" s="14" t="n">
        <v>2.36187</v>
      </c>
      <c r="M30" s="17">
        <f>IF(OR(F30="",K30="",K30&lt;=0),"",F30/K30)</f>
        <v/>
      </c>
      <c r="N30" s="18" t="n">
        <v>1.5173594</v>
      </c>
      <c r="O30" s="19">
        <f>IF(OR(N30="",M30="",M30&lt;=0),"",N30/M30)</f>
        <v/>
      </c>
      <c r="P30" s="20" t="n">
        <v>0.10901</v>
      </c>
      <c r="Q30" s="20" t="n">
        <v>0.1118555013917138</v>
      </c>
      <c r="R30" s="20" t="n">
        <v>0.08328498900347517</v>
      </c>
      <c r="S30" s="21" t="n">
        <v>4</v>
      </c>
      <c r="T30" s="20" t="n"/>
      <c r="U30" s="20" t="n">
        <v>0.05440133500208594</v>
      </c>
      <c r="V30" s="20" t="n">
        <v>0.04971109216633513</v>
      </c>
      <c r="W30" s="20" t="n">
        <v>0.08970743080625752</v>
      </c>
      <c r="X30" s="20" t="n">
        <v>0.2536021475921766</v>
      </c>
      <c r="Y30" s="14" t="n">
        <v>1.07</v>
      </c>
      <c r="Z30" s="19">
        <f>IF(OR(Y30="",F30="",F30=0),"",Y30/F30)</f>
        <v/>
      </c>
      <c r="AA30" s="22" t="n">
        <v>64.97499999999999</v>
      </c>
      <c r="AB30" s="20" t="n">
        <v>0.185</v>
      </c>
      <c r="AC30" s="20" t="n">
        <v>0.070419105500846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2026-09-09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6.36</v>
      </c>
      <c r="G31" s="15" t="inlineStr">
        <is>
          <t>EUR</t>
        </is>
      </c>
      <c r="H31" s="14" t="n">
        <v>6.36</v>
      </c>
      <c r="I31" s="16" t="n">
        <v>6899.8</v>
      </c>
      <c r="J31" s="16" t="n">
        <v>6899.8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1.0786974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2026-09-09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Assicurazioni Generali</t>
        </is>
      </c>
      <c r="C32" s="12" t="inlineStr">
        <is>
          <t>G.MI</t>
        </is>
      </c>
      <c r="D32" s="11" t="inlineStr">
        <is>
          <t>Assicurazione</t>
        </is>
      </c>
      <c r="E32" s="13" t="inlineStr">
        <is>
          <t>Finanziario</t>
        </is>
      </c>
      <c r="F32" s="14" t="n">
        <v>44.5</v>
      </c>
      <c r="G32" s="15" t="inlineStr">
        <is>
          <t>EUR</t>
        </is>
      </c>
      <c r="H32" s="14" t="n">
        <v>44.5</v>
      </c>
      <c r="I32" s="16" t="n">
        <v>67139.89999999999</v>
      </c>
      <c r="J32" s="16" t="n">
        <v>67139.89999999999</v>
      </c>
      <c r="K32" s="14" t="n">
        <v>2.95</v>
      </c>
      <c r="L32" s="14" t="n">
        <v>3.39681</v>
      </c>
      <c r="M32" s="17">
        <f>IF(OR(F32="",K32="",K32&lt;=0),"",F32/K32)</f>
        <v/>
      </c>
      <c r="N32" s="18" t="n">
        <v>2.0959916</v>
      </c>
      <c r="O32" s="19">
        <f>IF(OR(N32="",M32="",M32&lt;=0),"",N32/M32)</f>
        <v/>
      </c>
      <c r="P32" s="20" t="n">
        <v>0.1514</v>
      </c>
      <c r="Q32" s="20" t="n">
        <v>0.1164672974509258</v>
      </c>
      <c r="R32" s="20" t="n">
        <v>0.01905215662104418</v>
      </c>
      <c r="S32" s="21" t="n">
        <v>4</v>
      </c>
      <c r="T32" s="20" t="n"/>
      <c r="U32" s="20" t="n">
        <v>0.1301147704590818</v>
      </c>
      <c r="V32" s="20" t="n">
        <v>0.1225443417025898</v>
      </c>
      <c r="W32" s="20" t="n">
        <v>0.1293451620697988</v>
      </c>
      <c r="X32" s="20" t="n">
        <v>0.08386491557223265</v>
      </c>
      <c r="Y32" s="14" t="n">
        <v>1.64</v>
      </c>
      <c r="Z32" s="19">
        <f>IF(OR(Y32="",F32="",F32=0),"",Y32/F32)</f>
        <v/>
      </c>
      <c r="AA32" s="22" t="n">
        <v>118.93</v>
      </c>
      <c r="AB32" s="20" t="n">
        <v>0.054</v>
      </c>
      <c r="AC32" s="20" t="n">
        <v>0.06105243451634225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2026-09-09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Snam</t>
        </is>
      </c>
      <c r="C33" s="12" t="inlineStr">
        <is>
          <t>SRG.MI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5.472</v>
      </c>
      <c r="G33" s="15" t="inlineStr">
        <is>
          <t>EUR</t>
        </is>
      </c>
      <c r="H33" s="14" t="n">
        <v>5.472</v>
      </c>
      <c r="I33" s="16" t="n">
        <v>18362.9</v>
      </c>
      <c r="J33" s="16" t="n">
        <v>18362.9</v>
      </c>
      <c r="K33" s="14" t="n">
        <v>0.33</v>
      </c>
      <c r="L33" s="14" t="n">
        <v>0.43696</v>
      </c>
      <c r="M33" s="17">
        <f>IF(OR(F33="",K33="",K33&lt;=0),"",F33/K33)</f>
        <v/>
      </c>
      <c r="N33" s="18" t="n">
        <v>2.2198784</v>
      </c>
      <c r="O33" s="19">
        <f>IF(OR(N33="",M33="",M33&lt;=0),"",N33/M33)</f>
        <v/>
      </c>
      <c r="P33" s="20" t="n">
        <v>0.1238</v>
      </c>
      <c r="Q33" s="20" t="n">
        <v>0.1292498210780141</v>
      </c>
      <c r="R33" s="20" t="n">
        <v>0.02310306594021611</v>
      </c>
      <c r="S33" s="21" t="n">
        <v>4</v>
      </c>
      <c r="T33" s="20" t="n"/>
      <c r="U33" s="20" t="n">
        <v>0.1374905272274548</v>
      </c>
      <c r="V33" s="20" t="n">
        <v>0.1410012319408668</v>
      </c>
      <c r="W33" s="20" t="n">
        <v>0.1486574983628029</v>
      </c>
      <c r="X33" s="20" t="n">
        <v>0.08985002678093197</v>
      </c>
      <c r="Y33" s="14" t="n">
        <v>0.3</v>
      </c>
      <c r="Z33" s="19">
        <f>IF(OR(Y33="",F33="",F33=0),"",Y33/F33)</f>
        <v/>
      </c>
      <c r="AA33" s="22" t="n">
        <v>234.16</v>
      </c>
      <c r="AB33" s="20" t="n">
        <v>0.097</v>
      </c>
      <c r="AC33" s="20" t="n">
        <v>0.2889407933541018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2026-09-09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Tenaris</t>
        </is>
      </c>
      <c r="C34" s="12" t="inlineStr">
        <is>
          <t>TEN.MI</t>
        </is>
      </c>
      <c r="D34" s="11" t="inlineStr">
        <is>
          <t>Oil service</t>
        </is>
      </c>
      <c r="E34" s="13" t="inlineStr">
        <is>
          <t>Energia</t>
        </is>
      </c>
      <c r="F34" s="14" t="n">
        <v>24.69</v>
      </c>
      <c r="G34" s="15" t="inlineStr">
        <is>
          <t>EUR</t>
        </is>
      </c>
      <c r="H34" s="14" t="n">
        <v>24.69</v>
      </c>
      <c r="I34" s="16" t="n">
        <v>24928</v>
      </c>
      <c r="J34" s="16" t="n">
        <v>24928</v>
      </c>
      <c r="K34" s="14" t="n">
        <v>1.61</v>
      </c>
      <c r="L34" s="14" t="n">
        <v>1.8184758</v>
      </c>
      <c r="M34" s="17">
        <f>IF(OR(F34="",K34="",K34&lt;=0),"",F34/K34)</f>
        <v/>
      </c>
      <c r="N34" s="18" t="n">
        <v>1.7146626</v>
      </c>
      <c r="O34" s="19">
        <f>IF(OR(N34="",M34="",M34&lt;=0),"",N34/M34)</f>
        <v/>
      </c>
      <c r="P34" s="20" t="n">
        <v>0.115839995</v>
      </c>
      <c r="Q34" s="20" t="n">
        <v>0.163851096927405</v>
      </c>
      <c r="R34" s="20" t="n">
        <v>0.04758970868898593</v>
      </c>
      <c r="S34" s="21" t="n">
        <v>4</v>
      </c>
      <c r="T34" s="20" t="n"/>
      <c r="U34" s="20" t="n">
        <v>0.1164401927780697</v>
      </c>
      <c r="V34" s="20" t="n">
        <v>0.1227272620438531</v>
      </c>
      <c r="W34" s="20" t="n">
        <v>0.2326231380067603</v>
      </c>
      <c r="X34" s="20" t="n">
        <v>0.183613794880937</v>
      </c>
      <c r="Y34" s="14" t="n">
        <v>1.03</v>
      </c>
      <c r="Z34" s="19">
        <f>IF(OR(Y34="",F34="",F34=0),"",Y34/F34)</f>
        <v/>
      </c>
      <c r="AA34" s="22" t="n">
        <v>2.596</v>
      </c>
      <c r="AB34" s="20" t="n">
        <v>-0.039</v>
      </c>
      <c r="AC34" s="20" t="n">
        <v>0.1596170600218326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2026-09-09</t>
        </is>
      </c>
      <c r="AI34" s="11" t="inlineStr">
        <is>
          <t>yahoo</t>
        </is>
      </c>
      <c r="AJ34" s="23" t="inlineStr">
        <is>
          <t>Bilancio in USD</t>
        </is>
      </c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2.012</v>
      </c>
      <c r="G35" s="15" t="inlineStr">
        <is>
          <t>EUR</t>
        </is>
      </c>
      <c r="H35" s="14" t="n">
        <v>2.012</v>
      </c>
      <c r="I35" s="16" t="n">
        <v>1989.5</v>
      </c>
      <c r="J35" s="16" t="n">
        <v>1989.5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1.132883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2026-09-09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Banco BPM</t>
        </is>
      </c>
      <c r="C36" s="12" t="inlineStr">
        <is>
          <t>BAMI.MI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16.11</v>
      </c>
      <c r="G36" s="15" t="inlineStr">
        <is>
          <t>EUR</t>
        </is>
      </c>
      <c r="H36" s="14" t="n">
        <v>16.11</v>
      </c>
      <c r="I36" s="16" t="n">
        <v>24259.1</v>
      </c>
      <c r="J36" s="16" t="n">
        <v>24259.1</v>
      </c>
      <c r="K36" s="14" t="n">
        <v>1.27</v>
      </c>
      <c r="L36" s="14" t="n">
        <v>1.42718</v>
      </c>
      <c r="M36" s="17">
        <f>IF(OR(F36="",K36="",K36&lt;=0),"",F36/K36)</f>
        <v/>
      </c>
      <c r="N36" s="18" t="n">
        <v>1.5527711</v>
      </c>
      <c r="O36" s="19">
        <f>IF(OR(N36="",M36="",M36&lt;=0),"",N36/M36)</f>
        <v/>
      </c>
      <c r="P36" s="20" t="n">
        <v>0.12613</v>
      </c>
      <c r="Q36" s="20" t="n">
        <v>0.1021211334100729</v>
      </c>
      <c r="R36" s="20" t="n">
        <v>0.03350975211730548</v>
      </c>
      <c r="S36" s="21" t="n">
        <v>4</v>
      </c>
      <c r="T36" s="20" t="n"/>
      <c r="U36" s="20" t="n">
        <v>0.1342812323198498</v>
      </c>
      <c r="V36" s="20" t="n">
        <v>0.1314982535880892</v>
      </c>
      <c r="W36" s="20" t="n">
        <v>0.09007299567491081</v>
      </c>
      <c r="X36" s="20" t="n">
        <v>0.05263205205744168</v>
      </c>
      <c r="Y36" s="14" t="n">
        <v>1</v>
      </c>
      <c r="Z36" s="19">
        <f>IF(OR(Y36="",F36="",F36=0),"",Y36/F36)</f>
        <v/>
      </c>
      <c r="AA36" s="22" t="n"/>
      <c r="AB36" s="20" t="n">
        <v>-0.055</v>
      </c>
      <c r="AC36" s="20" t="n">
        <v>0.2903556501009414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2026-09-09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Moncler</t>
        </is>
      </c>
      <c r="C37" s="12" t="inlineStr">
        <is>
          <t>MONC.MI</t>
        </is>
      </c>
      <c r="D37" s="11" t="inlineStr">
        <is>
          <t>Lusso</t>
        </is>
      </c>
      <c r="E37" s="13" t="inlineStr">
        <is>
          <t>Consumi</t>
        </is>
      </c>
      <c r="F37" s="14" t="n">
        <v>45.16</v>
      </c>
      <c r="G37" s="15" t="inlineStr">
        <is>
          <t>EUR</t>
        </is>
      </c>
      <c r="H37" s="14" t="n">
        <v>45.16</v>
      </c>
      <c r="I37" s="16" t="n">
        <v>12283.1</v>
      </c>
      <c r="J37" s="16" t="n">
        <v>12283.1</v>
      </c>
      <c r="K37" s="14" t="n">
        <v>2.35</v>
      </c>
      <c r="L37" s="14" t="n">
        <v>2.59783</v>
      </c>
      <c r="M37" s="17">
        <f>IF(OR(F37="",K37="",K37&lt;=0),"",F37/K37)</f>
        <v/>
      </c>
      <c r="N37" s="18" t="n">
        <v>3.366381</v>
      </c>
      <c r="O37" s="19">
        <f>IF(OR(N37="",M37="",M37&lt;=0),"",N37/M37)</f>
        <v/>
      </c>
      <c r="P37" s="20" t="n">
        <v>0.18122</v>
      </c>
      <c r="Q37" s="20" t="n">
        <v>0.1851349369556408</v>
      </c>
      <c r="R37" s="20" t="n">
        <v>0.01692053914808814</v>
      </c>
      <c r="S37" s="21" t="n">
        <v>4</v>
      </c>
      <c r="T37" s="20" t="n"/>
      <c r="U37" s="20" t="n">
        <v>0.1627843667574618</v>
      </c>
      <c r="V37" s="20" t="n">
        <v>0.1783303314020599</v>
      </c>
      <c r="W37" s="20" t="n">
        <v>0.1903756142405816</v>
      </c>
      <c r="X37" s="20" t="n">
        <v>0.2090494354224597</v>
      </c>
      <c r="Y37" s="14" t="n">
        <v>1.4</v>
      </c>
      <c r="Z37" s="19">
        <f>IF(OR(Y37="",F37="",F37=0),"",Y37/F37)</f>
        <v/>
      </c>
      <c r="AA37" s="22" t="n">
        <v>33.88</v>
      </c>
      <c r="AB37" s="20" t="n">
        <v>0.052</v>
      </c>
      <c r="AC37" s="20" t="n">
        <v>0.2036704706831905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2026-09-09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1.67</v>
      </c>
      <c r="G38" s="15" t="inlineStr">
        <is>
          <t>EUR</t>
        </is>
      </c>
      <c r="H38" s="14" t="n">
        <v>1.67</v>
      </c>
      <c r="I38" s="16" t="n">
        <v>110.4</v>
      </c>
      <c r="J38" s="16" t="n">
        <v>110.4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0.6835857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2026-09-09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126.95</v>
      </c>
      <c r="G39" s="15" t="inlineStr">
        <is>
          <t>EUR</t>
        </is>
      </c>
      <c r="H39" s="14" t="n">
        <v>126.95</v>
      </c>
      <c r="I39" s="16" t="n">
        <v>37101</v>
      </c>
      <c r="J39" s="16" t="n">
        <v>37101</v>
      </c>
      <c r="K39" s="14" t="n">
        <v>4.82</v>
      </c>
      <c r="L39" s="14" t="n">
        <v>6.08371</v>
      </c>
      <c r="M39" s="17">
        <f>IF(OR(F39="",K39="",K39&lt;=0),"",F39/K39)</f>
        <v/>
      </c>
      <c r="N39" s="18" t="n">
        <v>5.230737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2026-09-09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26.08</v>
      </c>
      <c r="G40" s="15" t="inlineStr">
        <is>
          <t>EUR</t>
        </is>
      </c>
      <c r="H40" s="14" t="n">
        <v>26.08</v>
      </c>
      <c r="I40" s="16" t="n">
        <v>6062.7</v>
      </c>
      <c r="J40" s="16" t="n">
        <v>6062.7</v>
      </c>
      <c r="K40" s="14" t="n">
        <v>0.91</v>
      </c>
      <c r="L40" s="14" t="n">
        <v>2.24915</v>
      </c>
      <c r="M40" s="17">
        <f>IF(OR(F40="",K40="",K40&lt;=0),"",F40/K40)</f>
        <v/>
      </c>
      <c r="N40" s="18" t="n">
        <v>27.082035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2026-09-09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28.11</v>
      </c>
      <c r="G41" s="15" t="inlineStr">
        <is>
          <t>EUR</t>
        </is>
      </c>
      <c r="H41" s="14" t="n">
        <v>28.11</v>
      </c>
      <c r="I41" s="16" t="n">
        <v>22671.7</v>
      </c>
      <c r="J41" s="16" t="n">
        <v>22671.7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1.9582028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2026-09-09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48.645</v>
      </c>
      <c r="G42" s="15" t="inlineStr">
        <is>
          <t>EUR</t>
        </is>
      </c>
      <c r="H42" s="14" t="n">
        <v>48.645</v>
      </c>
      <c r="I42" s="16" t="n">
        <v>28062.6</v>
      </c>
      <c r="J42" s="16" t="n">
        <v>28062.6</v>
      </c>
      <c r="K42" s="14" t="n">
        <v>1.95</v>
      </c>
      <c r="L42" s="14" t="n">
        <v>2.85482</v>
      </c>
      <c r="M42" s="17">
        <f>IF(OR(F42="",K42="",K42&lt;=0),"",F42/K42)</f>
        <v/>
      </c>
      <c r="N42" s="18" t="n">
        <v>2.906435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2026-09-09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53.8</v>
      </c>
      <c r="G43" s="15" t="inlineStr">
        <is>
          <t>CHF</t>
        </is>
      </c>
      <c r="H43" s="14" t="n">
        <v>57.09192011375936</v>
      </c>
      <c r="I43" s="16" t="n">
        <v>3148.545111106394</v>
      </c>
      <c r="J43" s="16" t="n">
        <v>2967</v>
      </c>
      <c r="K43" s="14" t="n">
        <v>24.43</v>
      </c>
      <c r="L43" s="14" t="n">
        <v>-0.65777</v>
      </c>
      <c r="M43" s="17">
        <f>IF(OR(F43="",K43="",K43&lt;=0),"",F43/K43)</f>
        <v/>
      </c>
      <c r="N43" s="18" t="n">
        <v>0.9619167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2026-09-09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Banco Desio e Brianza</t>
        </is>
      </c>
      <c r="C44" s="12" t="inlineStr">
        <is>
          <t>BDB.MI</t>
        </is>
      </c>
      <c r="D44" s="11" t="inlineStr">
        <is>
          <t>Banca</t>
        </is>
      </c>
      <c r="E44" s="13" t="inlineStr">
        <is>
          <t>Finanziario</t>
        </is>
      </c>
      <c r="F44" s="14" t="n">
        <v>17.5</v>
      </c>
      <c r="G44" s="15" t="inlineStr">
        <is>
          <t>EUR</t>
        </is>
      </c>
      <c r="H44" s="14" t="n">
        <v>17.5</v>
      </c>
      <c r="I44" s="16" t="n">
        <v>2300.8</v>
      </c>
      <c r="J44" s="16" t="n">
        <v>2300.8</v>
      </c>
      <c r="K44" s="14" t="n">
        <v>1.02</v>
      </c>
      <c r="L44" s="14" t="n"/>
      <c r="M44" s="17">
        <f>IF(OR(F44="",K44="",K44&lt;=0),"",F44/K44)</f>
        <v/>
      </c>
      <c r="N44" s="18" t="n">
        <v>1.5371102</v>
      </c>
      <c r="O44" s="19">
        <f>IF(OR(N44="",M44="",M44&lt;=0),"",N44/M44)</f>
        <v/>
      </c>
      <c r="P44" s="20" t="n">
        <v>0.09042</v>
      </c>
      <c r="Q44" s="20" t="n">
        <v>0.1057732555853402</v>
      </c>
      <c r="R44" s="20" t="n">
        <v>0.04181671720819548</v>
      </c>
      <c r="S44" s="21" t="n">
        <v>4</v>
      </c>
      <c r="T44" s="20" t="n"/>
      <c r="U44" s="20" t="n">
        <v>0.08541270271503291</v>
      </c>
      <c r="V44" s="20" t="n">
        <v>0.08758728118881172</v>
      </c>
      <c r="W44" s="20" t="n">
        <v>0.1775172357765608</v>
      </c>
      <c r="X44" s="20" t="n">
        <v>0.07257580266095537</v>
      </c>
      <c r="Y44" s="14" t="n">
        <v>0.51</v>
      </c>
      <c r="Z44" s="19">
        <f>IF(OR(Y44="",F44="",F44=0),"",Y44/F44)</f>
        <v/>
      </c>
      <c r="AA44" s="22" t="n"/>
      <c r="AB44" s="20" t="n">
        <v>0.079</v>
      </c>
      <c r="AC44" s="20" t="n">
        <v>0.2061490474278459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2026-09-09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36.72</v>
      </c>
      <c r="G45" s="15" t="inlineStr">
        <is>
          <t>EUR</t>
        </is>
      </c>
      <c r="H45" s="14" t="n">
        <v>36.72</v>
      </c>
      <c r="I45" s="16" t="n">
        <v>3859.1</v>
      </c>
      <c r="J45" s="16" t="n">
        <v>3859.1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1.7913069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2026-09-09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Danieli &amp; C. ord.</t>
        </is>
      </c>
      <c r="C46" s="12" t="inlineStr">
        <is>
          <t>DAN.MI</t>
        </is>
      </c>
      <c r="D46" s="11" t="inlineStr">
        <is>
          <t>Impiantistica</t>
        </is>
      </c>
      <c r="E46" s="13" t="inlineStr">
        <is>
          <t>Industriale</t>
        </is>
      </c>
      <c r="F46" s="14" t="n">
        <v>56.7</v>
      </c>
      <c r="G46" s="15" t="inlineStr">
        <is>
          <t>EUR</t>
        </is>
      </c>
      <c r="H46" s="14" t="n">
        <v>56.7</v>
      </c>
      <c r="I46" s="16" t="n">
        <v>4058.2</v>
      </c>
      <c r="J46" s="16" t="n">
        <v>4058.2</v>
      </c>
      <c r="K46" s="14" t="n">
        <v>3.19</v>
      </c>
      <c r="L46" s="14" t="n">
        <v>4.44146</v>
      </c>
      <c r="M46" s="17">
        <f>IF(OR(F46="",K46="",K46&lt;=0),"",F46/K46)</f>
        <v/>
      </c>
      <c r="N46" s="18" t="n">
        <v>1.4217653</v>
      </c>
      <c r="O46" s="19">
        <f>IF(OR(N46="",M46="",M46&lt;=0),"",N46/M46)</f>
        <v/>
      </c>
      <c r="P46" s="20" t="n">
        <v>0.08031000000000001</v>
      </c>
      <c r="Q46" s="20" t="n">
        <v>0.0968440934016148</v>
      </c>
      <c r="R46" s="20" t="n">
        <v>0.00397470844110338</v>
      </c>
      <c r="S46" s="21" t="n">
        <v>3</v>
      </c>
      <c r="T46" s="20" t="n"/>
      <c r="U46" s="20" t="n"/>
      <c r="V46" s="20" t="n">
        <v>0.09166035137508417</v>
      </c>
      <c r="W46" s="20" t="n">
        <v>0.1013185357254691</v>
      </c>
      <c r="X46" s="20" t="n">
        <v>0.09755339310429112</v>
      </c>
      <c r="Y46" s="14" t="n">
        <v>0.31</v>
      </c>
      <c r="Z46" s="19">
        <f>IF(OR(Y46="",F46="",F46=0),"",Y46/F46)</f>
        <v/>
      </c>
      <c r="AA46" s="22" t="n">
        <v>20.972</v>
      </c>
      <c r="AB46" s="20" t="n">
        <v>-0.162</v>
      </c>
      <c r="AC46" s="20" t="n">
        <v>0.0522529807088036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2026-09-09</t>
        </is>
      </c>
      <c r="AI46" s="11" t="inlineStr">
        <is>
          <t>yahoo</t>
        </is>
      </c>
      <c r="AJ46" s="23" t="inlineStr">
        <is>
          <t>Verificare se posizione e' su risparmio (DANR.MI)</t>
        </is>
      </c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6.215</v>
      </c>
      <c r="G47" s="15" t="inlineStr">
        <is>
          <t>EUR</t>
        </is>
      </c>
      <c r="H47" s="14" t="n">
        <v>6.215</v>
      </c>
      <c r="I47" s="16" t="n">
        <v>5609</v>
      </c>
      <c r="J47" s="16" t="n">
        <v>5609</v>
      </c>
      <c r="K47" s="14" t="n">
        <v>0.37</v>
      </c>
      <c r="L47" s="14" t="n">
        <v>0.35646</v>
      </c>
      <c r="M47" s="17">
        <f>IF(OR(F47="",K47="",K47&lt;=0),"",F47/K47)</f>
        <v/>
      </c>
      <c r="N47" s="18" t="n">
        <v>1.847503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2026-09-09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8.895</v>
      </c>
      <c r="G48" s="15" t="inlineStr">
        <is>
          <t>EUR</t>
        </is>
      </c>
      <c r="H48" s="14" t="n">
        <v>8.895</v>
      </c>
      <c r="I48" s="16" t="n">
        <v>88244.3</v>
      </c>
      <c r="J48" s="16" t="n">
        <v>88244.3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3.575161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2026-09-09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74</v>
      </c>
      <c r="G49" s="15" t="inlineStr">
        <is>
          <t>EUR</t>
        </is>
      </c>
      <c r="H49" s="14" t="n">
        <v>74</v>
      </c>
      <c r="I49" s="16" t="n">
        <v>3658.7</v>
      </c>
      <c r="J49" s="16" t="n">
        <v>3658.7</v>
      </c>
      <c r="K49" s="14" t="n">
        <v>2.72</v>
      </c>
      <c r="L49" s="14" t="n">
        <v>4.27556</v>
      </c>
      <c r="M49" s="17">
        <f>IF(OR(F49="",K49="",K49&lt;=0),"",F49/K49)</f>
        <v/>
      </c>
      <c r="N49" s="18" t="n">
        <v>2.5731971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2026-09-09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13.875</v>
      </c>
      <c r="G50" s="15" t="inlineStr">
        <is>
          <t>USD</t>
        </is>
      </c>
      <c r="H50" s="14" t="n">
        <v>11.91723742718568</v>
      </c>
      <c r="I50" s="16" t="n">
        <v>19164.80736290303</v>
      </c>
      <c r="J50" s="16" t="n">
        <v>22313.2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2.2143314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2026-09-09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11.295</v>
      </c>
      <c r="G51" s="15" t="inlineStr">
        <is>
          <t>EUR</t>
        </is>
      </c>
      <c r="H51" s="14" t="n">
        <v>11.295</v>
      </c>
      <c r="I51" s="16" t="n"/>
      <c r="J51" s="16" t="n"/>
      <c r="K51" s="14" t="n">
        <v>0.31</v>
      </c>
      <c r="L51" s="14" t="n">
        <v>0.88037</v>
      </c>
      <c r="M51" s="17">
        <f>IF(OR(F51="",K51="",K51&lt;=0),"",F51/K51)</f>
        <v/>
      </c>
      <c r="N51" s="18" t="n">
        <v>1.9829705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2026-09-09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5.726</v>
      </c>
      <c r="G52" s="15" t="inlineStr">
        <is>
          <t>EUR</t>
        </is>
      </c>
      <c r="H52" s="14" t="n">
        <v>5.726</v>
      </c>
      <c r="I52" s="16" t="n">
        <v>6867.5</v>
      </c>
      <c r="J52" s="16" t="n">
        <v>6867.5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1.7205528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2026-09-09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14.05</v>
      </c>
      <c r="G53" s="15" t="inlineStr">
        <is>
          <t>EUR</t>
        </is>
      </c>
      <c r="H53" s="14" t="n">
        <v>14.05</v>
      </c>
      <c r="I53" s="16" t="n">
        <v>3742.2</v>
      </c>
      <c r="J53" s="16" t="n">
        <v>3742.2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1.5162961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2026-09-09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7.45</v>
      </c>
      <c r="G54" s="15" t="inlineStr">
        <is>
          <t>EUR</t>
        </is>
      </c>
      <c r="H54" s="14" t="n">
        <v>7.45</v>
      </c>
      <c r="I54" s="16" t="n">
        <v>368.3</v>
      </c>
      <c r="J54" s="16" t="n">
        <v>368.3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0.8967261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2026-09-09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22.16</v>
      </c>
      <c r="G55" s="15" t="inlineStr">
        <is>
          <t>EUR</t>
        </is>
      </c>
      <c r="H55" s="14" t="n">
        <v>22.16</v>
      </c>
      <c r="I55" s="16" t="n">
        <v>3221.1</v>
      </c>
      <c r="J55" s="16" t="n">
        <v>3221.1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1.7047466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2026-09-09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7.523</v>
      </c>
      <c r="G56" s="15" t="inlineStr">
        <is>
          <t>EUR</t>
        </is>
      </c>
      <c r="H56" s="14" t="n">
        <v>7.523</v>
      </c>
      <c r="I56" s="16" t="n">
        <v>16048.5</v>
      </c>
      <c r="J56" s="16" t="n">
        <v>16048.5</v>
      </c>
      <c r="K56" s="14" t="n">
        <v>0.15</v>
      </c>
      <c r="L56" s="14" t="n">
        <v>0.28575</v>
      </c>
      <c r="M56" s="17">
        <f>IF(OR(F56="",K56="",K56&lt;=0),"",F56/K56)</f>
        <v/>
      </c>
      <c r="N56" s="18" t="n">
        <v>1.3882635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2026-09-09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12.135</v>
      </c>
      <c r="G57" s="15" t="inlineStr">
        <is>
          <t>EUR</t>
        </is>
      </c>
      <c r="H57" s="14" t="n">
        <v>12.135</v>
      </c>
      <c r="I57" s="16" t="n">
        <v>4358.9</v>
      </c>
      <c r="J57" s="16" t="n">
        <v>4358.9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2.6918812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2026-09-09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8.74</v>
      </c>
      <c r="G58" s="15" t="inlineStr">
        <is>
          <t>EUR</t>
        </is>
      </c>
      <c r="H58" s="14" t="n">
        <v>8.74</v>
      </c>
      <c r="I58" s="16" t="n">
        <v>1444.6</v>
      </c>
      <c r="J58" s="16" t="n">
        <v>1444.6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2.4703221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2026-09-09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4.378</v>
      </c>
      <c r="G59" s="15" t="inlineStr">
        <is>
          <t>EUR</t>
        </is>
      </c>
      <c r="H59" s="14" t="n">
        <v>4.378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3.6728184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2026-09-09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71.40000000000001</v>
      </c>
      <c r="G60" s="15" t="inlineStr">
        <is>
          <t>EUR</t>
        </is>
      </c>
      <c r="H60" s="14" t="n">
        <v>71.40000000000001</v>
      </c>
      <c r="I60" s="16" t="n">
        <v>23467.5</v>
      </c>
      <c r="J60" s="16" t="n">
        <v>23467.5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0.43438318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2026-09-09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9.52</v>
      </c>
      <c r="G61" s="15" t="inlineStr">
        <is>
          <t>EUR</t>
        </is>
      </c>
      <c r="H61" s="14" t="n">
        <v>9.52</v>
      </c>
      <c r="I61" s="16" t="n">
        <v>1761.7</v>
      </c>
      <c r="J61" s="16" t="n">
        <v>1761.7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0.91838706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2026-09-09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0.294</v>
      </c>
      <c r="G62" s="15" t="inlineStr">
        <is>
          <t>EUR</t>
        </is>
      </c>
      <c r="H62" s="14" t="n">
        <v>0.294</v>
      </c>
      <c r="I62" s="16" t="n">
        <v>107.7</v>
      </c>
      <c r="J62" s="16" t="n">
        <v>107.7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1.4202899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2026-09-09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1.971</v>
      </c>
      <c r="G63" s="15" t="inlineStr">
        <is>
          <t>EUR</t>
        </is>
      </c>
      <c r="H63" s="14" t="n">
        <v>1.971</v>
      </c>
      <c r="I63" s="16" t="n">
        <v>822</v>
      </c>
      <c r="J63" s="16" t="n">
        <v>822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10.540107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2026-09-09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4.085</v>
      </c>
      <c r="G64" s="15" t="inlineStr">
        <is>
          <t>EUR</t>
        </is>
      </c>
      <c r="H64" s="14" t="n">
        <v>4.085</v>
      </c>
      <c r="I64" s="16" t="n">
        <v>4798.7</v>
      </c>
      <c r="J64" s="16" t="n">
        <v>4798.7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0.70564866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2026-09-09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0.0412</v>
      </c>
      <c r="G65" s="15" t="inlineStr">
        <is>
          <t>EUR</t>
        </is>
      </c>
      <c r="H65" s="14" t="n">
        <v>0.0412</v>
      </c>
      <c r="I65" s="16" t="n">
        <v>74.2</v>
      </c>
      <c r="J65" s="16" t="n">
        <v>74.2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2026-09-09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4.5675</v>
      </c>
      <c r="G66" s="15" t="inlineStr">
        <is>
          <t>EUR</t>
        </is>
      </c>
      <c r="H66" s="14" t="n">
        <v>4.5675</v>
      </c>
      <c r="I66" s="16" t="n">
        <v>17207.3</v>
      </c>
      <c r="J66" s="16" t="n">
        <v>17207.3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0.23570544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2026-09-09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44.52</v>
      </c>
      <c r="G67" s="15" t="inlineStr">
        <is>
          <t>EUR</t>
        </is>
      </c>
      <c r="H67" s="14" t="n">
        <v>44.52</v>
      </c>
      <c r="I67" s="16" t="n">
        <v>39708.6</v>
      </c>
      <c r="J67" s="16" t="n">
        <v>39708.6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2.6154823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2026-09-09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496</v>
      </c>
      <c r="G2" s="15" t="inlineStr">
        <is>
          <t>EUR</t>
        </is>
      </c>
      <c r="H2" s="14" t="n">
        <v>496</v>
      </c>
      <c r="I2" s="16" t="n">
        <v>62404</v>
      </c>
      <c r="J2" s="16" t="n">
        <v>62404</v>
      </c>
      <c r="K2" s="14" t="n">
        <v>53.76</v>
      </c>
      <c r="L2" s="14" t="n">
        <v>51.57728</v>
      </c>
      <c r="M2" s="17">
        <f>IF(OR(F2="",K2="",K2&lt;=0),"",F2/K2)</f>
        <v/>
      </c>
      <c r="N2" s="18" t="n">
        <v>1.859419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245.8</v>
      </c>
      <c r="G3" s="15" t="inlineStr">
        <is>
          <t>EUR</t>
        </is>
      </c>
      <c r="H3" s="14" t="n">
        <v>245.8</v>
      </c>
      <c r="I3" s="16" t="n">
        <v>29642.8</v>
      </c>
      <c r="J3" s="16" t="n">
        <v>29642.8</v>
      </c>
      <c r="K3" s="14" t="n">
        <v>22.66</v>
      </c>
      <c r="L3" s="14" t="n">
        <v>23.56912</v>
      </c>
      <c r="M3" s="17">
        <f>IF(OR(F3="",K3="",K3&lt;=0),"",F3/K3)</f>
        <v/>
      </c>
      <c r="N3" s="18" t="n">
        <v>2.2344847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437.1</v>
      </c>
      <c r="G4" s="15" t="inlineStr">
        <is>
          <t>EUR</t>
        </is>
      </c>
      <c r="H4" s="14" t="n">
        <v>437.1</v>
      </c>
      <c r="I4" s="16" t="n"/>
      <c r="J4" s="16" t="n"/>
      <c r="K4" s="14" t="n">
        <v>30.47</v>
      </c>
      <c r="L4" s="14" t="n">
        <v>33.59957</v>
      </c>
      <c r="M4" s="17">
        <f>IF(OR(F4="",K4="",K4&lt;=0),"",F4/K4)</f>
        <v/>
      </c>
      <c r="N4" s="18" t="n">
        <v>2.6279085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35.04</v>
      </c>
      <c r="G5" s="15" t="inlineStr">
        <is>
          <t>EUR</t>
        </is>
      </c>
      <c r="H5" s="14" t="n">
        <v>35.04</v>
      </c>
      <c r="I5" s="16" t="n">
        <v>65840.2</v>
      </c>
      <c r="J5" s="16" t="n">
        <v>65840.2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0.8352801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54.44</v>
      </c>
      <c r="G6" s="15" t="inlineStr">
        <is>
          <t>EUR</t>
        </is>
      </c>
      <c r="H6" s="14" t="n">
        <v>54.44</v>
      </c>
      <c r="I6" s="16" t="n">
        <v>60428.4</v>
      </c>
      <c r="J6" s="16" t="n">
        <v>60428.4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2.7112904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27.77</v>
      </c>
      <c r="G7" s="15" t="inlineStr">
        <is>
          <t>EUR</t>
        </is>
      </c>
      <c r="H7" s="14" t="n">
        <v>27.77</v>
      </c>
      <c r="I7" s="16" t="n">
        <v>132813.1</v>
      </c>
      <c r="J7" s="16" t="n">
        <v>132813.1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2.2191145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157.35</v>
      </c>
      <c r="G8" s="15" t="inlineStr">
        <is>
          <t>EUR</t>
        </is>
      </c>
      <c r="H8" s="14" t="n">
        <v>157.35</v>
      </c>
      <c r="I8" s="16" t="n">
        <v>27662.4</v>
      </c>
      <c r="J8" s="16" t="n">
        <v>27662.4</v>
      </c>
      <c r="K8" s="14" t="n">
        <v>11.48</v>
      </c>
      <c r="L8" s="14" t="n">
        <v>14.53478</v>
      </c>
      <c r="M8" s="17">
        <f>IF(OR(F8="",K8="",K8&lt;=0),"",F8/K8)</f>
        <v/>
      </c>
      <c r="N8" s="18" t="n">
        <v>1.484518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273.7</v>
      </c>
      <c r="G9" s="15" t="inlineStr">
        <is>
          <t>EUR</t>
        </is>
      </c>
      <c r="H9" s="14" t="n">
        <v>273.7</v>
      </c>
      <c r="I9" s="16" t="n">
        <v>49344.7</v>
      </c>
      <c r="J9" s="16" t="n">
        <v>49344.7</v>
      </c>
      <c r="K9" s="14" t="n">
        <v>11.6</v>
      </c>
      <c r="L9" s="14" t="n">
        <v>13.6261</v>
      </c>
      <c r="M9" s="17">
        <f>IF(OR(F9="",K9="",K9&lt;=0),"",F9/K9)</f>
        <v/>
      </c>
      <c r="N9" s="18" t="n">
        <v>4.7648063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46.695</v>
      </c>
      <c r="G10" s="15" t="inlineStr">
        <is>
          <t>EUR</t>
        </is>
      </c>
      <c r="H10" s="14" t="n">
        <v>46.695</v>
      </c>
      <c r="I10" s="16" t="n">
        <v>44702.5</v>
      </c>
      <c r="J10" s="16" t="n">
        <v>44702.5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0.47058764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1012.4</v>
      </c>
      <c r="G11" s="15" t="inlineStr">
        <is>
          <t>EUR</t>
        </is>
      </c>
      <c r="H11" s="14" t="n">
        <v>1012.4</v>
      </c>
      <c r="I11" s="16" t="n">
        <v>47246.7</v>
      </c>
      <c r="J11" s="16" t="n">
        <v>47246.7</v>
      </c>
      <c r="K11" s="14" t="n">
        <v>26.08</v>
      </c>
      <c r="L11" s="14" t="n">
        <v>53.67878</v>
      </c>
      <c r="M11" s="17">
        <f>IF(OR(F11="",K11="",K11&lt;=0),"",F11/K11)</f>
        <v/>
      </c>
      <c r="N11" s="18" t="n">
        <v>9.502000000000001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62.66</v>
      </c>
      <c r="G12" s="15" t="inlineStr">
        <is>
          <t>EUR</t>
        </is>
      </c>
      <c r="H12" s="14" t="n">
        <v>62.66</v>
      </c>
      <c r="I12" s="16" t="n">
        <v>37506.7</v>
      </c>
      <c r="J12" s="16" t="n">
        <v>37506.7</v>
      </c>
      <c r="K12" s="14" t="n">
        <v>10.39</v>
      </c>
      <c r="L12" s="14" t="n">
        <v>9.16574</v>
      </c>
      <c r="M12" s="17">
        <f>IF(OR(F12="",K12="",K12&lt;=0),"",F12/K12)</f>
        <v/>
      </c>
      <c r="N12" s="18" t="n">
        <v>0.39355588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64.05</v>
      </c>
      <c r="G13" s="15" t="inlineStr">
        <is>
          <t>EUR</t>
        </is>
      </c>
      <c r="H13" s="14" t="n">
        <v>64.05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4.166667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38.54</v>
      </c>
      <c r="G14" s="15" t="inlineStr">
        <is>
          <t>EUR</t>
        </is>
      </c>
      <c r="H14" s="14" t="n">
        <v>38.54</v>
      </c>
      <c r="I14" s="16" t="n">
        <v>10255.9</v>
      </c>
      <c r="J14" s="16" t="n">
        <v>10255.9</v>
      </c>
      <c r="K14" s="14" t="n">
        <v>3.32</v>
      </c>
      <c r="L14" s="14" t="n">
        <v>4.33603</v>
      </c>
      <c r="M14" s="17">
        <f>IF(OR(F14="",K14="",K14&lt;=0),"",F14/K14)</f>
        <v/>
      </c>
      <c r="N14" s="18" t="n">
        <v>0.8167677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81.7</v>
      </c>
      <c r="G15" s="15" t="inlineStr">
        <is>
          <t>EUR</t>
        </is>
      </c>
      <c r="H15" s="14" t="n">
        <v>81.7</v>
      </c>
      <c r="I15" s="16" t="n">
        <v>40955.8</v>
      </c>
      <c r="J15" s="16" t="n">
        <v>40955.8</v>
      </c>
      <c r="K15" s="14" t="n">
        <v>10.43</v>
      </c>
      <c r="L15" s="14" t="n">
        <v>22.957</v>
      </c>
      <c r="M15" s="17">
        <f>IF(OR(F15="",K15="",K15&lt;=0),"",F15/K15)</f>
        <v/>
      </c>
      <c r="N15" s="18" t="n">
        <v>0.23357539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60.26</v>
      </c>
      <c r="G16" s="15" t="inlineStr">
        <is>
          <t>EUR</t>
        </is>
      </c>
      <c r="H16" s="14" t="n">
        <v>60.26</v>
      </c>
      <c r="I16" s="16" t="n">
        <v>47001.9</v>
      </c>
      <c r="J16" s="16" t="n">
        <v>47001.9</v>
      </c>
      <c r="K16" s="14" t="n">
        <v>4.51</v>
      </c>
      <c r="L16" s="14" t="n">
        <v>3.31573</v>
      </c>
      <c r="M16" s="17">
        <f>IF(OR(F16="",K16="",K16&lt;=0),"",F16/K16)</f>
        <v/>
      </c>
      <c r="N16" s="18" t="n">
        <v>1.0807805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42.1</v>
      </c>
      <c r="G17" s="15" t="inlineStr">
        <is>
          <t>EUR</t>
        </is>
      </c>
      <c r="H17" s="14" t="n">
        <v>42.1</v>
      </c>
      <c r="I17" s="16" t="n">
        <v>45503.7</v>
      </c>
      <c r="J17" s="16" t="n">
        <v>45503.7</v>
      </c>
      <c r="K17" s="14" t="n">
        <v>2.61</v>
      </c>
      <c r="L17" s="14" t="n">
        <v>3.83817</v>
      </c>
      <c r="M17" s="17">
        <f>IF(OR(F17="",K17="",K17&lt;=0),"",F17/K17)</f>
        <v/>
      </c>
      <c r="N17" s="18" t="n">
        <v>1.3475881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17.61</v>
      </c>
      <c r="G18" s="15" t="inlineStr">
        <is>
          <t>EUR</t>
        </is>
      </c>
      <c r="H18" s="14" t="n">
        <v>17.61</v>
      </c>
      <c r="I18" s="16" t="n">
        <v>46016.3</v>
      </c>
      <c r="J18" s="16" t="n">
        <v>46016.3</v>
      </c>
      <c r="K18" s="14" t="n">
        <v>1.29</v>
      </c>
      <c r="L18" s="14" t="n">
        <v>1.24859</v>
      </c>
      <c r="M18" s="17">
        <f>IF(OR(F18="",K18="",K18&lt;=0),"",F18/K18)</f>
        <v/>
      </c>
      <c r="N18" s="18" t="n">
        <v>2.1692536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18.505</v>
      </c>
      <c r="G19" s="15" t="inlineStr">
        <is>
          <t>EUR</t>
        </is>
      </c>
      <c r="H19" s="14" t="n">
        <v>18.505</v>
      </c>
      <c r="I19" s="16" t="n">
        <v>15700.3</v>
      </c>
      <c r="J19" s="16" t="n">
        <v>15700.3</v>
      </c>
      <c r="K19" s="14" t="n">
        <v>4.41</v>
      </c>
      <c r="L19" s="14" t="n">
        <v>1.86047</v>
      </c>
      <c r="M19" s="17">
        <f>IF(OR(F19="",K19="",K19&lt;=0),"",F19/K19)</f>
        <v/>
      </c>
      <c r="N19" s="18" t="n">
        <v>0.56789935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74.7</v>
      </c>
      <c r="G20" s="15" t="inlineStr">
        <is>
          <t>EUR</t>
        </is>
      </c>
      <c r="H20" s="14" t="n">
        <v>74.7</v>
      </c>
      <c r="I20" s="16" t="n">
        <v>16290</v>
      </c>
      <c r="J20" s="16" t="n">
        <v>16290</v>
      </c>
      <c r="K20" s="14" t="n">
        <v>4.3</v>
      </c>
      <c r="L20" s="14" t="n">
        <v>4.06886</v>
      </c>
      <c r="M20" s="17">
        <f>IF(OR(F20="",K20="",K20&lt;=0),"",F20/K20)</f>
        <v/>
      </c>
      <c r="N20" s="18" t="n">
        <v>1.8099875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74.22</v>
      </c>
      <c r="G21" s="15" t="inlineStr">
        <is>
          <t>EUR</t>
        </is>
      </c>
      <c r="H21" s="14" t="n">
        <v>74.22</v>
      </c>
      <c r="I21" s="16" t="n">
        <v>30048</v>
      </c>
      <c r="J21" s="16" t="n">
        <v>30048</v>
      </c>
      <c r="K21" s="14" t="n">
        <v>4.7</v>
      </c>
      <c r="L21" s="14" t="n">
        <v>5.93453</v>
      </c>
      <c r="M21" s="17">
        <f>IF(OR(F21="",K21="",K21&lt;=0),"",F21/K21)</f>
        <v/>
      </c>
      <c r="N21" s="18" t="n">
        <v>1.4345078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31.879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264.4</v>
      </c>
      <c r="G22" s="15" t="inlineStr">
        <is>
          <t>EUR</t>
        </is>
      </c>
      <c r="H22" s="14" t="n">
        <v>264.4</v>
      </c>
      <c r="I22" s="16" t="n">
        <v>206301.9</v>
      </c>
      <c r="J22" s="16" t="n">
        <v>206301.9</v>
      </c>
      <c r="K22" s="14" t="n">
        <v>10</v>
      </c>
      <c r="L22" s="14" t="n">
        <v>13.03699</v>
      </c>
      <c r="M22" s="17">
        <f>IF(OR(F22="",K22="",K22&lt;=0),"",F22/K22)</f>
        <v/>
      </c>
      <c r="N22" s="18" t="n">
        <v>2.9982083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2026-09-09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</v>
      </c>
      <c r="G23" s="15" t="inlineStr">
        <is>
          <t>EUR</t>
        </is>
      </c>
      <c r="H23" s="14" t="n">
        <v>61</v>
      </c>
      <c r="I23" s="16" t="n">
        <v>8807.5</v>
      </c>
      <c r="J23" s="16" t="n">
        <v>8807.5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1.9863883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2026-09-09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56.95</v>
      </c>
      <c r="G24" s="15" t="inlineStr">
        <is>
          <t>EUR</t>
        </is>
      </c>
      <c r="H24" s="14" t="n">
        <v>56.95</v>
      </c>
      <c r="I24" s="16" t="n">
        <v>74006.5</v>
      </c>
      <c r="J24" s="16" t="n">
        <v>74006.5</v>
      </c>
      <c r="K24" s="14" t="n">
        <v>0.82</v>
      </c>
      <c r="L24" s="14" t="n">
        <v>2.81513</v>
      </c>
      <c r="M24" s="17">
        <f>IF(OR(F24="",K24="",K24&lt;=0),"",F24/K24)</f>
        <v/>
      </c>
      <c r="N24" s="18" t="n">
        <v>4.2620864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2026-09-09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Adidas</t>
        </is>
      </c>
      <c r="C25" s="12" t="inlineStr">
        <is>
          <t>ADS.DE</t>
        </is>
      </c>
      <c r="D25" s="11" t="inlineStr">
        <is>
          <t>Abbigliamento sportivo</t>
        </is>
      </c>
      <c r="E25" s="13" t="inlineStr">
        <is>
          <t>Consumi</t>
        </is>
      </c>
      <c r="F25" s="14" t="n">
        <v>146.45</v>
      </c>
      <c r="G25" s="15" t="inlineStr">
        <is>
          <t>EUR</t>
        </is>
      </c>
      <c r="H25" s="14" t="n">
        <v>146.45</v>
      </c>
      <c r="I25" s="16" t="n">
        <v>25638</v>
      </c>
      <c r="J25" s="16" t="n">
        <v>25638</v>
      </c>
      <c r="K25" s="14" t="n">
        <v>7.81</v>
      </c>
      <c r="L25" s="14" t="n">
        <v>11.66527</v>
      </c>
      <c r="M25" s="17">
        <f>IF(OR(F25="",K25="",K25&lt;=0),"",F25/K25)</f>
        <v/>
      </c>
      <c r="N25" s="18" t="n">
        <v>4.304568</v>
      </c>
      <c r="O25" s="19">
        <f>IF(OR(N25="",M25="",M25&lt;=0),"",N25/M25)</f>
        <v/>
      </c>
      <c r="P25" s="20" t="n">
        <v>0.24324</v>
      </c>
      <c r="Q25" s="20" t="n">
        <v>0.1194393818870109</v>
      </c>
      <c r="R25" s="20" t="n">
        <v>0.08878007631670452</v>
      </c>
      <c r="S25" s="21" t="n">
        <v>4</v>
      </c>
      <c r="T25" s="20" t="n"/>
      <c r="U25" s="20" t="n">
        <v>0.231994459833795</v>
      </c>
      <c r="V25" s="20" t="n">
        <v>0.139517896274653</v>
      </c>
      <c r="W25" s="20" t="n">
        <v>-0.01637554585152838</v>
      </c>
      <c r="X25" s="20" t="n">
        <v>0.122620717291124</v>
      </c>
      <c r="Y25" s="14" t="n">
        <v>2.8</v>
      </c>
      <c r="Z25" s="19">
        <f>IF(OR(Y25="",F25="",F25=0),"",Y25/F25)</f>
        <v/>
      </c>
      <c r="AA25" s="22" t="n">
        <v>94.127</v>
      </c>
      <c r="AB25" s="20" t="n">
        <v>0.133</v>
      </c>
      <c r="AC25" s="20" t="n">
        <v>0.05566079303534723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2026-09-09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38.69</v>
      </c>
      <c r="G26" s="15" t="inlineStr">
        <is>
          <t>EUR</t>
        </is>
      </c>
      <c r="H26" s="14" t="n">
        <v>38.69</v>
      </c>
      <c r="I26" s="16" t="n">
        <v>43301.8</v>
      </c>
      <c r="J26" s="16" t="n">
        <v>43301.8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2.2583468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2026-09-09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132.7</v>
      </c>
      <c r="G27" s="15" t="inlineStr">
        <is>
          <t>EUR</t>
        </is>
      </c>
      <c r="H27" s="14" t="n">
        <v>132.7</v>
      </c>
      <c r="I27" s="16" t="n">
        <v>57695</v>
      </c>
      <c r="J27" s="16" t="n">
        <v>57695</v>
      </c>
      <c r="K27" s="14" t="n">
        <v>5.45</v>
      </c>
      <c r="L27" s="14" t="n">
        <v>8.914849999999999</v>
      </c>
      <c r="M27" s="17">
        <f>IF(OR(F27="",K27="",K27&lt;=0),"",F27/K27)</f>
        <v/>
      </c>
      <c r="N27" s="18" t="n">
        <v>1.9071572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2026-09-09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182.86</v>
      </c>
      <c r="G28" s="15" t="inlineStr">
        <is>
          <t>EUR</t>
        </is>
      </c>
      <c r="H28" s="14" t="n">
        <v>182.86</v>
      </c>
      <c r="I28" s="16" t="n">
        <v>211057.8</v>
      </c>
      <c r="J28" s="16" t="n">
        <v>211057.8</v>
      </c>
      <c r="K28" s="14" t="n">
        <v>6.67</v>
      </c>
      <c r="L28" s="14" t="n">
        <v>8.365489999999999</v>
      </c>
      <c r="M28" s="17">
        <f>IF(OR(F28="",K28="",K28&lt;=0),"",F28/K28)</f>
        <v/>
      </c>
      <c r="N28" s="18" t="n">
        <v>4.7171416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2026-09-09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343.7</v>
      </c>
      <c r="G29" s="15" t="inlineStr">
        <is>
          <t>EUR</t>
        </is>
      </c>
      <c r="H29" s="14" t="n">
        <v>343.7</v>
      </c>
      <c r="I29" s="16" t="n">
        <v>18515.3</v>
      </c>
      <c r="J29" s="16" t="n">
        <v>18515.3</v>
      </c>
      <c r="K29" s="14" t="n">
        <v>17.25</v>
      </c>
      <c r="L29" s="14" t="n">
        <v>20.74015</v>
      </c>
      <c r="M29" s="17">
        <f>IF(OR(F29="",K29="",K29&lt;=0),"",F29/K29)</f>
        <v/>
      </c>
      <c r="N29" s="18" t="n">
        <v>4.0755587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2026-09-09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43.93</v>
      </c>
      <c r="G30" s="15" t="inlineStr">
        <is>
          <t>EUR</t>
        </is>
      </c>
      <c r="H30" s="14" t="n">
        <v>43.93</v>
      </c>
      <c r="I30" s="16" t="n">
        <v>33396.2</v>
      </c>
      <c r="J30" s="16" t="n">
        <v>33396.2</v>
      </c>
      <c r="K30" s="14" t="n">
        <v>1.45</v>
      </c>
      <c r="L30" s="14" t="n">
        <v>4.7852</v>
      </c>
      <c r="M30" s="17">
        <f>IF(OR(F30="",K30="",K30&lt;=0),"",F30/K30)</f>
        <v/>
      </c>
      <c r="N30" s="18" t="n">
        <v>1.4796227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2026-09-09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88.7</v>
      </c>
      <c r="G31" s="15" t="inlineStr">
        <is>
          <t>EUR</t>
        </is>
      </c>
      <c r="H31" s="14" t="n">
        <v>88.7</v>
      </c>
      <c r="I31" s="16" t="n">
        <v>12167.9</v>
      </c>
      <c r="J31" s="16" t="n">
        <v>12167.9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3.2588727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2026-09-09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22.94</v>
      </c>
      <c r="G32" s="15" t="inlineStr">
        <is>
          <t>EUR</t>
        </is>
      </c>
      <c r="H32" s="14" t="n">
        <v>22.94</v>
      </c>
      <c r="I32" s="16" t="n">
        <v>5602.5</v>
      </c>
      <c r="J32" s="16" t="n">
        <v>5602.5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2.1908128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2026-09-09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44.87</v>
      </c>
      <c r="G33" s="15" t="inlineStr">
        <is>
          <t>EUR</t>
        </is>
      </c>
      <c r="H33" s="14" t="n">
        <v>44.87</v>
      </c>
      <c r="I33" s="16" t="n">
        <v>40876.6</v>
      </c>
      <c r="J33" s="16" t="n">
        <v>40876.6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1.7885758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2026-09-09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36.62</v>
      </c>
      <c r="G34" s="15" t="inlineStr">
        <is>
          <t>EUR</t>
        </is>
      </c>
      <c r="H34" s="14" t="n">
        <v>36.62</v>
      </c>
      <c r="I34" s="16" t="n">
        <v>7561.8</v>
      </c>
      <c r="J34" s="16" t="n">
        <v>7561.8</v>
      </c>
      <c r="K34" s="14" t="n">
        <v>1.69</v>
      </c>
      <c r="L34" s="14" t="n">
        <v>2.2389</v>
      </c>
      <c r="M34" s="17">
        <f>IF(OR(F34="",K34="",K34&lt;=0),"",F34/K34)</f>
        <v/>
      </c>
      <c r="N34" s="18" t="n">
        <v>2.6153538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2026-09-09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145.14</v>
      </c>
      <c r="G35" s="15" t="inlineStr">
        <is>
          <t>EUR</t>
        </is>
      </c>
      <c r="H35" s="14" t="n">
        <v>145.14</v>
      </c>
      <c r="I35" s="16" t="n">
        <v>123492.2</v>
      </c>
      <c r="J35" s="16" t="n">
        <v>123492.2</v>
      </c>
      <c r="K35" s="14" t="n">
        <v>3.1</v>
      </c>
      <c r="L35" s="14" t="n">
        <v>6.2094</v>
      </c>
      <c r="M35" s="17">
        <f>IF(OR(F35="",K35="",K35&lt;=0),"",F35/K35)</f>
        <v/>
      </c>
      <c r="N35" s="18" t="n">
        <v>11.512651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2026-09-09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44.335</v>
      </c>
      <c r="G36" s="15" t="inlineStr">
        <is>
          <t>EUR</t>
        </is>
      </c>
      <c r="H36" s="14" t="n">
        <v>44.335</v>
      </c>
      <c r="I36" s="16" t="n"/>
      <c r="J36" s="16" t="n"/>
      <c r="K36" s="14" t="n">
        <v>2.77</v>
      </c>
      <c r="L36" s="14" t="n">
        <v>3.95467</v>
      </c>
      <c r="M36" s="17">
        <f>IF(OR(F36="",K36="",K36&lt;=0),"",F36/K36)</f>
        <v/>
      </c>
      <c r="N36" s="18" t="n">
        <v>1.2676197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2026-09-09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29.17</v>
      </c>
      <c r="G37" s="15" t="inlineStr">
        <is>
          <t>EUR</t>
        </is>
      </c>
      <c r="H37" s="14" t="n">
        <v>29.17</v>
      </c>
      <c r="I37" s="16" t="n">
        <v>8933.299999999999</v>
      </c>
      <c r="J37" s="16" t="n">
        <v>8933.299999999999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0.25005144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2026-09-09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236.8</v>
      </c>
      <c r="G38" s="15" t="inlineStr">
        <is>
          <t>EUR</t>
        </is>
      </c>
      <c r="H38" s="14" t="n">
        <v>236.8</v>
      </c>
      <c r="I38" s="16" t="n">
        <v>16351.6</v>
      </c>
      <c r="J38" s="16" t="n">
        <v>16351.6</v>
      </c>
      <c r="K38" s="14" t="n">
        <v>2.83</v>
      </c>
      <c r="L38" s="14" t="n">
        <v>6.31695</v>
      </c>
      <c r="M38" s="17">
        <f>IF(OR(F38="",K38="",K38&lt;=0),"",F38/K38)</f>
        <v/>
      </c>
      <c r="N38" s="18" t="n">
        <v>6.0409703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2026-09-09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52.7</v>
      </c>
      <c r="G39" s="15" t="inlineStr">
        <is>
          <t>EUR</t>
        </is>
      </c>
      <c r="H39" s="14" t="n">
        <v>52.7</v>
      </c>
      <c r="I39" s="16" t="n">
        <v>45370.6</v>
      </c>
      <c r="J39" s="16" t="n">
        <v>45370.6</v>
      </c>
      <c r="K39" s="14" t="n">
        <v>2.38</v>
      </c>
      <c r="L39" s="14" t="n">
        <v>2.97635</v>
      </c>
      <c r="M39" s="17">
        <f>IF(OR(F39="",K39="",K39&lt;=0),"",F39/K39)</f>
        <v/>
      </c>
      <c r="N39" s="18" t="n">
        <v>1.2582971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2026-09-09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49.26</v>
      </c>
      <c r="G40" s="15" t="inlineStr">
        <is>
          <t>EUR</t>
        </is>
      </c>
      <c r="H40" s="14" t="n">
        <v>49.26</v>
      </c>
      <c r="I40" s="16" t="n">
        <v>48394.2</v>
      </c>
      <c r="J40" s="16" t="n">
        <v>48394.2</v>
      </c>
      <c r="K40" s="14" t="n">
        <v>-1.76</v>
      </c>
      <c r="L40" s="14" t="n">
        <v>4.83139</v>
      </c>
      <c r="M40" s="17">
        <f>IF(OR(F40="",K40="",K40&lt;=0),"",F40/K40)</f>
        <v/>
      </c>
      <c r="N40" s="18" t="n">
        <v>1.6358383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2026-09-09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69.68000000000001</v>
      </c>
      <c r="G41" s="15" t="inlineStr">
        <is>
          <t>EUR</t>
        </is>
      </c>
      <c r="H41" s="14" t="n">
        <v>69.68000000000001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3.316516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2026-09-09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2026-09-09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400</v>
      </c>
      <c r="G43" s="15" t="inlineStr">
        <is>
          <t>EUR</t>
        </is>
      </c>
      <c r="H43" s="14" t="n">
        <v>400</v>
      </c>
      <c r="I43" s="16" t="n">
        <v>184392.1</v>
      </c>
      <c r="J43" s="16" t="n">
        <v>184392.1</v>
      </c>
      <c r="K43" s="14" t="n"/>
      <c r="L43" s="14" t="n"/>
      <c r="M43" s="17">
        <f>IF(OR(F43="",K43="",K43&lt;=0),"",F43/K43)</f>
        <v/>
      </c>
      <c r="N43" s="18" t="n">
        <v>5.479252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2026-09-09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22.75</v>
      </c>
      <c r="G44" s="15" t="inlineStr">
        <is>
          <t>EUR</t>
        </is>
      </c>
      <c r="H44" s="14" t="n">
        <v>22.75</v>
      </c>
      <c r="I44" s="16" t="n"/>
      <c r="J44" s="16" t="n"/>
      <c r="K44" s="14" t="n">
        <v>-3.01</v>
      </c>
      <c r="L44" s="14" t="n">
        <v>0.33456</v>
      </c>
      <c r="M44" s="17">
        <f>IF(OR(F44="",K44="",K44&lt;=0),"",F44/K44)</f>
        <v/>
      </c>
      <c r="N44" s="18" t="n">
        <v>1.832018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2026-09-09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78.20999999999999</v>
      </c>
      <c r="G2" s="15" t="inlineStr">
        <is>
          <t>EUR</t>
        </is>
      </c>
      <c r="H2" s="14" t="n">
        <v>78.20999999999999</v>
      </c>
      <c r="I2" s="16" t="n">
        <v>173052.7</v>
      </c>
      <c r="J2" s="16" t="n">
        <v>173052.7</v>
      </c>
      <c r="K2" s="14" t="n">
        <v>6.87</v>
      </c>
      <c r="L2" s="14" t="n">
        <v>8.547411</v>
      </c>
      <c r="M2" s="17">
        <f>IF(OR(F2="",K2="",K2&lt;=0),"",F2/K2)</f>
        <v/>
      </c>
      <c r="N2" s="18" t="n">
        <v>1.5637258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102.76</v>
      </c>
      <c r="G3" s="15" t="inlineStr">
        <is>
          <t>EUR</t>
        </is>
      </c>
      <c r="H3" s="14" t="n">
        <v>102.76</v>
      </c>
      <c r="I3" s="16" t="n">
        <v>112625</v>
      </c>
      <c r="J3" s="16" t="n">
        <v>112625</v>
      </c>
      <c r="K3" s="14" t="n">
        <v>11.56</v>
      </c>
      <c r="L3" s="14" t="n">
        <v>13.22553</v>
      </c>
      <c r="M3" s="17">
        <f>IF(OR(F3="",K3="",K3&lt;=0),"",F3/K3)</f>
        <v/>
      </c>
      <c r="N3" s="18" t="n">
        <v>0.9377624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Capgemini</t>
        </is>
      </c>
      <c r="C4" s="12" t="inlineStr">
        <is>
          <t>CAP.PA</t>
        </is>
      </c>
      <c r="D4" s="11" t="inlineStr">
        <is>
          <t>Servizi IT</t>
        </is>
      </c>
      <c r="E4" s="13" t="inlineStr">
        <is>
          <t>Tecnologia</t>
        </is>
      </c>
      <c r="F4" s="14" t="n">
        <v>101.15</v>
      </c>
      <c r="G4" s="15" t="inlineStr">
        <is>
          <t>EUR</t>
        </is>
      </c>
      <c r="H4" s="14" t="n">
        <v>101.15</v>
      </c>
      <c r="I4" s="16" t="n">
        <v>16791.1</v>
      </c>
      <c r="J4" s="16" t="n">
        <v>16791.1</v>
      </c>
      <c r="K4" s="14" t="n">
        <v>7.87</v>
      </c>
      <c r="L4" s="14" t="n">
        <v>13.72048</v>
      </c>
      <c r="M4" s="17">
        <f>IF(OR(F4="",K4="",K4&lt;=0),"",F4/K4)</f>
        <v/>
      </c>
      <c r="N4" s="18" t="n">
        <v>1.4659845</v>
      </c>
      <c r="O4" s="19">
        <f>IF(OR(N4="",M4="",M4&lt;=0),"",N4/M4)</f>
        <v/>
      </c>
      <c r="P4" s="20" t="n">
        <v>0.12202</v>
      </c>
      <c r="Q4" s="20" t="n">
        <v>0.1493697560657985</v>
      </c>
      <c r="R4" s="20" t="n">
        <v>0.009817698883656849</v>
      </c>
      <c r="S4" s="21" t="n">
        <v>4</v>
      </c>
      <c r="T4" s="20" t="n"/>
      <c r="U4" s="20" t="n">
        <v>0.137448489010989</v>
      </c>
      <c r="V4" s="20" t="n">
        <v>0.1419108280254777</v>
      </c>
      <c r="W4" s="20" t="n">
        <v>0.1590778649320834</v>
      </c>
      <c r="X4" s="20" t="n">
        <v>0.1590418422946438</v>
      </c>
      <c r="Y4" s="14" t="n">
        <v>3.4</v>
      </c>
      <c r="Z4" s="19">
        <f>IF(OR(Y4="",F4="",F4=0),"",Y4/F4)</f>
        <v/>
      </c>
      <c r="AA4" s="22" t="n">
        <v>87.509</v>
      </c>
      <c r="AB4" s="20" t="n">
        <v>0.08799999999999999</v>
      </c>
      <c r="AC4" s="20" t="n">
        <v>0.06120632379256621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Vinci</t>
        </is>
      </c>
      <c r="C5" s="12" t="inlineStr">
        <is>
          <t>DG.PA</t>
        </is>
      </c>
      <c r="D5" s="11" t="inlineStr">
        <is>
          <t>Costruzioni / Concessioni</t>
        </is>
      </c>
      <c r="E5" s="13" t="inlineStr">
        <is>
          <t>Industriale</t>
        </is>
      </c>
      <c r="F5" s="14" t="n">
        <v>111.8</v>
      </c>
      <c r="G5" s="15" t="inlineStr">
        <is>
          <t>EUR</t>
        </is>
      </c>
      <c r="H5" s="14" t="n">
        <v>111.8</v>
      </c>
      <c r="I5" s="16" t="n">
        <v>61865.3</v>
      </c>
      <c r="J5" s="16" t="n">
        <v>61865.3</v>
      </c>
      <c r="K5" s="14" t="n">
        <v>9.01</v>
      </c>
      <c r="L5" s="14" t="n">
        <v>10.03255</v>
      </c>
      <c r="M5" s="17">
        <f>IF(OR(F5="",K5="",K5&lt;=0),"",F5/K5)</f>
        <v/>
      </c>
      <c r="N5" s="18" t="n">
        <v>2.025289</v>
      </c>
      <c r="O5" s="19">
        <f>IF(OR(N5="",M5="",M5&lt;=0),"",N5/M5)</f>
        <v/>
      </c>
      <c r="P5" s="20" t="n">
        <v>0.16318001</v>
      </c>
      <c r="Q5" s="20" t="n">
        <v>0.1633175414973906</v>
      </c>
      <c r="R5" s="20" t="n">
        <v>0.002836595861090376</v>
      </c>
      <c r="S5" s="21" t="n">
        <v>4</v>
      </c>
      <c r="T5" s="20" t="n"/>
      <c r="U5" s="20" t="n">
        <v>0.1594367845993757</v>
      </c>
      <c r="V5" s="20" t="n">
        <v>0.162386883494173</v>
      </c>
      <c r="W5" s="20" t="n">
        <v>0.1672535837512894</v>
      </c>
      <c r="X5" s="20" t="n">
        <v>0.1641929141447242</v>
      </c>
      <c r="Y5" s="14" t="n">
        <v>5.05</v>
      </c>
      <c r="Z5" s="19">
        <f>IF(OR(Y5="",F5="",F5=0),"",Y5/F5)</f>
        <v/>
      </c>
      <c r="AA5" s="22" t="n">
        <v>120.742</v>
      </c>
      <c r="AB5" s="20" t="n">
        <v>0.023</v>
      </c>
      <c r="AC5" s="20" t="n">
        <v>0.0671712793849568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68.23999999999999</v>
      </c>
      <c r="G6" s="15" t="inlineStr">
        <is>
          <t>EUR</t>
        </is>
      </c>
      <c r="H6" s="14" t="n">
        <v>68.23999999999999</v>
      </c>
      <c r="I6" s="16" t="n">
        <v>4074.9</v>
      </c>
      <c r="J6" s="16" t="n">
        <v>4074.9</v>
      </c>
      <c r="K6" s="14" t="n">
        <v>7.91</v>
      </c>
      <c r="L6" s="14" t="n">
        <v>14.15277</v>
      </c>
      <c r="M6" s="17">
        <f>IF(OR(F6="",K6="",K6&lt;=0),"",F6/K6)</f>
        <v/>
      </c>
      <c r="N6" s="18" t="n">
        <v>0.94610894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42.94</v>
      </c>
      <c r="G7" s="15" t="inlineStr">
        <is>
          <t>EUR</t>
        </is>
      </c>
      <c r="H7" s="14" t="n">
        <v>42.94</v>
      </c>
      <c r="I7" s="16" t="n">
        <v>89783.3</v>
      </c>
      <c r="J7" s="16" t="n">
        <v>89783.3</v>
      </c>
      <c r="K7" s="14" t="n">
        <v>3.71</v>
      </c>
      <c r="L7" s="14" t="n">
        <v>4.47078</v>
      </c>
      <c r="M7" s="17">
        <f>IF(OR(F7="",K7="",K7&lt;=0),"",F7/K7)</f>
        <v/>
      </c>
      <c r="N7" s="18" t="n">
        <v>1.943778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18.49</v>
      </c>
      <c r="G8" s="15" t="inlineStr">
        <is>
          <t>EUR</t>
        </is>
      </c>
      <c r="H8" s="14" t="n">
        <v>18.49</v>
      </c>
      <c r="I8" s="16" t="n">
        <v>55777.5</v>
      </c>
      <c r="J8" s="16" t="n">
        <v>55777.5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0.7969827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60.04</v>
      </c>
      <c r="G9" s="15" t="inlineStr">
        <is>
          <t>EUR</t>
        </is>
      </c>
      <c r="H9" s="14" t="n">
        <v>60.04</v>
      </c>
      <c r="I9" s="16" t="n">
        <v>15119.2</v>
      </c>
      <c r="J9" s="16" t="n">
        <v>15119.2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0.97645074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196.34</v>
      </c>
      <c r="G10" s="15" t="inlineStr">
        <is>
          <t>EUR</t>
        </is>
      </c>
      <c r="H10" s="14" t="n">
        <v>196.34</v>
      </c>
      <c r="I10" s="16" t="n">
        <v>155399.3</v>
      </c>
      <c r="J10" s="16" t="n">
        <v>155399.3</v>
      </c>
      <c r="K10" s="14" t="n">
        <v>7.51</v>
      </c>
      <c r="L10" s="14" t="n">
        <v>8.71189</v>
      </c>
      <c r="M10" s="17">
        <f>IF(OR(F10="",K10="",K10&lt;=0),"",F10/K10)</f>
        <v/>
      </c>
      <c r="N10" s="18" t="n">
        <v>6.005934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1409</v>
      </c>
      <c r="G11" s="15" t="inlineStr">
        <is>
          <t>EUR</t>
        </is>
      </c>
      <c r="H11" s="14" t="n">
        <v>1409</v>
      </c>
      <c r="I11" s="16" t="n">
        <v>147581</v>
      </c>
      <c r="J11" s="16" t="n">
        <v>147581</v>
      </c>
      <c r="K11" s="14" t="n">
        <v>42.99</v>
      </c>
      <c r="L11" s="14" t="n">
        <v>50.84342</v>
      </c>
      <c r="M11" s="17">
        <f>IF(OR(F11="",K11="",K11&lt;=0),"",F11/K11)</f>
        <v/>
      </c>
      <c r="N11" s="18" t="n">
        <v>7.758042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71.5</v>
      </c>
      <c r="G12" s="15" t="inlineStr">
        <is>
          <t>EUR</t>
        </is>
      </c>
      <c r="H12" s="14" t="n">
        <v>71.5</v>
      </c>
      <c r="I12" s="16" t="n">
        <v>35004.9</v>
      </c>
      <c r="J12" s="16" t="n">
        <v>35004.9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1.3775432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96.04000000000001</v>
      </c>
      <c r="G13" s="15" t="inlineStr">
        <is>
          <t>EUR</t>
        </is>
      </c>
      <c r="H13" s="14" t="n">
        <v>96.04000000000001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2.2799895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15.215</v>
      </c>
      <c r="G14" s="15" t="inlineStr">
        <is>
          <t>EUR</t>
        </is>
      </c>
      <c r="H14" s="14" t="n">
        <v>15.215</v>
      </c>
      <c r="I14" s="16" t="n">
        <v>40438</v>
      </c>
      <c r="J14" s="16" t="n">
        <v>40438</v>
      </c>
      <c r="K14" s="14" t="n">
        <v>1.48</v>
      </c>
      <c r="L14" s="14" t="n">
        <v>1.1709</v>
      </c>
      <c r="M14" s="17">
        <f>IF(OR(F14="",K14="",K14&lt;=0),"",F14/K14)</f>
        <v/>
      </c>
      <c r="N14" s="18" t="n">
        <v>1.2706698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73.48999999999999</v>
      </c>
      <c r="G15" s="15" t="inlineStr">
        <is>
          <t>EUR</t>
        </is>
      </c>
      <c r="H15" s="14" t="n">
        <v>73.48999999999999</v>
      </c>
      <c r="I15" s="16" t="n">
        <v>53687.9</v>
      </c>
      <c r="J15" s="16" t="n">
        <v>53687.9</v>
      </c>
      <c r="K15" s="14" t="n">
        <v>7.61</v>
      </c>
      <c r="L15" s="14" t="n">
        <v>9.029260000000001</v>
      </c>
      <c r="M15" s="17">
        <f>IF(OR(F15="",K15="",K15&lt;=0),"",F15/K15)</f>
        <v/>
      </c>
      <c r="N15" s="18" t="n">
        <v>0.7500663400000001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140.35</v>
      </c>
      <c r="G16" s="15" t="inlineStr">
        <is>
          <t>EUR</t>
        </is>
      </c>
      <c r="H16" s="14" t="n">
        <v>140.35</v>
      </c>
      <c r="I16" s="16" t="n">
        <v>36789.3</v>
      </c>
      <c r="J16" s="16" t="n">
        <v>36789.3</v>
      </c>
      <c r="K16" s="14" t="n">
        <v>4.97</v>
      </c>
      <c r="L16" s="14" t="n">
        <v>6.8088</v>
      </c>
      <c r="M16" s="17">
        <f>IF(OR(F16="",K16="",K16&lt;=0),"",F16/K16)</f>
        <v/>
      </c>
      <c r="N16" s="18" t="n">
        <v>4.909403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381.7</v>
      </c>
      <c r="G17" s="15" t="inlineStr">
        <is>
          <t>EUR</t>
        </is>
      </c>
      <c r="H17" s="14" t="n">
        <v>381.7</v>
      </c>
      <c r="I17" s="16" t="n">
        <v>203312.4</v>
      </c>
      <c r="J17" s="16" t="n">
        <v>203312.4</v>
      </c>
      <c r="K17" s="14" t="n">
        <v>11.76</v>
      </c>
      <c r="L17" s="14" t="n">
        <v>14.90488</v>
      </c>
      <c r="M17" s="17">
        <f>IF(OR(F17="",K17="",K17&lt;=0),"",F17/K17)</f>
        <v/>
      </c>
      <c r="N17" s="18" t="n">
        <v>6.005066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LVMH</t>
        </is>
      </c>
      <c r="C18" s="12" t="inlineStr">
        <is>
          <t>MC.PA</t>
        </is>
      </c>
      <c r="D18" s="11" t="inlineStr">
        <is>
          <t>Lusso</t>
        </is>
      </c>
      <c r="E18" s="13" t="inlineStr">
        <is>
          <t>Consumi</t>
        </is>
      </c>
      <c r="F18" s="14" t="n">
        <v>411.25</v>
      </c>
      <c r="G18" s="15" t="inlineStr">
        <is>
          <t>EUR</t>
        </is>
      </c>
      <c r="H18" s="14" t="n">
        <v>411.25</v>
      </c>
      <c r="I18" s="16" t="n">
        <v>202731.9</v>
      </c>
      <c r="J18" s="16" t="n">
        <v>202731.9</v>
      </c>
      <c r="K18" s="14" t="n">
        <v>21.92</v>
      </c>
      <c r="L18" s="14" t="n">
        <v>25.39967</v>
      </c>
      <c r="M18" s="17">
        <f>IF(OR(F18="",K18="",K18&lt;=0),"",F18/K18)</f>
        <v/>
      </c>
      <c r="N18" s="18" t="n">
        <v>2.9780009</v>
      </c>
      <c r="O18" s="19">
        <f>IF(OR(N18="",M18="",M18&lt;=0),"",N18/M18)</f>
        <v/>
      </c>
      <c r="P18" s="20" t="n">
        <v>0.16586</v>
      </c>
      <c r="Q18" s="20" t="n">
        <v>0.2128358261370027</v>
      </c>
      <c r="R18" s="20" t="n">
        <v>0.04031392768938293</v>
      </c>
      <c r="S18" s="21" t="n">
        <v>4</v>
      </c>
      <c r="T18" s="20" t="n"/>
      <c r="U18" s="20" t="n">
        <v>0.1612224330092483</v>
      </c>
      <c r="V18" s="20" t="n">
        <v>0.1858791119273664</v>
      </c>
      <c r="W18" s="20" t="n">
        <v>0.2486847927626727</v>
      </c>
      <c r="X18" s="20" t="n">
        <v>0.2555569668487235</v>
      </c>
      <c r="Y18" s="14" t="n">
        <v>13</v>
      </c>
      <c r="Z18" s="19">
        <f>IF(OR(Y18="",F18="",F18=0),"",Y18/F18)</f>
        <v/>
      </c>
      <c r="AA18" s="22" t="n">
        <v>53.306</v>
      </c>
      <c r="AB18" s="20" t="n">
        <v>-0.029</v>
      </c>
      <c r="AC18" s="20" t="n">
        <v>0.1346046713774797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29.19</v>
      </c>
      <c r="G19" s="15" t="inlineStr">
        <is>
          <t>EUR</t>
        </is>
      </c>
      <c r="H19" s="14" t="n">
        <v>29.19</v>
      </c>
      <c r="I19" s="16" t="n">
        <v>8446.799999999999</v>
      </c>
      <c r="J19" s="16" t="n">
        <v>8446.799999999999</v>
      </c>
      <c r="K19" s="14" t="n">
        <v>3.27</v>
      </c>
      <c r="L19" s="14" t="n">
        <v>6.7476</v>
      </c>
      <c r="M19" s="17">
        <f>IF(OR(F19="",K19="",K19&lt;=0),"",F19/K19)</f>
        <v/>
      </c>
      <c r="N19" s="18" t="n">
        <v>0.41172984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Carrefour</t>
        </is>
      </c>
      <c r="C20" s="12" t="inlineStr">
        <is>
          <t>CA.PA</t>
        </is>
      </c>
      <c r="D20" s="11" t="inlineStr">
        <is>
          <t>Grande distribuzione</t>
        </is>
      </c>
      <c r="E20" s="13" t="inlineStr">
        <is>
          <t>Consumi</t>
        </is>
      </c>
      <c r="F20" s="14" t="n">
        <v>16.415</v>
      </c>
      <c r="G20" s="15" t="inlineStr">
        <is>
          <t>EUR</t>
        </is>
      </c>
      <c r="H20" s="14" t="n">
        <v>16.415</v>
      </c>
      <c r="I20" s="16" t="n">
        <v>11615.5</v>
      </c>
      <c r="J20" s="16" t="n">
        <v>11615.5</v>
      </c>
      <c r="K20" s="14" t="n">
        <v>1.3</v>
      </c>
      <c r="L20" s="14" t="n">
        <v>1.87133</v>
      </c>
      <c r="M20" s="17">
        <f>IF(OR(F20="",K20="",K20&lt;=0),"",F20/K20)</f>
        <v/>
      </c>
      <c r="N20" s="18" t="n">
        <v>1.0495524</v>
      </c>
      <c r="O20" s="19">
        <f>IF(OR(N20="",M20="",M20&lt;=0),"",N20/M20)</f>
        <v/>
      </c>
      <c r="P20" s="20" t="n">
        <v>0.08428001</v>
      </c>
      <c r="Q20" s="20" t="n">
        <v>0.09015483917042293</v>
      </c>
      <c r="R20" s="20" t="n">
        <v>0.0450018363392368</v>
      </c>
      <c r="S20" s="21" t="n">
        <v>4</v>
      </c>
      <c r="T20" s="20" t="n"/>
      <c r="U20" s="20" t="n">
        <v>0.0290634110787172</v>
      </c>
      <c r="V20" s="20" t="n">
        <v>0.06682070240295748</v>
      </c>
      <c r="W20" s="20" t="n">
        <v>0.1437732905797729</v>
      </c>
      <c r="X20" s="20" t="n">
        <v>0.1209619526202441</v>
      </c>
      <c r="Y20" s="14" t="n">
        <v>0.97</v>
      </c>
      <c r="Z20" s="19">
        <f>IF(OR(Y20="",F20="",F20=0),"",Y20/F20)</f>
        <v/>
      </c>
      <c r="AA20" s="22" t="n">
        <v>185.209</v>
      </c>
      <c r="AB20" s="20" t="n">
        <v>0.02</v>
      </c>
      <c r="AC20" s="20" t="n">
        <v>0.01084214034085499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225.7</v>
      </c>
      <c r="G21" s="15" t="inlineStr">
        <is>
          <t>EUR</t>
        </is>
      </c>
      <c r="H21" s="14" t="n">
        <v>225.7</v>
      </c>
      <c r="I21" s="16" t="n">
        <v>46430.6</v>
      </c>
      <c r="J21" s="16" t="n">
        <v>46430.6</v>
      </c>
      <c r="K21" s="14" t="n">
        <v>7.26</v>
      </c>
      <c r="L21" s="14" t="n">
        <v>12.46356</v>
      </c>
      <c r="M21" s="17">
        <f>IF(OR(F21="",K21="",K21&lt;=0),"",F21/K21)</f>
        <v/>
      </c>
      <c r="N21" s="18" t="n">
        <v>5.7916346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289.7</v>
      </c>
      <c r="G22" s="15" t="inlineStr">
        <is>
          <t>EUR</t>
        </is>
      </c>
      <c r="H22" s="14" t="n">
        <v>289.7</v>
      </c>
      <c r="I22" s="16" t="n">
        <v>162835.8</v>
      </c>
      <c r="J22" s="16" t="n">
        <v>162835.8</v>
      </c>
      <c r="K22" s="14" t="n">
        <v>8.48</v>
      </c>
      <c r="L22" s="14" t="n">
        <v>12.14414</v>
      </c>
      <c r="M22" s="17">
        <f>IF(OR(F22="",K22="",K22&lt;=0),"",F22/K22)</f>
        <v/>
      </c>
      <c r="N22" s="18" t="n">
        <v>6.6593113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2026-09-09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93.84</v>
      </c>
      <c r="G23" s="15" t="inlineStr">
        <is>
          <t>EUR</t>
        </is>
      </c>
      <c r="H23" s="14" t="n">
        <v>93.84</v>
      </c>
      <c r="I23" s="16" t="n">
        <v>13561.9</v>
      </c>
      <c r="J23" s="16" t="n">
        <v>13561.9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0.82578737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2026-09-09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20.17</v>
      </c>
      <c r="G24" s="15" t="inlineStr">
        <is>
          <t>EUR</t>
        </is>
      </c>
      <c r="H24" s="14" t="n">
        <v>20.17</v>
      </c>
      <c r="I24" s="16" t="n">
        <v>26503.7</v>
      </c>
      <c r="J24" s="16" t="n">
        <v>26503.7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2.865871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2026-09-09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74.23999999999999</v>
      </c>
      <c r="G25" s="15" t="inlineStr">
        <is>
          <t>EUR</t>
        </is>
      </c>
      <c r="H25" s="14" t="n">
        <v>74.23999999999999</v>
      </c>
      <c r="I25" s="16" t="n">
        <v>88944.60000000001</v>
      </c>
      <c r="J25" s="16" t="n">
        <v>88944.60000000001</v>
      </c>
      <c r="K25" s="14" t="n">
        <v>3.24</v>
      </c>
      <c r="L25" s="14" t="n">
        <v>9.078749999999999</v>
      </c>
      <c r="M25" s="17">
        <f>IF(OR(F25="",K25="",K25&lt;=0),"",F25/K25)</f>
        <v/>
      </c>
      <c r="N25" s="18" t="n">
        <v>1.2852073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2026-09-09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168.32</v>
      </c>
      <c r="G26" s="15" t="inlineStr">
        <is>
          <t>EUR</t>
        </is>
      </c>
      <c r="H26" s="14" t="n">
        <v>168.32</v>
      </c>
      <c r="I26" s="16" t="n">
        <v>107415.8</v>
      </c>
      <c r="J26" s="16" t="n">
        <v>107415.8</v>
      </c>
      <c r="K26" s="14" t="n">
        <v>5.56</v>
      </c>
      <c r="L26" s="14" t="n">
        <v>7.18014</v>
      </c>
      <c r="M26" s="17">
        <f>IF(OR(F26="",K26="",K26&lt;=0),"",F26/K26)</f>
        <v/>
      </c>
      <c r="N26" s="18" t="n">
        <v>4.0400357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2026-09-09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24.05</v>
      </c>
      <c r="G27" s="15" t="inlineStr">
        <is>
          <t>EUR</t>
        </is>
      </c>
      <c r="H27" s="14" t="n">
        <v>24.05</v>
      </c>
      <c r="I27" s="16" t="n">
        <v>61104.5</v>
      </c>
      <c r="J27" s="16" t="n">
        <v>61104.5</v>
      </c>
      <c r="K27" s="14" t="n">
        <v>1.63</v>
      </c>
      <c r="L27" s="14" t="n">
        <v>2.10914</v>
      </c>
      <c r="M27" s="17">
        <f>IF(OR(F27="",K27="",K27&lt;=0),"",F27/K27)</f>
        <v/>
      </c>
      <c r="N27" s="18" t="n">
        <v>1.7927692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2026-09-09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31.56</v>
      </c>
      <c r="G28" s="15" t="inlineStr">
        <is>
          <t>EUR</t>
        </is>
      </c>
      <c r="H28" s="14" t="n">
        <v>31.56</v>
      </c>
      <c r="I28" s="16" t="n">
        <v>23109.7</v>
      </c>
      <c r="J28" s="16" t="n">
        <v>23109.7</v>
      </c>
      <c r="K28" s="14" t="n">
        <v>1.72</v>
      </c>
      <c r="L28" s="14" t="n">
        <v>2.61612</v>
      </c>
      <c r="M28" s="17">
        <f>IF(OR(F28="",K28="",K28&lt;=0),"",F28/K28)</f>
        <v/>
      </c>
      <c r="N28" s="18" t="n">
        <v>2.3564548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2026-09-09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149</v>
      </c>
      <c r="G29" s="15" t="inlineStr">
        <is>
          <t>EUR</t>
        </is>
      </c>
      <c r="H29" s="14" t="n">
        <v>149</v>
      </c>
      <c r="I29" s="16" t="n">
        <v>68413.8</v>
      </c>
      <c r="J29" s="16" t="n">
        <v>68413.8</v>
      </c>
      <c r="K29" s="14" t="n">
        <v>5.36</v>
      </c>
      <c r="L29" s="14" t="n">
        <v>8.11444</v>
      </c>
      <c r="M29" s="17">
        <f>IF(OR(F29="",K29="",K29&lt;=0),"",F29/K29)</f>
        <v/>
      </c>
      <c r="N29" s="18" t="n">
        <v>1.7461619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2026-09-09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70.94</v>
      </c>
      <c r="G30" s="15" t="inlineStr">
        <is>
          <t>EUR</t>
        </is>
      </c>
      <c r="H30" s="14" t="n">
        <v>70.94</v>
      </c>
      <c r="I30" s="16" t="n">
        <v>12231</v>
      </c>
      <c r="J30" s="16" t="n">
        <v>12231</v>
      </c>
      <c r="K30" s="14" t="n">
        <v>2.88</v>
      </c>
      <c r="L30" s="14" t="n">
        <v>4.67418</v>
      </c>
      <c r="M30" s="17">
        <f>IF(OR(F30="",K30="",K30&lt;=0),"",F30/K30)</f>
        <v/>
      </c>
      <c r="N30" s="18" t="n">
        <v>3.4017456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2026-09-09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322.8</v>
      </c>
      <c r="G31" s="15" t="inlineStr">
        <is>
          <t>EUR</t>
        </is>
      </c>
      <c r="H31" s="14" t="n">
        <v>322.8</v>
      </c>
      <c r="I31" s="16" t="n">
        <v>133760.7</v>
      </c>
      <c r="J31" s="16" t="n">
        <v>133760.7</v>
      </c>
      <c r="K31" s="14" t="n">
        <v>9.31</v>
      </c>
      <c r="L31" s="14" t="n">
        <v>13.06715</v>
      </c>
      <c r="M31" s="17">
        <f>IF(OR(F31="",K31="",K31&lt;=0),"",F31/K31)</f>
        <v/>
      </c>
      <c r="N31" s="18" t="n">
        <v>9.2215395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2026-09-09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62.96</v>
      </c>
      <c r="G32" s="15" t="inlineStr">
        <is>
          <t>EUR</t>
        </is>
      </c>
      <c r="H32" s="14" t="n">
        <v>62.96</v>
      </c>
      <c r="I32" s="16" t="n">
        <v>40552.2</v>
      </c>
      <c r="J32" s="16" t="n">
        <v>40552.2</v>
      </c>
      <c r="K32" s="14" t="n">
        <v>3.02</v>
      </c>
      <c r="L32" s="14" t="n">
        <v>4.22351</v>
      </c>
      <c r="M32" s="17">
        <f>IF(OR(F32="",K32="",K32&lt;=0),"",F32/K32)</f>
        <v/>
      </c>
      <c r="N32" s="18" t="n">
        <v>2.3000767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2026-09-09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28.59</v>
      </c>
      <c r="G33" s="15" t="inlineStr">
        <is>
          <t>EUR</t>
        </is>
      </c>
      <c r="H33" s="14" t="n">
        <v>28.59</v>
      </c>
      <c r="I33" s="16" t="n">
        <v>6572.2</v>
      </c>
      <c r="J33" s="16" t="n">
        <v>6572.2</v>
      </c>
      <c r="K33" s="14" t="n">
        <v>2.06</v>
      </c>
      <c r="L33" s="14" t="n">
        <v>2.46637</v>
      </c>
      <c r="M33" s="17">
        <f>IF(OR(F33="",K33="",K33&lt;=0),"",F33/K33)</f>
        <v/>
      </c>
      <c r="N33" s="18" t="n">
        <v>-6.712844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2026-09-09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232.25</v>
      </c>
      <c r="G34" s="15" t="inlineStr">
        <is>
          <t>EUR</t>
        </is>
      </c>
      <c r="H34" s="14" t="n">
        <v>232.25</v>
      </c>
      <c r="I34" s="16" t="n">
        <v>28478.1</v>
      </c>
      <c r="J34" s="16" t="n">
        <v>28478.1</v>
      </c>
      <c r="K34" s="14" t="n">
        <v>-2.62</v>
      </c>
      <c r="L34" s="14" t="n">
        <v>9.93172</v>
      </c>
      <c r="M34" s="17">
        <f>IF(OR(F34="",K34="",K34&lt;=0),"",F34/K34)</f>
        <v/>
      </c>
      <c r="N34" s="18" t="n">
        <v>1.9664538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2026-09-09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33.76</v>
      </c>
      <c r="G35" s="15" t="inlineStr">
        <is>
          <t>EUR</t>
        </is>
      </c>
      <c r="H35" s="14" t="n">
        <v>33.76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0.4025085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2026-09-09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13.6</v>
      </c>
      <c r="G36" s="15" t="inlineStr">
        <is>
          <t>EUR</t>
        </is>
      </c>
      <c r="H36" s="14" t="n">
        <v>13.6</v>
      </c>
      <c r="I36" s="16" t="n">
        <v>769.2</v>
      </c>
      <c r="J36" s="16" t="n">
        <v>769.2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0.20635764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2026-09-09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35.735</v>
      </c>
      <c r="G2" s="15" t="inlineStr">
        <is>
          <t>EUR</t>
        </is>
      </c>
      <c r="H2" s="14" t="n">
        <v>35.735</v>
      </c>
      <c r="I2" s="16" t="n">
        <v>74827.89999999999</v>
      </c>
      <c r="J2" s="16" t="n">
        <v>74827.89999999999</v>
      </c>
      <c r="K2" s="14" t="n">
        <v>4.5</v>
      </c>
      <c r="L2" s="14" t="n">
        <v>4.3106</v>
      </c>
      <c r="M2" s="17">
        <f>IF(OR(F2="",K2="",K2&lt;=0),"",F2/K2)</f>
        <v/>
      </c>
      <c r="N2" s="18" t="n">
        <v>1.6661785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66.8</v>
      </c>
      <c r="G3" s="15" t="inlineStr">
        <is>
          <t>EUR</t>
        </is>
      </c>
      <c r="H3" s="14" t="n">
        <v>66.8</v>
      </c>
      <c r="I3" s="16" t="n">
        <v>14868.8</v>
      </c>
      <c r="J3" s="16" t="n">
        <v>14868.8</v>
      </c>
      <c r="K3" s="14" t="n">
        <v>5.85</v>
      </c>
      <c r="L3" s="14" t="n">
        <v>6.20333</v>
      </c>
      <c r="M3" s="17">
        <f>IF(OR(F3="",K3="",K3&lt;=0),"",F3/K3)</f>
        <v/>
      </c>
      <c r="N3" s="18" t="n">
        <v>18.93424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188.95</v>
      </c>
      <c r="G4" s="15" t="inlineStr">
        <is>
          <t>EUR</t>
        </is>
      </c>
      <c r="H4" s="14" t="n">
        <v>188.95</v>
      </c>
      <c r="I4" s="16" t="n">
        <v>14954.5</v>
      </c>
      <c r="J4" s="16" t="n">
        <v>14954.5</v>
      </c>
      <c r="K4" s="14" t="n">
        <v>2.62</v>
      </c>
      <c r="L4" s="14" t="n">
        <v>6.48258</v>
      </c>
      <c r="M4" s="17">
        <f>IF(OR(F4="",K4="",K4&lt;=0),"",F4/K4)</f>
        <v/>
      </c>
      <c r="N4" s="18" t="n">
        <v>26.638939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1497.6</v>
      </c>
      <c r="G5" s="15" t="inlineStr">
        <is>
          <t>EUR</t>
        </is>
      </c>
      <c r="H5" s="14" t="n">
        <v>1497.6</v>
      </c>
      <c r="I5" s="16" t="n">
        <v>575228.1</v>
      </c>
      <c r="J5" s="16" t="n">
        <v>575228.1</v>
      </c>
      <c r="K5" s="14" t="n">
        <v>25.35</v>
      </c>
      <c r="L5" s="14" t="n">
        <v>51.72233</v>
      </c>
      <c r="M5" s="17">
        <f>IF(OR(F5="",K5="",K5&lt;=0),"",F5/K5)</f>
        <v/>
      </c>
      <c r="N5" s="18" t="n">
        <v>26.35599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30.96</v>
      </c>
      <c r="G6" s="15" t="inlineStr">
        <is>
          <t>EUR</t>
        </is>
      </c>
      <c r="H6" s="14" t="n">
        <v>30.96</v>
      </c>
      <c r="I6" s="16" t="n">
        <v>27051.7</v>
      </c>
      <c r="J6" s="16" t="n">
        <v>27051.7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1.8727317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951.6</v>
      </c>
      <c r="G7" s="15" t="inlineStr">
        <is>
          <t>EUR</t>
        </is>
      </c>
      <c r="H7" s="14" t="n">
        <v>951.6</v>
      </c>
      <c r="I7" s="16" t="n">
        <v>30038.8</v>
      </c>
      <c r="J7" s="16" t="n">
        <v>30038.8</v>
      </c>
      <c r="K7" s="14" t="n">
        <v>35.53</v>
      </c>
      <c r="L7" s="14" t="n">
        <v>46.73082</v>
      </c>
      <c r="M7" s="17">
        <f>IF(OR(F7="",K7="",K7&lt;=0),"",F7/K7)</f>
        <v/>
      </c>
      <c r="N7" s="18" t="n">
        <v>5.0837674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31.64</v>
      </c>
      <c r="G8" s="15" t="inlineStr">
        <is>
          <t>EUR</t>
        </is>
      </c>
      <c r="H8" s="14" t="n">
        <v>31.64</v>
      </c>
      <c r="I8" s="16" t="n">
        <v>90186.8</v>
      </c>
      <c r="J8" s="16" t="n">
        <v>90186.8</v>
      </c>
      <c r="K8" s="14" t="n">
        <v>2.31</v>
      </c>
      <c r="L8" s="14" t="n">
        <v>2.88437</v>
      </c>
      <c r="M8" s="17">
        <f>IF(OR(F8="",K8="",K8&lt;=0),"",F8/K8)</f>
        <v/>
      </c>
      <c r="N8" s="18" t="n">
        <v>1.8007969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4.066</v>
      </c>
      <c r="G9" s="15" t="inlineStr">
        <is>
          <t>EUR</t>
        </is>
      </c>
      <c r="H9" s="14" t="n">
        <v>4.066</v>
      </c>
      <c r="I9" s="16" t="n">
        <v>15337.4</v>
      </c>
      <c r="J9" s="16" t="n">
        <v>15337.4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6.6875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14.135</v>
      </c>
      <c r="G10" s="15" t="inlineStr">
        <is>
          <t>EUR</t>
        </is>
      </c>
      <c r="H10" s="14" t="n">
        <v>14.135</v>
      </c>
      <c r="I10" s="16" t="n">
        <v>25417.7</v>
      </c>
      <c r="J10" s="16" t="n">
        <v>25417.7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7.0675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NN Group</t>
        </is>
      </c>
      <c r="C11" s="12" t="inlineStr">
        <is>
          <t>NN.AS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76.38</v>
      </c>
      <c r="G11" s="15" t="inlineStr">
        <is>
          <t>EUR</t>
        </is>
      </c>
      <c r="H11" s="14" t="n">
        <v>76.38</v>
      </c>
      <c r="I11" s="16" t="n">
        <v>19861.7</v>
      </c>
      <c r="J11" s="16" t="n">
        <v>19861.7</v>
      </c>
      <c r="K11" s="14" t="n">
        <v>6.78</v>
      </c>
      <c r="L11" s="14" t="n">
        <v>8.74095</v>
      </c>
      <c r="M11" s="17">
        <f>IF(OR(F11="",K11="",K11&lt;=0),"",F11/K11)</f>
        <v/>
      </c>
      <c r="N11" s="18" t="n">
        <v>0.95128965</v>
      </c>
      <c r="O11" s="19">
        <f>IF(OR(N11="",M11="",M11&lt;=0),"",N11/M11)</f>
        <v/>
      </c>
      <c r="P11" s="20" t="n">
        <v>0.08754000000000001</v>
      </c>
      <c r="Q11" s="20" t="n">
        <v>0.06580242932014836</v>
      </c>
      <c r="R11" s="20" t="n">
        <v>0.009869385546071139</v>
      </c>
      <c r="S11" s="21" t="n">
        <v>4</v>
      </c>
      <c r="T11" s="20" t="n"/>
      <c r="U11" s="20" t="n">
        <v>0.05640489981958029</v>
      </c>
      <c r="V11" s="20" t="n">
        <v>0.07339917466499744</v>
      </c>
      <c r="W11" s="20" t="n">
        <v>0.05570342205323194</v>
      </c>
      <c r="X11" s="20" t="n">
        <v>0.07770222074278378</v>
      </c>
      <c r="Y11" s="14" t="n">
        <v>4.05</v>
      </c>
      <c r="Z11" s="19">
        <f>IF(OR(Y11="",F11="",F11=0),"",Y11/F11)</f>
        <v/>
      </c>
      <c r="AA11" s="22" t="n">
        <v>62.156</v>
      </c>
      <c r="AB11" s="20" t="n">
        <v>-0.045</v>
      </c>
      <c r="AC11" s="20" t="n">
        <v>0.2079542878469793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42.53</v>
      </c>
      <c r="G12" s="15" t="inlineStr">
        <is>
          <t>EUR</t>
        </is>
      </c>
      <c r="H12" s="14" t="n">
        <v>42.53</v>
      </c>
      <c r="I12" s="16" t="n">
        <v>34659.2</v>
      </c>
      <c r="J12" s="16" t="n">
        <v>34659.2</v>
      </c>
      <c r="K12" s="14" t="n">
        <v>2.78</v>
      </c>
      <c r="L12" s="14" t="n">
        <v>3.70303</v>
      </c>
      <c r="M12" s="17">
        <f>IF(OR(F12="",K12="",K12&lt;=0),"",F12/K12)</f>
        <v/>
      </c>
      <c r="N12" s="18" t="n">
        <v>1.267887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838.2</v>
      </c>
      <c r="G13" s="15" t="inlineStr">
        <is>
          <t>EUR</t>
        </is>
      </c>
      <c r="H13" s="14" t="n">
        <v>838.2</v>
      </c>
      <c r="I13" s="16" t="n">
        <v>40943.4</v>
      </c>
      <c r="J13" s="16" t="n">
        <v>40943.4</v>
      </c>
      <c r="K13" s="14" t="n">
        <v>21.87</v>
      </c>
      <c r="L13" s="14" t="n">
        <v>30.68218</v>
      </c>
      <c r="M13" s="17">
        <f>IF(OR(F13="",K13="",K13&lt;=0),"",F13/K13)</f>
        <v/>
      </c>
      <c r="N13" s="18" t="n">
        <v>9.231175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59.3</v>
      </c>
      <c r="G14" s="15" t="inlineStr">
        <is>
          <t>EUR</t>
        </is>
      </c>
      <c r="H14" s="14" t="n">
        <v>59.3</v>
      </c>
      <c r="I14" s="16" t="n">
        <v>10164</v>
      </c>
      <c r="J14" s="16" t="n">
        <v>10164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2.0943704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97.8</v>
      </c>
      <c r="G15" s="15" t="inlineStr">
        <is>
          <t>EUR</t>
        </is>
      </c>
      <c r="H15" s="14" t="n">
        <v>97.8</v>
      </c>
      <c r="I15" s="16" t="n">
        <v>5774.6</v>
      </c>
      <c r="J15" s="16" t="n">
        <v>5774.6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2.7200668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71.40000000000001</v>
      </c>
      <c r="G16" s="15" t="inlineStr">
        <is>
          <t>EUR</t>
        </is>
      </c>
      <c r="H16" s="14" t="n">
        <v>71.40000000000001</v>
      </c>
      <c r="I16" s="16" t="n">
        <v>39592.2</v>
      </c>
      <c r="J16" s="16" t="n">
        <v>39592.2</v>
      </c>
      <c r="K16" s="14" t="n">
        <v>4.1</v>
      </c>
      <c r="L16" s="14" t="n">
        <v>5.7173</v>
      </c>
      <c r="M16" s="17">
        <f>IF(OR(F16="",K16="",K16&lt;=0),"",F16/K16)</f>
        <v/>
      </c>
      <c r="N16" s="18" t="n">
        <v>2.0477815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7.872</v>
      </c>
      <c r="G17" s="15" t="inlineStr">
        <is>
          <t>EUR</t>
        </is>
      </c>
      <c r="H17" s="14" t="n">
        <v>7.872</v>
      </c>
      <c r="I17" s="16" t="n">
        <v>11689.1</v>
      </c>
      <c r="J17" s="16" t="n">
        <v>11689.1</v>
      </c>
      <c r="K17" s="14" t="n">
        <v>0.65</v>
      </c>
      <c r="L17" s="14" t="n">
        <v>0.92522</v>
      </c>
      <c r="M17" s="17">
        <f>IF(OR(F17="",K17="",K17&lt;=0),"",F17/K17)</f>
        <v/>
      </c>
      <c r="N17" s="18" t="n">
        <v>1.3111259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37.71</v>
      </c>
      <c r="G18" s="15" t="inlineStr">
        <is>
          <t>EUR</t>
        </is>
      </c>
      <c r="H18" s="14" t="n">
        <v>37.71</v>
      </c>
      <c r="I18" s="16" t="n">
        <v>6616.2</v>
      </c>
      <c r="J18" s="16" t="n">
        <v>6616.2</v>
      </c>
      <c r="K18" s="14" t="n">
        <v>1.78</v>
      </c>
      <c r="L18" s="14" t="n">
        <v>2.91435</v>
      </c>
      <c r="M18" s="17">
        <f>IF(OR(F18="",K18="",K18&lt;=0),"",F18/K18)</f>
        <v/>
      </c>
      <c r="N18" s="18" t="n">
        <v>1.6953648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21.66</v>
      </c>
      <c r="G19" s="15" t="inlineStr">
        <is>
          <t>EUR</t>
        </is>
      </c>
      <c r="H19" s="14" t="n">
        <v>21.66</v>
      </c>
      <c r="I19" s="16" t="n">
        <v>21171.1</v>
      </c>
      <c r="J19" s="16" t="n">
        <v>21171.1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1.8495431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66.42</v>
      </c>
      <c r="G20" s="15" t="inlineStr">
        <is>
          <t>EUR</t>
        </is>
      </c>
      <c r="H20" s="14" t="n">
        <v>66.42</v>
      </c>
      <c r="I20" s="16" t="n">
        <v>49977.2</v>
      </c>
      <c r="J20" s="16" t="n">
        <v>49977.2</v>
      </c>
      <c r="K20" s="14" t="n">
        <v>2.05</v>
      </c>
      <c r="L20" s="14" t="n">
        <v>6.5928564</v>
      </c>
      <c r="M20" s="17">
        <f>IF(OR(F20="",K20="",K20&lt;=0),"",F20/K20)</f>
        <v/>
      </c>
      <c r="N20" s="18" t="n">
        <v>1.0659705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91.12</v>
      </c>
      <c r="G21" s="15" t="inlineStr">
        <is>
          <t>EUR</t>
        </is>
      </c>
      <c r="H21" s="14" t="n">
        <v>91.12</v>
      </c>
      <c r="I21" s="16" t="n">
        <v>22410.8</v>
      </c>
      <c r="J21" s="16" t="n">
        <v>22410.8</v>
      </c>
      <c r="K21" s="14" t="n">
        <v>1.4</v>
      </c>
      <c r="L21" s="14" t="n">
        <v>4.09612</v>
      </c>
      <c r="M21" s="17">
        <f>IF(OR(F21="",K21="",K21&lt;=0),"",F21/K21)</f>
        <v/>
      </c>
      <c r="N21" s="18" t="n">
        <v>1.278931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665.2</v>
      </c>
      <c r="G2" s="15" t="inlineStr">
        <is>
          <t>CHF</t>
        </is>
      </c>
      <c r="H2" s="14" t="n">
        <v>705.902328246705</v>
      </c>
      <c r="I2" s="16" t="n">
        <v>18183.9887938536</v>
      </c>
      <c r="J2" s="16" t="n">
        <v>17135.5</v>
      </c>
      <c r="K2" s="14" t="n">
        <v>45.78</v>
      </c>
      <c r="L2" s="14" t="n">
        <v>46.63607</v>
      </c>
      <c r="M2" s="17">
        <f>IF(OR(F2="",K2="",K2&lt;=0),"",F2/K2)</f>
        <v/>
      </c>
      <c r="N2" s="18" t="n">
        <v>11.703026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585.4</v>
      </c>
      <c r="G3" s="15" t="inlineStr">
        <is>
          <t>CHF</t>
        </is>
      </c>
      <c r="H3" s="14" t="n">
        <v>621.2195173716492</v>
      </c>
      <c r="I3" s="16" t="n">
        <v>92791.13695693699</v>
      </c>
      <c r="J3" s="16" t="n">
        <v>87440.8</v>
      </c>
      <c r="K3" s="14" t="n">
        <v>40</v>
      </c>
      <c r="L3" s="14" t="n">
        <v>43.18131</v>
      </c>
      <c r="M3" s="17">
        <f>IF(OR(F3="",K3="",K3&lt;=0),"",F3/K3)</f>
        <v/>
      </c>
      <c r="N3" s="18" t="n">
        <v>3.6379352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551.2</v>
      </c>
      <c r="G4" s="15" t="inlineStr">
        <is>
          <t>CHF</t>
        </is>
      </c>
      <c r="H4" s="14" t="n">
        <v>584.9268841394826</v>
      </c>
      <c r="I4" s="16" t="n">
        <v>18927.35106224929</v>
      </c>
      <c r="J4" s="16" t="n">
        <v>17836</v>
      </c>
      <c r="K4" s="14" t="n">
        <v>18.86</v>
      </c>
      <c r="L4" s="14" t="n">
        <v>20.99176</v>
      </c>
      <c r="M4" s="17">
        <f>IF(OR(F4="",K4="",K4&lt;=0),"",F4/K4)</f>
        <v/>
      </c>
      <c r="N4" s="18" t="n">
        <v>16.09155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78.31999999999999</v>
      </c>
      <c r="G5" s="15" t="inlineStr">
        <is>
          <t>CHF</t>
        </is>
      </c>
      <c r="H5" s="14" t="n">
        <v>83.11225247787422</v>
      </c>
      <c r="I5" s="16" t="n">
        <v>150538.2346074665</v>
      </c>
      <c r="J5" s="16" t="n">
        <v>141858.2</v>
      </c>
      <c r="K5" s="14" t="n">
        <v>2.2</v>
      </c>
      <c r="L5" s="14" t="n">
        <v>2.9046578</v>
      </c>
      <c r="M5" s="17">
        <f>IF(OR(F5="",K5="",K5&lt;=0),"",F5/K5)</f>
        <v/>
      </c>
      <c r="N5" s="18" t="n">
        <v>11.050362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Logitech International</t>
        </is>
      </c>
      <c r="C6" s="12" t="inlineStr">
        <is>
          <t>LOGN.SW</t>
        </is>
      </c>
      <c r="D6" s="11" t="inlineStr">
        <is>
          <t>Periferiche</t>
        </is>
      </c>
      <c r="E6" s="13" t="inlineStr">
        <is>
          <t>Tecnologia</t>
        </is>
      </c>
      <c r="F6" s="14" t="n">
        <v>79.66</v>
      </c>
      <c r="G6" s="15" t="inlineStr">
        <is>
          <t>CHF</t>
        </is>
      </c>
      <c r="H6" s="14" t="n">
        <v>84.53424454018719</v>
      </c>
      <c r="I6" s="16" t="n">
        <v>12104.33601460195</v>
      </c>
      <c r="J6" s="16" t="n">
        <v>11406.4</v>
      </c>
      <c r="K6" s="14" t="n">
        <v>4.42</v>
      </c>
      <c r="L6" s="14" t="n">
        <v>4.8647943</v>
      </c>
      <c r="M6" s="17">
        <f>IF(OR(F6="",K6="",K6&lt;=0),"",F6/K6)</f>
        <v/>
      </c>
      <c r="N6" s="18" t="n">
        <v>6.003605</v>
      </c>
      <c r="O6" s="19">
        <f>IF(OR(N6="",M6="",M6&lt;=0),"",N6/M6)</f>
        <v/>
      </c>
      <c r="P6" s="20" t="n">
        <v>0.35287997</v>
      </c>
      <c r="Q6" s="20" t="n">
        <v>0.2634996625637651</v>
      </c>
      <c r="R6" s="20" t="n">
        <v>0.06124827333549866</v>
      </c>
      <c r="S6" s="21" t="n">
        <v>4</v>
      </c>
      <c r="T6" s="20" t="n">
        <v>0.3216012162464039</v>
      </c>
      <c r="U6" s="20" t="n">
        <v>0.2968520555414539</v>
      </c>
      <c r="V6" s="20" t="n">
        <v>0.2740546539681857</v>
      </c>
      <c r="W6" s="20" t="n">
        <v>0.1614907244990166</v>
      </c>
      <c r="X6" s="20" t="n"/>
      <c r="Y6" s="14" t="n">
        <v>1.36</v>
      </c>
      <c r="Z6" s="19">
        <f>IF(OR(Y6="",F6="",F6=0),"",Y6/F6)</f>
        <v/>
      </c>
      <c r="AA6" s="22" t="n">
        <v>3.588</v>
      </c>
      <c r="AB6" s="20" t="n">
        <v>0.06900000000000001</v>
      </c>
      <c r="AC6" s="20" t="n">
        <v>0.1654427871981285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92.06</v>
      </c>
      <c r="G7" s="15" t="inlineStr">
        <is>
          <t>CHF</t>
        </is>
      </c>
      <c r="H7" s="14" t="n">
        <v>97.69297705711314</v>
      </c>
      <c r="I7" s="16" t="n">
        <v>19304.07283995161</v>
      </c>
      <c r="J7" s="16" t="n">
        <v>18191</v>
      </c>
      <c r="K7" s="14" t="n">
        <v>3.4</v>
      </c>
      <c r="L7" s="14" t="n">
        <v>4.46304</v>
      </c>
      <c r="M7" s="17">
        <f>IF(OR(F7="",K7="",K7&lt;=0),"",F7/K7)</f>
        <v/>
      </c>
      <c r="N7" s="18" t="n">
        <v>18.065147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74.14</v>
      </c>
      <c r="G8" s="15" t="inlineStr">
        <is>
          <t>CHF</t>
        </is>
      </c>
      <c r="H8" s="14" t="n">
        <v>78.67648619394274</v>
      </c>
      <c r="I8" s="16" t="n">
        <v>16188.74291656939</v>
      </c>
      <c r="J8" s="16" t="n">
        <v>15255.3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2.0686383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Kuehne + Nagel</t>
        </is>
      </c>
      <c r="C9" s="12" t="inlineStr">
        <is>
          <t>KNIN.SW</t>
        </is>
      </c>
      <c r="D9" s="11" t="inlineStr">
        <is>
          <t>Logistica</t>
        </is>
      </c>
      <c r="E9" s="13" t="inlineStr">
        <is>
          <t>Industriale</t>
        </is>
      </c>
      <c r="F9" s="14" t="n">
        <v>210.8</v>
      </c>
      <c r="G9" s="15" t="inlineStr">
        <is>
          <t>CHF</t>
        </is>
      </c>
      <c r="H9" s="14" t="n">
        <v>223.6984527877412</v>
      </c>
      <c r="I9" s="16" t="n">
        <v>26566.41976356729</v>
      </c>
      <c r="J9" s="16" t="n">
        <v>25034.6</v>
      </c>
      <c r="K9" s="14" t="n">
        <v>7.28</v>
      </c>
      <c r="L9" s="14" t="n">
        <v>9.3574</v>
      </c>
      <c r="M9" s="17">
        <f>IF(OR(F9="",K9="",K9&lt;=0),"",F9/K9)</f>
        <v/>
      </c>
      <c r="N9" s="18" t="n">
        <v>12.206138</v>
      </c>
      <c r="O9" s="19">
        <f>IF(OR(N9="",M9="",M9&lt;=0),"",N9/M9)</f>
        <v/>
      </c>
      <c r="P9" s="20" t="n">
        <v>0.44268</v>
      </c>
      <c r="Q9" s="20" t="n">
        <v>0.464756209938601</v>
      </c>
      <c r="R9" s="20" t="n">
        <v>0.1055333217304714</v>
      </c>
      <c r="S9" s="21" t="n">
        <v>4</v>
      </c>
      <c r="T9" s="20" t="n"/>
      <c r="U9" s="20" t="n">
        <v>0.4045871559633027</v>
      </c>
      <c r="V9" s="20" t="n">
        <v>0.3619368679129635</v>
      </c>
      <c r="W9" s="20" t="n">
        <v>0.4538534728829686</v>
      </c>
      <c r="X9" s="20" t="n">
        <v>0.6386473429951691</v>
      </c>
      <c r="Y9" s="14" t="n">
        <v>6</v>
      </c>
      <c r="Z9" s="19">
        <f>IF(OR(Y9="",F9="",F9=0),"",Y9/F9)</f>
        <v/>
      </c>
      <c r="AA9" s="22" t="n">
        <v>196.252</v>
      </c>
      <c r="AB9" s="20" t="n">
        <v>0.076</v>
      </c>
      <c r="AC9" s="20" t="n">
        <v>0.03529988560222259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134.35</v>
      </c>
      <c r="G10" s="15" t="inlineStr">
        <is>
          <t>CHF</t>
        </is>
      </c>
      <c r="H10" s="14" t="n">
        <v>142.5706220684679</v>
      </c>
      <c r="I10" s="16" t="n">
        <v>42046.81961924571</v>
      </c>
      <c r="J10" s="16" t="n">
        <v>39622.4</v>
      </c>
      <c r="K10" s="14" t="n">
        <v>13.3</v>
      </c>
      <c r="L10" s="14" t="n">
        <v>12.683026</v>
      </c>
      <c r="M10" s="17">
        <f>IF(OR(F10="",K10="",K10&lt;=0),"",F10/K10)</f>
        <v/>
      </c>
      <c r="N10" s="18" t="n">
        <v>1.9962081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77.73</v>
      </c>
      <c r="G11" s="15" t="inlineStr">
        <is>
          <t>CHF</t>
        </is>
      </c>
      <c r="H11" s="14" t="n">
        <v>82.48615149521405</v>
      </c>
      <c r="I11" s="16" t="n">
        <v>212172.5704098309</v>
      </c>
      <c r="J11" s="16" t="n">
        <v>199938.7</v>
      </c>
      <c r="K11" s="14" t="n">
        <v>2.89</v>
      </c>
      <c r="L11" s="14" t="n">
        <v>4.81661</v>
      </c>
      <c r="M11" s="17">
        <f>IF(OR(F11="",K11="",K11&lt;=0),"",F11/K11)</f>
        <v/>
      </c>
      <c r="N11" s="18" t="n">
        <v>6.84243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227.4</v>
      </c>
      <c r="G12" s="15" t="inlineStr">
        <is>
          <t>CHF</t>
        </is>
      </c>
      <c r="H12" s="14" t="n">
        <v>241.3141753507227</v>
      </c>
      <c r="I12" s="16" t="n">
        <v>14335.16565146338</v>
      </c>
      <c r="J12" s="16" t="n">
        <v>13508.6</v>
      </c>
      <c r="K12" s="14" t="n">
        <v>9.02</v>
      </c>
      <c r="L12" s="14" t="n">
        <v>11.88346</v>
      </c>
      <c r="M12" s="17">
        <f>IF(OR(F12="",K12="",K12&lt;=0),"",F12/K12)</f>
        <v/>
      </c>
      <c r="N12" s="18" t="n">
        <v>5.167947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3196</v>
      </c>
      <c r="G13" s="15" t="inlineStr">
        <is>
          <t>CHF</t>
        </is>
      </c>
      <c r="H13" s="14" t="n">
        <v>3391.557187427043</v>
      </c>
      <c r="I13" s="16" t="n">
        <v>31308.55105375979</v>
      </c>
      <c r="J13" s="16" t="n">
        <v>29503.3</v>
      </c>
      <c r="K13" s="14" t="n">
        <v>102.61</v>
      </c>
      <c r="L13" s="14" t="n">
        <v>131.26614</v>
      </c>
      <c r="M13" s="17">
        <f>IF(OR(F13="",K13="",K13&lt;=0),"",F13/K13)</f>
        <v/>
      </c>
      <c r="N13" s="18" t="n">
        <v>6.7022467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111.66</v>
      </c>
      <c r="G14" s="15" t="inlineStr">
        <is>
          <t>CHF</t>
        </is>
      </c>
      <c r="H14" s="14" t="n">
        <v>118.4922639387058</v>
      </c>
      <c r="I14" s="16" t="n">
        <v>225219.984294416</v>
      </c>
      <c r="J14" s="16" t="n">
        <v>212233.8</v>
      </c>
      <c r="K14" s="14" t="n">
        <v>5.37</v>
      </c>
      <c r="L14" s="14" t="n">
        <v>7.9495296</v>
      </c>
      <c r="M14" s="17">
        <f>IF(OR(F14="",K14="",K14&lt;=0),"",F14/K14)</f>
        <v/>
      </c>
      <c r="N14" s="18" t="n">
        <v>6.306215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187.95</v>
      </c>
      <c r="G15" s="15" t="inlineStr">
        <is>
          <t>CHF</t>
        </is>
      </c>
      <c r="H15" s="14" t="n">
        <v>199.4503045609865</v>
      </c>
      <c r="I15" s="16" t="n">
        <v>31999.70286733026</v>
      </c>
      <c r="J15" s="16" t="n">
        <v>30154.6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4.425164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93.18000000000001</v>
      </c>
      <c r="G16" s="15" t="inlineStr">
        <is>
          <t>CHF</t>
        </is>
      </c>
      <c r="H16" s="14" t="n">
        <v>98.88150773606129</v>
      </c>
      <c r="I16" s="16" t="n">
        <v>15766.70840673218</v>
      </c>
      <c r="J16" s="16" t="n">
        <v>14857.6</v>
      </c>
      <c r="K16" s="14" t="n">
        <v>2.31</v>
      </c>
      <c r="L16" s="14" t="n">
        <v>3.80325</v>
      </c>
      <c r="M16" s="17">
        <f>IF(OR(F16="",K16="",K16&lt;=0),"",F16/K16)</f>
        <v/>
      </c>
      <c r="N16" s="18" t="n">
        <v>6.876753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906.8</v>
      </c>
      <c r="G17" s="15" t="inlineStr">
        <is>
          <t>CHF</t>
        </is>
      </c>
      <c r="H17" s="14" t="n">
        <v>962.2853747055202</v>
      </c>
      <c r="I17" s="16" t="n">
        <v>26891.5677993081</v>
      </c>
      <c r="J17" s="16" t="n">
        <v>25341</v>
      </c>
      <c r="K17" s="14" t="n">
        <v>45.92</v>
      </c>
      <c r="L17" s="14" t="n">
        <v>51.22457</v>
      </c>
      <c r="M17" s="17">
        <f>IF(OR(F17="",K17="",K17&lt;=0),"",F17/K17)</f>
        <v/>
      </c>
      <c r="N17" s="18" t="n">
        <v>4.013455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44.57</v>
      </c>
      <c r="G18" s="15" t="inlineStr">
        <is>
          <t>CHF</t>
        </is>
      </c>
      <c r="H18" s="14" t="n">
        <v>47.29715389349916</v>
      </c>
      <c r="I18" s="16" t="n">
        <v>144811.6391111488</v>
      </c>
      <c r="J18" s="16" t="n">
        <v>136461.8</v>
      </c>
      <c r="K18" s="14" t="n">
        <v>2.38</v>
      </c>
      <c r="L18" s="14" t="n">
        <v>3.49392</v>
      </c>
      <c r="M18" s="17">
        <f>IF(OR(F18="",K18="",K18&lt;=0),"",F18/K18)</f>
        <v/>
      </c>
      <c r="N18" s="18" t="n">
        <v>1.8877435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641</v>
      </c>
      <c r="G19" s="15" t="inlineStr">
        <is>
          <t>CHF</t>
        </is>
      </c>
      <c r="H19" s="14" t="n">
        <v>680.2215760765753</v>
      </c>
      <c r="I19" s="16" t="n">
        <v>35236.75106649404</v>
      </c>
      <c r="J19" s="16" t="n">
        <v>33205</v>
      </c>
      <c r="K19" s="14" t="n">
        <v>25.4</v>
      </c>
      <c r="L19" s="14" t="n">
        <v>31.04163</v>
      </c>
      <c r="M19" s="17">
        <f>IF(OR(F19="",K19="",K19&lt;=0),"",F19/K19)</f>
        <v/>
      </c>
      <c r="N19" s="18" t="n">
        <v>2.8828812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71.54000000000001</v>
      </c>
      <c r="G20" s="15" t="inlineStr">
        <is>
          <t>CHF</t>
        </is>
      </c>
      <c r="H20" s="14" t="n">
        <v>75.91739711781311</v>
      </c>
      <c r="I20" s="16" t="n">
        <v>41991.85007534435</v>
      </c>
      <c r="J20" s="16" t="n">
        <v>39570.6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2.507536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175.1</v>
      </c>
      <c r="G21" s="15" t="inlineStr">
        <is>
          <t>CHF</t>
        </is>
      </c>
      <c r="H21" s="14" t="n">
        <v>185.8140373962688</v>
      </c>
      <c r="I21" s="16" t="n">
        <v>109247.5115138909</v>
      </c>
      <c r="J21" s="16" t="n">
        <v>102948.3</v>
      </c>
      <c r="K21" s="14" t="n">
        <v>5.53</v>
      </c>
      <c r="L21" s="14" t="n">
        <v>8.049431999999999</v>
      </c>
      <c r="M21" s="17">
        <f>IF(OR(F21="",K21="",K21&lt;=0),"",F21/K21)</f>
        <v/>
      </c>
      <c r="N21" s="18" t="n">
        <v>4.5486455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55.9</v>
      </c>
      <c r="G22" s="15" t="inlineStr">
        <is>
          <t>CHF</t>
        </is>
      </c>
      <c r="H22" s="14" t="n">
        <v>59.32041513678714</v>
      </c>
      <c r="I22" s="16" t="n">
        <v>28675.53112464715</v>
      </c>
      <c r="J22" s="16" t="n">
        <v>27022.1</v>
      </c>
      <c r="K22" s="14" t="n">
        <v>1.06</v>
      </c>
      <c r="L22" s="14" t="n">
        <v>3.5403771</v>
      </c>
      <c r="M22" s="17">
        <f>IF(OR(F22="",K22="",K22&lt;=0),"",F22/K22)</f>
        <v/>
      </c>
      <c r="N22" s="18" t="n">
        <v>1.5494285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2026-09-09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538</v>
      </c>
      <c r="G23" s="15" t="inlineStr">
        <is>
          <t>CHF</t>
        </is>
      </c>
      <c r="H23" s="14" t="n">
        <v>570.9192011375936</v>
      </c>
      <c r="I23" s="16" t="n">
        <v>39875.41651633168</v>
      </c>
      <c r="J23" s="16" t="n">
        <v>37576.2</v>
      </c>
      <c r="K23" s="14" t="n">
        <v>15.51</v>
      </c>
      <c r="L23" s="14" t="n">
        <v>22.0563</v>
      </c>
      <c r="M23" s="17">
        <f>IF(OR(F23="",K23="",K23&lt;=0),"",F23/K23)</f>
        <v/>
      </c>
      <c r="N23" s="18" t="n">
        <v>4.6230655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2026-09-09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206.5</v>
      </c>
      <c r="G2" s="15" t="inlineStr">
        <is>
          <t>USD</t>
        </is>
      </c>
      <c r="H2" s="14" t="n">
        <v>177.362848916313</v>
      </c>
      <c r="I2" s="16" t="n">
        <v>56213.3727465363</v>
      </c>
      <c r="J2" s="16" t="n">
        <v>65448.1</v>
      </c>
      <c r="K2" s="14" t="n">
        <v>26.01</v>
      </c>
      <c r="L2" s="14" t="n">
        <v>9.951180000000001</v>
      </c>
      <c r="M2" s="17">
        <f>IF(OR(F2="",K2="",K2&lt;=0),"",F2/K2)</f>
        <v/>
      </c>
      <c r="N2" s="18" t="n">
        <v>3.5306993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2026-09-09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206.3</v>
      </c>
      <c r="G3" s="15" t="inlineStr">
        <is>
          <t>USD</t>
        </is>
      </c>
      <c r="H3" s="14" t="n">
        <v>177.1910689173626</v>
      </c>
      <c r="I3" s="16" t="n">
        <v>67265.86965900555</v>
      </c>
      <c r="J3" s="16" t="n">
        <v>78316.3</v>
      </c>
      <c r="K3" s="14" t="n">
        <v>14.17</v>
      </c>
      <c r="L3" s="14" t="n">
        <v>6.69239</v>
      </c>
      <c r="M3" s="17">
        <f>IF(OR(F3="",K3="",K3&lt;=0),"",F3/K3)</f>
        <v/>
      </c>
      <c r="N3" s="18" t="n">
        <v>15.190339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2026-09-09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146.56</v>
      </c>
      <c r="G4" s="15" t="inlineStr">
        <is>
          <t>USD</t>
        </is>
      </c>
      <c r="H4" s="14" t="n">
        <v>125.8803832308709</v>
      </c>
      <c r="I4" s="16" t="n">
        <v>66027.93709656931</v>
      </c>
      <c r="J4" s="16" t="n">
        <v>76875</v>
      </c>
      <c r="K4" s="14" t="n">
        <v>12.85</v>
      </c>
      <c r="L4" s="14" t="n">
        <v>14.40914</v>
      </c>
      <c r="M4" s="17">
        <f>IF(OR(F4="",K4="",K4&lt;=0),"",F4/K4)</f>
        <v/>
      </c>
      <c r="N4" s="18" t="n">
        <v>2.4170458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2026-09-09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399.4</v>
      </c>
      <c r="G5" s="15" t="inlineStr">
        <is>
          <t>USD</t>
        </is>
      </c>
      <c r="H5" s="14" t="n">
        <v>343.0446579039971</v>
      </c>
      <c r="I5" s="16" t="n">
        <v>96335.42587139054</v>
      </c>
      <c r="J5" s="16" t="n">
        <v>112161.4</v>
      </c>
      <c r="K5" s="14" t="n">
        <v>28.84</v>
      </c>
      <c r="L5" s="14" t="n">
        <v>32.78225</v>
      </c>
      <c r="M5" s="17">
        <f>IF(OR(F5="",K5="",K5&lt;=0),"",F5/K5)</f>
        <v/>
      </c>
      <c r="N5" s="18" t="n">
        <v>5.924937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2026-09-09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73.265</v>
      </c>
      <c r="G6" s="15" t="inlineStr">
        <is>
          <t>USD</t>
        </is>
      </c>
      <c r="H6" s="14" t="n">
        <v>62.92730811551415</v>
      </c>
      <c r="I6" s="16" t="n">
        <v>26003.02556112151</v>
      </c>
      <c r="J6" s="16" t="n">
        <v>30274.8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2026-09-09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256.75</v>
      </c>
      <c r="G7" s="15" t="inlineStr">
        <is>
          <t>USD</t>
        </is>
      </c>
      <c r="H7" s="14" t="n">
        <v>220.5225736526071</v>
      </c>
      <c r="I7" s="16" t="n">
        <v>87657.70155441145</v>
      </c>
      <c r="J7" s="16" t="n">
        <v>102058.1</v>
      </c>
      <c r="K7" s="14" t="n">
        <v>17.47</v>
      </c>
      <c r="L7" s="14" t="n">
        <v>27.49816</v>
      </c>
      <c r="M7" s="17">
        <f>IF(OR(F7="",K7="",K7&lt;=0),"",F7/K7)</f>
        <v/>
      </c>
      <c r="N7" s="18" t="n">
        <v>8.894238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2026-09-09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176.845</v>
      </c>
      <c r="G8" s="15" t="inlineStr">
        <is>
          <t>USD</t>
        </is>
      </c>
      <c r="H8" s="14" t="n">
        <v>151.8921695719389</v>
      </c>
      <c r="I8" s="16" t="n">
        <v>92949.21264208031</v>
      </c>
      <c r="J8" s="16" t="n">
        <v>108218.9</v>
      </c>
      <c r="K8" s="14" t="n">
        <v>12.51</v>
      </c>
      <c r="L8" s="14" t="n">
        <v>14.65516</v>
      </c>
      <c r="M8" s="17">
        <f>IF(OR(F8="",K8="",K8&lt;=0),"",F8/K8)</f>
        <v/>
      </c>
      <c r="N8" s="18" t="n">
        <v>3.3929703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2026-09-09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Alphabet</t>
        </is>
      </c>
      <c r="C9" s="12" t="inlineStr">
        <is>
          <t>GOOGL</t>
        </is>
      </c>
      <c r="D9" s="11" t="inlineStr">
        <is>
          <t>Internet / Cloud</t>
        </is>
      </c>
      <c r="E9" s="13" t="inlineStr">
        <is>
          <t>Tecnologia</t>
        </is>
      </c>
      <c r="F9" s="14" t="n">
        <v>330.52</v>
      </c>
      <c r="G9" s="15" t="inlineStr">
        <is>
          <t>USD</t>
        </is>
      </c>
      <c r="H9" s="14" t="n">
        <v>283.883626265471</v>
      </c>
      <c r="I9" s="16" t="n">
        <v>3471878.111096825</v>
      </c>
      <c r="J9" s="16" t="n">
        <v>4042237.9</v>
      </c>
      <c r="K9" s="14" t="n">
        <v>19.93</v>
      </c>
      <c r="L9" s="14" t="n">
        <v>14.85403</v>
      </c>
      <c r="M9" s="17">
        <f>IF(OR(F9="",K9="",K9&lt;=0),"",F9/K9)</f>
        <v/>
      </c>
      <c r="N9" s="18" t="n">
        <v>6.4940267</v>
      </c>
      <c r="O9" s="19">
        <f>IF(OR(N9="",M9="",M9&lt;=0),"",N9/M9)</f>
        <v/>
      </c>
      <c r="P9" s="20" t="n">
        <v>0.48676</v>
      </c>
      <c r="Q9" s="20" t="n">
        <v>0.280199841988681</v>
      </c>
      <c r="R9" s="20" t="n">
        <v>0.03440628523217517</v>
      </c>
      <c r="S9" s="21" t="n">
        <v>4</v>
      </c>
      <c r="T9" s="20" t="n"/>
      <c r="U9" s="20" t="n">
        <v>0.3182786895115167</v>
      </c>
      <c r="V9" s="20" t="n">
        <v>0.3079757847202569</v>
      </c>
      <c r="W9" s="20" t="n">
        <v>0.2604109690555758</v>
      </c>
      <c r="X9" s="20" t="n">
        <v>0.2341339246673746</v>
      </c>
      <c r="Y9" s="14" t="n">
        <v>0.88</v>
      </c>
      <c r="Z9" s="19">
        <f>IF(OR(Y9="",F9="",F9=0),"",Y9/F9)</f>
        <v/>
      </c>
      <c r="AA9" s="22" t="n">
        <v>18.859</v>
      </c>
      <c r="AB9" s="20" t="n">
        <v>0.242</v>
      </c>
      <c r="AC9" s="20" t="n">
        <v>0.6060009406905044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52.75</v>
      </c>
      <c r="G10" s="15" t="inlineStr">
        <is>
          <t>USD</t>
        </is>
      </c>
      <c r="H10" s="14" t="n">
        <v>45.30697472317438</v>
      </c>
      <c r="I10" s="16" t="n">
        <v>38758.37760318632</v>
      </c>
      <c r="J10" s="16" t="n">
        <v>45125.6</v>
      </c>
      <c r="K10" s="14" t="n">
        <v>5.29</v>
      </c>
      <c r="L10" s="14" t="n">
        <v>5.78777</v>
      </c>
      <c r="M10" s="17">
        <f>IF(OR(F10="",K10="",K10&lt;=0),"",F10/K10)</f>
        <v/>
      </c>
      <c r="N10" s="18" t="n">
        <v>2.2941766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2026-09-09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214.72</v>
      </c>
      <c r="G11" s="15" t="inlineStr">
        <is>
          <t>USD</t>
        </is>
      </c>
      <c r="H11" s="14" t="n">
        <v>184.4230068731754</v>
      </c>
      <c r="I11" s="16" t="n">
        <v>107168.2161652022</v>
      </c>
      <c r="J11" s="16" t="n">
        <v>124773.8</v>
      </c>
      <c r="K11" s="14" t="n">
        <v>19.92</v>
      </c>
      <c r="L11" s="14" t="n">
        <v>16.29414</v>
      </c>
      <c r="M11" s="17">
        <f>IF(OR(F11="",K11="",K11&lt;=0),"",F11/K11)</f>
        <v/>
      </c>
      <c r="N11" s="18" t="n">
        <v>3.6335945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2026-09-09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American Express</t>
        </is>
      </c>
      <c r="C12" s="12" t="inlineStr">
        <is>
          <t>AXP</t>
        </is>
      </c>
      <c r="D12" s="11" t="inlineStr">
        <is>
          <t>Pagamenti / Credito</t>
        </is>
      </c>
      <c r="E12" s="13" t="inlineStr">
        <is>
          <t>Finanziario</t>
        </is>
      </c>
      <c r="F12" s="14" t="n">
        <v>322.115</v>
      </c>
      <c r="G12" s="15" t="inlineStr">
        <is>
          <t>USD</t>
        </is>
      </c>
      <c r="H12" s="14" t="n">
        <v>276.6645718095795</v>
      </c>
      <c r="I12" s="16" t="n">
        <v>186834.2827184425</v>
      </c>
      <c r="J12" s="16" t="n">
        <v>217527.4</v>
      </c>
      <c r="K12" s="14" t="n">
        <v>16.47</v>
      </c>
      <c r="L12" s="14" t="n">
        <v>20.11369</v>
      </c>
      <c r="M12" s="17">
        <f>IF(OR(F12="",K12="",K12&lt;=0),"",F12/K12)</f>
        <v/>
      </c>
      <c r="N12" s="18" t="n">
        <v>6.342719</v>
      </c>
      <c r="O12" s="19">
        <f>IF(OR(N12="",M12="",M12&lt;=0),"",N12/M12)</f>
        <v/>
      </c>
      <c r="P12" s="20" t="n">
        <v>0.34377</v>
      </c>
      <c r="Q12" s="20" t="n">
        <v>0.3152128333482085</v>
      </c>
      <c r="R12" s="20" t="n">
        <v>0.01461690524528727</v>
      </c>
      <c r="S12" s="21" t="n">
        <v>4</v>
      </c>
      <c r="T12" s="20" t="n"/>
      <c r="U12" s="20" t="n">
        <v>0.3236243054310808</v>
      </c>
      <c r="V12" s="20" t="n">
        <v>0.3346880782447793</v>
      </c>
      <c r="W12" s="20" t="n">
        <v>0.2984638414655879</v>
      </c>
      <c r="X12" s="20" t="n">
        <v>0.304075108251386</v>
      </c>
      <c r="Y12" s="14" t="n">
        <v>3.8</v>
      </c>
      <c r="Z12" s="19">
        <f>IF(OR(Y12="",F12="",F12=0),"",Y12/F12)</f>
        <v/>
      </c>
      <c r="AA12" s="22" t="n">
        <v>172.38</v>
      </c>
      <c r="AB12" s="20" t="n">
        <v>0.128</v>
      </c>
      <c r="AC12" s="20" t="n">
        <v>0.1565969756610827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2026-09-09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Microsoft</t>
        </is>
      </c>
      <c r="C13" s="12" t="inlineStr">
        <is>
          <t>MSFT</t>
        </is>
      </c>
      <c r="D13" s="11" t="inlineStr">
        <is>
          <t>Software / Cloud</t>
        </is>
      </c>
      <c r="E13" s="13" t="inlineStr">
        <is>
          <t>Tecnologia</t>
        </is>
      </c>
      <c r="F13" s="14" t="n">
        <v>493.0344</v>
      </c>
      <c r="G13" s="15" t="inlineStr">
        <is>
          <t>USD</t>
        </is>
      </c>
      <c r="H13" s="14" t="n">
        <v>423.4672435726152</v>
      </c>
      <c r="I13" s="16" t="n">
        <v>3144475.310447256</v>
      </c>
      <c r="J13" s="16" t="n">
        <v>3661049.4</v>
      </c>
      <c r="K13" s="14" t="n">
        <v>17.93</v>
      </c>
      <c r="L13" s="14" t="n">
        <v>23.57328</v>
      </c>
      <c r="M13" s="17">
        <f>IF(OR(F13="",K13="",K13&lt;=0),"",F13/K13)</f>
        <v/>
      </c>
      <c r="N13" s="18" t="n">
        <v>8.27725</v>
      </c>
      <c r="O13" s="19">
        <f>IF(OR(N13="",M13="",M13&lt;=0),"",N13/M13)</f>
        <v/>
      </c>
      <c r="P13" s="20" t="n">
        <v>0.34039003</v>
      </c>
      <c r="Q13" s="20" t="n">
        <v>0.3194939082909419</v>
      </c>
      <c r="R13" s="20" t="n">
        <v>0.0217208688577156</v>
      </c>
      <c r="S13" s="21" t="n">
        <v>4</v>
      </c>
      <c r="T13" s="20" t="n">
        <v>0.30233483352811</v>
      </c>
      <c r="U13" s="20" t="n">
        <v>0.2964722734140952</v>
      </c>
      <c r="V13" s="20" t="n">
        <v>0.3282813797829982</v>
      </c>
      <c r="W13" s="20" t="n">
        <v>0.3508871464385641</v>
      </c>
      <c r="X13" s="20" t="n"/>
      <c r="Y13" s="14" t="n">
        <v>3.64</v>
      </c>
      <c r="Z13" s="19">
        <f>IF(OR(Y13="",F13="",F13=0),"",Y13/F13)</f>
        <v/>
      </c>
      <c r="AA13" s="22" t="n">
        <v>29.118</v>
      </c>
      <c r="AB13" s="20" t="n">
        <v>0.177</v>
      </c>
      <c r="AC13" s="20" t="n">
        <v>0.403053884998448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2026-09-09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PepsiCo</t>
        </is>
      </c>
      <c r="C14" s="12" t="inlineStr">
        <is>
          <t>PEP</t>
        </is>
      </c>
      <c r="D14" s="11" t="inlineStr">
        <is>
          <t>Bevande e snack</t>
        </is>
      </c>
      <c r="E14" s="13" t="inlineStr">
        <is>
          <t>Consumi</t>
        </is>
      </c>
      <c r="F14" s="14" t="n">
        <v>136.44</v>
      </c>
      <c r="G14" s="15" t="inlineStr">
        <is>
          <t>USD</t>
        </is>
      </c>
      <c r="H14" s="14" t="n">
        <v>117.1883152839794</v>
      </c>
      <c r="I14" s="16" t="n">
        <v>160079.2043219161</v>
      </c>
      <c r="J14" s="16" t="n">
        <v>186377</v>
      </c>
      <c r="K14" s="14" t="n">
        <v>7.63</v>
      </c>
      <c r="L14" s="14" t="n">
        <v>8.975390000000001</v>
      </c>
      <c r="M14" s="17">
        <f>IF(OR(F14="",K14="",K14&lt;=0),"",F14/K14)</f>
        <v/>
      </c>
      <c r="N14" s="18" t="n">
        <v>8.434196</v>
      </c>
      <c r="O14" s="19">
        <f>IF(OR(N14="",M14="",M14&lt;=0),"",N14/M14)</f>
        <v/>
      </c>
      <c r="P14" s="20" t="n">
        <v>0.51508</v>
      </c>
      <c r="Q14" s="20" t="n">
        <v>0.486168855450935</v>
      </c>
      <c r="R14" s="20" t="n">
        <v>0.04979556056471136</v>
      </c>
      <c r="S14" s="21" t="n">
        <v>4</v>
      </c>
      <c r="T14" s="20" t="n"/>
      <c r="U14" s="20" t="n">
        <v>0.4038028030971283</v>
      </c>
      <c r="V14" s="20" t="n">
        <v>0.5309018347098277</v>
      </c>
      <c r="W14" s="20" t="n">
        <v>0.490406961033346</v>
      </c>
      <c r="X14" s="20" t="n">
        <v>0.5195638229634381</v>
      </c>
      <c r="Y14" s="14" t="n">
        <v>5.92</v>
      </c>
      <c r="Z14" s="19">
        <f>IF(OR(Y14="",F14="",F14=0),"",Y14/F14)</f>
        <v/>
      </c>
      <c r="AA14" s="22" t="n">
        <v>238.949</v>
      </c>
      <c r="AB14" s="20" t="n">
        <v>0.064</v>
      </c>
      <c r="AC14" s="20" t="n">
        <v>0.1112696334309289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2026-09-09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Moody's</t>
        </is>
      </c>
      <c r="C15" s="12" t="inlineStr">
        <is>
          <t>MCO</t>
        </is>
      </c>
      <c r="D15" s="11" t="inlineStr">
        <is>
          <t>Dati e rating</t>
        </is>
      </c>
      <c r="E15" s="13" t="inlineStr">
        <is>
          <t>Finanziario</t>
        </is>
      </c>
      <c r="F15" s="14" t="n">
        <v>475.435</v>
      </c>
      <c r="G15" s="15" t="inlineStr">
        <is>
          <t>USD</t>
        </is>
      </c>
      <c r="H15" s="14" t="n">
        <v>408.3511190049747</v>
      </c>
      <c r="I15" s="16" t="n">
        <v>70718.64763790907</v>
      </c>
      <c r="J15" s="16" t="n">
        <v>82336.3</v>
      </c>
      <c r="K15" s="14" t="n">
        <v>15.74</v>
      </c>
      <c r="L15" s="14" t="n">
        <v>18.92998</v>
      </c>
      <c r="M15" s="17">
        <f>IF(OR(F15="",K15="",K15&lt;=0),"",F15/K15)</f>
        <v/>
      </c>
      <c r="N15" s="18" t="n">
        <v>27.219044</v>
      </c>
      <c r="O15" s="19">
        <f>IF(OR(N15="",M15="",M15&lt;=0),"",N15/M15)</f>
        <v/>
      </c>
      <c r="P15" s="20" t="n">
        <v>0.76932</v>
      </c>
      <c r="Q15" s="20" t="n">
        <v>0.5534057442590806</v>
      </c>
      <c r="R15" s="20" t="n">
        <v>0.04536086460562505</v>
      </c>
      <c r="S15" s="21" t="n">
        <v>4</v>
      </c>
      <c r="T15" s="20" t="n"/>
      <c r="U15" s="20" t="n">
        <v>0.6065614208189443</v>
      </c>
      <c r="V15" s="20" t="n">
        <v>0.5772791023842917</v>
      </c>
      <c r="W15" s="20" t="n">
        <v>0.4843279083785413</v>
      </c>
      <c r="X15" s="20" t="n">
        <v>0.5454545454545454</v>
      </c>
      <c r="Y15" s="14" t="n">
        <v>4.12</v>
      </c>
      <c r="Z15" s="19">
        <f>IF(OR(Y15="",F15="",F15=0),"",Y15/F15)</f>
        <v/>
      </c>
      <c r="AA15" s="22" t="n">
        <v>240.682</v>
      </c>
      <c r="AB15" s="20" t="n">
        <v>0.151</v>
      </c>
      <c r="AC15" s="20" t="n">
        <v>0.3621404591863177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2026-09-09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315.98</v>
      </c>
      <c r="G16" s="15" t="inlineStr">
        <is>
          <t>USD</t>
        </is>
      </c>
      <c r="H16" s="14" t="n">
        <v>271.3952203417753</v>
      </c>
      <c r="I16" s="16" t="n">
        <v>339602.5302850286</v>
      </c>
      <c r="J16" s="16" t="n">
        <v>395392.4</v>
      </c>
      <c r="K16" s="14" t="n">
        <v>5.77</v>
      </c>
      <c r="L16" s="14" t="n">
        <v>11.65184</v>
      </c>
      <c r="M16" s="17">
        <f>IF(OR(F16="",K16="",K16&lt;=0),"",F16/K16)</f>
        <v/>
      </c>
      <c r="N16" s="18" t="n">
        <v>31.70262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2026-09-09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313.27</v>
      </c>
      <c r="G17" s="15" t="inlineStr">
        <is>
          <t>USD</t>
        </is>
      </c>
      <c r="H17" s="14" t="n">
        <v>269.0676013559969</v>
      </c>
      <c r="I17" s="16" t="n">
        <v>3926570.148638657</v>
      </c>
      <c r="J17" s="16" t="n">
        <v>4571626.7</v>
      </c>
      <c r="K17" s="14" t="n">
        <v>8.73</v>
      </c>
      <c r="L17" s="14" t="n">
        <v>9.57757</v>
      </c>
      <c r="M17" s="17">
        <f>IF(OR(F17="",K17="",K17&lt;=0),"",F17/K17)</f>
        <v/>
      </c>
      <c r="N17" s="18" t="n">
        <v>42.561142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2026-09-09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368.75</v>
      </c>
      <c r="G18" s="15" t="inlineStr">
        <is>
          <t>USD</t>
        </is>
      </c>
      <c r="H18" s="14" t="n">
        <v>316.7193730648447</v>
      </c>
      <c r="I18" s="16" t="n">
        <v>591330.0573169733</v>
      </c>
      <c r="J18" s="16" t="n">
        <v>688473.7</v>
      </c>
      <c r="K18" s="14" t="n">
        <v>11.76</v>
      </c>
      <c r="L18" s="14" t="n">
        <v>15.0043</v>
      </c>
      <c r="M18" s="17">
        <f>IF(OR(F18="",K18="",K18&lt;=0),"",F18/K18)</f>
        <v/>
      </c>
      <c r="N18" s="18" t="n">
        <v>19.5416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2026-09-09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195.005</v>
      </c>
      <c r="G19" s="15" t="inlineStr">
        <is>
          <t>USD</t>
        </is>
      </c>
      <c r="H19" s="14" t="n">
        <v>167.4897934766374</v>
      </c>
      <c r="I19" s="16" t="n">
        <v>211242.2450993099</v>
      </c>
      <c r="J19" s="16" t="n">
        <v>245945.1</v>
      </c>
      <c r="K19" s="14" t="n">
        <v>3.16</v>
      </c>
      <c r="L19" s="14" t="n">
        <v>5.16028</v>
      </c>
      <c r="M19" s="17">
        <f>IF(OR(F19="",K19="",K19&lt;=0),"",F19/K19)</f>
        <v/>
      </c>
      <c r="N19" s="18" t="n">
        <v>16.620216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2026-09-09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817.41</v>
      </c>
      <c r="G20" s="15" t="inlineStr">
        <is>
          <t>USD</t>
        </is>
      </c>
      <c r="H20" s="14" t="n">
        <v>702.0734447103313</v>
      </c>
      <c r="I20" s="16" t="n">
        <v>322725.4889481473</v>
      </c>
      <c r="J20" s="16" t="n">
        <v>375742.8</v>
      </c>
      <c r="K20" s="14" t="n">
        <v>23.19</v>
      </c>
      <c r="L20" s="14" t="n">
        <v>32.37734</v>
      </c>
      <c r="M20" s="17">
        <f>IF(OR(F20="",K20="",K20&lt;=0),"",F20/K20)</f>
        <v/>
      </c>
      <c r="N20" s="18" t="n">
        <v>19.373117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2026-09-09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569.15</v>
      </c>
      <c r="G21" s="15" t="inlineStr">
        <is>
          <t>USD</t>
        </is>
      </c>
      <c r="H21" s="14" t="n">
        <v>488.8429320131697</v>
      </c>
      <c r="I21" s="16" t="n">
        <v>428231.3041735067</v>
      </c>
      <c r="J21" s="16" t="n">
        <v>498581.1</v>
      </c>
      <c r="K21" s="14" t="n">
        <v>18.15</v>
      </c>
      <c r="L21" s="14" t="n">
        <v>23.02581</v>
      </c>
      <c r="M21" s="17">
        <f>IF(OR(F21="",K21="",K21&lt;=0),"",F21/K21)</f>
        <v/>
      </c>
      <c r="N21" s="18" t="n">
        <v>88.98530599999999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2026-09-09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Travelers</t>
        </is>
      </c>
      <c r="C22" s="12" t="inlineStr">
        <is>
          <t>TRV</t>
        </is>
      </c>
      <c r="D22" s="11" t="inlineStr">
        <is>
          <t>Assicurazione</t>
        </is>
      </c>
      <c r="E22" s="13" t="inlineStr">
        <is>
          <t>Finanziario</t>
        </is>
      </c>
      <c r="F22" s="14" t="n">
        <v>366.525</v>
      </c>
      <c r="G22" s="15" t="inlineStr">
        <is>
          <t>USD</t>
        </is>
      </c>
      <c r="H22" s="14" t="n">
        <v>314.8083205765212</v>
      </c>
      <c r="I22" s="16" t="n">
        <v>65661.18679881016</v>
      </c>
      <c r="J22" s="16" t="n">
        <v>76448</v>
      </c>
      <c r="K22" s="14" t="n">
        <v>37.22</v>
      </c>
      <c r="L22" s="14" t="n">
        <v>30.20864</v>
      </c>
      <c r="M22" s="17">
        <f>IF(OR(F22="",K22="",K22&lt;=0),"",F22/K22)</f>
        <v/>
      </c>
      <c r="N22" s="18" t="n">
        <v>2.3084116</v>
      </c>
      <c r="O22" s="19">
        <f>IF(OR(N22="",M22="",M22&lt;=0),"",N22/M22)</f>
        <v/>
      </c>
      <c r="P22" s="20" t="n">
        <v>0.26511</v>
      </c>
      <c r="Q22" s="20" t="n">
        <v>0.1556010112383756</v>
      </c>
      <c r="R22" s="20" t="n">
        <v>0.03026061633724604</v>
      </c>
      <c r="S22" s="21" t="n">
        <v>4</v>
      </c>
      <c r="T22" s="20" t="n"/>
      <c r="U22" s="20" t="n">
        <v>0.1911594819723962</v>
      </c>
      <c r="V22" s="20" t="n">
        <v>0.1794071202985932</v>
      </c>
      <c r="W22" s="20" t="n">
        <v>0.1200192608643313</v>
      </c>
      <c r="X22" s="20" t="n">
        <v>0.1318181818181818</v>
      </c>
      <c r="Y22" s="14" t="n">
        <v>5</v>
      </c>
      <c r="Z22" s="19">
        <f>IF(OR(Y22="",F22="",F22=0),"",Y22/F22)</f>
        <v/>
      </c>
      <c r="AA22" s="22" t="n">
        <v>27.378</v>
      </c>
      <c r="AB22" s="20" t="n">
        <v>0.003</v>
      </c>
      <c r="AC22" s="20" t="n">
        <v>0.1688170682395347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2026-09-09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Target</t>
        </is>
      </c>
      <c r="C23" s="12" t="inlineStr">
        <is>
          <t>TGT</t>
        </is>
      </c>
      <c r="D23" s="11" t="inlineStr">
        <is>
          <t>Grande distribuzione</t>
        </is>
      </c>
      <c r="E23" s="13" t="inlineStr">
        <is>
          <t>Consumi</t>
        </is>
      </c>
      <c r="F23" s="14" t="n">
        <v>159.545</v>
      </c>
      <c r="G23" s="15" t="inlineStr">
        <is>
          <t>USD</t>
        </is>
      </c>
      <c r="H23" s="14" t="n">
        <v>137.0331996627272</v>
      </c>
      <c r="I23" s="16" t="n">
        <v>62253.75873962954</v>
      </c>
      <c r="J23" s="16" t="n">
        <v>72480.8</v>
      </c>
      <c r="K23" s="14" t="n">
        <v>9.630000000000001</v>
      </c>
      <c r="L23" s="14" t="n">
        <v>9.542199999999999</v>
      </c>
      <c r="M23" s="17">
        <f>IF(OR(F23="",K23="",K23&lt;=0),"",F23/K23)</f>
        <v/>
      </c>
      <c r="N23" s="18" t="n">
        <v>4.0620465</v>
      </c>
      <c r="O23" s="19">
        <f>IF(OR(N23="",M23="",M23&lt;=0),"",N23/M23)</f>
        <v/>
      </c>
      <c r="P23" s="20" t="n">
        <v>0.26408002</v>
      </c>
      <c r="Q23" s="20" t="n">
        <v>0.265930196598988</v>
      </c>
      <c r="R23" s="20" t="n">
        <v>0.03014032785235156</v>
      </c>
      <c r="S23" s="21" t="n">
        <v>4</v>
      </c>
      <c r="T23" s="20" t="n">
        <v>0.2291988864831426</v>
      </c>
      <c r="U23" s="20" t="n">
        <v>0.278944497477158</v>
      </c>
      <c r="V23" s="20" t="n">
        <v>0.3080702799285289</v>
      </c>
      <c r="W23" s="20" t="n">
        <v>0.2475071225071225</v>
      </c>
      <c r="X23" s="20" t="n"/>
      <c r="Y23" s="14" t="n">
        <v>4.64</v>
      </c>
      <c r="Z23" s="19">
        <f>IF(OR(Y23="",F23="",F23=0),"",Y23/F23)</f>
        <v/>
      </c>
      <c r="AA23" s="22" t="n">
        <v>107.583</v>
      </c>
      <c r="AB23" s="20" t="n">
        <v>0.053</v>
      </c>
      <c r="AC23" s="20" t="n">
        <v>0.04191639625882802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2026-09-09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KLA Corporation</t>
        </is>
      </c>
      <c r="C24" s="12" t="inlineStr">
        <is>
          <t>KLAC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182.16</v>
      </c>
      <c r="G24" s="15" t="inlineStr">
        <is>
          <t>USD</t>
        </is>
      </c>
      <c r="H24" s="14" t="n">
        <v>156.4572230440464</v>
      </c>
      <c r="I24" s="16" t="n">
        <v>204418.7140910017</v>
      </c>
      <c r="J24" s="16" t="n">
        <v>238000.6</v>
      </c>
      <c r="K24" s="14" t="n">
        <v>3.67</v>
      </c>
      <c r="L24" s="14" t="n">
        <v>6.70539</v>
      </c>
      <c r="M24" s="17">
        <f>IF(OR(F24="",K24="",K24&lt;=0),"",F24/K24)</f>
        <v/>
      </c>
      <c r="N24" s="18" t="n">
        <v>37.496914</v>
      </c>
      <c r="O24" s="19">
        <f>IF(OR(N24="",M24="",M24&lt;=0),"",N24/M24)</f>
        <v/>
      </c>
      <c r="P24" s="20" t="n">
        <v>0.87496</v>
      </c>
      <c r="Q24" s="20" t="n">
        <v>0.9016067947009443</v>
      </c>
      <c r="R24" s="20" t="n">
        <v>0.1538102798939616</v>
      </c>
      <c r="S24" s="21" t="n">
        <v>4</v>
      </c>
      <c r="T24" s="20" t="n">
        <v>0.7607729037988479</v>
      </c>
      <c r="U24" s="20" t="n">
        <v>0.8655692449130551</v>
      </c>
      <c r="V24" s="20" t="n">
        <v>0.8199605264095421</v>
      </c>
      <c r="W24" s="20" t="n">
        <v>1.160124503682332</v>
      </c>
      <c r="X24" s="20" t="n">
        <v>2.370431819008942</v>
      </c>
      <c r="Y24" s="14" t="n">
        <v>0.92</v>
      </c>
      <c r="Z24" s="19">
        <f>IF(OR(Y24="",F24="",F24=0),"",Y24/F24)</f>
        <v/>
      </c>
      <c r="AA24" s="22" t="n">
        <v>96.88</v>
      </c>
      <c r="AB24" s="20" t="n">
        <v>0.152</v>
      </c>
      <c r="AC24" s="20" t="n">
        <v>0.3557406191520203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2026-09-09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Applied Materials</t>
        </is>
      </c>
      <c r="C25" s="12" t="inlineStr">
        <is>
          <t>AMAT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467.675</v>
      </c>
      <c r="G25" s="15" t="inlineStr">
        <is>
          <t>USD</t>
        </is>
      </c>
      <c r="H25" s="14" t="n">
        <v>401.6860550456983</v>
      </c>
      <c r="I25" s="16" t="n">
        <v>318777.0397822723</v>
      </c>
      <c r="J25" s="16" t="n">
        <v>371145.7</v>
      </c>
      <c r="K25" s="14" t="n">
        <v>11.58</v>
      </c>
      <c r="L25" s="14" t="n">
        <v>18.47185</v>
      </c>
      <c r="M25" s="17">
        <f>IF(OR(F25="",K25="",K25&lt;=0),"",F25/K25)</f>
        <v/>
      </c>
      <c r="N25" s="18" t="n">
        <v>14.483137</v>
      </c>
      <c r="O25" s="19">
        <f>IF(OR(N25="",M25="",M25&lt;=0),"",N25/M25)</f>
        <v/>
      </c>
      <c r="P25" s="20" t="n">
        <v>0.41068</v>
      </c>
      <c r="Q25" s="20" t="n">
        <v>0.4187390558280515</v>
      </c>
      <c r="R25" s="20" t="n">
        <v>0.07244233633790677</v>
      </c>
      <c r="S25" s="21" t="n">
        <v>4</v>
      </c>
      <c r="T25" s="20" t="n"/>
      <c r="U25" s="20" t="n">
        <v>0.3427871662992897</v>
      </c>
      <c r="V25" s="20" t="n">
        <v>0.377716962265144</v>
      </c>
      <c r="W25" s="20" t="n">
        <v>0.4193528656186923</v>
      </c>
      <c r="X25" s="20" t="n">
        <v>0.5350992291290799</v>
      </c>
      <c r="Y25" s="14" t="n">
        <v>2.12</v>
      </c>
      <c r="Z25" s="19">
        <f>IF(OR(Y25="",F25="",F25=0),"",Y25/F25)</f>
        <v/>
      </c>
      <c r="AA25" s="22" t="n">
        <v>28.666</v>
      </c>
      <c r="AB25" s="20" t="n">
        <v>0.248</v>
      </c>
      <c r="AC25" s="20" t="n">
        <v>0.3266709080654258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2026-09-09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Eli Lilly</t>
        </is>
      </c>
      <c r="C26" s="12" t="inlineStr">
        <is>
          <t>LLY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1125.03</v>
      </c>
      <c r="G26" s="15" t="inlineStr">
        <is>
          <t>USD</t>
        </is>
      </c>
      <c r="H26" s="14" t="n">
        <v>966.2882610959788</v>
      </c>
      <c r="I26" s="16" t="n">
        <v>861679.2233551401</v>
      </c>
      <c r="J26" s="16" t="n">
        <v>1003235.8</v>
      </c>
      <c r="K26" s="14" t="n">
        <v>29.78</v>
      </c>
      <c r="L26" s="14" t="n">
        <v>47.25538</v>
      </c>
      <c r="M26" s="17">
        <f>IF(OR(F26="",K26="",K26&lt;=0),"",F26/K26)</f>
        <v/>
      </c>
      <c r="N26" s="18" t="n">
        <v>29.604496</v>
      </c>
      <c r="O26" s="19">
        <f>IF(OR(N26="",M26="",M26&lt;=0),"",N26/M26)</f>
        <v/>
      </c>
      <c r="P26" s="20" t="n">
        <v>1.02286</v>
      </c>
      <c r="Q26" s="20" t="n">
        <v>0.6481702467386419</v>
      </c>
      <c r="R26" s="20" t="n">
        <v>0.1178900700269788</v>
      </c>
      <c r="S26" s="21" t="n">
        <v>4</v>
      </c>
      <c r="T26" s="20" t="n"/>
      <c r="U26" s="20" t="n">
        <v>0.7778405879027699</v>
      </c>
      <c r="V26" s="20" t="n">
        <v>0.7420123318385651</v>
      </c>
      <c r="W26" s="20" t="n">
        <v>0.4864508582515619</v>
      </c>
      <c r="X26" s="20" t="n">
        <v>0.5863772089616707</v>
      </c>
      <c r="Y26" s="14" t="n">
        <v>6.92</v>
      </c>
      <c r="Z26" s="19">
        <f>IF(OR(Y26="",F26="",F26=0),"",Y26/F26)</f>
        <v/>
      </c>
      <c r="AA26" s="22" t="n">
        <v>162.071</v>
      </c>
      <c r="AB26" s="20" t="n">
        <v>0.477</v>
      </c>
      <c r="AC26" s="20" t="n">
        <v>0.4098098933705641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2026-09-09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Rentals</t>
        </is>
      </c>
      <c r="C27" s="12" t="inlineStr">
        <is>
          <t>URI</t>
        </is>
      </c>
      <c r="D27" s="11" t="inlineStr">
        <is>
          <t>Noleggio attrezzature</t>
        </is>
      </c>
      <c r="E27" s="13" t="inlineStr">
        <is>
          <t>Industriale</t>
        </is>
      </c>
      <c r="F27" s="14" t="n">
        <v>1040.395</v>
      </c>
      <c r="G27" s="15" t="inlineStr">
        <is>
          <t>USD</t>
        </is>
      </c>
      <c r="H27" s="14" t="n">
        <v>893.595260040133</v>
      </c>
      <c r="I27" s="16" t="n">
        <v>55619.61518016416</v>
      </c>
      <c r="J27" s="16" t="n">
        <v>64756.8</v>
      </c>
      <c r="K27" s="14" t="n">
        <v>41.52</v>
      </c>
      <c r="L27" s="14" t="n">
        <v>57.18555</v>
      </c>
      <c r="M27" s="17">
        <f>IF(OR(F27="",K27="",K27&lt;=0),"",F27/K27)</f>
        <v/>
      </c>
      <c r="N27" s="18" t="n">
        <v>7.031216</v>
      </c>
      <c r="O27" s="19">
        <f>IF(OR(N27="",M27="",M27&lt;=0),"",N27/M27)</f>
        <v/>
      </c>
      <c r="P27" s="20" t="n">
        <v>0.28895</v>
      </c>
      <c r="Q27" s="20" t="n">
        <v>0.2932459241968061</v>
      </c>
      <c r="R27" s="20" t="n">
        <v>0.008747380113543703</v>
      </c>
      <c r="S27" s="21" t="n">
        <v>4</v>
      </c>
      <c r="T27" s="20" t="n"/>
      <c r="U27" s="20" t="n">
        <v>0.278099910793934</v>
      </c>
      <c r="V27" s="20" t="n">
        <v>0.298654604500116</v>
      </c>
      <c r="W27" s="20" t="n">
        <v>0.2981549815498155</v>
      </c>
      <c r="X27" s="20" t="n">
        <v>0.2980741999433588</v>
      </c>
      <c r="Y27" s="14" t="n">
        <v>7.88</v>
      </c>
      <c r="Z27" s="19">
        <f>IF(OR(Y27="",F27="",F27=0),"",Y27/F27)</f>
        <v/>
      </c>
      <c r="AA27" s="22" t="n">
        <v>166.793</v>
      </c>
      <c r="AB27" s="20" t="n">
        <v>0.118</v>
      </c>
      <c r="AC27" s="20" t="n">
        <v>0.1638611173364805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2026-09-09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Costco Wholesale</t>
        </is>
      </c>
      <c r="C28" s="12" t="inlineStr">
        <is>
          <t>COST</t>
        </is>
      </c>
      <c r="D28" s="11" t="inlineStr">
        <is>
          <t>Grande distribuzione</t>
        </is>
      </c>
      <c r="E28" s="13" t="inlineStr">
        <is>
          <t>Consumi</t>
        </is>
      </c>
      <c r="F28" s="14" t="n">
        <v>899.77</v>
      </c>
      <c r="G28" s="15" t="inlineStr">
        <is>
          <t>USD</t>
        </is>
      </c>
      <c r="H28" s="14" t="n">
        <v>772.812448278116</v>
      </c>
      <c r="I28" s="16" t="n">
        <v>342725.9201159447</v>
      </c>
      <c r="J28" s="16" t="n">
        <v>399028.9</v>
      </c>
      <c r="K28" s="14" t="n">
        <v>19.84</v>
      </c>
      <c r="L28" s="14" t="n">
        <v>22.62819</v>
      </c>
      <c r="M28" s="17">
        <f>IF(OR(F28="",K28="",K28&lt;=0),"",F28/K28)</f>
        <v/>
      </c>
      <c r="N28" s="18" t="n">
        <v>24.136757</v>
      </c>
      <c r="O28" s="19">
        <f>IF(OR(N28="",M28="",M28&lt;=0),"",N28/M28)</f>
        <v/>
      </c>
      <c r="P28" s="20" t="n">
        <v>0.29152</v>
      </c>
      <c r="Q28" s="20" t="n">
        <v>0.2809463090154591</v>
      </c>
      <c r="R28" s="20" t="n">
        <v>0.02157800377927351</v>
      </c>
      <c r="S28" s="21" t="n">
        <v>4</v>
      </c>
      <c r="T28" s="20" t="n"/>
      <c r="U28" s="20" t="n">
        <v>0.2777053902071047</v>
      </c>
      <c r="V28" s="20" t="n">
        <v>0.3118702904072475</v>
      </c>
      <c r="W28" s="20" t="n">
        <v>0.2510974539069359</v>
      </c>
      <c r="X28" s="20" t="n">
        <v>0.2831121015405484</v>
      </c>
      <c r="Y28" s="14" t="n">
        <v>5.88</v>
      </c>
      <c r="Z28" s="19">
        <f>IF(OR(Y28="",F28="",F28=0),"",Y28/F28)</f>
        <v/>
      </c>
      <c r="AA28" s="22" t="n">
        <v>60.257</v>
      </c>
      <c r="AB28" s="20" t="n">
        <v>0.215</v>
      </c>
      <c r="AC28" s="20" t="n">
        <v>0.03211074033462314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2026-09-09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Lockheed Martin</t>
        </is>
      </c>
      <c r="C29" s="12" t="inlineStr">
        <is>
          <t>LMT</t>
        </is>
      </c>
      <c r="D29" s="11" t="inlineStr">
        <is>
          <t>Difesa</t>
        </is>
      </c>
      <c r="E29" s="13" t="inlineStr">
        <is>
          <t>Industriale</t>
        </is>
      </c>
      <c r="F29" s="14" t="n">
        <v>526.16</v>
      </c>
      <c r="G29" s="15" t="inlineStr">
        <is>
          <t>USD</t>
        </is>
      </c>
      <c r="H29" s="14" t="n">
        <v>451.918821238776</v>
      </c>
      <c r="I29" s="16" t="n">
        <v>104298.7171727348</v>
      </c>
      <c r="J29" s="16" t="n">
        <v>121432.9</v>
      </c>
      <c r="K29" s="14" t="n">
        <v>27.13</v>
      </c>
      <c r="L29" s="14" t="n">
        <v>32.72191</v>
      </c>
      <c r="M29" s="17">
        <f>IF(OR(F29="",K29="",K29&lt;=0),"",F29/K29)</f>
        <v/>
      </c>
      <c r="N29" s="18" t="n">
        <v>13.802003</v>
      </c>
      <c r="O29" s="19">
        <f>IF(OR(N29="",M29="",M29&lt;=0),"",N29/M29)</f>
        <v/>
      </c>
      <c r="P29" s="20" t="n">
        <v>0.8916500000000001</v>
      </c>
      <c r="Q29" s="20" t="n">
        <v>0.8050196518940778</v>
      </c>
      <c r="R29" s="20" t="n">
        <v>0.1437100287177017</v>
      </c>
      <c r="S29" s="21" t="n">
        <v>4</v>
      </c>
      <c r="T29" s="20" t="n"/>
      <c r="U29" s="20" t="n">
        <v>0.746466299657789</v>
      </c>
      <c r="V29" s="20" t="n">
        <v>0.8425706616137691</v>
      </c>
      <c r="W29" s="20" t="n">
        <v>1.012435991221653</v>
      </c>
      <c r="X29" s="20" t="n">
        <v>0.6186056550830995</v>
      </c>
      <c r="Y29" s="14" t="n">
        <v>13.8</v>
      </c>
      <c r="Z29" s="19">
        <f>IF(OR(Y29="",F29="",F29=0),"",Y29/F29)</f>
        <v/>
      </c>
      <c r="AA29" s="22" t="n">
        <v>234.238</v>
      </c>
      <c r="AB29" s="20" t="n">
        <v>0.105</v>
      </c>
      <c r="AC29" s="20" t="n">
        <v>0.08377305276622961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2026-09-09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United Parcel Service</t>
        </is>
      </c>
      <c r="C30" s="12" t="inlineStr">
        <is>
          <t>UPS</t>
        </is>
      </c>
      <c r="D30" s="11" t="inlineStr">
        <is>
          <t>Logistica</t>
        </is>
      </c>
      <c r="E30" s="13" t="inlineStr">
        <is>
          <t>Industriale</t>
        </is>
      </c>
      <c r="F30" s="14" t="n">
        <v>99.47</v>
      </c>
      <c r="G30" s="15" t="inlineStr">
        <is>
          <t>USD</t>
        </is>
      </c>
      <c r="H30" s="14" t="n">
        <v>85.43478247799348</v>
      </c>
      <c r="I30" s="16" t="n">
        <v>72686.3016358867</v>
      </c>
      <c r="J30" s="16" t="n">
        <v>84627.2</v>
      </c>
      <c r="K30" s="14" t="n">
        <v>5.38</v>
      </c>
      <c r="L30" s="14" t="n">
        <v>8.0749</v>
      </c>
      <c r="M30" s="17">
        <f>IF(OR(F30="",K30="",K30&lt;=0),"",F30/K30)</f>
        <v/>
      </c>
      <c r="N30" s="18" t="n">
        <v>5.618187</v>
      </c>
      <c r="O30" s="19">
        <f>IF(OR(N30="",M30="",M30&lt;=0),"",N30/M30)</f>
        <v/>
      </c>
      <c r="P30" s="20" t="n">
        <v>0.29602</v>
      </c>
      <c r="Q30" s="20" t="n">
        <v>0.4151223305037616</v>
      </c>
      <c r="R30" s="20" t="n">
        <v>0.09887106435484694</v>
      </c>
      <c r="S30" s="21" t="n">
        <v>4</v>
      </c>
      <c r="T30" s="20" t="n"/>
      <c r="U30" s="20" t="n">
        <v>0.3433783200838109</v>
      </c>
      <c r="V30" s="20" t="n">
        <v>0.3458547673166646</v>
      </c>
      <c r="W30" s="20" t="n">
        <v>0.3876112330983474</v>
      </c>
      <c r="X30" s="20" t="n">
        <v>0.5836450015162236</v>
      </c>
      <c r="Y30" s="14" t="n">
        <v>6.56</v>
      </c>
      <c r="Z30" s="19">
        <f>IF(OR(Y30="",F30="",F30=0),"",Y30/F30)</f>
        <v/>
      </c>
      <c r="AA30" s="22" t="n">
        <v>189.9</v>
      </c>
      <c r="AB30" s="20" t="n">
        <v>0.076</v>
      </c>
      <c r="AC30" s="20" t="n">
        <v>0.05154464614655824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2026-09-09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Union Pacific</t>
        </is>
      </c>
      <c r="C31" s="12" t="inlineStr">
        <is>
          <t>UNP</t>
        </is>
      </c>
      <c r="D31" s="11" t="inlineStr">
        <is>
          <t>Ferrovie</t>
        </is>
      </c>
      <c r="E31" s="13" t="inlineStr">
        <is>
          <t>Industriale</t>
        </is>
      </c>
      <c r="F31" s="14" t="n">
        <v>285.755</v>
      </c>
      <c r="G31" s="15" t="inlineStr">
        <is>
          <t>USD</t>
        </is>
      </c>
      <c r="H31" s="14" t="n">
        <v>245.4349680003924</v>
      </c>
      <c r="I31" s="16" t="n">
        <v>145806.8631091201</v>
      </c>
      <c r="J31" s="16" t="n">
        <v>169760</v>
      </c>
      <c r="K31" s="14" t="n">
        <v>12.35</v>
      </c>
      <c r="L31" s="14" t="n">
        <v>14.15497</v>
      </c>
      <c r="M31" s="17">
        <f>IF(OR(F31="",K31="",K31&lt;=0),"",F31/K31)</f>
        <v/>
      </c>
      <c r="N31" s="18" t="n">
        <v>8.736547</v>
      </c>
      <c r="O31" s="19">
        <f>IF(OR(N31="",M31="",M31&lt;=0),"",N31/M31)</f>
        <v/>
      </c>
      <c r="P31" s="20" t="n">
        <v>0.39696</v>
      </c>
      <c r="Q31" s="20" t="n">
        <v>0.4481773006556505</v>
      </c>
      <c r="R31" s="20" t="n">
        <v>0.07521532837259973</v>
      </c>
      <c r="S31" s="21" t="n">
        <v>4</v>
      </c>
      <c r="T31" s="20" t="n"/>
      <c r="U31" s="20" t="n">
        <v>0.3865273190014621</v>
      </c>
      <c r="V31" s="20" t="n">
        <v>0.3994671403197158</v>
      </c>
      <c r="W31" s="20" t="n">
        <v>0.4313632675142007</v>
      </c>
      <c r="X31" s="20" t="n">
        <v>0.5753514757872236</v>
      </c>
      <c r="Y31" s="14" t="n">
        <v>5.68</v>
      </c>
      <c r="Z31" s="19">
        <f>IF(OR(Y31="",F31="",F31=0),"",Y31/F31)</f>
        <v/>
      </c>
      <c r="AA31" s="22" t="n">
        <v>150.772</v>
      </c>
      <c r="AB31" s="20" t="n">
        <v>0.115</v>
      </c>
      <c r="AC31" s="20" t="n">
        <v>0.2990616022847817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2026-09-09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170.325</v>
      </c>
      <c r="G32" s="15" t="inlineStr">
        <is>
          <t>USD</t>
        </is>
      </c>
      <c r="H32" s="14" t="n">
        <v>146.292141606155</v>
      </c>
      <c r="I32" s="16" t="n">
        <v>87597.66444477827</v>
      </c>
      <c r="J32" s="16" t="n">
        <v>101988.2</v>
      </c>
      <c r="K32" s="14" t="n">
        <v>4.38</v>
      </c>
      <c r="L32" s="14" t="n">
        <v>6.14956</v>
      </c>
      <c r="M32" s="17">
        <f>IF(OR(F32="",K32="",K32&lt;=0),"",F32/K32)</f>
        <v/>
      </c>
      <c r="N32" s="18" t="n">
        <v>12.884863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2026-09-09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Netflix</t>
        </is>
      </c>
      <c r="C33" s="12" t="inlineStr">
        <is>
          <t>NFLX</t>
        </is>
      </c>
      <c r="D33" s="11" t="inlineStr">
        <is>
          <t>Streaming</t>
        </is>
      </c>
      <c r="E33" s="13" t="inlineStr">
        <is>
          <t>Consumi</t>
        </is>
      </c>
      <c r="F33" s="14" t="n">
        <v>76.185</v>
      </c>
      <c r="G33" s="15" t="inlineStr">
        <is>
          <t>USD</t>
        </is>
      </c>
      <c r="H33" s="14" t="n">
        <v>65.43529610019034</v>
      </c>
      <c r="I33" s="16" t="n">
        <v>272468.5876652169</v>
      </c>
      <c r="J33" s="16" t="n">
        <v>317229.7</v>
      </c>
      <c r="K33" s="14" t="n">
        <v>3.18</v>
      </c>
      <c r="L33" s="14" t="n">
        <v>3.82091</v>
      </c>
      <c r="M33" s="17">
        <f>IF(OR(F33="",K33="",K33&lt;=0),"",F33/K33)</f>
        <v/>
      </c>
      <c r="N33" s="18" t="n">
        <v>10.521337</v>
      </c>
      <c r="O33" s="19">
        <f>IF(OR(N33="",M33="",M33&lt;=0),"",N33/M33)</f>
        <v/>
      </c>
      <c r="P33" s="20" t="n">
        <v>0.49541</v>
      </c>
      <c r="Q33" s="20" t="n">
        <v>0.3108822652973959</v>
      </c>
      <c r="R33" s="20" t="n">
        <v>0.07637252776064919</v>
      </c>
      <c r="S33" s="21" t="n">
        <v>4</v>
      </c>
      <c r="T33" s="20" t="n"/>
      <c r="U33" s="20" t="n">
        <v>0.4125868742290204</v>
      </c>
      <c r="V33" s="20" t="n">
        <v>0.3520766023750739</v>
      </c>
      <c r="W33" s="20" t="n">
        <v>0.262672808597771</v>
      </c>
      <c r="X33" s="20" t="n">
        <v>0.2161927759877186</v>
      </c>
      <c r="Y33" s="14" t="n"/>
      <c r="Z33" s="19">
        <f>IF(OR(Y33="",F33="",F33=0),"",Y33/F33)</f>
        <v/>
      </c>
      <c r="AA33" s="22" t="n">
        <v>55.236</v>
      </c>
      <c r="AB33" s="20" t="n">
        <v>0.134</v>
      </c>
      <c r="AC33" s="20" t="n">
        <v>0.3020966208645209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2026-09-09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Coca-Cola</t>
        </is>
      </c>
      <c r="C34" s="12" t="inlineStr">
        <is>
          <t>KO</t>
        </is>
      </c>
      <c r="D34" s="11" t="inlineStr">
        <is>
          <t>Bevande</t>
        </is>
      </c>
      <c r="E34" s="13" t="inlineStr">
        <is>
          <t>Consumi</t>
        </is>
      </c>
      <c r="F34" s="14" t="n">
        <v>87.825</v>
      </c>
      <c r="G34" s="15" t="inlineStr">
        <is>
          <t>USD</t>
        </is>
      </c>
      <c r="H34" s="14" t="n">
        <v>75.43289203910504</v>
      </c>
      <c r="I34" s="16" t="n">
        <v>324553.7434769766</v>
      </c>
      <c r="J34" s="16" t="n">
        <v>377871.4</v>
      </c>
      <c r="K34" s="14" t="n">
        <v>3.33</v>
      </c>
      <c r="L34" s="14" t="n">
        <v>3.52638</v>
      </c>
      <c r="M34" s="17">
        <f>IF(OR(F34="",K34="",K34&lt;=0),"",F34/K34)</f>
        <v/>
      </c>
      <c r="N34" s="18" t="n">
        <v>10.454112</v>
      </c>
      <c r="O34" s="19">
        <f>IF(OR(N34="",M34="",M34&lt;=0),"",N34/M34)</f>
        <v/>
      </c>
      <c r="P34" s="20" t="n">
        <v>0.42054</v>
      </c>
      <c r="Q34" s="20" t="n">
        <v>0.4110027875944097</v>
      </c>
      <c r="R34" s="20" t="n">
        <v>0.01145865829768229</v>
      </c>
      <c r="S34" s="21" t="n">
        <v>4</v>
      </c>
      <c r="T34" s="20" t="n"/>
      <c r="U34" s="20" t="n">
        <v>0.4074419472162641</v>
      </c>
      <c r="V34" s="20" t="n">
        <v>0.4277035725780496</v>
      </c>
      <c r="W34" s="20" t="n">
        <v>0.4130141474885317</v>
      </c>
      <c r="X34" s="20" t="n">
        <v>0.3958514830947936</v>
      </c>
      <c r="Y34" s="14" t="n">
        <v>2.12</v>
      </c>
      <c r="Z34" s="19">
        <f>IF(OR(Y34="",F34="",F34=0),"",Y34/F34)</f>
        <v/>
      </c>
      <c r="AA34" s="22" t="n">
        <v>115.519</v>
      </c>
      <c r="AB34" s="20" t="n">
        <v>0.067</v>
      </c>
      <c r="AC34" s="20" t="n">
        <v>0.2986170554640079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2026-09-09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Valero Energy</t>
        </is>
      </c>
      <c r="C35" s="12" t="inlineStr">
        <is>
          <t>VLO</t>
        </is>
      </c>
      <c r="D35" s="11" t="inlineStr">
        <is>
          <t>Raffinazione</t>
        </is>
      </c>
      <c r="E35" s="13" t="inlineStr">
        <is>
          <t>Energia</t>
        </is>
      </c>
      <c r="F35" s="14" t="n">
        <v>384.65</v>
      </c>
      <c r="G35" s="15" t="inlineStr">
        <is>
          <t>USD</t>
        </is>
      </c>
      <c r="H35" s="14" t="n">
        <v>330.3758829814034</v>
      </c>
      <c r="I35" s="16" t="n">
        <v>95124.29098879058</v>
      </c>
      <c r="J35" s="16" t="n">
        <v>110751.3</v>
      </c>
      <c r="K35" s="14" t="n">
        <v>23.97</v>
      </c>
      <c r="L35" s="14" t="n">
        <v>32.16587</v>
      </c>
      <c r="M35" s="17">
        <f>IF(OR(F35="",K35="",K35&lt;=0),"",F35/K35)</f>
        <v/>
      </c>
      <c r="N35" s="18" t="n">
        <v>4.42992</v>
      </c>
      <c r="O35" s="19">
        <f>IF(OR(N35="",M35="",M35&lt;=0),"",N35/M35)</f>
        <v/>
      </c>
      <c r="P35" s="20" t="n">
        <v>0.27637</v>
      </c>
      <c r="Q35" s="20" t="n">
        <v>0.2591503425025153</v>
      </c>
      <c r="R35" s="20" t="n">
        <v>0.1626219038409605</v>
      </c>
      <c r="S35" s="21" t="n">
        <v>4</v>
      </c>
      <c r="T35" s="20" t="n"/>
      <c r="U35" s="20" t="n">
        <v>0.09896733403582719</v>
      </c>
      <c r="V35" s="20" t="n">
        <v>0.1130058746736292</v>
      </c>
      <c r="W35" s="20" t="n">
        <v>0.3353450239125484</v>
      </c>
      <c r="X35" s="20" t="n">
        <v>0.4892831373880565</v>
      </c>
      <c r="Y35" s="14" t="n">
        <v>4.8</v>
      </c>
      <c r="Z35" s="19">
        <f>IF(OR(Y35="",F35="",F35=0),"",Y35/F35)</f>
        <v/>
      </c>
      <c r="AA35" s="22" t="n">
        <v>40.148</v>
      </c>
      <c r="AB35" s="20" t="n">
        <v>0.517</v>
      </c>
      <c r="AC35" s="20" t="n">
        <v>0.05862886806263092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2026-09-09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Sherwin-Williams</t>
        </is>
      </c>
      <c r="C36" s="12" t="inlineStr">
        <is>
          <t>SHW</t>
        </is>
      </c>
      <c r="D36" s="11" t="inlineStr">
        <is>
          <t>Vernici</t>
        </is>
      </c>
      <c r="E36" s="13" t="inlineStr">
        <is>
          <t>Materiali</t>
        </is>
      </c>
      <c r="F36" s="14" t="n">
        <v>320.67</v>
      </c>
      <c r="G36" s="15" t="inlineStr">
        <is>
          <t>USD</t>
        </is>
      </c>
      <c r="H36" s="14" t="n">
        <v>275.4234613171627</v>
      </c>
      <c r="I36" s="16" t="n">
        <v>66861.3277614773</v>
      </c>
      <c r="J36" s="16" t="n">
        <v>77845.3</v>
      </c>
      <c r="K36" s="14" t="n">
        <v>10.83</v>
      </c>
      <c r="L36" s="14" t="n">
        <v>13.61408</v>
      </c>
      <c r="M36" s="17">
        <f>IF(OR(F36="",K36="",K36&lt;=0),"",F36/K36)</f>
        <v/>
      </c>
      <c r="N36" s="18" t="n">
        <v>20.075754</v>
      </c>
      <c r="O36" s="19">
        <f>IF(OR(N36="",M36="",M36&lt;=0),"",N36/M36)</f>
        <v/>
      </c>
      <c r="P36" s="20" t="n">
        <v>0.65124</v>
      </c>
      <c r="Q36" s="20" t="n">
        <v>0.628633586608092</v>
      </c>
      <c r="R36" s="20" t="n">
        <v>0.04100468246861673</v>
      </c>
      <c r="S36" s="21" t="n">
        <v>4</v>
      </c>
      <c r="T36" s="20" t="n"/>
      <c r="U36" s="20" t="n">
        <v>0.5585759954765892</v>
      </c>
      <c r="V36" s="20" t="n">
        <v>0.661877962085308</v>
      </c>
      <c r="W36" s="20" t="n">
        <v>0.642876365789332</v>
      </c>
      <c r="X36" s="20" t="n">
        <v>0.6512040230811386</v>
      </c>
      <c r="Y36" s="14" t="n">
        <v>3.2</v>
      </c>
      <c r="Z36" s="19">
        <f>IF(OR(Y36="",F36="",F36=0),"",Y36/F36)</f>
        <v/>
      </c>
      <c r="AA36" s="22" t="n">
        <v>389.958</v>
      </c>
      <c r="AB36" s="20" t="n">
        <v>0.075</v>
      </c>
      <c r="AC36" s="20" t="n">
        <v>0.1140309547261212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2026-09-09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Texas Instruments</t>
        </is>
      </c>
      <c r="C37" s="12" t="inlineStr">
        <is>
          <t>TXN</t>
        </is>
      </c>
      <c r="D37" s="11" t="inlineStr">
        <is>
          <t>Semiconduttori</t>
        </is>
      </c>
      <c r="E37" s="13" t="inlineStr">
        <is>
          <t>Tecnologia</t>
        </is>
      </c>
      <c r="F37" s="14" t="n">
        <v>262.34</v>
      </c>
      <c r="G37" s="15" t="inlineStr">
        <is>
          <t>USD</t>
        </is>
      </c>
      <c r="H37" s="14" t="n">
        <v>225.3238246232714</v>
      </c>
      <c r="I37" s="16" t="n">
        <v>205776.4632027058</v>
      </c>
      <c r="J37" s="16" t="n">
        <v>239581.4</v>
      </c>
      <c r="K37" s="14" t="n">
        <v>6.58</v>
      </c>
      <c r="L37" s="14" t="n">
        <v>10.64485</v>
      </c>
      <c r="M37" s="17">
        <f>IF(OR(F37="",K37="",K37&lt;=0),"",F37/K37)</f>
        <v/>
      </c>
      <c r="N37" s="18" t="n">
        <v>13.301222</v>
      </c>
      <c r="O37" s="19">
        <f>IF(OR(N37="",M37="",M37&lt;=0),"",N37/M37)</f>
        <v/>
      </c>
      <c r="P37" s="20" t="n">
        <v>0.35176</v>
      </c>
      <c r="Q37" s="20" t="n">
        <v>0.3941751364874861</v>
      </c>
      <c r="R37" s="20" t="n">
        <v>0.124723387337169</v>
      </c>
      <c r="S37" s="21" t="n">
        <v>4</v>
      </c>
      <c r="T37" s="20" t="n"/>
      <c r="U37" s="20" t="n">
        <v>0.3073188717507528</v>
      </c>
      <c r="V37" s="20" t="n">
        <v>0.2839140980890966</v>
      </c>
      <c r="W37" s="20" t="n">
        <v>0.3852754926910102</v>
      </c>
      <c r="X37" s="20" t="n">
        <v>0.6001920834190848</v>
      </c>
      <c r="Y37" s="14" t="n">
        <v>5.68</v>
      </c>
      <c r="Z37" s="19">
        <f>IF(OR(Y37="",F37="",F37=0),"",Y37/F37)</f>
        <v/>
      </c>
      <c r="AA37" s="22" t="n">
        <v>78.036</v>
      </c>
      <c r="AB37" s="20" t="n">
        <v>0.228</v>
      </c>
      <c r="AC37" s="20" t="n">
        <v>0.3402895563850243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2026-09-09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Chubb</t>
        </is>
      </c>
      <c r="C38" s="12" t="inlineStr">
        <is>
          <t>CB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337.63</v>
      </c>
      <c r="G38" s="15" t="inlineStr">
        <is>
          <t>USD</t>
        </is>
      </c>
      <c r="H38" s="14" t="n">
        <v>289.9904052281586</v>
      </c>
      <c r="I38" s="16" t="n">
        <v>111878.2519564239</v>
      </c>
      <c r="J38" s="16" t="n">
        <v>130257.6</v>
      </c>
      <c r="K38" s="14" t="n">
        <v>28.21</v>
      </c>
      <c r="L38" s="14" t="n">
        <v>29.10944</v>
      </c>
      <c r="M38" s="17">
        <f>IF(OR(F38="",K38="",K38&lt;=0),"",F38/K38)</f>
        <v/>
      </c>
      <c r="N38" s="18" t="n">
        <v>1.7274495</v>
      </c>
      <c r="O38" s="19">
        <f>IF(OR(N38="",M38="",M38&lt;=0),"",N38/M38)</f>
        <v/>
      </c>
      <c r="P38" s="20" t="n">
        <v>0.14822</v>
      </c>
      <c r="Q38" s="20" t="n">
        <v>0.1350415459271134</v>
      </c>
      <c r="R38" s="20" t="n">
        <v>0.0185040460098504</v>
      </c>
      <c r="S38" s="21" t="n">
        <v>4</v>
      </c>
      <c r="T38" s="20" t="n"/>
      <c r="U38" s="20" t="n">
        <v>0.1397833425979907</v>
      </c>
      <c r="V38" s="20" t="n">
        <v>0.1448274784836226</v>
      </c>
      <c r="W38" s="20" t="n">
        <v>0.1517132438200548</v>
      </c>
      <c r="X38" s="20" t="n">
        <v>0.1038421188067856</v>
      </c>
      <c r="Y38" s="14" t="n">
        <v>4.08</v>
      </c>
      <c r="Z38" s="19">
        <f>IF(OR(Y38="",F38="",F38=0),"",Y38/F38)</f>
        <v/>
      </c>
      <c r="AA38" s="22" t="n">
        <v>30.941</v>
      </c>
      <c r="AB38" s="20" t="n">
        <v>0.061</v>
      </c>
      <c r="AC38" s="20" t="n">
        <v>0.1870933283374872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2026-09-09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Chipotle Mexican Grill</t>
        </is>
      </c>
      <c r="C39" s="12" t="inlineStr">
        <is>
          <t>CMG</t>
        </is>
      </c>
      <c r="D39" s="11" t="inlineStr">
        <is>
          <t>Ristorazione</t>
        </is>
      </c>
      <c r="E39" s="13" t="inlineStr">
        <is>
          <t>Consumi</t>
        </is>
      </c>
      <c r="F39" s="14" t="n">
        <v>36.285</v>
      </c>
      <c r="G39" s="15" t="inlineStr">
        <is>
          <t>USD</t>
        </is>
      </c>
      <c r="H39" s="14" t="n">
        <v>31.16518630958071</v>
      </c>
      <c r="I39" s="16" t="n">
        <v>39436.99448903996</v>
      </c>
      <c r="J39" s="16" t="n">
        <v>45915.7</v>
      </c>
      <c r="K39" s="14" t="n">
        <v>1.08</v>
      </c>
      <c r="L39" s="14" t="n">
        <v>1.36969</v>
      </c>
      <c r="M39" s="17">
        <f>IF(OR(F39="",K39="",K39&lt;=0),"",F39/K39)</f>
        <v/>
      </c>
      <c r="N39" s="18" t="n">
        <v>20.913544</v>
      </c>
      <c r="O39" s="19">
        <f>IF(OR(N39="",M39="",M39&lt;=0),"",N39/M39)</f>
        <v/>
      </c>
      <c r="P39" s="20" t="n">
        <v>0.49560001</v>
      </c>
      <c r="Q39" s="20" t="n">
        <v>0.4357911689420391</v>
      </c>
      <c r="R39" s="20" t="n">
        <v>0.06324374116647129</v>
      </c>
      <c r="S39" s="21" t="n">
        <v>4</v>
      </c>
      <c r="T39" s="20" t="n"/>
      <c r="U39" s="20" t="n">
        <v>0.5425553600340846</v>
      </c>
      <c r="V39" s="20" t="n">
        <v>0.4196664465445107</v>
      </c>
      <c r="W39" s="20" t="n">
        <v>0.4012586347036631</v>
      </c>
      <c r="X39" s="20" t="n">
        <v>0.3796842344858982</v>
      </c>
      <c r="Y39" s="14" t="n"/>
      <c r="Z39" s="19">
        <f>IF(OR(Y39="",F39="",F39=0),"",Y39/F39)</f>
        <v/>
      </c>
      <c r="AA39" s="22" t="n">
        <v>246.35</v>
      </c>
      <c r="AB39" s="20" t="n">
        <v>0.093</v>
      </c>
      <c r="AC39" s="20" t="n">
        <v>0.1190217542914609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2026-09-09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Illinois Tool Works</t>
        </is>
      </c>
      <c r="C40" s="12" t="inlineStr">
        <is>
          <t>ITW</t>
        </is>
      </c>
      <c r="D40" s="11" t="inlineStr">
        <is>
          <t>Componenti industriali</t>
        </is>
      </c>
      <c r="E40" s="13" t="inlineStr">
        <is>
          <t>Industriale</t>
        </is>
      </c>
      <c r="F40" s="14" t="n">
        <v>265.03</v>
      </c>
      <c r="G40" s="15" t="inlineStr">
        <is>
          <t>USD</t>
        </is>
      </c>
      <c r="H40" s="14" t="n">
        <v>227.6342656091546</v>
      </c>
      <c r="I40" s="16" t="n">
        <v>64830.20105388747</v>
      </c>
      <c r="J40" s="16" t="n">
        <v>75480.5</v>
      </c>
      <c r="K40" s="14" t="n">
        <v>11.04</v>
      </c>
      <c r="L40" s="14" t="n">
        <v>12.39649</v>
      </c>
      <c r="M40" s="17">
        <f>IF(OR(F40="",K40="",K40&lt;=0),"",F40/K40)</f>
        <v/>
      </c>
      <c r="N40" s="18" t="n">
        <v>26.080496</v>
      </c>
      <c r="O40" s="19">
        <f>IF(OR(N40="",M40="",M40&lt;=0),"",N40/M40)</f>
        <v/>
      </c>
      <c r="P40" s="20" t="n">
        <v>1.04618</v>
      </c>
      <c r="Q40" s="20" t="n">
        <v>0.9917050145447759</v>
      </c>
      <c r="R40" s="20" t="n">
        <v>0.03703105237820289</v>
      </c>
      <c r="S40" s="21" t="n">
        <v>4</v>
      </c>
      <c r="T40" s="20" t="n"/>
      <c r="U40" s="20" t="n">
        <v>0.9506976744186046</v>
      </c>
      <c r="V40" s="20" t="n">
        <v>1.051869722557298</v>
      </c>
      <c r="W40" s="20" t="n">
        <v>0.9817397078353254</v>
      </c>
      <c r="X40" s="20" t="n">
        <v>0.9825129533678757</v>
      </c>
      <c r="Y40" s="14" t="n">
        <v>6.88</v>
      </c>
      <c r="Z40" s="19">
        <f>IF(OR(Y40="",F40="",F40=0),"",Y40/F40)</f>
        <v/>
      </c>
      <c r="AA40" s="22" t="n">
        <v>334.853</v>
      </c>
      <c r="AB40" s="20" t="n">
        <v>0.061</v>
      </c>
      <c r="AC40" s="20" t="n">
        <v>0.1990775287958115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2026-09-09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Blackstone</t>
        </is>
      </c>
      <c r="C41" s="12" t="inlineStr">
        <is>
          <t>BX</t>
        </is>
      </c>
      <c r="D41" s="11" t="inlineStr">
        <is>
          <t>Private equity</t>
        </is>
      </c>
      <c r="E41" s="13" t="inlineStr">
        <is>
          <t>Finanziario</t>
        </is>
      </c>
      <c r="F41" s="14" t="n">
        <v>129.58</v>
      </c>
      <c r="G41" s="15" t="inlineStr">
        <is>
          <t>USD</t>
        </is>
      </c>
      <c r="H41" s="14" t="n">
        <v>111.2962613199799</v>
      </c>
      <c r="I41" s="16" t="n">
        <v>133032.1858171734</v>
      </c>
      <c r="J41" s="16" t="n">
        <v>154886.7</v>
      </c>
      <c r="K41" s="14" t="n">
        <v>4.47</v>
      </c>
      <c r="L41" s="14" t="n">
        <v>7.49055</v>
      </c>
      <c r="M41" s="17">
        <f>IF(OR(F41="",K41="",K41&lt;=0),"",F41/K41)</f>
        <v/>
      </c>
      <c r="N41" s="18" t="n">
        <v>11.498802</v>
      </c>
      <c r="O41" s="19">
        <f>IF(OR(N41="",M41="",M41&lt;=0),"",N41/M41)</f>
        <v/>
      </c>
      <c r="P41" s="20" t="n">
        <v>0.31374002</v>
      </c>
      <c r="Q41" s="20" t="n">
        <v>0.2797041245748269</v>
      </c>
      <c r="R41" s="20" t="n">
        <v>0.06422837139830108</v>
      </c>
      <c r="S41" s="21" t="n">
        <v>4</v>
      </c>
      <c r="T41" s="20" t="n"/>
      <c r="U41" s="20" t="n">
        <v>0.3484167031522379</v>
      </c>
      <c r="V41" s="20" t="n">
        <v>0.3380905349413399</v>
      </c>
      <c r="W41" s="20" t="n">
        <v>0.2040371447122241</v>
      </c>
      <c r="X41" s="20" t="n">
        <v>0.2282721154935056</v>
      </c>
      <c r="Y41" s="14" t="n">
        <v>5.23</v>
      </c>
      <c r="Z41" s="19">
        <f>IF(OR(Y41="",F41="",F41=0),"",Y41/F41)</f>
        <v/>
      </c>
      <c r="AA41" s="22" t="n">
        <v>68.185</v>
      </c>
      <c r="AB41" s="20" t="n">
        <v>0.286</v>
      </c>
      <c r="AC41" s="20" t="n">
        <v>0.2835642627903986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2026-09-09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JPMorgan Chase</t>
        </is>
      </c>
      <c r="C42" s="12" t="inlineStr">
        <is>
          <t>JPM</t>
        </is>
      </c>
      <c r="D42" s="11" t="inlineStr">
        <is>
          <t>Banca</t>
        </is>
      </c>
      <c r="E42" s="13" t="inlineStr">
        <is>
          <t>Finanziario</t>
        </is>
      </c>
      <c r="F42" s="14" t="n">
        <v>355.0017</v>
      </c>
      <c r="G42" s="15" t="inlineStr">
        <is>
          <t>USD</t>
        </is>
      </c>
      <c r="H42" s="14" t="n">
        <v>304.9109582669941</v>
      </c>
      <c r="I42" s="16" t="n">
        <v>810510.1702777828</v>
      </c>
      <c r="J42" s="16" t="n">
        <v>943660.7</v>
      </c>
      <c r="K42" s="14" t="n">
        <v>23.33</v>
      </c>
      <c r="L42" s="14" t="n">
        <v>25.01199</v>
      </c>
      <c r="M42" s="17">
        <f>IF(OR(F42="",K42="",K42&lt;=0),"",F42/K42)</f>
        <v/>
      </c>
      <c r="N42" s="18" t="n">
        <v>2.6690452</v>
      </c>
      <c r="O42" s="19">
        <f>IF(OR(N42="",M42="",M42&lt;=0),"",N42/M42)</f>
        <v/>
      </c>
      <c r="P42" s="20" t="n">
        <v>0.17789</v>
      </c>
      <c r="Q42" s="20" t="n">
        <v>0.1517527710837262</v>
      </c>
      <c r="R42" s="20" t="n">
        <v>0.01478123957270239</v>
      </c>
      <c r="S42" s="21" t="n">
        <v>4</v>
      </c>
      <c r="T42" s="20" t="n"/>
      <c r="U42" s="20" t="n">
        <v>0.1574007140531622</v>
      </c>
      <c r="V42" s="20" t="n">
        <v>0.1696001253052866</v>
      </c>
      <c r="W42" s="20" t="n">
        <v>0.1511293834902006</v>
      </c>
      <c r="X42" s="20" t="n">
        <v>0.1288808614862554</v>
      </c>
      <c r="Y42" s="14" t="n">
        <v>6</v>
      </c>
      <c r="Z42" s="19">
        <f>IF(OR(Y42="",F42="",F42=0),"",Y42/F42)</f>
        <v/>
      </c>
      <c r="AA42" s="22" t="n"/>
      <c r="AB42" s="20" t="n">
        <v>0.304</v>
      </c>
      <c r="AC42" s="20" t="n">
        <v>0.349931546409894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2026-09-09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TJX Companies</t>
        </is>
      </c>
      <c r="C43" s="12" t="inlineStr">
        <is>
          <t>TJX</t>
        </is>
      </c>
      <c r="D43" s="11" t="inlineStr">
        <is>
          <t>Abbigliamento / Retail</t>
        </is>
      </c>
      <c r="E43" s="13" t="inlineStr">
        <is>
          <t>Consumi</t>
        </is>
      </c>
      <c r="F43" s="14" t="n">
        <v>126.18</v>
      </c>
      <c r="G43" s="15" t="inlineStr">
        <is>
          <t>USD</t>
        </is>
      </c>
      <c r="H43" s="14" t="n">
        <v>108.3760013378226</v>
      </c>
      <c r="I43" s="16" t="n">
        <v>119210.7671016222</v>
      </c>
      <c r="J43" s="16" t="n">
        <v>138794.7</v>
      </c>
      <c r="K43" s="14" t="n">
        <v>5.4</v>
      </c>
      <c r="L43" s="14" t="n">
        <v>5.77352</v>
      </c>
      <c r="M43" s="17">
        <f>IF(OR(F43="",K43="",K43&lt;=0),"",F43/K43)</f>
        <v/>
      </c>
      <c r="N43" s="18" t="n">
        <v>13.403442</v>
      </c>
      <c r="O43" s="19">
        <f>IF(OR(N43="",M43="",M43&lt;=0),"",N43/M43)</f>
        <v/>
      </c>
      <c r="P43" s="20" t="n">
        <v>0.62171</v>
      </c>
      <c r="Q43" s="20" t="n">
        <v>0.5702624372175532</v>
      </c>
      <c r="R43" s="20" t="n">
        <v>0.02863520188802303</v>
      </c>
      <c r="S43" s="21" t="n">
        <v>4</v>
      </c>
      <c r="T43" s="20" t="n">
        <v>0.5391560353287537</v>
      </c>
      <c r="U43" s="20" t="n">
        <v>0.5795305611819374</v>
      </c>
      <c r="V43" s="20" t="n">
        <v>0.6127088468912627</v>
      </c>
      <c r="W43" s="20" t="n">
        <v>0.549654305468259</v>
      </c>
      <c r="X43" s="20" t="n"/>
      <c r="Y43" s="14" t="n">
        <v>1.92</v>
      </c>
      <c r="Z43" s="19">
        <f>IF(OR(Y43="",F43="",F43=0),"",Y43/F43)</f>
        <v/>
      </c>
      <c r="AA43" s="22" t="n">
        <v>134.419</v>
      </c>
      <c r="AB43" s="20" t="n">
        <v>0.054</v>
      </c>
      <c r="AC43" s="20" t="n">
        <v>0.1004936031272776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2026-09-09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Phillips 66</t>
        </is>
      </c>
      <c r="C44" s="12" t="inlineStr">
        <is>
          <t>PSX</t>
        </is>
      </c>
      <c r="D44" s="11" t="inlineStr">
        <is>
          <t>Raffinazione</t>
        </is>
      </c>
      <c r="E44" s="13" t="inlineStr">
        <is>
          <t>Energia</t>
        </is>
      </c>
      <c r="F44" s="14" t="n">
        <v>260.555</v>
      </c>
      <c r="G44" s="15" t="inlineStr">
        <is>
          <t>USD</t>
        </is>
      </c>
      <c r="H44" s="14" t="n">
        <v>223.7906881326389</v>
      </c>
      <c r="I44" s="16" t="n">
        <v>89725.50329177719</v>
      </c>
      <c r="J44" s="16" t="n">
        <v>104465.6</v>
      </c>
      <c r="K44" s="14" t="n">
        <v>17.52</v>
      </c>
      <c r="L44" s="14" t="n">
        <v>21.29483</v>
      </c>
      <c r="M44" s="17">
        <f>IF(OR(F44="",K44="",K44&lt;=0),"",F44/K44)</f>
        <v/>
      </c>
      <c r="N44" s="18" t="n">
        <v>3.299919</v>
      </c>
      <c r="O44" s="19">
        <f>IF(OR(N44="",M44="",M44&lt;=0),"",N44/M44)</f>
        <v/>
      </c>
      <c r="P44" s="20" t="n">
        <v>0.23452999</v>
      </c>
      <c r="Q44" s="20" t="n">
        <v>0.2079323006455208</v>
      </c>
      <c r="R44" s="20" t="n">
        <v>0.1098238706639464</v>
      </c>
      <c r="S44" s="21" t="n">
        <v>4</v>
      </c>
      <c r="T44" s="20" t="n"/>
      <c r="U44" s="20" t="n">
        <v>0.151342247275977</v>
      </c>
      <c r="V44" s="20" t="n">
        <v>0.07724022183304145</v>
      </c>
      <c r="W44" s="20" t="n">
        <v>0.2293757970114116</v>
      </c>
      <c r="X44" s="20" t="n">
        <v>0.3737709364616532</v>
      </c>
      <c r="Y44" s="14" t="n">
        <v>5.08</v>
      </c>
      <c r="Z44" s="19">
        <f>IF(OR(Y44="",F44="",F44=0),"",Y44/F44)</f>
        <v/>
      </c>
      <c r="AA44" s="22" t="n">
        <v>62.884</v>
      </c>
      <c r="AB44" s="20" t="n">
        <v>0.531</v>
      </c>
      <c r="AC44" s="20" t="n">
        <v>0.05352178787695655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2026-09-09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Cigna Group</t>
        </is>
      </c>
      <c r="C45" s="12" t="inlineStr">
        <is>
          <t>CI</t>
        </is>
      </c>
      <c r="D45" s="11" t="inlineStr">
        <is>
          <t>Assicurazione sanitaria</t>
        </is>
      </c>
      <c r="E45" s="13" t="inlineStr">
        <is>
          <t>Salute</t>
        </is>
      </c>
      <c r="F45" s="14" t="n">
        <v>276.44</v>
      </c>
      <c r="G45" s="15" t="inlineStr">
        <is>
          <t>USD</t>
        </is>
      </c>
      <c r="H45" s="14" t="n">
        <v>237.4343145492764</v>
      </c>
      <c r="I45" s="16" t="n">
        <v>62739.72435666029</v>
      </c>
      <c r="J45" s="16" t="n">
        <v>73046.60000000001</v>
      </c>
      <c r="K45" s="14" t="n">
        <v>24.19</v>
      </c>
      <c r="L45" s="14" t="n">
        <v>33.48949</v>
      </c>
      <c r="M45" s="17">
        <f>IF(OR(F45="",K45="",K45&lt;=0),"",F45/K45)</f>
        <v/>
      </c>
      <c r="N45" s="18" t="n">
        <v>1.7104001</v>
      </c>
      <c r="O45" s="19">
        <f>IF(OR(N45="",M45="",M45&lt;=0),"",N45/M45)</f>
        <v/>
      </c>
      <c r="P45" s="20" t="n">
        <v>0.16758</v>
      </c>
      <c r="Q45" s="20" t="n">
        <v>0.1220696910352129</v>
      </c>
      <c r="R45" s="20" t="n">
        <v>0.02642867866442709</v>
      </c>
      <c r="S45" s="21" t="n">
        <v>4</v>
      </c>
      <c r="T45" s="20" t="n"/>
      <c r="U45" s="20" t="n">
        <v>0.1428091961738547</v>
      </c>
      <c r="V45" s="20" t="n">
        <v>0.0836887383325616</v>
      </c>
      <c r="W45" s="20" t="n">
        <v>0.1117192739545248</v>
      </c>
      <c r="X45" s="20" t="n">
        <v>0.1500615556799105</v>
      </c>
      <c r="Y45" s="14" t="n">
        <v>6.24</v>
      </c>
      <c r="Z45" s="19">
        <f>IF(OR(Y45="",F45="",F45=0),"",Y45/F45)</f>
        <v/>
      </c>
      <c r="AA45" s="22" t="n">
        <v>74.29000000000001</v>
      </c>
      <c r="AB45" s="20" t="n">
        <v>0.067</v>
      </c>
      <c r="AC45" s="20" t="n">
        <v>0.02342854221592527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2026-09-09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Nike</t>
        </is>
      </c>
      <c r="C46" s="12" t="inlineStr">
        <is>
          <t>NKE</t>
        </is>
      </c>
      <c r="D46" s="11" t="inlineStr">
        <is>
          <t>Abbigliamento sportivo</t>
        </is>
      </c>
      <c r="E46" s="13" t="inlineStr">
        <is>
          <t>Consumi</t>
        </is>
      </c>
      <c r="F46" s="14" t="n">
        <v>37.1451</v>
      </c>
      <c r="G46" s="15" t="inlineStr">
        <is>
          <t>USD</t>
        </is>
      </c>
      <c r="H46" s="14" t="n">
        <v>31.90392619506701</v>
      </c>
      <c r="I46" s="16" t="n">
        <v>47329.42654081721</v>
      </c>
      <c r="J46" s="16" t="n">
        <v>55104.7</v>
      </c>
      <c r="K46" s="14" t="n">
        <v>2.1</v>
      </c>
      <c r="L46" s="14" t="n">
        <v>2.29113</v>
      </c>
      <c r="M46" s="17">
        <f>IF(OR(F46="",K46="",K46&lt;=0),"",F46/K46)</f>
        <v/>
      </c>
      <c r="N46" s="18" t="n">
        <v>3.7056165</v>
      </c>
      <c r="O46" s="19">
        <f>IF(OR(N46="",M46="",M46&lt;=0),"",N46/M46)</f>
        <v/>
      </c>
      <c r="P46" s="20" t="n">
        <v>0.22138001</v>
      </c>
      <c r="Q46" s="20" t="n">
        <v>0.3024388129670675</v>
      </c>
      <c r="R46" s="20" t="n">
        <v>0.07793665822629463</v>
      </c>
      <c r="S46" s="21" t="n">
        <v>4</v>
      </c>
      <c r="T46" s="20" t="n">
        <v>0.2090817356205853</v>
      </c>
      <c r="U46" s="20" t="n">
        <v>0.2436237039279497</v>
      </c>
      <c r="V46" s="20" t="n">
        <v>0.395010395010395</v>
      </c>
      <c r="W46" s="20" t="n">
        <v>0.3620394173093402</v>
      </c>
      <c r="X46" s="20" t="n"/>
      <c r="Y46" s="14" t="n">
        <v>1.64</v>
      </c>
      <c r="Z46" s="19">
        <f>IF(OR(Y46="",F46="",F46=0),"",Y46/F46)</f>
        <v/>
      </c>
      <c r="AA46" s="22" t="n">
        <v>74.289</v>
      </c>
      <c r="AB46" s="20" t="n">
        <v>-0.011</v>
      </c>
      <c r="AC46" s="20" t="n">
        <v>0.06698564593301436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2026-09-09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NVIDIA</t>
        </is>
      </c>
      <c r="C47" s="12" t="inlineStr">
        <is>
          <t>NVDA</t>
        </is>
      </c>
      <c r="D47" s="11" t="inlineStr">
        <is>
          <t>Semiconduttori</t>
        </is>
      </c>
      <c r="E47" s="13" t="inlineStr">
        <is>
          <t>Tecnologia</t>
        </is>
      </c>
      <c r="F47" s="14" t="n">
        <v>224.245</v>
      </c>
      <c r="G47" s="15" t="inlineStr">
        <is>
          <t>USD</t>
        </is>
      </c>
      <c r="H47" s="14" t="n">
        <v>192.6040293231894</v>
      </c>
      <c r="I47" s="16" t="n">
        <v>4650809.311403555</v>
      </c>
      <c r="J47" s="16" t="n">
        <v>5414843.8</v>
      </c>
      <c r="K47" s="14" t="n">
        <v>7.9</v>
      </c>
      <c r="L47" s="14" t="n">
        <v>15.51906</v>
      </c>
      <c r="M47" s="17">
        <f>IF(OR(F47="",K47="",K47&lt;=0),"",F47/K47)</f>
        <v/>
      </c>
      <c r="N47" s="18" t="n">
        <v>23.647053</v>
      </c>
      <c r="O47" s="19">
        <f>IF(OR(N47="",M47="",M47&lt;=0),"",N47/M47)</f>
        <v/>
      </c>
      <c r="P47" s="20" t="n">
        <v>1.17211</v>
      </c>
      <c r="Q47" s="20" t="n">
        <v>0.6430369043825913</v>
      </c>
      <c r="R47" s="20" t="n">
        <v>0.2698604910859732</v>
      </c>
      <c r="S47" s="21" t="n">
        <v>4</v>
      </c>
      <c r="T47" s="20" t="n">
        <v>0.7633333969089534</v>
      </c>
      <c r="U47" s="20" t="n">
        <v>0.9187288060811577</v>
      </c>
      <c r="V47" s="20" t="n">
        <v>0.6924472986178976</v>
      </c>
      <c r="W47" s="20" t="n">
        <v>0.1976381159223564</v>
      </c>
      <c r="X47" s="20" t="n"/>
      <c r="Y47" s="14" t="n">
        <v>1</v>
      </c>
      <c r="Z47" s="19">
        <f>IF(OR(Y47="",F47="",F47=0),"",Y47/F47)</f>
        <v/>
      </c>
      <c r="AA47" s="22" t="n">
        <v>16.971</v>
      </c>
      <c r="AB47" s="20" t="n">
        <v>1.059</v>
      </c>
      <c r="AC47" s="20" t="n">
        <v>0.8932193547407126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2026-09-09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CSX Corporation</t>
        </is>
      </c>
      <c r="C48" s="12" t="inlineStr">
        <is>
          <t>CSX</t>
        </is>
      </c>
      <c r="D48" s="11" t="inlineStr">
        <is>
          <t>Ferrovie</t>
        </is>
      </c>
      <c r="E48" s="13" t="inlineStr">
        <is>
          <t>Industriale</t>
        </is>
      </c>
      <c r="F48" s="14" t="n">
        <v>48.46</v>
      </c>
      <c r="G48" s="15" t="inlineStr">
        <is>
          <t>USD</t>
        </is>
      </c>
      <c r="H48" s="14" t="n">
        <v>41.62229374568779</v>
      </c>
      <c r="I48" s="16" t="n">
        <v>77104.22553889318</v>
      </c>
      <c r="J48" s="16" t="n">
        <v>89770.89999999999</v>
      </c>
      <c r="K48" s="14" t="n">
        <v>1.72</v>
      </c>
      <c r="L48" s="14" t="n">
        <v>2.27151</v>
      </c>
      <c r="M48" s="17">
        <f>IF(OR(F48="",K48="",K48&lt;=0),"",F48/K48)</f>
        <v/>
      </c>
      <c r="N48" s="18" t="n">
        <v>6.374638</v>
      </c>
      <c r="O48" s="19">
        <f>IF(OR(N48="",M48="",M48&lt;=0),"",N48/M48)</f>
        <v/>
      </c>
      <c r="P48" s="20" t="n">
        <v>0.24357</v>
      </c>
      <c r="Q48" s="20" t="n">
        <v>0.2823661415471586</v>
      </c>
      <c r="R48" s="20" t="n">
        <v>0.04013263354129347</v>
      </c>
      <c r="S48" s="21" t="n">
        <v>4</v>
      </c>
      <c r="T48" s="20" t="n"/>
      <c r="U48" s="20" t="n">
        <v>0.219612314709236</v>
      </c>
      <c r="V48" s="20" t="n">
        <v>0.2775555911054231</v>
      </c>
      <c r="W48" s="20" t="n">
        <v>0.3061769616026711</v>
      </c>
      <c r="X48" s="20" t="n">
        <v>0.326119698771304</v>
      </c>
      <c r="Y48" s="14" t="n">
        <v>0.5600000000000001</v>
      </c>
      <c r="Z48" s="19">
        <f>IF(OR(Y48="",F48="",F48=0),"",Y48/F48)</f>
        <v/>
      </c>
      <c r="AA48" s="22" t="n">
        <v>138.068</v>
      </c>
      <c r="AB48" s="20" t="n">
        <v>0.101</v>
      </c>
      <c r="AC48" s="20" t="n">
        <v>0.2287113301163781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2026-09-09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Northrop Grumman</t>
        </is>
      </c>
      <c r="C49" s="12" t="inlineStr">
        <is>
          <t>NOC</t>
        </is>
      </c>
      <c r="D49" s="11" t="inlineStr">
        <is>
          <t>Difesa</t>
        </is>
      </c>
      <c r="E49" s="13" t="inlineStr">
        <is>
          <t>Industriale</t>
        </is>
      </c>
      <c r="F49" s="14" t="n">
        <v>516.33</v>
      </c>
      <c r="G49" s="15" t="inlineStr">
        <is>
          <t>USD</t>
        </is>
      </c>
      <c r="H49" s="14" t="n">
        <v>443.4758342903627</v>
      </c>
      <c r="I49" s="16" t="n">
        <v>63001.51707506073</v>
      </c>
      <c r="J49" s="16" t="n">
        <v>73351.39999999999</v>
      </c>
      <c r="K49" s="14" t="n">
        <v>31.48</v>
      </c>
      <c r="L49" s="14" t="n">
        <v>30.43997</v>
      </c>
      <c r="M49" s="17">
        <f>IF(OR(F49="",K49="",K49&lt;=0),"",F49/K49)</f>
        <v/>
      </c>
      <c r="N49" s="18" t="n">
        <v>4.101503</v>
      </c>
      <c r="O49" s="19">
        <f>IF(OR(N49="",M49="",M49&lt;=0),"",N49/M49)</f>
        <v/>
      </c>
      <c r="P49" s="20" t="n">
        <v>0.26958</v>
      </c>
      <c r="Q49" s="20" t="n">
        <v>0.2456284021316426</v>
      </c>
      <c r="R49" s="20" t="n">
        <v>0.06641956155607608</v>
      </c>
      <c r="S49" s="21" t="n">
        <v>4</v>
      </c>
      <c r="T49" s="20" t="n"/>
      <c r="U49" s="20" t="n">
        <v>0.250809643756747</v>
      </c>
      <c r="V49" s="20" t="n">
        <v>0.2729888816219752</v>
      </c>
      <c r="W49" s="20" t="n">
        <v>0.1389658668469077</v>
      </c>
      <c r="X49" s="20" t="n">
        <v>0.3197492163009404</v>
      </c>
      <c r="Y49" s="14" t="n">
        <v>9.880000000000001</v>
      </c>
      <c r="Z49" s="19">
        <f>IF(OR(Y49="",F49="",F49=0),"",Y49/F49)</f>
        <v/>
      </c>
      <c r="AA49" s="22" t="n">
        <v>95.348</v>
      </c>
      <c r="AB49" s="20" t="n">
        <v>0.051</v>
      </c>
      <c r="AC49" s="20" t="n">
        <v>0.1071649902273919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2026-09-09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Cadence Design</t>
        </is>
      </c>
      <c r="C50" s="12" t="inlineStr">
        <is>
          <t>CDNS</t>
        </is>
      </c>
      <c r="D50" s="11" t="inlineStr">
        <is>
          <t>Software EDA</t>
        </is>
      </c>
      <c r="E50" s="13" t="inlineStr">
        <is>
          <t>Tecnologia</t>
        </is>
      </c>
      <c r="F50" s="14" t="n">
        <v>285.63</v>
      </c>
      <c r="G50" s="15" t="inlineStr">
        <is>
          <t>USD</t>
        </is>
      </c>
      <c r="H50" s="14" t="n">
        <v>245.3276055010483</v>
      </c>
      <c r="I50" s="16" t="n">
        <v>67561.50303719922</v>
      </c>
      <c r="J50" s="16" t="n">
        <v>78660.5</v>
      </c>
      <c r="K50" s="14" t="n">
        <v>5.03</v>
      </c>
      <c r="L50" s="14" t="n">
        <v>9.54363</v>
      </c>
      <c r="M50" s="17">
        <f>IF(OR(F50="",K50="",K50&lt;=0),"",F50/K50)</f>
        <v/>
      </c>
      <c r="N50" s="18" t="n">
        <v>11.470163</v>
      </c>
      <c r="O50" s="19">
        <f>IF(OR(N50="",M50="",M50&lt;=0),"",N50/M50)</f>
        <v/>
      </c>
      <c r="P50" s="20" t="n">
        <v>0.23229</v>
      </c>
      <c r="Q50" s="20" t="n">
        <v>0.2608754092791846</v>
      </c>
      <c r="R50" s="20" t="n">
        <v>0.04740689685132777</v>
      </c>
      <c r="S50" s="21" t="n">
        <v>4</v>
      </c>
      <c r="T50" s="20" t="n"/>
      <c r="U50" s="20" t="n">
        <v>0.2025669227963051</v>
      </c>
      <c r="V50" s="20" t="n">
        <v>0.2258406728206954</v>
      </c>
      <c r="W50" s="20" t="n">
        <v>0.3058346412491837</v>
      </c>
      <c r="X50" s="20" t="n">
        <v>0.3092594002505544</v>
      </c>
      <c r="Y50" s="14" t="n"/>
      <c r="Z50" s="19">
        <f>IF(OR(Y50="",F50="",F50=0),"",Y50/F50)</f>
        <v/>
      </c>
      <c r="AA50" s="22" t="n">
        <v>38.661</v>
      </c>
      <c r="AB50" s="20" t="n">
        <v>0.242</v>
      </c>
      <c r="AC50" s="20" t="n">
        <v>0.2601579539488204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2026-09-09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Meta Platforms</t>
        </is>
      </c>
      <c r="C51" s="12" t="inlineStr">
        <is>
          <t>META</t>
        </is>
      </c>
      <c r="D51" s="11" t="inlineStr">
        <is>
          <t>Internet / Pubblicita'</t>
        </is>
      </c>
      <c r="E51" s="13" t="inlineStr">
        <is>
          <t>Tecnologia</t>
        </is>
      </c>
      <c r="F51" s="14" t="n">
        <v>651.27</v>
      </c>
      <c r="G51" s="15" t="inlineStr">
        <is>
          <t>USD</t>
        </is>
      </c>
      <c r="H51" s="14" t="n">
        <v>559.3757995822139</v>
      </c>
      <c r="I51" s="16" t="n">
        <v>1425043.668622983</v>
      </c>
      <c r="J51" s="16" t="n">
        <v>1659149.7</v>
      </c>
      <c r="K51" s="14" t="n">
        <v>26.56</v>
      </c>
      <c r="L51" s="14" t="n">
        <v>34.95966</v>
      </c>
      <c r="M51" s="17">
        <f>IF(OR(F51="",K51="",K51&lt;=0),"",F51/K51)</f>
        <v/>
      </c>
      <c r="N51" s="18" t="n">
        <v>6.35275</v>
      </c>
      <c r="O51" s="19">
        <f>IF(OR(N51="",M51="",M51&lt;=0),"",N51/M51)</f>
        <v/>
      </c>
      <c r="P51" s="20" t="n">
        <v>0.29848</v>
      </c>
      <c r="Q51" s="20" t="n">
        <v>0.2648871265585463</v>
      </c>
      <c r="R51" s="20" t="n">
        <v>0.05609730945851681</v>
      </c>
      <c r="S51" s="21" t="n">
        <v>4</v>
      </c>
      <c r="T51" s="20" t="n"/>
      <c r="U51" s="20" t="n">
        <v>0.2782966539773433</v>
      </c>
      <c r="V51" s="20" t="n">
        <v>0.3414423145364849</v>
      </c>
      <c r="W51" s="20" t="n">
        <v>0.2552621957589052</v>
      </c>
      <c r="X51" s="20" t="n">
        <v>0.1845473419614519</v>
      </c>
      <c r="Y51" s="14" t="n">
        <v>2.1</v>
      </c>
      <c r="Z51" s="19">
        <f>IF(OR(Y51="",F51="",F51=0),"",Y51/F51)</f>
        <v/>
      </c>
      <c r="AA51" s="22" t="n">
        <v>42.997</v>
      </c>
      <c r="AB51" s="20" t="n">
        <v>0.28</v>
      </c>
      <c r="AC51" s="20" t="n">
        <v>0.3388533326433327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2026-09-09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Waste Management</t>
        </is>
      </c>
      <c r="C52" s="12" t="inlineStr">
        <is>
          <t>WM</t>
        </is>
      </c>
      <c r="D52" s="11" t="inlineStr">
        <is>
          <t>Servizi ambientali</t>
        </is>
      </c>
      <c r="E52" s="13" t="inlineStr">
        <is>
          <t>Industriale</t>
        </is>
      </c>
      <c r="F52" s="14" t="n">
        <v>216.16</v>
      </c>
      <c r="G52" s="15" t="inlineStr">
        <is>
          <t>USD</t>
        </is>
      </c>
      <c r="H52" s="14" t="n">
        <v>185.6598228656185</v>
      </c>
      <c r="I52" s="16" t="n">
        <v>74211.02090657066</v>
      </c>
      <c r="J52" s="16" t="n">
        <v>86402.39999999999</v>
      </c>
      <c r="K52" s="14" t="n">
        <v>7.08</v>
      </c>
      <c r="L52" s="14" t="n">
        <v>9.11924</v>
      </c>
      <c r="M52" s="17">
        <f>IF(OR(F52="",K52="",K52&lt;=0),"",F52/K52)</f>
        <v/>
      </c>
      <c r="N52" s="18" t="n">
        <v>8.71086</v>
      </c>
      <c r="O52" s="19">
        <f>IF(OR(N52="",M52="",M52&lt;=0),"",N52/M52)</f>
        <v/>
      </c>
      <c r="P52" s="20" t="n">
        <v>0.29841</v>
      </c>
      <c r="Q52" s="20" t="n">
        <v>0.3160924607555183</v>
      </c>
      <c r="R52" s="20" t="n">
        <v>0.02613080609356336</v>
      </c>
      <c r="S52" s="21" t="n">
        <v>4</v>
      </c>
      <c r="T52" s="20" t="n"/>
      <c r="U52" s="20" t="n">
        <v>0.2710710710710711</v>
      </c>
      <c r="V52" s="20" t="n">
        <v>0.3327678138633058</v>
      </c>
      <c r="W52" s="20" t="n">
        <v>0.333767926988266</v>
      </c>
      <c r="X52" s="20" t="n">
        <v>0.3267630310994306</v>
      </c>
      <c r="Y52" s="14" t="n">
        <v>3.78</v>
      </c>
      <c r="Z52" s="19">
        <f>IF(OR(Y52="",F52="",F52=0),"",Y52/F52)</f>
        <v/>
      </c>
      <c r="AA52" s="22" t="n">
        <v>235.301</v>
      </c>
      <c r="AB52" s="20" t="n">
        <v>0.04</v>
      </c>
      <c r="AC52" s="20" t="n">
        <v>0.1131963155054753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2026-09-09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Cisco Systems</t>
        </is>
      </c>
      <c r="C53" s="12" t="inlineStr">
        <is>
          <t>CSCO</t>
        </is>
      </c>
      <c r="D53" s="11" t="inlineStr">
        <is>
          <t>Reti</t>
        </is>
      </c>
      <c r="E53" s="13" t="inlineStr">
        <is>
          <t>Tecnologia</t>
        </is>
      </c>
      <c r="F53" s="14" t="n">
        <v>109.785</v>
      </c>
      <c r="G53" s="15" t="inlineStr">
        <is>
          <t>USD</t>
        </is>
      </c>
      <c r="H53" s="14" t="n">
        <v>94.29433592386161</v>
      </c>
      <c r="I53" s="16" t="n">
        <v>371763.6111385244</v>
      </c>
      <c r="J53" s="16" t="n">
        <v>432836.9</v>
      </c>
      <c r="K53" s="14" t="n">
        <v>3.33</v>
      </c>
      <c r="L53" s="14" t="n">
        <v>5.60835</v>
      </c>
      <c r="M53" s="17">
        <f>IF(OR(F53="",K53="",K53&lt;=0),"",F53/K53)</f>
        <v/>
      </c>
      <c r="N53" s="18" t="n">
        <v>8.615318</v>
      </c>
      <c r="O53" s="19">
        <f>IF(OR(N53="",M53="",M53&lt;=0),"",N53/M53)</f>
        <v/>
      </c>
      <c r="P53" s="20" t="n">
        <v>0.27319</v>
      </c>
      <c r="Q53" s="20" t="n">
        <v>0.2481407932680991</v>
      </c>
      <c r="R53" s="20" t="n">
        <v>0.0271800865071588</v>
      </c>
      <c r="S53" s="21" t="n">
        <v>4</v>
      </c>
      <c r="T53" s="20" t="n">
        <v>0.2638361340359948</v>
      </c>
      <c r="U53" s="20" t="n">
        <v>0.2173216916081378</v>
      </c>
      <c r="V53" s="20" t="n">
        <v>0.2270277405020129</v>
      </c>
      <c r="W53" s="20" t="n">
        <v>0.2843776069262507</v>
      </c>
      <c r="X53" s="20" t="n">
        <v>0.2969853921001684</v>
      </c>
      <c r="Y53" s="14" t="n">
        <v>1.68</v>
      </c>
      <c r="Z53" s="19">
        <f>IF(OR(Y53="",F53="",F53=0),"",Y53/F53)</f>
        <v/>
      </c>
      <c r="AA53" s="22" t="n">
        <v>62.017</v>
      </c>
      <c r="AB53" s="20" t="n">
        <v>0.176</v>
      </c>
      <c r="AC53" s="20" t="n">
        <v>0.2095065190682985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2026-09-09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Procter &amp; Gamble</t>
        </is>
      </c>
      <c r="C54" s="12" t="inlineStr">
        <is>
          <t>PG</t>
        </is>
      </c>
      <c r="D54" s="11" t="inlineStr">
        <is>
          <t>Beni per la casa</t>
        </is>
      </c>
      <c r="E54" s="13" t="inlineStr">
        <is>
          <t>Consumi</t>
        </is>
      </c>
      <c r="F54" s="14" t="n">
        <v>142.765</v>
      </c>
      <c r="G54" s="15" t="inlineStr">
        <is>
          <t>USD</t>
        </is>
      </c>
      <c r="H54" s="14" t="n">
        <v>122.6208577507866</v>
      </c>
      <c r="I54" s="16" t="n">
        <v>284808.0603298228</v>
      </c>
      <c r="J54" s="16" t="n">
        <v>331596.3</v>
      </c>
      <c r="K54" s="14" t="n">
        <v>6.62</v>
      </c>
      <c r="L54" s="14" t="n">
        <v>7.3998</v>
      </c>
      <c r="M54" s="17">
        <f>IF(OR(F54="",K54="",K54&lt;=0),"",F54/K54)</f>
        <v/>
      </c>
      <c r="N54" s="18" t="n">
        <v>6.2215104</v>
      </c>
      <c r="O54" s="19">
        <f>IF(OR(N54="",M54="",M54&lt;=0),"",N54/M54)</f>
        <v/>
      </c>
      <c r="P54" s="20" t="n">
        <v>0.30290002</v>
      </c>
      <c r="Q54" s="20" t="n">
        <v>0.3032410724344928</v>
      </c>
      <c r="R54" s="20" t="n">
        <v>0.007281835576251603</v>
      </c>
      <c r="S54" s="21" t="n">
        <v>4</v>
      </c>
      <c r="T54" s="20" t="n">
        <v>0.2967030935078863</v>
      </c>
      <c r="U54" s="20" t="n">
        <v>0.3071214335153426</v>
      </c>
      <c r="V54" s="20" t="n">
        <v>0.2958875233663445</v>
      </c>
      <c r="W54" s="20" t="n">
        <v>0.3132522393483977</v>
      </c>
      <c r="X54" s="20" t="n">
        <v>0.3164266243104595</v>
      </c>
      <c r="Y54" s="14" t="n">
        <v>4.35</v>
      </c>
      <c r="Z54" s="19">
        <f>IF(OR(Y54="",F54="",F54=0),"",Y54/F54)</f>
        <v/>
      </c>
      <c r="AA54" s="22" t="n">
        <v>64.48999999999999</v>
      </c>
      <c r="AB54" s="20" t="n">
        <v>0.015</v>
      </c>
      <c r="AC54" s="20" t="n">
        <v>0.1810138843643717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2026-09-09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Palantir</t>
        </is>
      </c>
      <c r="C55" s="12" t="inlineStr">
        <is>
          <t>PLTR</t>
        </is>
      </c>
      <c r="D55" s="11" t="inlineStr">
        <is>
          <t>Software / Dati</t>
        </is>
      </c>
      <c r="E55" s="13" t="inlineStr">
        <is>
          <t>Tecnologia</t>
        </is>
      </c>
      <c r="F55" s="14" t="n">
        <v>170.97</v>
      </c>
      <c r="G55" s="15" t="inlineStr">
        <is>
          <t>USD</t>
        </is>
      </c>
      <c r="H55" s="14" t="n">
        <v>146.8461321027701</v>
      </c>
      <c r="I55" s="16" t="n">
        <v>352879.8358539043</v>
      </c>
      <c r="J55" s="16" t="n">
        <v>410850.9</v>
      </c>
      <c r="K55" s="14" t="n">
        <v>1.18</v>
      </c>
      <c r="L55" s="14" t="n">
        <v>2.32597</v>
      </c>
      <c r="M55" s="17">
        <f>IF(OR(F55="",K55="",K55&lt;=0),"",F55/K55)</f>
        <v/>
      </c>
      <c r="N55" s="18" t="n">
        <v>42.028027</v>
      </c>
      <c r="O55" s="19">
        <f>IF(OR(N55="",M55="",M55&lt;=0),"",N55/M55)</f>
        <v/>
      </c>
      <c r="P55" s="20" t="n">
        <v>0.38097</v>
      </c>
      <c r="Q55" s="20" t="n">
        <v>0.38097</v>
      </c>
      <c r="R55" s="20" t="n"/>
      <c r="S55" s="21" t="n">
        <v>0</v>
      </c>
      <c r="T55" s="20" t="n"/>
      <c r="U55" s="20" t="n">
        <v>0.2199775343198595</v>
      </c>
      <c r="V55" s="20" t="n">
        <v>0.09237749274225382</v>
      </c>
      <c r="W55" s="20" t="n">
        <v>0.06037154865070703</v>
      </c>
      <c r="X55" s="20" t="n">
        <v>-0.145675442419404</v>
      </c>
      <c r="Y55" s="14" t="n"/>
      <c r="Z55" s="19">
        <f>IF(OR(Y55="",F55="",F55=0),"",Y55/F55)</f>
        <v/>
      </c>
      <c r="AA55" s="22" t="n">
        <v>2.139</v>
      </c>
      <c r="AB55" s="20" t="n">
        <v>0.928</v>
      </c>
      <c r="AC55" s="20" t="n">
        <v>0.6740539307143913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2026-09-09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362.76</v>
      </c>
      <c r="G56" s="15" t="inlineStr">
        <is>
          <t>USD</t>
        </is>
      </c>
      <c r="H56" s="14" t="n">
        <v>311.5745620962795</v>
      </c>
      <c r="I56" s="16" t="n">
        <v>1482341.059052896</v>
      </c>
      <c r="J56" s="16" t="n">
        <v>1725859.9</v>
      </c>
      <c r="K56" s="14" t="n">
        <v>7.85</v>
      </c>
      <c r="L56" s="14" t="n">
        <v>19.3879</v>
      </c>
      <c r="M56" s="17">
        <f>IF(OR(F56="",K56="",K56&lt;=0),"",F56/K56)</f>
        <v/>
      </c>
      <c r="N56" s="18" t="n">
        <v>17.342833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2026-09-09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390.43</v>
      </c>
      <c r="G57" s="15" t="inlineStr">
        <is>
          <t>USD</t>
        </is>
      </c>
      <c r="H57" s="14" t="n">
        <v>335.3403249510707</v>
      </c>
      <c r="I57" s="16" t="n">
        <v>181295.751992283</v>
      </c>
      <c r="J57" s="16" t="n">
        <v>211079</v>
      </c>
      <c r="K57" s="14" t="n">
        <v>16.08</v>
      </c>
      <c r="L57" s="14" t="n">
        <v>24.39904</v>
      </c>
      <c r="M57" s="17">
        <f>IF(OR(F57="",K57="",K57&lt;=0),"",F57/K57)</f>
        <v/>
      </c>
      <c r="N57" s="18" t="n">
        <v>18.05874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2026-09-09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249.002</v>
      </c>
      <c r="G58" s="15" t="inlineStr">
        <is>
          <t>USD</t>
        </is>
      </c>
      <c r="H58" s="14" t="n">
        <v>213.8678164932677</v>
      </c>
      <c r="I58" s="16" t="n">
        <v>377929.4824208509</v>
      </c>
      <c r="J58" s="16" t="n">
        <v>440015.7</v>
      </c>
      <c r="K58" s="14" t="n">
        <v>3.53</v>
      </c>
      <c r="L58" s="14" t="n">
        <v>16.27952</v>
      </c>
      <c r="M58" s="17">
        <f>IF(OR(F58="",K58="",K58&lt;=0),"",F58/K58)</f>
        <v/>
      </c>
      <c r="N58" s="18" t="n">
        <v>-74.1298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2026-09-09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Bank of America</t>
        </is>
      </c>
      <c r="C59" s="12" t="inlineStr">
        <is>
          <t>BAC</t>
        </is>
      </c>
      <c r="D59" s="11" t="inlineStr">
        <is>
          <t>Banca</t>
        </is>
      </c>
      <c r="E59" s="13" t="inlineStr">
        <is>
          <t>Finanziario</t>
        </is>
      </c>
      <c r="F59" s="14" t="n">
        <v>62.735</v>
      </c>
      <c r="G59" s="15" t="inlineStr">
        <is>
          <t>USD</t>
        </is>
      </c>
      <c r="H59" s="14" t="n">
        <v>53.88309117077431</v>
      </c>
      <c r="I59" s="16" t="n">
        <v>376790.9245878074</v>
      </c>
      <c r="J59" s="16" t="n">
        <v>438690.1</v>
      </c>
      <c r="K59" s="14" t="n">
        <v>4.33</v>
      </c>
      <c r="L59" s="14" t="n">
        <v>5.29639</v>
      </c>
      <c r="M59" s="17">
        <f>IF(OR(F59="",K59="",K59&lt;=0),"",F59/K59)</f>
        <v/>
      </c>
      <c r="N59" s="18" t="n">
        <v>1.5946063</v>
      </c>
      <c r="O59" s="19">
        <f>IF(OR(N59="",M59="",M59&lt;=0),"",N59/M59)</f>
        <v/>
      </c>
      <c r="P59" s="20" t="n">
        <v>0.111990005</v>
      </c>
      <c r="Q59" s="20" t="n">
        <v>0.09583073596940467</v>
      </c>
      <c r="R59" s="20" t="n">
        <v>0.004886619979617854</v>
      </c>
      <c r="S59" s="21" t="n">
        <v>4</v>
      </c>
      <c r="T59" s="20" t="n"/>
      <c r="U59" s="20" t="n">
        <v>0.1006090824850038</v>
      </c>
      <c r="V59" s="20" t="n">
        <v>0.09175644553906444</v>
      </c>
      <c r="W59" s="20" t="n">
        <v>0.0901949623859062</v>
      </c>
      <c r="X59" s="20" t="n">
        <v>0.1007624534676442</v>
      </c>
      <c r="Y59" s="14" t="n">
        <v>1.28</v>
      </c>
      <c r="Z59" s="19">
        <f>IF(OR(Y59="",F59="",F59=0),"",Y59/F59)</f>
        <v/>
      </c>
      <c r="AA59" s="22" t="n"/>
      <c r="AB59" s="20" t="n">
        <v>0.168</v>
      </c>
      <c r="AC59" s="20" t="n">
        <v>0.2840482035774601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2026-09-09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Booking Holdings</t>
        </is>
      </c>
      <c r="C60" s="12" t="inlineStr">
        <is>
          <t>BKNG</t>
        </is>
      </c>
      <c r="D60" s="11" t="inlineStr">
        <is>
          <t>Viaggi</t>
        </is>
      </c>
      <c r="E60" s="13" t="inlineStr">
        <is>
          <t>Consumi</t>
        </is>
      </c>
      <c r="F60" s="14" t="n">
        <v>172.12</v>
      </c>
      <c r="G60" s="15" t="inlineStr">
        <is>
          <t>USD</t>
        </is>
      </c>
      <c r="H60" s="14" t="n">
        <v>147.8338670967351</v>
      </c>
      <c r="I60" s="16" t="n">
        <v>111079.4749613044</v>
      </c>
      <c r="J60" s="16" t="n">
        <v>129327.6</v>
      </c>
      <c r="K60" s="14" t="n">
        <v>9</v>
      </c>
      <c r="L60" s="14" t="n">
        <v>12.37711</v>
      </c>
      <c r="M60" s="17">
        <f>IF(OR(F60="",K60="",K60&lt;=0),"",F60/K60)</f>
        <v/>
      </c>
      <c r="N60" s="18" t="n">
        <v>-12.098973</v>
      </c>
      <c r="O60" s="19">
        <f>IF(OR(N60="",M60="",M60&lt;=0),"",N60/M60)</f>
        <v/>
      </c>
      <c r="P60" s="20" t="n">
        <v>1.09920920201294</v>
      </c>
      <c r="Q60" s="20" t="n">
        <v>1.09920920201294</v>
      </c>
      <c r="R60" s="20" t="n"/>
      <c r="S60" s="21" t="n">
        <v>1</v>
      </c>
      <c r="T60" s="20" t="n"/>
      <c r="U60" s="20" t="n"/>
      <c r="V60" s="20" t="n"/>
      <c r="W60" s="20" t="n"/>
      <c r="X60" s="20" t="n">
        <v>1.09920920201294</v>
      </c>
      <c r="Y60" s="14" t="n">
        <v>1.68</v>
      </c>
      <c r="Z60" s="19">
        <f>IF(OR(Y60="",F60="",F60=0),"",Y60/F60)</f>
        <v/>
      </c>
      <c r="AA60" s="22" t="n"/>
      <c r="AB60" s="20" t="n">
        <v>0.081</v>
      </c>
      <c r="AC60" s="20" t="n">
        <v>0.2678233063119961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2026-09-09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Wells Fargo</t>
        </is>
      </c>
      <c r="C61" s="12" t="inlineStr">
        <is>
          <t>WFC</t>
        </is>
      </c>
      <c r="D61" s="11" t="inlineStr">
        <is>
          <t>Banca</t>
        </is>
      </c>
      <c r="E61" s="13" t="inlineStr">
        <is>
          <t>Finanziario</t>
        </is>
      </c>
      <c r="F61" s="14" t="n">
        <v>89.66800000000001</v>
      </c>
      <c r="G61" s="15" t="inlineStr">
        <is>
          <t>USD</t>
        </is>
      </c>
      <c r="H61" s="14" t="n">
        <v>77.0158447294332</v>
      </c>
      <c r="I61" s="16" t="n">
        <v>232895.8869770062</v>
      </c>
      <c r="J61" s="16" t="n">
        <v>271156</v>
      </c>
      <c r="K61" s="14" t="n">
        <v>6.88</v>
      </c>
      <c r="L61" s="14" t="n">
        <v>7.90196</v>
      </c>
      <c r="M61" s="17">
        <f>IF(OR(F61="",K61="",K61&lt;=0),"",F61/K61)</f>
        <v/>
      </c>
      <c r="N61" s="18" t="n">
        <v>1.6856788</v>
      </c>
      <c r="O61" s="19">
        <f>IF(OR(N61="",M61="",M61&lt;=0),"",N61/M61)</f>
        <v/>
      </c>
      <c r="P61" s="20" t="n">
        <v>0.12575</v>
      </c>
      <c r="Q61" s="20" t="n">
        <v>0.1017166869476873</v>
      </c>
      <c r="R61" s="20" t="n">
        <v>0.01579883207450957</v>
      </c>
      <c r="S61" s="21" t="n">
        <v>4</v>
      </c>
      <c r="T61" s="20" t="n"/>
      <c r="U61" s="20" t="n">
        <v>0.1178133471733741</v>
      </c>
      <c r="V61" s="20" t="n">
        <v>0.1101049575703439</v>
      </c>
      <c r="W61" s="20" t="n">
        <v>0.1030608124478424</v>
      </c>
      <c r="X61" s="20" t="n">
        <v>0.07588763059918881</v>
      </c>
      <c r="Y61" s="14" t="n">
        <v>2</v>
      </c>
      <c r="Z61" s="19">
        <f>IF(OR(Y61="",F61="",F61=0),"",Y61/F61)</f>
        <v/>
      </c>
      <c r="AA61" s="22" t="n"/>
      <c r="AB61" s="20" t="n">
        <v>0.095</v>
      </c>
      <c r="AC61" s="20" t="n">
        <v>0.2582468076321103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2026-09-09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FedEx</t>
        </is>
      </c>
      <c r="C62" s="12" t="inlineStr">
        <is>
          <t>FDX</t>
        </is>
      </c>
      <c r="D62" s="11" t="inlineStr">
        <is>
          <t>Logistica</t>
        </is>
      </c>
      <c r="E62" s="13" t="inlineStr">
        <is>
          <t>Industriale</t>
        </is>
      </c>
      <c r="F62" s="14" t="n">
        <v>309.08</v>
      </c>
      <c r="G62" s="15" t="inlineStr">
        <is>
          <t>USD</t>
        </is>
      </c>
      <c r="H62" s="14" t="n">
        <v>265.4688103779856</v>
      </c>
      <c r="I62" s="16" t="n">
        <v>62828.62050611713</v>
      </c>
      <c r="J62" s="16" t="n">
        <v>73150.10000000001</v>
      </c>
      <c r="K62" s="14" t="n">
        <v>18.57</v>
      </c>
      <c r="L62" s="14" t="n">
        <v>20.85951</v>
      </c>
      <c r="M62" s="17">
        <f>IF(OR(F62="",K62="",K62&lt;=0),"",F62/K62)</f>
        <v/>
      </c>
      <c r="N62" s="18" t="n">
        <v>2.3439476</v>
      </c>
      <c r="O62" s="19">
        <f>IF(OR(N62="",M62="",M62&lt;=0),"",N62/M62)</f>
        <v/>
      </c>
      <c r="P62" s="20" t="n">
        <v>0.14846</v>
      </c>
      <c r="Q62" s="20" t="n">
        <v>0.1487776787174603</v>
      </c>
      <c r="R62" s="20" t="n">
        <v>0.006420595404348427</v>
      </c>
      <c r="S62" s="21" t="n">
        <v>4</v>
      </c>
      <c r="T62" s="20" t="n">
        <v>0.1400764685436218</v>
      </c>
      <c r="U62" s="20" t="n">
        <v>0.1457576405214789</v>
      </c>
      <c r="V62" s="20" t="n">
        <v>0.1570226959611341</v>
      </c>
      <c r="W62" s="20" t="n">
        <v>0.1522539098436063</v>
      </c>
      <c r="X62" s="20" t="n"/>
      <c r="Y62" s="14" t="n">
        <v>4.88</v>
      </c>
      <c r="Z62" s="19">
        <f>IF(OR(Y62="",F62="",F62=0),"",Y62/F62)</f>
        <v/>
      </c>
      <c r="AA62" s="22" t="n">
        <v>135.697</v>
      </c>
      <c r="AB62" s="20" t="n">
        <v>0.125</v>
      </c>
      <c r="AC62" s="20" t="n">
        <v>0.0467271945945946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2026-09-09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329.15</v>
      </c>
      <c r="G63" s="15" t="inlineStr">
        <is>
          <t>USD</t>
        </is>
      </c>
      <c r="H63" s="14" t="n">
        <v>282.7069332726606</v>
      </c>
      <c r="I63" s="16" t="n">
        <v>73720.41722956825</v>
      </c>
      <c r="J63" s="16" t="n">
        <v>85831.2</v>
      </c>
      <c r="K63" s="14" t="n">
        <v>9.67</v>
      </c>
      <c r="L63" s="14" t="n">
        <v>13.14937</v>
      </c>
      <c r="M63" s="17">
        <f>IF(OR(F63="",K63="",K63&lt;=0),"",F63/K63)</f>
        <v/>
      </c>
      <c r="N63" s="18" t="n">
        <v>-19.043623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2026-09-09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325.08</v>
      </c>
      <c r="G64" s="15" t="inlineStr">
        <is>
          <t>USD</t>
        </is>
      </c>
      <c r="H64" s="14" t="n">
        <v>279.2112102940195</v>
      </c>
      <c r="I64" s="16" t="n">
        <v>289699.0663499387</v>
      </c>
      <c r="J64" s="16" t="n">
        <v>337290.8</v>
      </c>
      <c r="K64" s="14" t="n">
        <v>8.470000000000001</v>
      </c>
      <c r="L64" s="14" t="n">
        <v>9.09193</v>
      </c>
      <c r="M64" s="17">
        <f>IF(OR(F64="",K64="",K64&lt;=0),"",F64/K64)</f>
        <v/>
      </c>
      <c r="N64" s="18" t="n">
        <v>19.121227</v>
      </c>
      <c r="O64" s="19">
        <f>IF(OR(N64="",M64="",M64&lt;=0),"",N64/M64)</f>
        <v/>
      </c>
      <c r="P64" s="20" t="n">
        <v>0.48231998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113.225</v>
      </c>
      <c r="AB64" s="20" t="n">
        <v>0.211</v>
      </c>
      <c r="AC64" s="20" t="n">
        <v>0.1954857647802857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2026-09-09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267.39</v>
      </c>
      <c r="G65" s="15" t="inlineStr">
        <is>
          <t>USD</t>
        </is>
      </c>
      <c r="H65" s="14" t="n">
        <v>229.6612695967696</v>
      </c>
      <c r="I65" s="16" t="n">
        <v>553460.3835383571</v>
      </c>
      <c r="J65" s="16" t="n">
        <v>644382.8</v>
      </c>
      <c r="K65" s="14" t="n">
        <v>8.609999999999999</v>
      </c>
      <c r="L65" s="14" t="n">
        <v>12.3075</v>
      </c>
      <c r="M65" s="17">
        <f>IF(OR(F65="",K65="",K65&lt;=0),"",F65/K65)</f>
        <v/>
      </c>
      <c r="N65" s="18" t="n">
        <v>7.5782228</v>
      </c>
      <c r="O65" s="19">
        <f>IF(OR(N65="",M65="",M65&lt;=0),"",N65/M65)</f>
        <v/>
      </c>
      <c r="P65" s="20" t="n">
        <v>0.25742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57.709</v>
      </c>
      <c r="AB65" s="20" t="n">
        <v>0.066</v>
      </c>
      <c r="AC65" s="20" t="n">
        <v>0.2233393214357755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2026-09-09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American Tower</t>
        </is>
      </c>
      <c r="C66" s="12" t="inlineStr">
        <is>
          <t>AMT</t>
        </is>
      </c>
      <c r="D66" s="11" t="inlineStr">
        <is>
          <t>REIT / Torri</t>
        </is>
      </c>
      <c r="E66" s="13" t="inlineStr">
        <is>
          <t>Immobiliare</t>
        </is>
      </c>
      <c r="F66" s="14" t="n">
        <v>175.315</v>
      </c>
      <c r="G66" s="15" t="inlineStr">
        <is>
          <t>USD</t>
        </is>
      </c>
      <c r="H66" s="14" t="n">
        <v>150.5780525799681</v>
      </c>
      <c r="I66" s="16" t="n">
        <v>70163.36879130182</v>
      </c>
      <c r="J66" s="16" t="n">
        <v>81689.8</v>
      </c>
      <c r="K66" s="14" t="n">
        <v>7.28</v>
      </c>
      <c r="L66" s="14" t="n">
        <v>7.01004</v>
      </c>
      <c r="M66" s="17">
        <f>IF(OR(F66="",K66="",K66&lt;=0),"",F66/K66)</f>
        <v/>
      </c>
      <c r="N66" s="18" t="n">
        <v>21.961042</v>
      </c>
      <c r="O66" s="19">
        <f>IF(OR(N66="",M66="",M66&lt;=0),"",N66/M66)</f>
        <v/>
      </c>
      <c r="P66" s="20" t="n">
        <v>0.33914003</v>
      </c>
      <c r="Q66" s="20" t="n">
        <v>0.5073666137979995</v>
      </c>
      <c r="R66" s="20" t="n">
        <v>0.172987839167374</v>
      </c>
      <c r="S66" s="21" t="n">
        <v>4</v>
      </c>
      <c r="T66" s="20" t="n"/>
      <c r="U66" s="20" t="n">
        <v>0.692539356605065</v>
      </c>
      <c r="V66" s="20" t="n">
        <v>0.6667257997752942</v>
      </c>
      <c r="W66" s="20" t="n">
        <v>0.353318088704683</v>
      </c>
      <c r="X66" s="20" t="n">
        <v>0.3168832101069557</v>
      </c>
      <c r="Y66" s="14" t="n">
        <v>6.98</v>
      </c>
      <c r="Z66" s="19">
        <f>IF(OR(Y66="",F66="",F66=0),"",Y66/F66)</f>
        <v/>
      </c>
      <c r="AA66" s="22" t="n">
        <v>438.721</v>
      </c>
      <c r="AB66" s="20" t="n">
        <v>0.047</v>
      </c>
      <c r="AC66" s="20" t="n">
        <v>0.3195047193882344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2026-09-09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953.12</v>
      </c>
      <c r="G67" s="15" t="inlineStr">
        <is>
          <t>USD</t>
        </is>
      </c>
      <c r="H67" s="14" t="n">
        <v>818.6347629981417</v>
      </c>
      <c r="I67" s="16" t="n">
        <v>103186.8711295282</v>
      </c>
      <c r="J67" s="16" t="n">
        <v>120138.4</v>
      </c>
      <c r="K67" s="14" t="n">
        <v>28.48</v>
      </c>
      <c r="L67" s="14" t="n">
        <v>39.15954</v>
      </c>
      <c r="M67" s="17">
        <f>IF(OR(F67="",K67="",K67&lt;=0),"",F67/K67)</f>
        <v/>
      </c>
      <c r="N67" s="18" t="n">
        <v>7.802418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>
        <v>8</v>
      </c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2026-09-09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136.155</v>
      </c>
      <c r="G68" s="15" t="inlineStr">
        <is>
          <t>USD</t>
        </is>
      </c>
      <c r="H68" s="14" t="n">
        <v>116.9435287854751</v>
      </c>
      <c r="I68" s="16" t="n">
        <v>140488.6402316144</v>
      </c>
      <c r="J68" s="16" t="n">
        <v>163568.1</v>
      </c>
      <c r="K68" s="14" t="n">
        <v>7.56</v>
      </c>
      <c r="L68" s="14" t="n">
        <v>9.520300000000001</v>
      </c>
      <c r="M68" s="17">
        <f>IF(OR(F68="",K68="",K68&lt;=0),"",F68/K68)</f>
        <v/>
      </c>
      <c r="N68" s="18" t="n">
        <v>2.5029874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2026-09-09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Boeing</t>
        </is>
      </c>
      <c r="C69" s="12" t="inlineStr">
        <is>
          <t>BA</t>
        </is>
      </c>
      <c r="D69" s="11" t="inlineStr">
        <is>
          <t>Aerospazio</t>
        </is>
      </c>
      <c r="E69" s="13" t="inlineStr">
        <is>
          <t>Industriale</t>
        </is>
      </c>
      <c r="F69" s="14" t="n">
        <v>209.11</v>
      </c>
      <c r="G69" s="15" t="inlineStr">
        <is>
          <t>USD</t>
        </is>
      </c>
      <c r="H69" s="14" t="n">
        <v>179.6045779026161</v>
      </c>
      <c r="I69" s="16" t="n">
        <v>141954.0954026605</v>
      </c>
      <c r="J69" s="16" t="n">
        <v>165274.3</v>
      </c>
      <c r="K69" s="14" t="n">
        <v>2.78</v>
      </c>
      <c r="L69" s="14" t="n">
        <v>4.12084</v>
      </c>
      <c r="M69" s="17">
        <f>IF(OR(F69="",K69="",K69&lt;=0),"",F69/K69)</f>
        <v/>
      </c>
      <c r="N69" s="18" t="n">
        <v>27.10083</v>
      </c>
      <c r="O69" s="19">
        <f>IF(OR(N69="",M69="",M69&lt;=0),"",N69/M69)</f>
        <v/>
      </c>
      <c r="P69" s="20" t="n">
        <v>1.73537</v>
      </c>
      <c r="Q69" s="20" t="n">
        <v>0.4097909790979098</v>
      </c>
      <c r="R69" s="20" t="n"/>
      <c r="S69" s="21" t="n">
        <v>1</v>
      </c>
      <c r="T69" s="20" t="n"/>
      <c r="U69" s="20" t="n">
        <v>0.4097909790979098</v>
      </c>
      <c r="V69" s="20" t="n"/>
      <c r="W69" s="20" t="n"/>
      <c r="X69" s="20" t="n"/>
      <c r="Y69" s="14" t="n"/>
      <c r="Z69" s="19">
        <f>IF(OR(Y69="",F69="",F69=0),"",Y69/F69)</f>
        <v/>
      </c>
      <c r="AA69" s="22" t="n">
        <v>790.875</v>
      </c>
      <c r="AB69" s="20" t="n">
        <v>0.08</v>
      </c>
      <c r="AC69" s="20" t="n">
        <v>0.02335043466013883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2026-09-09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1031.69</v>
      </c>
      <c r="G70" s="15" t="inlineStr">
        <is>
          <t>USD</t>
        </is>
      </c>
      <c r="H70" s="14" t="n">
        <v>886.1185355858158</v>
      </c>
      <c r="I70" s="16" t="n">
        <v>258012.3559635445</v>
      </c>
      <c r="J70" s="16" t="n">
        <v>300398.6</v>
      </c>
      <c r="K70" s="14" t="n">
        <v>64.78</v>
      </c>
      <c r="L70" s="14" t="n">
        <v>74.03243999999999</v>
      </c>
      <c r="M70" s="17">
        <f>IF(OR(F70="",K70="",K70&lt;=0),"",F70/K70)</f>
        <v/>
      </c>
      <c r="N70" s="18" t="n">
        <v>2.8495865</v>
      </c>
      <c r="O70" s="19">
        <f>IF(OR(N70="",M70="",M70&lt;=0),"",N70/M70)</f>
        <v/>
      </c>
      <c r="P70" s="20" t="n">
        <v>0.16902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0.342844399361735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2026-09-09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176.2</v>
      </c>
      <c r="G71" s="15" t="inlineStr">
        <is>
          <t>USD</t>
        </is>
      </c>
      <c r="H71" s="14" t="n">
        <v>151.3381790753237</v>
      </c>
      <c r="I71" s="16" t="n">
        <v>161638.3654823896</v>
      </c>
      <c r="J71" s="16" t="n">
        <v>188192.3</v>
      </c>
      <c r="K71" s="14" t="n">
        <v>8.76</v>
      </c>
      <c r="L71" s="14" t="n">
        <v>10.21807</v>
      </c>
      <c r="M71" s="17">
        <f>IF(OR(F71="",K71="",K71&lt;=0),"",F71/K71)</f>
        <v/>
      </c>
      <c r="N71" s="18" t="n">
        <v>6.733672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2026-09-09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Eaton</t>
        </is>
      </c>
      <c r="C72" s="12" t="inlineStr">
        <is>
          <t>ETN</t>
        </is>
      </c>
      <c r="D72" s="11" t="inlineStr">
        <is>
          <t>Elettrificazione</t>
        </is>
      </c>
      <c r="E72" s="13" t="inlineStr">
        <is>
          <t>Industriale</t>
        </is>
      </c>
      <c r="F72" s="14" t="n">
        <v>417</v>
      </c>
      <c r="G72" s="15" t="inlineStr">
        <is>
          <t>USD</t>
        </is>
      </c>
      <c r="H72" s="14" t="n">
        <v>358.1612978116345</v>
      </c>
      <c r="I72" s="16" t="n">
        <v>139109.8480700388</v>
      </c>
      <c r="J72" s="16" t="n">
        <v>161962.8</v>
      </c>
      <c r="K72" s="14" t="n">
        <v>9.84</v>
      </c>
      <c r="L72" s="14" t="n">
        <v>16.13274</v>
      </c>
      <c r="M72" s="17">
        <f>IF(OR(F72="",K72="",K72&lt;=0),"",F72/K72)</f>
        <v/>
      </c>
      <c r="N72" s="18" t="n">
        <v>7.996625</v>
      </c>
      <c r="O72" s="19">
        <f>IF(OR(N72="",M72="",M72&lt;=0),"",N72/M72)</f>
        <v/>
      </c>
      <c r="P72" s="20" t="n">
        <v>0.19684</v>
      </c>
      <c r="Q72" s="20" t="n">
        <v>0.182290452743209</v>
      </c>
      <c r="R72" s="20" t="n">
        <v>0.02701399831554398</v>
      </c>
      <c r="S72" s="21" t="n">
        <v>4</v>
      </c>
      <c r="T72" s="20" t="n"/>
      <c r="U72" s="20" t="n">
        <v>0.2103989703989704</v>
      </c>
      <c r="V72" s="20" t="n">
        <v>0.2052141929900476</v>
      </c>
      <c r="W72" s="20" t="n">
        <v>0.1690481193528052</v>
      </c>
      <c r="X72" s="20" t="n">
        <v>0.144500528231013</v>
      </c>
      <c r="Y72" s="14" t="n">
        <v>4.4</v>
      </c>
      <c r="Z72" s="19">
        <f>IF(OR(Y72="",F72="",F72=0),"",Y72/F72)</f>
        <v/>
      </c>
      <c r="AA72" s="22" t="n">
        <v>105.059</v>
      </c>
      <c r="AB72" s="20" t="n">
        <v>0.214</v>
      </c>
      <c r="AC72" s="20" t="n">
        <v>0.1395001433984261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2026-09-09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Citigroup</t>
        </is>
      </c>
      <c r="C73" s="12" t="inlineStr">
        <is>
          <t>C</t>
        </is>
      </c>
      <c r="D73" s="11" t="inlineStr">
        <is>
          <t>Banca</t>
        </is>
      </c>
      <c r="E73" s="13" t="inlineStr">
        <is>
          <t>Finanziario</t>
        </is>
      </c>
      <c r="F73" s="14" t="n">
        <v>137.905</v>
      </c>
      <c r="G73" s="15" t="inlineStr">
        <is>
          <t>USD</t>
        </is>
      </c>
      <c r="H73" s="14" t="n">
        <v>118.4466037762913</v>
      </c>
      <c r="I73" s="16" t="n">
        <v>198686.6731960244</v>
      </c>
      <c r="J73" s="16" t="n">
        <v>231326.9</v>
      </c>
      <c r="K73" s="14" t="n">
        <v>9.279999999999999</v>
      </c>
      <c r="L73" s="14" t="n">
        <v>12.88329</v>
      </c>
      <c r="M73" s="17">
        <f>IF(OR(F73="",K73="",K73&lt;=0),"",F73/K73)</f>
        <v/>
      </c>
      <c r="N73" s="18" t="n">
        <v>1.2019122</v>
      </c>
      <c r="O73" s="19">
        <f>IF(OR(N73="",M73="",M73&lt;=0),"",N73/M73)</f>
        <v/>
      </c>
      <c r="P73" s="20" t="n">
        <v>0.08529</v>
      </c>
      <c r="Q73" s="20" t="n">
        <v>0.06172167956388333</v>
      </c>
      <c r="R73" s="20" t="n">
        <v>0.01073520173144264</v>
      </c>
      <c r="S73" s="21" t="n">
        <v>4</v>
      </c>
      <c r="T73" s="20" t="n"/>
      <c r="U73" s="20" t="n">
        <v>0.06738863164241536</v>
      </c>
      <c r="V73" s="20" t="n">
        <v>0.06079636429879481</v>
      </c>
      <c r="W73" s="20" t="n">
        <v>0.04491538210685656</v>
      </c>
      <c r="X73" s="20" t="n">
        <v>0.07378634020746661</v>
      </c>
      <c r="Y73" s="14" t="n">
        <v>2.68</v>
      </c>
      <c r="Z73" s="19">
        <f>IF(OR(Y73="",F73="",F73=0),"",Y73/F73)</f>
        <v/>
      </c>
      <c r="AA73" s="22" t="n"/>
      <c r="AB73" s="20" t="n">
        <v>0.155</v>
      </c>
      <c r="AC73" s="20" t="n">
        <v>0.193163018037154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2026-09-09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43.545</v>
      </c>
      <c r="G74" s="15" t="inlineStr">
        <is>
          <t>USD</t>
        </is>
      </c>
      <c r="H74" s="14" t="n">
        <v>37.40080027148112</v>
      </c>
      <c r="I74" s="16" t="n">
        <v>38532.31512456756</v>
      </c>
      <c r="J74" s="16" t="n">
        <v>44862.4</v>
      </c>
      <c r="K74" s="14" t="n">
        <v>2.72</v>
      </c>
      <c r="L74" s="14" t="n">
        <v>3.0383</v>
      </c>
      <c r="M74" s="17">
        <f>IF(OR(F74="",K74="",K74&lt;=0),"",F74/K74)</f>
        <v/>
      </c>
      <c r="N74" s="18" t="n">
        <v>1.5135556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2026-09-09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Morgan Stanley</t>
        </is>
      </c>
      <c r="C75" s="12" t="inlineStr">
        <is>
          <t>MS</t>
        </is>
      </c>
      <c r="D75" s="11" t="inlineStr">
        <is>
          <t>Banca d'investimento</t>
        </is>
      </c>
      <c r="E75" s="13" t="inlineStr">
        <is>
          <t>Finanziario</t>
        </is>
      </c>
      <c r="F75" s="14" t="n">
        <v>216.005</v>
      </c>
      <c r="G75" s="15" t="inlineStr">
        <is>
          <t>USD</t>
        </is>
      </c>
      <c r="H75" s="14" t="n">
        <v>185.5266933664319</v>
      </c>
      <c r="I75" s="16" t="n">
        <v>291381.994999656</v>
      </c>
      <c r="J75" s="16" t="n">
        <v>339250.2</v>
      </c>
      <c r="K75" s="14" t="n">
        <v>12.39</v>
      </c>
      <c r="L75" s="14" t="n">
        <v>13.64237</v>
      </c>
      <c r="M75" s="17">
        <f>IF(OR(F75="",K75="",K75&lt;=0),"",F75/K75)</f>
        <v/>
      </c>
      <c r="N75" s="18" t="n">
        <v>3.1858673</v>
      </c>
      <c r="O75" s="19">
        <f>IF(OR(N75="",M75="",M75&lt;=0),"",N75/M75)</f>
        <v/>
      </c>
      <c r="P75" s="20" t="n">
        <v>0.17969999</v>
      </c>
      <c r="Q75" s="20" t="n">
        <v>0.1202621939362582</v>
      </c>
      <c r="R75" s="20" t="n">
        <v>0.02193423207360017</v>
      </c>
      <c r="S75" s="21" t="n">
        <v>4</v>
      </c>
      <c r="T75" s="20" t="n"/>
      <c r="U75" s="20" t="n">
        <v>0.1510409201662606</v>
      </c>
      <c r="V75" s="20" t="n">
        <v>0.1281204849250318</v>
      </c>
      <c r="W75" s="20" t="n">
        <v>0.09175266059492317</v>
      </c>
      <c r="X75" s="20" t="n">
        <v>0.1101347100588171</v>
      </c>
      <c r="Y75" s="14" t="n">
        <v>4.6</v>
      </c>
      <c r="Z75" s="19">
        <f>IF(OR(Y75="",F75="",F75=0),"",Y75/F75)</f>
        <v/>
      </c>
      <c r="AA75" s="22" t="n">
        <v>517.282</v>
      </c>
      <c r="AB75" s="20" t="n">
        <v>0.28</v>
      </c>
      <c r="AC75" s="20" t="n">
        <v>0.2963193286238365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2026-09-09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Williams Companies</t>
        </is>
      </c>
      <c r="C76" s="12" t="inlineStr">
        <is>
          <t>WMB</t>
        </is>
      </c>
      <c r="D76" s="11" t="inlineStr">
        <is>
          <t>Gasdotti</t>
        </is>
      </c>
      <c r="E76" s="13" t="inlineStr">
        <is>
          <t>Energia</t>
        </is>
      </c>
      <c r="F76" s="14" t="n">
        <v>74.83</v>
      </c>
      <c r="G76" s="15" t="inlineStr">
        <is>
          <t>USD</t>
        </is>
      </c>
      <c r="H76" s="14" t="n">
        <v>64.27148660730121</v>
      </c>
      <c r="I76" s="16" t="n">
        <v>78614.77295966375</v>
      </c>
      <c r="J76" s="16" t="n">
        <v>91529.60000000001</v>
      </c>
      <c r="K76" s="14" t="n">
        <v>2.51</v>
      </c>
      <c r="L76" s="14" t="n">
        <v>2.60076</v>
      </c>
      <c r="M76" s="17">
        <f>IF(OR(F76="",K76="",K76&lt;=0),"",F76/K76)</f>
        <v/>
      </c>
      <c r="N76" s="18" t="n">
        <v>6.9570475</v>
      </c>
      <c r="O76" s="19">
        <f>IF(OR(N76="",M76="",M76&lt;=0),"",N76/M76)</f>
        <v/>
      </c>
      <c r="P76" s="20" t="n">
        <v>0.21503</v>
      </c>
      <c r="Q76" s="20" t="n">
        <v>0.2045179374667133</v>
      </c>
      <c r="R76" s="20" t="n">
        <v>0.03170850933970622</v>
      </c>
      <c r="S76" s="21" t="n">
        <v>4</v>
      </c>
      <c r="T76" s="20" t="n"/>
      <c r="U76" s="20" t="n">
        <v>0.2044194581088467</v>
      </c>
      <c r="V76" s="20" t="n">
        <v>0.1789160501769058</v>
      </c>
      <c r="W76" s="20" t="n">
        <v>0.2563296242541526</v>
      </c>
      <c r="X76" s="20" t="n">
        <v>0.1784066173269482</v>
      </c>
      <c r="Y76" s="14" t="n">
        <v>2.1</v>
      </c>
      <c r="Z76" s="19">
        <f>IF(OR(Y76="",F76="",F76=0),"",Y76/F76)</f>
        <v/>
      </c>
      <c r="AA76" s="22" t="n">
        <v>200.371</v>
      </c>
      <c r="AB76" s="20" t="n">
        <v>0.078</v>
      </c>
      <c r="AC76" s="20" t="n">
        <v>0.2569037764016737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2026-09-09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Regeneron</t>
        </is>
      </c>
      <c r="C77" s="12" t="inlineStr">
        <is>
          <t>REGN</t>
        </is>
      </c>
      <c r="D77" s="11" t="inlineStr">
        <is>
          <t>Biotecnologie</t>
        </is>
      </c>
      <c r="E77" s="13" t="inlineStr">
        <is>
          <t>Salute</t>
        </is>
      </c>
      <c r="F77" s="14" t="n">
        <v>803.01</v>
      </c>
      <c r="G77" s="15" t="inlineStr">
        <is>
          <t>USD</t>
        </is>
      </c>
      <c r="H77" s="14" t="n">
        <v>689.7052847859007</v>
      </c>
      <c r="I77" s="16" t="n">
        <v>71008.61227613738</v>
      </c>
      <c r="J77" s="16" t="n">
        <v>82673.89999999999</v>
      </c>
      <c r="K77" s="14" t="n">
        <v>40.43</v>
      </c>
      <c r="L77" s="14" t="n">
        <v>60.29065</v>
      </c>
      <c r="M77" s="17">
        <f>IF(OR(F77="",K77="",K77&lt;=0),"",F77/K77)</f>
        <v/>
      </c>
      <c r="N77" s="18" t="n">
        <v>2.5402787</v>
      </c>
      <c r="O77" s="19">
        <f>IF(OR(N77="",M77="",M77&lt;=0),"",N77/M77)</f>
        <v/>
      </c>
      <c r="P77" s="20" t="n">
        <v>0.14043</v>
      </c>
      <c r="Q77" s="20" t="n">
        <v>0.1595230520456649</v>
      </c>
      <c r="R77" s="20" t="n">
        <v>0.01865889297829353</v>
      </c>
      <c r="S77" s="21" t="n">
        <v>4</v>
      </c>
      <c r="T77" s="20" t="n"/>
      <c r="U77" s="20" t="n">
        <v>0.1441249772050331</v>
      </c>
      <c r="V77" s="20" t="n">
        <v>0.1503256840728224</v>
      </c>
      <c r="W77" s="20" t="n">
        <v>0.1522190266082986</v>
      </c>
      <c r="X77" s="20" t="n">
        <v>0.1914225202965055</v>
      </c>
      <c r="Y77" s="14" t="n">
        <v>3.76</v>
      </c>
      <c r="Z77" s="19">
        <f>IF(OR(Y77="",F77="",F77=0),"",Y77/F77)</f>
        <v/>
      </c>
      <c r="AA77" s="22" t="n">
        <v>8.535</v>
      </c>
      <c r="AB77" s="20" t="n">
        <v>0.167</v>
      </c>
      <c r="AC77" s="20" t="n">
        <v>0.301800884339987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2026-09-09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Intuit</t>
        </is>
      </c>
      <c r="C78" s="12" t="inlineStr">
        <is>
          <t>INTU</t>
        </is>
      </c>
      <c r="D78" s="11" t="inlineStr">
        <is>
          <t>Software</t>
        </is>
      </c>
      <c r="E78" s="13" t="inlineStr">
        <is>
          <t>Tecnologia</t>
        </is>
      </c>
      <c r="F78" s="14" t="n">
        <v>314.89</v>
      </c>
      <c r="G78" s="15" t="inlineStr">
        <is>
          <t>USD</t>
        </is>
      </c>
      <c r="H78" s="14" t="n">
        <v>270.4590193474954</v>
      </c>
      <c r="I78" s="16" t="n">
        <v>73980.57803797867</v>
      </c>
      <c r="J78" s="16" t="n">
        <v>86134.10000000001</v>
      </c>
      <c r="K78" s="14" t="n">
        <v>16.46</v>
      </c>
      <c r="L78" s="14" t="n">
        <v>27.32629</v>
      </c>
      <c r="M78" s="17">
        <f>IF(OR(F78="",K78="",K78&lt;=0),"",F78/K78)</f>
        <v/>
      </c>
      <c r="N78" s="18" t="n">
        <v>4.509768</v>
      </c>
      <c r="O78" s="19">
        <f>IF(OR(N78="",M78="",M78&lt;=0),"",N78/M78)</f>
        <v/>
      </c>
      <c r="P78" s="20" t="n">
        <v>0.23596</v>
      </c>
      <c r="Q78" s="20" t="n">
        <v>0.1551816887709601</v>
      </c>
      <c r="R78" s="20" t="n">
        <v>0.02686062869345323</v>
      </c>
      <c r="S78" s="21" t="n">
        <v>4</v>
      </c>
      <c r="T78" s="20" t="n"/>
      <c r="U78" s="20" t="n">
        <v>0.1962962962962963</v>
      </c>
      <c r="V78" s="20" t="n">
        <v>0.1607181601215014</v>
      </c>
      <c r="W78" s="20" t="n">
        <v>0.1380508425502345</v>
      </c>
      <c r="X78" s="20" t="n">
        <v>0.125661456115808</v>
      </c>
      <c r="Y78" s="14" t="n">
        <v>5.52</v>
      </c>
      <c r="Z78" s="19">
        <f>IF(OR(Y78="",F78="",F78=0),"",Y78/F78)</f>
        <v/>
      </c>
      <c r="AA78" s="22" t="n">
        <v>43.892</v>
      </c>
      <c r="AB78" s="20" t="n">
        <v>0.137</v>
      </c>
      <c r="AC78" s="20" t="n">
        <v>0.2424725255164357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2026-09-09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325.42</v>
      </c>
      <c r="G79" s="15" t="inlineStr">
        <is>
          <t>USD</t>
        </is>
      </c>
      <c r="H79" s="14" t="n">
        <v>279.5032362922353</v>
      </c>
      <c r="I79" s="16" t="n">
        <v>62778.80430642152</v>
      </c>
      <c r="J79" s="16" t="n">
        <v>73092.10000000001</v>
      </c>
      <c r="K79" s="14" t="n">
        <v>11.71</v>
      </c>
      <c r="L79" s="14" t="n">
        <v>14.32112</v>
      </c>
      <c r="M79" s="17">
        <f>IF(OR(F79="",K79="",K79&lt;=0),"",F79/K79)</f>
        <v/>
      </c>
      <c r="N79" s="18" t="n">
        <v>4.497112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2026-09-09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273.95</v>
      </c>
      <c r="G80" s="15" t="inlineStr">
        <is>
          <t>USD</t>
        </is>
      </c>
      <c r="H80" s="14" t="n">
        <v>235.2956535623436</v>
      </c>
      <c r="I80" s="16" t="n">
        <v>65960.08399698389</v>
      </c>
      <c r="J80" s="16" t="n">
        <v>76796</v>
      </c>
      <c r="K80" s="14" t="n">
        <v>7.45</v>
      </c>
      <c r="L80" s="14" t="n">
        <v>9.417759999999999</v>
      </c>
      <c r="M80" s="17">
        <f>IF(OR(F80="",K80="",K80&lt;=0),"",F80/K80)</f>
        <v/>
      </c>
      <c r="N80" s="18" t="n">
        <v>7.637302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2026-09-09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550.625</v>
      </c>
      <c r="G81" s="15" t="inlineStr">
        <is>
          <t>USD</t>
        </is>
      </c>
      <c r="H81" s="14" t="n">
        <v>472.9318096103867</v>
      </c>
      <c r="I81" s="16" t="n">
        <v>65105.90795220291</v>
      </c>
      <c r="J81" s="16" t="n">
        <v>75801.5</v>
      </c>
      <c r="K81" s="14" t="n">
        <v>19.54</v>
      </c>
      <c r="L81" s="14" t="n">
        <v>34.50403</v>
      </c>
      <c r="M81" s="17">
        <f>IF(OR(F81="",K81="",K81&lt;=0),"",F81/K81)</f>
        <v/>
      </c>
      <c r="N81" s="18" t="n">
        <v>5.9003334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2026-09-09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Charles Schwab</t>
        </is>
      </c>
      <c r="C82" s="12" t="inlineStr">
        <is>
          <t>SCHW</t>
        </is>
      </c>
      <c r="D82" s="11" t="inlineStr">
        <is>
          <t>Intermediazione</t>
        </is>
      </c>
      <c r="E82" s="13" t="inlineStr">
        <is>
          <t>Finanziario</t>
        </is>
      </c>
      <c r="F82" s="14" t="n">
        <v>107.2719</v>
      </c>
      <c r="G82" s="15" t="inlineStr">
        <is>
          <t>USD</t>
        </is>
      </c>
      <c r="H82" s="14" t="n">
        <v>92.13583434705006</v>
      </c>
      <c r="I82" s="16" t="n">
        <v>159333.7650164707</v>
      </c>
      <c r="J82" s="16" t="n">
        <v>185509.1</v>
      </c>
      <c r="K82" s="14" t="n">
        <v>5.49</v>
      </c>
      <c r="L82" s="14" t="n">
        <v>7.80434</v>
      </c>
      <c r="M82" s="17">
        <f>IF(OR(F82="",K82="",K82&lt;=0),"",F82/K82)</f>
        <v/>
      </c>
      <c r="N82" s="18" t="n">
        <v>4.219482</v>
      </c>
      <c r="O82" s="19">
        <f>IF(OR(N82="",M82="",M82&lt;=0),"",N82/M82)</f>
        <v/>
      </c>
      <c r="P82" s="20" t="n">
        <v>0.20273</v>
      </c>
      <c r="Q82" s="20" t="n">
        <v>0.1554644312241724</v>
      </c>
      <c r="R82" s="20" t="n">
        <v>0.03275755535947185</v>
      </c>
      <c r="S82" s="21" t="n">
        <v>4</v>
      </c>
      <c r="T82" s="20" t="n"/>
      <c r="U82" s="20" t="n">
        <v>0.179099645928174</v>
      </c>
      <c r="V82" s="20" t="n">
        <v>0.1228320413436692</v>
      </c>
      <c r="W82" s="20" t="n">
        <v>0.1237120953171542</v>
      </c>
      <c r="X82" s="20" t="n">
        <v>0.1962139423076923</v>
      </c>
      <c r="Y82" s="14" t="n">
        <v>1.28</v>
      </c>
      <c r="Z82" s="19">
        <f>IF(OR(Y82="",F82="",F82=0),"",Y82/F82)</f>
        <v/>
      </c>
      <c r="AA82" s="22" t="n">
        <v>151.106</v>
      </c>
      <c r="AB82" s="20" t="n">
        <v>0.209</v>
      </c>
      <c r="AC82" s="20" t="n">
        <v>0.4064420423895322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2026-09-09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266.8401</v>
      </c>
      <c r="G83" s="15" t="inlineStr">
        <is>
          <t>USD</t>
        </is>
      </c>
      <c r="H83" s="14" t="n">
        <v>229.1889604896555</v>
      </c>
      <c r="I83" s="16" t="n">
        <v>88235.05413088383</v>
      </c>
      <c r="J83" s="16" t="n">
        <v>102730.3</v>
      </c>
      <c r="K83" s="14" t="n">
        <v>4.42</v>
      </c>
      <c r="L83" s="14" t="n">
        <v>9.12236</v>
      </c>
      <c r="M83" s="17">
        <f>IF(OR(F83="",K83="",K83&lt;=0),"",F83/K83)</f>
        <v/>
      </c>
      <c r="N83" s="18" t="n">
        <v>21.59075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2026-09-09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Kimberly-Clark</t>
        </is>
      </c>
      <c r="C84" s="12" t="inlineStr">
        <is>
          <t>KMB</t>
        </is>
      </c>
      <c r="D84" s="11" t="inlineStr">
        <is>
          <t>Beni per la casa</t>
        </is>
      </c>
      <c r="E84" s="13" t="inlineStr">
        <is>
          <t>Consumi</t>
        </is>
      </c>
      <c r="F84" s="14" t="n">
        <v>98.06</v>
      </c>
      <c r="G84" s="15" t="inlineStr">
        <is>
          <t>USD</t>
        </is>
      </c>
      <c r="H84" s="14" t="n">
        <v>84.223733485393</v>
      </c>
      <c r="I84" s="16" t="n">
        <v>28011.0478588525</v>
      </c>
      <c r="J84" s="16" t="n">
        <v>32612.7</v>
      </c>
      <c r="K84" s="14" t="n">
        <v>5.06</v>
      </c>
      <c r="L84" s="14" t="n">
        <v>7.50302</v>
      </c>
      <c r="M84" s="17">
        <f>IF(OR(F84="",K84="",K84&lt;=0),"",F84/K84)</f>
        <v/>
      </c>
      <c r="N84" s="18" t="n">
        <v>18.6355</v>
      </c>
      <c r="O84" s="19">
        <f>IF(OR(N84="",M84="",M84&lt;=0),"",N84/M84)</f>
        <v/>
      </c>
      <c r="P84" s="20" t="n">
        <v>1.04913</v>
      </c>
      <c r="Q84" s="20" t="n">
        <v>2.459704758173796</v>
      </c>
      <c r="R84" s="20" t="n">
        <v>0.8670114317756352</v>
      </c>
      <c r="S84" s="21" t="n">
        <v>4</v>
      </c>
      <c r="T84" s="20" t="n"/>
      <c r="U84" s="20" t="n">
        <v>1.345539280958722</v>
      </c>
      <c r="V84" s="20" t="n">
        <v>3.029761904761905</v>
      </c>
      <c r="W84" s="20" t="n">
        <v>1.927868852459016</v>
      </c>
      <c r="X84" s="20" t="n">
        <v>3.535648994515539</v>
      </c>
      <c r="Y84" s="14" t="n">
        <v>5.12</v>
      </c>
      <c r="Z84" s="19">
        <f>IF(OR(Y84="",F84="",F84=0),"",Y84/F84)</f>
        <v/>
      </c>
      <c r="AA84" s="22" t="n">
        <v>348.933</v>
      </c>
      <c r="AB84" s="20" t="n">
        <v>0.006</v>
      </c>
      <c r="AC84" s="20" t="n">
        <v>0.1024502909953183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2026-09-09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NextEra Energy</t>
        </is>
      </c>
      <c r="C85" s="12" t="inlineStr">
        <is>
          <t>NEE</t>
        </is>
      </c>
      <c r="D85" s="11" t="inlineStr">
        <is>
          <t>Utility / Rinnovabili</t>
        </is>
      </c>
      <c r="E85" s="13" t="inlineStr">
        <is>
          <t>Utility</t>
        </is>
      </c>
      <c r="F85" s="14" t="n">
        <v>82.8</v>
      </c>
      <c r="G85" s="15" t="inlineStr">
        <is>
          <t>USD</t>
        </is>
      </c>
      <c r="H85" s="14" t="n">
        <v>71.11691956547563</v>
      </c>
      <c r="I85" s="16" t="n">
        <v>148348.3481935916</v>
      </c>
      <c r="J85" s="16" t="n">
        <v>172719</v>
      </c>
      <c r="K85" s="14" t="n">
        <v>4.45</v>
      </c>
      <c r="L85" s="14" t="n">
        <v>4.38861</v>
      </c>
      <c r="M85" s="17">
        <f>IF(OR(F85="",K85="",K85&lt;=0),"",F85/K85)</f>
        <v/>
      </c>
      <c r="N85" s="18" t="n">
        <v>3.023222</v>
      </c>
      <c r="O85" s="19">
        <f>IF(OR(N85="",M85="",M85&lt;=0),"",N85/M85)</f>
        <v/>
      </c>
      <c r="P85" s="20" t="n">
        <v>0.11677</v>
      </c>
      <c r="Q85" s="20" t="n">
        <v>0.1308789630201321</v>
      </c>
      <c r="R85" s="20" t="n">
        <v>0.01775346387851813</v>
      </c>
      <c r="S85" s="21" t="n">
        <v>4</v>
      </c>
      <c r="T85" s="20" t="n"/>
      <c r="U85" s="20" t="n">
        <v>0.1251648110167008</v>
      </c>
      <c r="V85" s="20" t="n">
        <v>0.138639947306441</v>
      </c>
      <c r="W85" s="20" t="n">
        <v>0.1539984831886745</v>
      </c>
      <c r="X85" s="20" t="n">
        <v>0.1057126105687119</v>
      </c>
      <c r="Y85" s="14" t="n">
        <v>2.49</v>
      </c>
      <c r="Z85" s="19">
        <f>IF(OR(Y85="",F85="",F85=0),"",Y85/F85)</f>
        <v/>
      </c>
      <c r="AA85" s="22" t="n">
        <v>161.676</v>
      </c>
      <c r="AB85" s="20" t="n">
        <v>0.124</v>
      </c>
      <c r="AC85" s="20" t="n">
        <v>0.3392310053990953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2026-09-09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Walmart</t>
        </is>
      </c>
      <c r="C86" s="12" t="inlineStr">
        <is>
          <t>WMT</t>
        </is>
      </c>
      <c r="D86" s="11" t="inlineStr">
        <is>
          <t>Grande distribuzione</t>
        </is>
      </c>
      <c r="E86" s="13" t="inlineStr">
        <is>
          <t>Consumi</t>
        </is>
      </c>
      <c r="F86" s="14" t="n">
        <v>106.1</v>
      </c>
      <c r="G86" s="15" t="inlineStr">
        <is>
          <t>USD</t>
        </is>
      </c>
      <c r="H86" s="14" t="n">
        <v>91.12928944320004</v>
      </c>
      <c r="I86" s="16" t="n">
        <v>725214.1001489419</v>
      </c>
      <c r="J86" s="16" t="n">
        <v>844352.2</v>
      </c>
      <c r="K86" s="14" t="n">
        <v>2.76</v>
      </c>
      <c r="L86" s="14" t="n">
        <v>3.23048</v>
      </c>
      <c r="M86" s="17">
        <f>IF(OR(F86="",K86="",K86&lt;=0),"",F86/K86)</f>
        <v/>
      </c>
      <c r="N86" s="18" t="n">
        <v>8.955098</v>
      </c>
      <c r="O86" s="19">
        <f>IF(OR(N86="",M86="",M86&lt;=0),"",N86/M86)</f>
        <v/>
      </c>
      <c r="P86" s="20" t="n">
        <v>0.22313999</v>
      </c>
      <c r="Q86" s="20" t="n">
        <v>0.1926449949502596</v>
      </c>
      <c r="R86" s="20" t="n">
        <v>0.02673988363519914</v>
      </c>
      <c r="S86" s="21" t="n">
        <v>4</v>
      </c>
      <c r="T86" s="20" t="n">
        <v>0.2197717257094673</v>
      </c>
      <c r="U86" s="20" t="n">
        <v>0.2135519101666795</v>
      </c>
      <c r="V86" s="20" t="n">
        <v>0.1849608280368705</v>
      </c>
      <c r="W86" s="20" t="n">
        <v>0.1522955158880211</v>
      </c>
      <c r="X86" s="20" t="n"/>
      <c r="Y86" s="14" t="n">
        <v>0.99</v>
      </c>
      <c r="Z86" s="19">
        <f>IF(OR(Y86="",F86="",F86=0),"",Y86/F86)</f>
        <v/>
      </c>
      <c r="AA86" s="22" t="n">
        <v>71.65300000000001</v>
      </c>
      <c r="AB86" s="20" t="n">
        <v>0.059</v>
      </c>
      <c r="AC86" s="20" t="n">
        <v>0.03095505551465794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2026-09-09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General Dynamics</t>
        </is>
      </c>
      <c r="C87" s="12" t="inlineStr">
        <is>
          <t>GD</t>
        </is>
      </c>
      <c r="D87" s="11" t="inlineStr">
        <is>
          <t>Difesa</t>
        </is>
      </c>
      <c r="E87" s="13" t="inlineStr">
        <is>
          <t>Industriale</t>
        </is>
      </c>
      <c r="F87" s="14" t="n">
        <v>352.73</v>
      </c>
      <c r="G87" s="15" t="inlineStr">
        <is>
          <t>USD</t>
        </is>
      </c>
      <c r="H87" s="14" t="n">
        <v>302.9597951489157</v>
      </c>
      <c r="I87" s="16" t="n">
        <v>81967.91853917603</v>
      </c>
      <c r="J87" s="16" t="n">
        <v>95433.60000000001</v>
      </c>
      <c r="K87" s="14" t="n">
        <v>16.4</v>
      </c>
      <c r="L87" s="14" t="n">
        <v>18.58732</v>
      </c>
      <c r="M87" s="17">
        <f>IF(OR(F87="",K87="",K87&lt;=0),"",F87/K87)</f>
        <v/>
      </c>
      <c r="N87" s="18" t="n">
        <v>3.5521653</v>
      </c>
      <c r="O87" s="19">
        <f>IF(OR(N87="",M87="",M87&lt;=0),"",N87/M87)</f>
        <v/>
      </c>
      <c r="P87" s="20" t="n">
        <v>0.17803</v>
      </c>
      <c r="Q87" s="20" t="n">
        <v>0.1684858520025267</v>
      </c>
      <c r="R87" s="20" t="n">
        <v>0.009867017273558338</v>
      </c>
      <c r="S87" s="21" t="n">
        <v>4</v>
      </c>
      <c r="T87" s="20" t="n"/>
      <c r="U87" s="20" t="n">
        <v>0.1643119194442276</v>
      </c>
      <c r="V87" s="20" t="n">
        <v>0.1714182114852921</v>
      </c>
      <c r="W87" s="20" t="n">
        <v>0.1556411099112635</v>
      </c>
      <c r="X87" s="20" t="n">
        <v>0.1825721671693236</v>
      </c>
      <c r="Y87" s="14" t="n">
        <v>6.36</v>
      </c>
      <c r="Z87" s="19">
        <f>IF(OR(Y87="",F87="",F87=0),"",Y87/F87)</f>
        <v/>
      </c>
      <c r="AA87" s="22" t="n">
        <v>35.335</v>
      </c>
      <c r="AB87" s="20" t="n">
        <v>0.081</v>
      </c>
      <c r="AC87" s="20" t="n">
        <v>0.08538534850618458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2026-09-09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350.97</v>
      </c>
      <c r="G88" s="15" t="inlineStr">
        <is>
          <t>USD</t>
        </is>
      </c>
      <c r="H88" s="14" t="n">
        <v>301.448131158152</v>
      </c>
      <c r="I88" s="16" t="n">
        <v>108002.2080601065</v>
      </c>
      <c r="J88" s="16" t="n">
        <v>125744.8</v>
      </c>
      <c r="K88" s="14" t="n">
        <v>8.720000000000001</v>
      </c>
      <c r="L88" s="14" t="n">
        <v>12.07187</v>
      </c>
      <c r="M88" s="17">
        <f>IF(OR(F88="",K88="",K88&lt;=0),"",F88/K88)</f>
        <v/>
      </c>
      <c r="N88" s="18" t="n">
        <v>6.8364563</v>
      </c>
      <c r="O88" s="19">
        <f>IF(OR(N88="",M88="",M88&lt;=0),"",N88/M88)</f>
        <v/>
      </c>
      <c r="P88" s="20" t="n">
        <v>0.17423001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0.185</v>
      </c>
      <c r="AC88" s="20" t="n">
        <v>0.3118622639522291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2026-09-09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Deere &amp; Company</t>
        </is>
      </c>
      <c r="C89" s="12" t="inlineStr">
        <is>
          <t>DE</t>
        </is>
      </c>
      <c r="D89" s="11" t="inlineStr">
        <is>
          <t>Macchine agricole</t>
        </is>
      </c>
      <c r="E89" s="13" t="inlineStr">
        <is>
          <t>Industriale</t>
        </is>
      </c>
      <c r="F89" s="14" t="n">
        <v>675.0700000000001</v>
      </c>
      <c r="G89" s="15" t="inlineStr">
        <is>
          <t>USD</t>
        </is>
      </c>
      <c r="H89" s="14" t="n">
        <v>579.8176194573144</v>
      </c>
      <c r="I89" s="16" t="n">
        <v>156333.5414448021</v>
      </c>
      <c r="J89" s="16" t="n">
        <v>182016</v>
      </c>
      <c r="K89" s="14" t="n">
        <v>17.97</v>
      </c>
      <c r="L89" s="14" t="n">
        <v>22.68547</v>
      </c>
      <c r="M89" s="17">
        <f>IF(OR(F89="",K89="",K89&lt;=0),"",F89/K89)</f>
        <v/>
      </c>
      <c r="N89" s="18" t="n">
        <v>6.502876</v>
      </c>
      <c r="O89" s="19">
        <f>IF(OR(N89="",M89="",M89&lt;=0),"",N89/M89)</f>
        <v/>
      </c>
      <c r="P89" s="20" t="n">
        <v>0.18242</v>
      </c>
      <c r="Q89" s="20" t="n">
        <v>0.3308055602273648</v>
      </c>
      <c r="R89" s="20" t="n">
        <v>0.09758236298151571</v>
      </c>
      <c r="S89" s="21" t="n">
        <v>4</v>
      </c>
      <c r="T89" s="20" t="n"/>
      <c r="U89" s="20" t="n">
        <v>0.193718689788054</v>
      </c>
      <c r="V89" s="20" t="n">
        <v>0.3109125941495884</v>
      </c>
      <c r="W89" s="20" t="n">
        <v>0.4666513656185449</v>
      </c>
      <c r="X89" s="20" t="n">
        <v>0.3519395913532721</v>
      </c>
      <c r="Y89" s="14" t="n">
        <v>6.48</v>
      </c>
      <c r="Z89" s="19">
        <f>IF(OR(Y89="",F89="",F89=0),"",Y89/F89)</f>
        <v/>
      </c>
      <c r="AA89" s="22" t="n">
        <v>376.022</v>
      </c>
      <c r="AB89" s="20" t="n">
        <v>-0.111</v>
      </c>
      <c r="AC89" s="20" t="n">
        <v>0.1091010844285235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2026-09-09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Elevance Health</t>
        </is>
      </c>
      <c r="C90" s="12" t="inlineStr">
        <is>
          <t>ELV</t>
        </is>
      </c>
      <c r="D90" s="11" t="inlineStr">
        <is>
          <t>Assicurazione sanitaria</t>
        </is>
      </c>
      <c r="E90" s="13" t="inlineStr">
        <is>
          <t>Salute</t>
        </is>
      </c>
      <c r="F90" s="14" t="n">
        <v>399.88</v>
      </c>
      <c r="G90" s="15" t="inlineStr">
        <is>
          <t>USD</t>
        </is>
      </c>
      <c r="H90" s="14" t="n">
        <v>343.4569299014782</v>
      </c>
      <c r="I90" s="16" t="n">
        <v>74485.26767489502</v>
      </c>
      <c r="J90" s="16" t="n">
        <v>86721.7</v>
      </c>
      <c r="K90" s="14" t="n">
        <v>22.63</v>
      </c>
      <c r="L90" s="14" t="n">
        <v>29.60546</v>
      </c>
      <c r="M90" s="17">
        <f>IF(OR(F90="",K90="",K90&lt;=0),"",F90/K90)</f>
        <v/>
      </c>
      <c r="N90" s="18" t="n">
        <v>1.9319181</v>
      </c>
      <c r="O90" s="19">
        <f>IF(OR(N90="",M90="",M90&lt;=0),"",N90/M90)</f>
        <v/>
      </c>
      <c r="P90" s="20" t="n">
        <v>0.11133</v>
      </c>
      <c r="Q90" s="20" t="n">
        <v>0.1471779214463593</v>
      </c>
      <c r="R90" s="20" t="n">
        <v>0.01225127753653764</v>
      </c>
      <c r="S90" s="21" t="n">
        <v>4</v>
      </c>
      <c r="T90" s="20" t="n"/>
      <c r="U90" s="20" t="n">
        <v>0.1290278474089604</v>
      </c>
      <c r="V90" s="20" t="n">
        <v>0.1447416192666102</v>
      </c>
      <c r="W90" s="20" t="n">
        <v>0.1523177123085534</v>
      </c>
      <c r="X90" s="20" t="n">
        <v>0.1626245068013134</v>
      </c>
      <c r="Y90" s="14" t="n">
        <v>6.88</v>
      </c>
      <c r="Z90" s="19">
        <f>IF(OR(Y90="",F90="",F90=0),"",Y90/F90)</f>
        <v/>
      </c>
      <c r="AA90" s="22" t="n">
        <v>68.953</v>
      </c>
      <c r="AB90" s="20" t="n">
        <v>0.014</v>
      </c>
      <c r="AC90" s="20" t="n">
        <v>0.02492404172253609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2026-09-09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Exxon Mobil</t>
        </is>
      </c>
      <c r="C91" s="12" t="inlineStr">
        <is>
          <t>XOM</t>
        </is>
      </c>
      <c r="D91" s="11" t="inlineStr">
        <is>
          <t>Petrolio integrato</t>
        </is>
      </c>
      <c r="E91" s="13" t="inlineStr">
        <is>
          <t>Energia</t>
        </is>
      </c>
      <c r="F91" s="14" t="n">
        <v>163.98</v>
      </c>
      <c r="G91" s="15" t="inlineStr">
        <is>
          <t>USD</t>
        </is>
      </c>
      <c r="H91" s="14" t="n">
        <v>140.8424211394528</v>
      </c>
      <c r="I91" s="16" t="n">
        <v>579237.6042908583</v>
      </c>
      <c r="J91" s="16" t="n">
        <v>674394.7</v>
      </c>
      <c r="K91" s="14" t="n">
        <v>7.78</v>
      </c>
      <c r="L91" s="14" t="n">
        <v>10.78385</v>
      </c>
      <c r="M91" s="17">
        <f>IF(OR(F91="",K91="",K91&lt;=0),"",F91/K91)</f>
        <v/>
      </c>
      <c r="N91" s="18" t="n">
        <v>2.6000316</v>
      </c>
      <c r="O91" s="19">
        <f>IF(OR(N91="",M91="",M91&lt;=0),"",N91/M91)</f>
        <v/>
      </c>
      <c r="P91" s="20" t="n">
        <v>0.12584</v>
      </c>
      <c r="Q91" s="20" t="n">
        <v>0.1751305613408672</v>
      </c>
      <c r="R91" s="20" t="n">
        <v>0.06814950451387503</v>
      </c>
      <c r="S91" s="21" t="n">
        <v>4</v>
      </c>
      <c r="T91" s="20" t="n"/>
      <c r="U91" s="20" t="n">
        <v>0.1112010671354661</v>
      </c>
      <c r="V91" s="20" t="n">
        <v>0.1277184732940217</v>
      </c>
      <c r="W91" s="20" t="n">
        <v>0.1758283610511616</v>
      </c>
      <c r="X91" s="20" t="n">
        <v>0.2857743438828192</v>
      </c>
      <c r="Y91" s="14" t="n">
        <v>4.12</v>
      </c>
      <c r="Z91" s="19">
        <f>IF(OR(Y91="",F91="",F91=0),"",Y91/F91)</f>
        <v/>
      </c>
      <c r="AA91" s="22" t="n">
        <v>15.921</v>
      </c>
      <c r="AB91" s="20" t="n">
        <v>0.441</v>
      </c>
      <c r="AC91" s="20" t="n">
        <v>0.1011315052005989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2026-09-09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Stryker</t>
        </is>
      </c>
      <c r="C92" s="12" t="inlineStr">
        <is>
          <t>SYK</t>
        </is>
      </c>
      <c r="D92" s="11" t="inlineStr">
        <is>
          <t>Dispositivi medicali</t>
        </is>
      </c>
      <c r="E92" s="13" t="inlineStr">
        <is>
          <t>Salute</t>
        </is>
      </c>
      <c r="F92" s="14" t="n">
        <v>273.79</v>
      </c>
      <c r="G92" s="15" t="inlineStr">
        <is>
          <t>USD</t>
        </is>
      </c>
      <c r="H92" s="14" t="n">
        <v>235.1582295631833</v>
      </c>
      <c r="I92" s="16" t="n">
        <v>90200.38909887563</v>
      </c>
      <c r="J92" s="16" t="n">
        <v>105018.5</v>
      </c>
      <c r="K92" s="14" t="n">
        <v>9.65</v>
      </c>
      <c r="L92" s="14" t="n">
        <v>16.7451</v>
      </c>
      <c r="M92" s="17">
        <f>IF(OR(F92="",K92="",K92&lt;=0),"",F92/K92)</f>
        <v/>
      </c>
      <c r="N92" s="18" t="n">
        <v>4.3779783</v>
      </c>
      <c r="O92" s="19">
        <f>IF(OR(N92="",M92="",M92&lt;=0),"",N92/M92)</f>
        <v/>
      </c>
      <c r="P92" s="20" t="n">
        <v>0.16508</v>
      </c>
      <c r="Q92" s="20" t="n">
        <v>0.150492516403552</v>
      </c>
      <c r="R92" s="20" t="n">
        <v>0.01145902874477022</v>
      </c>
      <c r="S92" s="21" t="n">
        <v>4</v>
      </c>
      <c r="T92" s="20" t="n"/>
      <c r="U92" s="20" t="n">
        <v>0.1447814451382694</v>
      </c>
      <c r="V92" s="20" t="n">
        <v>0.1450518561597364</v>
      </c>
      <c r="W92" s="20" t="n">
        <v>0.1702253536277094</v>
      </c>
      <c r="X92" s="20" t="n">
        <v>0.141911410688493</v>
      </c>
      <c r="Y92" s="14" t="n">
        <v>3.52</v>
      </c>
      <c r="Z92" s="19">
        <f>IF(OR(Y92="",F92="",F92=0),"",Y92/F92)</f>
        <v/>
      </c>
      <c r="AA92" s="22" t="n">
        <v>64.39100000000001</v>
      </c>
      <c r="AB92" s="20" t="n">
        <v>0.094</v>
      </c>
      <c r="AC92" s="20" t="n">
        <v>0.1484710915750916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2026-09-09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SLB (Schlumberger)</t>
        </is>
      </c>
      <c r="C93" s="12" t="inlineStr">
        <is>
          <t>SLB</t>
        </is>
      </c>
      <c r="D93" s="11" t="inlineStr">
        <is>
          <t>Oil service</t>
        </is>
      </c>
      <c r="E93" s="13" t="inlineStr">
        <is>
          <t>Energia</t>
        </is>
      </c>
      <c r="F93" s="14" t="n">
        <v>57.415</v>
      </c>
      <c r="G93" s="15" t="inlineStr">
        <is>
          <t>USD</t>
        </is>
      </c>
      <c r="H93" s="14" t="n">
        <v>49.31374319869303</v>
      </c>
      <c r="I93" s="16" t="n">
        <v>73188.67224281722</v>
      </c>
      <c r="J93" s="16" t="n">
        <v>85212.10000000001</v>
      </c>
      <c r="K93" s="14" t="n">
        <v>2.05</v>
      </c>
      <c r="L93" s="14" t="n">
        <v>3.23475</v>
      </c>
      <c r="M93" s="17">
        <f>IF(OR(F93="",K93="",K93&lt;=0),"",F93/K93)</f>
        <v/>
      </c>
      <c r="N93" s="18" t="n">
        <v>3.268158</v>
      </c>
      <c r="O93" s="19">
        <f>IF(OR(N93="",M93="",M93&lt;=0),"",N93/M93)</f>
        <v/>
      </c>
      <c r="P93" s="20" t="n">
        <v>0.12909001</v>
      </c>
      <c r="Q93" s="20" t="n">
        <v>0.1857758605281961</v>
      </c>
      <c r="R93" s="20" t="n">
        <v>0.03323988575793588</v>
      </c>
      <c r="S93" s="21" t="n">
        <v>4</v>
      </c>
      <c r="T93" s="20" t="n"/>
      <c r="U93" s="20" t="n">
        <v>0.1292274694549772</v>
      </c>
      <c r="V93" s="20" t="n">
        <v>0.2111216280170374</v>
      </c>
      <c r="W93" s="20" t="n">
        <v>0.2081826737332211</v>
      </c>
      <c r="X93" s="20" t="n">
        <v>0.1945716709075488</v>
      </c>
      <c r="Y93" s="14" t="n">
        <v>1.18</v>
      </c>
      <c r="Z93" s="19">
        <f>IF(OR(Y93="",F93="",F93=0),"",Y93/F93)</f>
        <v/>
      </c>
      <c r="AA93" s="22" t="n">
        <v>47.002</v>
      </c>
      <c r="AB93" s="20" t="n">
        <v>0.05</v>
      </c>
      <c r="AC93" s="20" t="n">
        <v>0.08684328262574213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2026-09-09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BlackRock</t>
        </is>
      </c>
      <c r="C94" s="12" t="inlineStr">
        <is>
          <t>BLK</t>
        </is>
      </c>
      <c r="D94" s="11" t="inlineStr">
        <is>
          <t>Risparmio gestito</t>
        </is>
      </c>
      <c r="E94" s="13" t="inlineStr">
        <is>
          <t>Finanziario</t>
        </is>
      </c>
      <c r="F94" s="14" t="n">
        <v>1080.22</v>
      </c>
      <c r="G94" s="15" t="inlineStr">
        <is>
          <t>USD</t>
        </is>
      </c>
      <c r="H94" s="14" t="n">
        <v>927.8009523311363</v>
      </c>
      <c r="I94" s="16" t="n">
        <v>150745.5380789448</v>
      </c>
      <c r="J94" s="16" t="n">
        <v>175510</v>
      </c>
      <c r="K94" s="14" t="n">
        <v>41.73</v>
      </c>
      <c r="L94" s="14" t="n">
        <v>64.28437</v>
      </c>
      <c r="M94" s="17">
        <f>IF(OR(F94="",K94="",K94&lt;=0),"",F94/K94)</f>
        <v/>
      </c>
      <c r="N94" s="18" t="n">
        <v>2.9061294</v>
      </c>
      <c r="O94" s="19">
        <f>IF(OR(N94="",M94="",M94&lt;=0),"",N94/M94)</f>
        <v/>
      </c>
      <c r="P94" s="20" t="n">
        <v>0.122779995</v>
      </c>
      <c r="Q94" s="20" t="n">
        <v>0.1276194741974955</v>
      </c>
      <c r="R94" s="20" t="n">
        <v>0.01644167432772636</v>
      </c>
      <c r="S94" s="21" t="n">
        <v>4</v>
      </c>
      <c r="T94" s="20" t="n"/>
      <c r="U94" s="20" t="n">
        <v>0.09935943315201833</v>
      </c>
      <c r="V94" s="20" t="n">
        <v>0.1340983261395936</v>
      </c>
      <c r="W94" s="20" t="n">
        <v>0.1398327699697563</v>
      </c>
      <c r="X94" s="20" t="n">
        <v>0.1371873675286138</v>
      </c>
      <c r="Y94" s="14" t="n">
        <v>22.92</v>
      </c>
      <c r="Z94" s="19">
        <f>IF(OR(Y94="",F94="",F94=0),"",Y94/F94)</f>
        <v/>
      </c>
      <c r="AA94" s="22" t="n">
        <v>23.192</v>
      </c>
      <c r="AB94" s="20" t="n">
        <v>0.306</v>
      </c>
      <c r="AC94" s="20" t="n">
        <v>0.2715559960356789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2026-09-09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Nucor</t>
        </is>
      </c>
      <c r="C95" s="12" t="inlineStr">
        <is>
          <t>NUE</t>
        </is>
      </c>
      <c r="D95" s="11" t="inlineStr">
        <is>
          <t>Acciaio</t>
        </is>
      </c>
      <c r="E95" s="13" t="inlineStr">
        <is>
          <t>Materiali</t>
        </is>
      </c>
      <c r="F95" s="14" t="n">
        <v>258.81</v>
      </c>
      <c r="G95" s="15" t="inlineStr">
        <is>
          <t>USD</t>
        </is>
      </c>
      <c r="H95" s="14" t="n">
        <v>222.2919076417965</v>
      </c>
      <c r="I95" s="16" t="n">
        <v>50432.63222185662</v>
      </c>
      <c r="J95" s="16" t="n">
        <v>58717.7</v>
      </c>
      <c r="K95" s="14" t="n">
        <v>12.54</v>
      </c>
      <c r="L95" s="14" t="n">
        <v>19.04565</v>
      </c>
      <c r="M95" s="17">
        <f>IF(OR(F95="",K95="",K95&lt;=0),"",F95/K95)</f>
        <v/>
      </c>
      <c r="N95" s="18" t="n">
        <v>2.6558235</v>
      </c>
      <c r="O95" s="19">
        <f>IF(OR(N95="",M95="",M95&lt;=0),"",N95/M95)</f>
        <v/>
      </c>
      <c r="P95" s="20" t="n">
        <v>0.14548999</v>
      </c>
      <c r="Q95" s="20" t="n">
        <v>0.2030927127527553</v>
      </c>
      <c r="R95" s="20" t="n">
        <v>0.1315978865605651</v>
      </c>
      <c r="S95" s="21" t="n">
        <v>4</v>
      </c>
      <c r="T95" s="20" t="n"/>
      <c r="U95" s="20" t="n">
        <v>0.08330149025601834</v>
      </c>
      <c r="V95" s="20" t="n">
        <v>0.09988173844486055</v>
      </c>
      <c r="W95" s="20" t="n">
        <v>0.2160936007640879</v>
      </c>
      <c r="X95" s="20" t="n">
        <v>0.4130940215460545</v>
      </c>
      <c r="Y95" s="14" t="n">
        <v>2.24</v>
      </c>
      <c r="Z95" s="19">
        <f>IF(OR(Y95="",F95="",F95=0),"",Y95/F95)</f>
        <v/>
      </c>
      <c r="AA95" s="22" t="n">
        <v>30.512</v>
      </c>
      <c r="AB95" s="20" t="n">
        <v>0.23</v>
      </c>
      <c r="AC95" s="20" t="n">
        <v>0.08841632104388503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2026-09-09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IBM</t>
        </is>
      </c>
      <c r="C96" s="12" t="inlineStr">
        <is>
          <t>IBM</t>
        </is>
      </c>
      <c r="D96" s="11" t="inlineStr">
        <is>
          <t>Servizi IT</t>
        </is>
      </c>
      <c r="E96" s="13" t="inlineStr">
        <is>
          <t>Tecnologia</t>
        </is>
      </c>
      <c r="F96" s="14" t="n">
        <v>235.785</v>
      </c>
      <c r="G96" s="15" t="inlineStr">
        <is>
          <t>USD</t>
        </is>
      </c>
      <c r="H96" s="14" t="n">
        <v>202.5157352626289</v>
      </c>
      <c r="I96" s="16" t="n">
        <v>190797.0755142299</v>
      </c>
      <c r="J96" s="16" t="n">
        <v>222141.2</v>
      </c>
      <c r="K96" s="14" t="n">
        <v>11.26</v>
      </c>
      <c r="L96" s="14" t="n">
        <v>13.16241</v>
      </c>
      <c r="M96" s="17">
        <f>IF(OR(F96="",K96="",K96&lt;=0),"",F96/K96)</f>
        <v/>
      </c>
      <c r="N96" s="18" t="n">
        <v>6.4478507</v>
      </c>
      <c r="O96" s="19">
        <f>IF(OR(N96="",M96="",M96&lt;=0),"",N96/M96)</f>
        <v/>
      </c>
      <c r="P96" s="20" t="n">
        <v>0.34460998</v>
      </c>
      <c r="Q96" s="20" t="n">
        <v>0.23817417040765</v>
      </c>
      <c r="R96" s="20" t="n">
        <v>0.1042197094136844</v>
      </c>
      <c r="S96" s="21" t="n">
        <v>4</v>
      </c>
      <c r="T96" s="20" t="n"/>
      <c r="U96" s="20" t="n">
        <v>0.3244609164420485</v>
      </c>
      <c r="V96" s="20" t="n">
        <v>0.2205661551983008</v>
      </c>
      <c r="W96" s="20" t="n">
        <v>0.3329339191408157</v>
      </c>
      <c r="X96" s="20" t="n">
        <v>0.07473569084943492</v>
      </c>
      <c r="Y96" s="14" t="n">
        <v>6.76</v>
      </c>
      <c r="Z96" s="19">
        <f>IF(OR(Y96="",F96="",F96=0),"",Y96/F96)</f>
        <v/>
      </c>
      <c r="AA96" s="22" t="n">
        <v>188.97</v>
      </c>
      <c r="AB96" s="20" t="n">
        <v>0.011</v>
      </c>
      <c r="AC96" s="20" t="n">
        <v>0.158508061596778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2026-09-09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Thermo Fisher</t>
        </is>
      </c>
      <c r="C97" s="12" t="inlineStr">
        <is>
          <t>TMO</t>
        </is>
      </c>
      <c r="D97" s="11" t="inlineStr">
        <is>
          <t>Strumentazione life science</t>
        </is>
      </c>
      <c r="E97" s="13" t="inlineStr">
        <is>
          <t>Salute</t>
        </is>
      </c>
      <c r="F97" s="14" t="n">
        <v>605.375</v>
      </c>
      <c r="G97" s="15" t="inlineStr">
        <is>
          <t>USD</t>
        </is>
      </c>
      <c r="H97" s="14" t="n">
        <v>519.9565843230653</v>
      </c>
      <c r="I97" s="16" t="n">
        <v>192252.5674453368</v>
      </c>
      <c r="J97" s="16" t="n">
        <v>223835.8</v>
      </c>
      <c r="K97" s="14" t="n">
        <v>18.57</v>
      </c>
      <c r="L97" s="14" t="n">
        <v>27.53117</v>
      </c>
      <c r="M97" s="17">
        <f>IF(OR(F97="",K97="",K97&lt;=0),"",F97/K97)</f>
        <v/>
      </c>
      <c r="N97" s="18" t="n">
        <v>4.2490506</v>
      </c>
      <c r="O97" s="19">
        <f>IF(OR(N97="",M97="",M97&lt;=0),"",N97/M97)</f>
        <v/>
      </c>
      <c r="P97" s="20" t="n">
        <v>0.13515</v>
      </c>
      <c r="Q97" s="20" t="n">
        <v>0.1348992605873013</v>
      </c>
      <c r="R97" s="20" t="n">
        <v>0.0133965212757604</v>
      </c>
      <c r="S97" s="21" t="n">
        <v>4</v>
      </c>
      <c r="T97" s="20" t="n"/>
      <c r="U97" s="20" t="n">
        <v>0.1255266163611512</v>
      </c>
      <c r="V97" s="20" t="n">
        <v>0.1277604114147424</v>
      </c>
      <c r="W97" s="20" t="n">
        <v>0.1282764523376485</v>
      </c>
      <c r="X97" s="20" t="n">
        <v>0.1580335622356633</v>
      </c>
      <c r="Y97" s="14" t="n">
        <v>1.88</v>
      </c>
      <c r="Z97" s="19">
        <f>IF(OR(Y97="",F97="",F97=0),"",Y97/F97)</f>
        <v/>
      </c>
      <c r="AA97" s="22" t="n">
        <v>80.575</v>
      </c>
      <c r="AB97" s="20" t="n">
        <v>0.105</v>
      </c>
      <c r="AC97" s="20" t="n">
        <v>0.1563615159009808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2026-09-09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466.45</v>
      </c>
      <c r="G98" s="15" t="inlineStr">
        <is>
          <t>USD</t>
        </is>
      </c>
      <c r="H98" s="14" t="n">
        <v>400.6339025521269</v>
      </c>
      <c r="I98" s="16" t="n">
        <v>184684.2842515791</v>
      </c>
      <c r="J98" s="16" t="n">
        <v>215024.2</v>
      </c>
      <c r="K98" s="14" t="n">
        <v>15.5</v>
      </c>
      <c r="L98" s="14" t="n">
        <v>19.55573</v>
      </c>
      <c r="M98" s="17">
        <f>IF(OR(F98="",K98="",K98&lt;=0),"",F98/K98)</f>
        <v/>
      </c>
      <c r="N98" s="18" t="n">
        <v>5.502017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2026-09-09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162.12</v>
      </c>
      <c r="G99" s="15" t="inlineStr">
        <is>
          <t>USD</t>
        </is>
      </c>
      <c r="H99" s="14" t="n">
        <v>139.2448671492139</v>
      </c>
      <c r="I99" s="16" t="n">
        <v>401090.7514593356</v>
      </c>
      <c r="J99" s="16" t="n">
        <v>466981.9</v>
      </c>
      <c r="K99" s="14" t="n">
        <v>5.83</v>
      </c>
      <c r="L99" s="14" t="n">
        <v>10.96813</v>
      </c>
      <c r="M99" s="17">
        <f>IF(OR(F99="",K99="",K99&lt;=0),"",F99/K99)</f>
        <v/>
      </c>
      <c r="N99" s="18" t="n">
        <v>12.432515</v>
      </c>
      <c r="O99" s="19">
        <f>IF(OR(N99="",M99="",M99&lt;=0),"",N99/M99)</f>
        <v/>
      </c>
      <c r="P99" s="20" t="n">
        <v>0.53376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388.87</v>
      </c>
      <c r="AB99" s="20" t="n">
        <v>0.206</v>
      </c>
      <c r="AC99" s="20" t="n">
        <v>0.2521490047359591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2026-09-09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MetLife</t>
        </is>
      </c>
      <c r="C100" s="12" t="inlineStr">
        <is>
          <t>MET</t>
        </is>
      </c>
      <c r="D100" s="11" t="inlineStr">
        <is>
          <t>Assicurazione vita</t>
        </is>
      </c>
      <c r="E100" s="13" t="inlineStr">
        <is>
          <t>Finanziario</t>
        </is>
      </c>
      <c r="F100" s="14" t="n">
        <v>95.40000000000001</v>
      </c>
      <c r="G100" s="15" t="inlineStr">
        <is>
          <t>USD</t>
        </is>
      </c>
      <c r="H100" s="14" t="n">
        <v>81.93905949935235</v>
      </c>
      <c r="I100" s="16" t="n">
        <v>52070.38273184997</v>
      </c>
      <c r="J100" s="16" t="n">
        <v>60624.5</v>
      </c>
      <c r="K100" s="14" t="n">
        <v>5.22</v>
      </c>
      <c r="L100" s="14" t="n">
        <v>10.92058</v>
      </c>
      <c r="M100" s="17">
        <f>IF(OR(F100="",K100="",K100&lt;=0),"",F100/K100)</f>
        <v/>
      </c>
      <c r="N100" s="18" t="n">
        <v>2.217161</v>
      </c>
      <c r="O100" s="19">
        <f>IF(OR(N100="",M100="",M100&lt;=0),"",N100/M100)</f>
        <v/>
      </c>
      <c r="P100" s="20" t="n">
        <v>0.13094</v>
      </c>
      <c r="Q100" s="20" t="n">
        <v>0.1274159335614763</v>
      </c>
      <c r="R100" s="20" t="n">
        <v>0.04811596554463902</v>
      </c>
      <c r="S100" s="21" t="n">
        <v>4</v>
      </c>
      <c r="T100" s="20" t="n"/>
      <c r="U100" s="20" t="n">
        <v>0.1189872526234242</v>
      </c>
      <c r="V100" s="20" t="n">
        <v>0.1612679905265076</v>
      </c>
      <c r="W100" s="20" t="n">
        <v>0.05257371314342828</v>
      </c>
      <c r="X100" s="20" t="n">
        <v>0.1768347779525451</v>
      </c>
      <c r="Y100" s="14" t="n">
        <v>2.37</v>
      </c>
      <c r="Z100" s="19">
        <f>IF(OR(Y100="",F100="",F100=0),"",Y100/F100)</f>
        <v/>
      </c>
      <c r="AA100" s="22" t="n">
        <v>179.933</v>
      </c>
      <c r="AB100" s="20" t="n">
        <v>0.105</v>
      </c>
      <c r="AC100" s="20" t="n">
        <v>0.04548338403785656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2026-09-09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Berkshire Hathaway B</t>
        </is>
      </c>
      <c r="C101" s="12" t="inlineStr">
        <is>
          <t>BRK-B</t>
        </is>
      </c>
      <c r="D101" s="11" t="inlineStr">
        <is>
          <t>Conglomerata / Holding</t>
        </is>
      </c>
      <c r="E101" s="13" t="inlineStr">
        <is>
          <t>Finanziario</t>
        </is>
      </c>
      <c r="F101" s="14" t="n">
        <v>507.34</v>
      </c>
      <c r="G101" s="15" t="inlineStr">
        <is>
          <t>USD</t>
        </is>
      </c>
      <c r="H101" s="14" t="n">
        <v>435.7543233375411</v>
      </c>
      <c r="I101" s="16" t="n">
        <v>932823.5418304482</v>
      </c>
      <c r="J101" s="16" t="n">
        <v>1086067.7</v>
      </c>
      <c r="K101" s="14" t="n">
        <v>39.76</v>
      </c>
      <c r="L101" s="14" t="n">
        <v>22.19254</v>
      </c>
      <c r="M101" s="17">
        <f>IF(OR(F101="",K101="",K101&lt;=0),"",F101/K101)</f>
        <v/>
      </c>
      <c r="N101" s="18" t="n">
        <v>0.0009714952999999999</v>
      </c>
      <c r="O101" s="19">
        <f>IF(OR(N101="",M101="",M101&lt;=0),"",N101/M101)</f>
        <v/>
      </c>
      <c r="P101" s="20" t="n">
        <v>0.121199995</v>
      </c>
      <c r="Q101" s="20" t="n">
        <v>0.08843956355337573</v>
      </c>
      <c r="R101" s="20" t="n">
        <v>0.08353327161790873</v>
      </c>
      <c r="S101" s="21" t="n">
        <v>4</v>
      </c>
      <c r="T101" s="20" t="n"/>
      <c r="U101" s="20" t="n">
        <v>0.09334572962243821</v>
      </c>
      <c r="V101" s="20" t="n">
        <v>0.137048638060391</v>
      </c>
      <c r="W101" s="20" t="n">
        <v>0.1714370725119505</v>
      </c>
      <c r="X101" s="20" t="n">
        <v>-0.04807318598127683</v>
      </c>
      <c r="Y101" s="14" t="n"/>
      <c r="Z101" s="19">
        <f>IF(OR(Y101="",F101="",F101=0),"",Y101/F101)</f>
        <v/>
      </c>
      <c r="AA101" s="22" t="n">
        <v>17.142</v>
      </c>
      <c r="AB101" s="20" t="n">
        <v>0.1</v>
      </c>
      <c r="AC101" s="20" t="n">
        <v>0.208924256395516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2026-09-09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ServiceNow</t>
        </is>
      </c>
      <c r="C102" s="12" t="inlineStr">
        <is>
          <t>NOW</t>
        </is>
      </c>
      <c r="D102" s="11" t="inlineStr">
        <is>
          <t>Software</t>
        </is>
      </c>
      <c r="E102" s="13" t="inlineStr">
        <is>
          <t>Tecnologia</t>
        </is>
      </c>
      <c r="F102" s="14" t="n">
        <v>131.2</v>
      </c>
      <c r="G102" s="15" t="inlineStr">
        <is>
          <t>USD</t>
        </is>
      </c>
      <c r="H102" s="14" t="n">
        <v>112.6876793114783</v>
      </c>
      <c r="I102" s="16" t="n">
        <v>116503.5143181636</v>
      </c>
      <c r="J102" s="16" t="n">
        <v>135642.7</v>
      </c>
      <c r="K102" s="14" t="n">
        <v>1.6</v>
      </c>
      <c r="L102" s="14" t="n">
        <v>5.00551</v>
      </c>
      <c r="M102" s="17">
        <f>IF(OR(F102="",K102="",K102&lt;=0),"",F102/K102)</f>
        <v/>
      </c>
      <c r="N102" s="18" t="n">
        <v>10.837601</v>
      </c>
      <c r="O102" s="19">
        <f>IF(OR(N102="",M102="",M102&lt;=0),"",N102/M102)</f>
        <v/>
      </c>
      <c r="P102" s="20" t="n">
        <v>0.14244</v>
      </c>
      <c r="Q102" s="20" t="n">
        <v>0.1436617884474269</v>
      </c>
      <c r="R102" s="20" t="n">
        <v>0.05763116433316788</v>
      </c>
      <c r="S102" s="21" t="n">
        <v>4</v>
      </c>
      <c r="T102" s="20" t="n"/>
      <c r="U102" s="20" t="n">
        <v>0.134834927491515</v>
      </c>
      <c r="V102" s="20" t="n">
        <v>0.1482984701842023</v>
      </c>
      <c r="W102" s="20" t="n">
        <v>0.2269271106449921</v>
      </c>
      <c r="X102" s="20" t="n">
        <v>0.06458664546899841</v>
      </c>
      <c r="Y102" s="14" t="n"/>
      <c r="Z102" s="19">
        <f>IF(OR(Y102="",F102="",F102=0),"",Y102/F102)</f>
        <v/>
      </c>
      <c r="AA102" s="22" t="n">
        <v>67.538</v>
      </c>
      <c r="AB102" s="20" t="n">
        <v>0.24</v>
      </c>
      <c r="AC102" s="20" t="n">
        <v>0.125771953607471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2026-09-09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UnitedHealth Group</t>
        </is>
      </c>
      <c r="C103" s="12" t="inlineStr">
        <is>
          <t>UNH</t>
        </is>
      </c>
      <c r="D103" s="11" t="inlineStr">
        <is>
          <t>Assicurazione sanitaria</t>
        </is>
      </c>
      <c r="E103" s="13" t="inlineStr">
        <is>
          <t>Salute</t>
        </is>
      </c>
      <c r="F103" s="14" t="n">
        <v>394.915</v>
      </c>
      <c r="G103" s="15" t="inlineStr">
        <is>
          <t>USD</t>
        </is>
      </c>
      <c r="H103" s="14" t="n">
        <v>339.1924914275339</v>
      </c>
      <c r="I103" s="16" t="n">
        <v>304457.4590697649</v>
      </c>
      <c r="J103" s="16" t="n">
        <v>354473.7</v>
      </c>
      <c r="K103" s="14" t="n">
        <v>15.55</v>
      </c>
      <c r="L103" s="14" t="n">
        <v>22.43537</v>
      </c>
      <c r="M103" s="17">
        <f>IF(OR(F103="",K103="",K103&lt;=0),"",F103/K103)</f>
        <v/>
      </c>
      <c r="N103" s="18" t="n">
        <v>3.6303675</v>
      </c>
      <c r="O103" s="19">
        <f>IF(OR(N103="",M103="",M103&lt;=0),"",N103/M103)</f>
        <v/>
      </c>
      <c r="P103" s="20" t="n">
        <v>0.14152999</v>
      </c>
      <c r="Q103" s="20" t="n">
        <v>0.1986094387672269</v>
      </c>
      <c r="R103" s="20" t="n">
        <v>0.05768840645771321</v>
      </c>
      <c r="S103" s="21" t="n">
        <v>4</v>
      </c>
      <c r="T103" s="20" t="n"/>
      <c r="U103" s="20" t="n">
        <v>0.1281054085644459</v>
      </c>
      <c r="V103" s="20" t="n">
        <v>0.1554641801031751</v>
      </c>
      <c r="W103" s="20" t="n">
        <v>0.2521632340348822</v>
      </c>
      <c r="X103" s="20" t="n">
        <v>0.2587049323664043</v>
      </c>
      <c r="Y103" s="14" t="n">
        <v>9.279999999999999</v>
      </c>
      <c r="Z103" s="19">
        <f>IF(OR(Y103="",F103="",F103=0),"",Y103/F103)</f>
        <v/>
      </c>
      <c r="AA103" s="22" t="n">
        <v>69.211</v>
      </c>
      <c r="AB103" s="20" t="n">
        <v>0.004</v>
      </c>
      <c r="AC103" s="20" t="n">
        <v>0.03155281864838114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2026-09-09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310.4101</v>
      </c>
      <c r="G104" s="15" t="inlineStr">
        <is>
          <t>USD</t>
        </is>
      </c>
      <c r="H104" s="14" t="n">
        <v>266.6112332610054</v>
      </c>
      <c r="I104" s="16" t="n">
        <v>266033.7089045341</v>
      </c>
      <c r="J104" s="16" t="n">
        <v>309737.7</v>
      </c>
      <c r="K104" s="14" t="n">
        <v>14.3</v>
      </c>
      <c r="L104" s="14" t="n">
        <v>16.0248</v>
      </c>
      <c r="M104" s="17">
        <f>IF(OR(F104="",K104="",K104&lt;=0),"",F104/K104)</f>
        <v/>
      </c>
      <c r="N104" s="18" t="n">
        <v>18.645947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2026-09-09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151.755</v>
      </c>
      <c r="G105" s="15" t="inlineStr">
        <is>
          <t>USD</t>
        </is>
      </c>
      <c r="H105" s="14" t="n">
        <v>130.3423687036081</v>
      </c>
      <c r="I105" s="16" t="n">
        <v>72704.93976577281</v>
      </c>
      <c r="J105" s="16" t="n">
        <v>84648.89999999999</v>
      </c>
      <c r="K105" s="14" t="n">
        <v>4.56</v>
      </c>
      <c r="L105" s="14" t="n">
        <v>7.24459</v>
      </c>
      <c r="M105" s="17">
        <f>IF(OR(F105="",K105="",K105&lt;=0),"",F105/K105)</f>
        <v/>
      </c>
      <c r="N105" s="18" t="n">
        <v>4.1536884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2026-09-09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212.7</v>
      </c>
      <c r="G106" s="15" t="inlineStr">
        <is>
          <t>USD</t>
        </is>
      </c>
      <c r="H106" s="14" t="n">
        <v>182.6880288837762</v>
      </c>
      <c r="I106" s="16" t="n">
        <v>358361.4215104117</v>
      </c>
      <c r="J106" s="16" t="n">
        <v>417233</v>
      </c>
      <c r="K106" s="14" t="n">
        <v>10.39</v>
      </c>
      <c r="L106" s="14" t="n">
        <v>13.47184</v>
      </c>
      <c r="M106" s="17">
        <f>IF(OR(F106="",K106="",K106&lt;=0),"",F106/K106)</f>
        <v/>
      </c>
      <c r="N106" s="18" t="n">
        <v>2.197314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>
        <v>7.12</v>
      </c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2026-09-09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105.74</v>
      </c>
      <c r="G107" s="15" t="inlineStr">
        <is>
          <t>USD</t>
        </is>
      </c>
      <c r="H107" s="14" t="n">
        <v>90.82008544508928</v>
      </c>
      <c r="I107" s="16" t="n">
        <v>157153.5332697919</v>
      </c>
      <c r="J107" s="16" t="n">
        <v>182970.7</v>
      </c>
      <c r="K107" s="14" t="n">
        <v>3.09</v>
      </c>
      <c r="L107" s="14" t="n">
        <v>6.06487</v>
      </c>
      <c r="M107" s="17">
        <f>IF(OR(F107="",K107="",K107&lt;=0),"",F107/K107)</f>
        <v/>
      </c>
      <c r="N107" s="18" t="n">
        <v>3.5799165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2026-09-09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147.71</v>
      </c>
      <c r="G108" s="15" t="inlineStr">
        <is>
          <t>USD</t>
        </is>
      </c>
      <c r="H108" s="14" t="n">
        <v>126.8681182248358</v>
      </c>
      <c r="I108" s="16" t="n">
        <v>313005.403597537</v>
      </c>
      <c r="J108" s="16" t="n">
        <v>364425.9</v>
      </c>
      <c r="K108" s="14" t="n">
        <v>1.25</v>
      </c>
      <c r="L108" s="14" t="n">
        <v>9.54828</v>
      </c>
      <c r="M108" s="17">
        <f>IF(OR(F108="",K108="",K108&lt;=0),"",F108/K108)</f>
        <v/>
      </c>
      <c r="N108" s="18" t="n">
        <v>8.695985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2026-09-09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92.41</v>
      </c>
      <c r="G109" s="15" t="inlineStr">
        <is>
          <t>USD</t>
        </is>
      </c>
      <c r="H109" s="14" t="n">
        <v>79.37094851504351</v>
      </c>
      <c r="I109" s="16" t="n">
        <v>101526.359769674</v>
      </c>
      <c r="J109" s="16" t="n">
        <v>118205.1</v>
      </c>
      <c r="K109" s="14" t="n">
        <v>4.06</v>
      </c>
      <c r="L109" s="14" t="n">
        <v>6.39948</v>
      </c>
      <c r="M109" s="17">
        <f>IF(OR(F109="",K109="",K109&lt;=0),"",F109/K109)</f>
        <v/>
      </c>
      <c r="N109" s="18" t="n">
        <v>2.391687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2026-09-09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Kinder Morgan</t>
        </is>
      </c>
      <c r="C110" s="12" t="inlineStr">
        <is>
          <t>KMI</t>
        </is>
      </c>
      <c r="D110" s="11" t="inlineStr">
        <is>
          <t>Gasdotti</t>
        </is>
      </c>
      <c r="E110" s="13" t="inlineStr">
        <is>
          <t>Energia</t>
        </is>
      </c>
      <c r="F110" s="14" t="n">
        <v>31.37</v>
      </c>
      <c r="G110" s="15" t="inlineStr">
        <is>
          <t>USD</t>
        </is>
      </c>
      <c r="H110" s="14" t="n">
        <v>26.94369283537404</v>
      </c>
      <c r="I110" s="16" t="n">
        <v>59998.28735341047</v>
      </c>
      <c r="J110" s="16" t="n">
        <v>69854.8</v>
      </c>
      <c r="K110" s="14" t="n">
        <v>1.55</v>
      </c>
      <c r="L110" s="14" t="n">
        <v>1.5365</v>
      </c>
      <c r="M110" s="17">
        <f>IF(OR(F110="",K110="",K110&lt;=0),"",F110/K110)</f>
        <v/>
      </c>
      <c r="N110" s="18" t="n">
        <v>2.2065134</v>
      </c>
      <c r="O110" s="19">
        <f>IF(OR(N110="",M110="",M110&lt;=0),"",N110/M110)</f>
        <v/>
      </c>
      <c r="P110" s="20" t="n">
        <v>0.109910004</v>
      </c>
      <c r="Q110" s="20" t="n">
        <v>0.08635798073446269</v>
      </c>
      <c r="R110" s="20" t="n">
        <v>0.007167473388274325</v>
      </c>
      <c r="S110" s="21" t="n">
        <v>4</v>
      </c>
      <c r="T110" s="20" t="n"/>
      <c r="U110" s="20" t="n">
        <v>0.0980681599383865</v>
      </c>
      <c r="V110" s="20" t="n">
        <v>0.08558514296944089</v>
      </c>
      <c r="W110" s="20" t="n">
        <v>0.07889526826371016</v>
      </c>
      <c r="X110" s="20" t="n">
        <v>0.08288335176631319</v>
      </c>
      <c r="Y110" s="14" t="n">
        <v>1.18</v>
      </c>
      <c r="Z110" s="19">
        <f>IF(OR(Y110="",F110="",F110=0),"",Y110/F110)</f>
        <v/>
      </c>
      <c r="AA110" s="22" t="n">
        <v>98.619</v>
      </c>
      <c r="AB110" s="20" t="n">
        <v>0.108</v>
      </c>
      <c r="AC110" s="20" t="n">
        <v>0.2036370039558363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2026-09-09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Occidental Petroleum</t>
        </is>
      </c>
      <c r="C111" s="12" t="inlineStr">
        <is>
          <t>OXY</t>
        </is>
      </c>
      <c r="D111" s="11" t="inlineStr">
        <is>
          <t>Esplorazione e produzione</t>
        </is>
      </c>
      <c r="E111" s="13" t="inlineStr">
        <is>
          <t>Energia</t>
        </is>
      </c>
      <c r="F111" s="14" t="n">
        <v>61.235</v>
      </c>
      <c r="G111" s="15" t="inlineStr">
        <is>
          <t>USD</t>
        </is>
      </c>
      <c r="H111" s="14" t="n">
        <v>52.59474117864613</v>
      </c>
      <c r="I111" s="16" t="n">
        <v>52575.67359876264</v>
      </c>
      <c r="J111" s="16" t="n">
        <v>61212.8</v>
      </c>
      <c r="K111" s="14" t="n">
        <v>3.39</v>
      </c>
      <c r="L111" s="14" t="n">
        <v>3.86667</v>
      </c>
      <c r="M111" s="17">
        <f>IF(OR(F111="",K111="",K111&lt;=0),"",F111/K111)</f>
        <v/>
      </c>
      <c r="N111" s="18" t="n">
        <v>1.8296034</v>
      </c>
      <c r="O111" s="19">
        <f>IF(OR(N111="",M111="",M111&lt;=0),"",N111/M111)</f>
        <v/>
      </c>
      <c r="P111" s="20" t="n">
        <v>0.10629</v>
      </c>
      <c r="Q111" s="20" t="n">
        <v>0.1878668803897049</v>
      </c>
      <c r="R111" s="20" t="n">
        <v>0.1505382025614877</v>
      </c>
      <c r="S111" s="21" t="n">
        <v>4</v>
      </c>
      <c r="T111" s="20" t="n"/>
      <c r="U111" s="20" t="n">
        <v>0.06455014708331021</v>
      </c>
      <c r="V111" s="20" t="n">
        <v>0.08946397728270734</v>
      </c>
      <c r="W111" s="20" t="n">
        <v>0.1552396694214876</v>
      </c>
      <c r="X111" s="20" t="n">
        <v>0.4422137277713146</v>
      </c>
      <c r="Y111" s="14" t="n">
        <v>1.12</v>
      </c>
      <c r="Z111" s="19">
        <f>IF(OR(Y111="",F111="",F111=0),"",Y111/F111)</f>
        <v/>
      </c>
      <c r="AA111" s="22" t="n">
        <v>34.511</v>
      </c>
      <c r="AB111" s="20" t="n">
        <v>0.534</v>
      </c>
      <c r="AC111" s="20" t="n">
        <v>0.157412127263465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2026-09-09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88.09</v>
      </c>
      <c r="G112" s="15" t="inlineStr">
        <is>
          <t>USD</t>
        </is>
      </c>
      <c r="H112" s="14" t="n">
        <v>75.66050053771436</v>
      </c>
      <c r="I112" s="16" t="n">
        <v>60314.44844147872</v>
      </c>
      <c r="J112" s="16" t="n">
        <v>70222.89999999999</v>
      </c>
      <c r="K112" s="14" t="n">
        <v>2.54</v>
      </c>
      <c r="L112" s="14" t="n">
        <v>4.10802</v>
      </c>
      <c r="M112" s="17">
        <f>IF(OR(F112="",K112="",K112&lt;=0),"",F112/K112)</f>
        <v/>
      </c>
      <c r="N112" s="18" t="n">
        <v>297.60135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2026-09-09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S&amp;P Global</t>
        </is>
      </c>
      <c r="C113" s="12" t="inlineStr">
        <is>
          <t>SPGI</t>
        </is>
      </c>
      <c r="D113" s="11" t="inlineStr">
        <is>
          <t>Dati e rating</t>
        </is>
      </c>
      <c r="E113" s="13" t="inlineStr">
        <is>
          <t>Finanziario</t>
        </is>
      </c>
      <c r="F113" s="14" t="n">
        <v>422.3</v>
      </c>
      <c r="G113" s="15" t="inlineStr">
        <is>
          <t>USD</t>
        </is>
      </c>
      <c r="H113" s="14" t="n">
        <v>362.7134677838208</v>
      </c>
      <c r="I113" s="16" t="n">
        <v>106927.8959466706</v>
      </c>
      <c r="J113" s="16" t="n">
        <v>124494</v>
      </c>
      <c r="K113" s="14" t="n">
        <v>16.44</v>
      </c>
      <c r="L113" s="14" t="n">
        <v>20.21925</v>
      </c>
      <c r="M113" s="17">
        <f>IF(OR(F113="",K113="",K113&lt;=0),"",F113/K113)</f>
        <v/>
      </c>
      <c r="N113" s="18" t="n">
        <v>3.9520843</v>
      </c>
      <c r="O113" s="19">
        <f>IF(OR(N113="",M113="",M113&lt;=0),"",N113/M113)</f>
        <v/>
      </c>
      <c r="P113" s="20" t="n">
        <v>0.14255</v>
      </c>
      <c r="Q113" s="20" t="n">
        <v>0.1064621835887914</v>
      </c>
      <c r="R113" s="20" t="n">
        <v>0.02575321793401057</v>
      </c>
      <c r="S113" s="21" t="n">
        <v>4</v>
      </c>
      <c r="T113" s="20" t="n"/>
      <c r="U113" s="20" t="n">
        <v>0.1436373566357182</v>
      </c>
      <c r="V113" s="20" t="n">
        <v>0.1161675563195513</v>
      </c>
      <c r="W113" s="20" t="n">
        <v>0.07678362573099415</v>
      </c>
      <c r="X113" s="20" t="n">
        <v>0.08926019566890184</v>
      </c>
      <c r="Y113" s="14" t="n">
        <v>3.88</v>
      </c>
      <c r="Z113" s="19">
        <f>IF(OR(Y113="",F113="",F113=0),"",Y113/F113)</f>
        <v/>
      </c>
      <c r="AA113" s="22" t="n">
        <v>42.98</v>
      </c>
      <c r="AB113" s="20" t="n">
        <v>0.104</v>
      </c>
      <c r="AC113" s="20" t="n">
        <v>0.3210093771517997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2026-09-09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American Electric Power</t>
        </is>
      </c>
      <c r="C114" s="12" t="inlineStr">
        <is>
          <t>AEP</t>
        </is>
      </c>
      <c r="D114" s="11" t="inlineStr">
        <is>
          <t>Utility</t>
        </is>
      </c>
      <c r="E114" s="13" t="inlineStr">
        <is>
          <t>Utility</t>
        </is>
      </c>
      <c r="F114" s="14" t="n">
        <v>124.18</v>
      </c>
      <c r="G114" s="15" t="inlineStr">
        <is>
          <t>USD</t>
        </is>
      </c>
      <c r="H114" s="14" t="n">
        <v>106.6582013483184</v>
      </c>
      <c r="I114" s="16" t="n">
        <v>58064.47401522607</v>
      </c>
      <c r="J114" s="16" t="n">
        <v>67603.3</v>
      </c>
      <c r="K114" s="14" t="n">
        <v>5.77</v>
      </c>
      <c r="L114" s="14" t="n">
        <v>6.85684</v>
      </c>
      <c r="M114" s="17">
        <f>IF(OR(F114="",K114="",K114&lt;=0),"",F114/K114)</f>
        <v/>
      </c>
      <c r="N114" s="18" t="n">
        <v>2.1072817</v>
      </c>
      <c r="O114" s="19">
        <f>IF(OR(N114="",M114="",M114&lt;=0),"",N114/M114)</f>
        <v/>
      </c>
      <c r="P114" s="20" t="n">
        <v>0.10130999</v>
      </c>
      <c r="Q114" s="20" t="n">
        <v>0.1022771363241528</v>
      </c>
      <c r="R114" s="20" t="n">
        <v>0.01089640173381587</v>
      </c>
      <c r="S114" s="21" t="n">
        <v>4</v>
      </c>
      <c r="T114" s="20" t="n"/>
      <c r="U114" s="20" t="n">
        <v>0.1149720598625474</v>
      </c>
      <c r="V114" s="20" t="n">
        <v>0.1101172802850356</v>
      </c>
      <c r="W114" s="20" t="n">
        <v>0.08745697457489493</v>
      </c>
      <c r="X114" s="20" t="n">
        <v>0.09656223057413345</v>
      </c>
      <c r="Y114" s="14" t="n">
        <v>3.8</v>
      </c>
      <c r="Z114" s="19">
        <f>IF(OR(Y114="",F114="",F114=0),"",Y114/F114)</f>
        <v/>
      </c>
      <c r="AA114" s="22" t="n">
        <v>160.789</v>
      </c>
      <c r="AB114" s="20" t="n">
        <v>0.07000000000000001</v>
      </c>
      <c r="AC114" s="20" t="n">
        <v>0.1435820047540684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2026-09-09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PACCAR</t>
        </is>
      </c>
      <c r="C115" s="12" t="inlineStr">
        <is>
          <t>PCAR</t>
        </is>
      </c>
      <c r="D115" s="11" t="inlineStr">
        <is>
          <t>Veicoli industriali</t>
        </is>
      </c>
      <c r="E115" s="13" t="inlineStr">
        <is>
          <t>Industriale</t>
        </is>
      </c>
      <c r="F115" s="14" t="n">
        <v>120.59</v>
      </c>
      <c r="G115" s="15" t="inlineStr">
        <is>
          <t>USD</t>
        </is>
      </c>
      <c r="H115" s="14" t="n">
        <v>103.5747503671583</v>
      </c>
      <c r="I115" s="16" t="n">
        <v>54518.07593689457</v>
      </c>
      <c r="J115" s="16" t="n">
        <v>63474.3</v>
      </c>
      <c r="K115" s="14" t="n">
        <v>4.75</v>
      </c>
      <c r="L115" s="14" t="n">
        <v>7.18849</v>
      </c>
      <c r="M115" s="17">
        <f>IF(OR(F115="",K115="",K115&lt;=0),"",F115/K115)</f>
        <v/>
      </c>
      <c r="N115" s="18" t="n">
        <v>3.1235268</v>
      </c>
      <c r="O115" s="19">
        <f>IF(OR(N115="",M115="",M115&lt;=0),"",N115/M115)</f>
        <v/>
      </c>
      <c r="P115" s="20" t="n">
        <v>0.12755999</v>
      </c>
      <c r="Q115" s="20" t="n">
        <v>0.2198824319294773</v>
      </c>
      <c r="R115" s="20" t="n">
        <v>0.06041575921139673</v>
      </c>
      <c r="S115" s="21" t="n">
        <v>4</v>
      </c>
      <c r="T115" s="20" t="n"/>
      <c r="U115" s="20" t="n">
        <v>0.123328488372093</v>
      </c>
      <c r="V115" s="20" t="n">
        <v>0.2377348359789569</v>
      </c>
      <c r="W115" s="20" t="n">
        <v>0.2897448169886893</v>
      </c>
      <c r="X115" s="20" t="n">
        <v>0.2287215863781698</v>
      </c>
      <c r="Y115" s="14" t="n">
        <v>1.4</v>
      </c>
      <c r="Z115" s="19">
        <f>IF(OR(Y115="",F115="",F115=0),"",Y115/F115)</f>
        <v/>
      </c>
      <c r="AA115" s="22" t="n">
        <v>72.91</v>
      </c>
      <c r="AB115" s="20" t="n">
        <v>0.005</v>
      </c>
      <c r="AC115" s="20" t="n">
        <v>0.08803717853526831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2026-09-09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Equinix</t>
        </is>
      </c>
      <c r="C116" s="12" t="inlineStr">
        <is>
          <t>EQIX</t>
        </is>
      </c>
      <c r="D116" s="11" t="inlineStr">
        <is>
          <t>REIT / Data center</t>
        </is>
      </c>
      <c r="E116" s="13" t="inlineStr">
        <is>
          <t>Immobiliare</t>
        </is>
      </c>
      <c r="F116" s="14" t="n">
        <v>1039.51</v>
      </c>
      <c r="G116" s="15" t="inlineStr">
        <is>
          <t>USD</t>
        </is>
      </c>
      <c r="H116" s="14" t="n">
        <v>892.8351335447774</v>
      </c>
      <c r="I116" s="16" t="n">
        <v>88097.54424172401</v>
      </c>
      <c r="J116" s="16" t="n">
        <v>102570.2</v>
      </c>
      <c r="K116" s="14" t="n">
        <v>15.51</v>
      </c>
      <c r="L116" s="14" t="n">
        <v>18.69286</v>
      </c>
      <c r="M116" s="17">
        <f>IF(OR(F116="",K116="",K116&lt;=0),"",F116/K116)</f>
        <v/>
      </c>
      <c r="N116" s="18" t="n">
        <v>7.1318016</v>
      </c>
      <c r="O116" s="19">
        <f>IF(OR(N116="",M116="",M116&lt;=0),"",N116/M116)</f>
        <v/>
      </c>
      <c r="P116" s="20" t="n">
        <v>0.10735</v>
      </c>
      <c r="Q116" s="20" t="n">
        <v>0.07361804446541069</v>
      </c>
      <c r="R116" s="20" t="n">
        <v>0.0143175686792554</v>
      </c>
      <c r="S116" s="21" t="n">
        <v>4</v>
      </c>
      <c r="T116" s="20" t="n"/>
      <c r="U116" s="20" t="n">
        <v>0.09536592257699915</v>
      </c>
      <c r="V116" s="20" t="n">
        <v>0.06024541691306919</v>
      </c>
      <c r="W116" s="20" t="n">
        <v>0.07758827768436224</v>
      </c>
      <c r="X116" s="20" t="n">
        <v>0.06127256068721218</v>
      </c>
      <c r="Y116" s="14" t="n">
        <v>20.64</v>
      </c>
      <c r="Z116" s="19">
        <f>IF(OR(Y116="",F116="",F116=0),"",Y116/F116)</f>
        <v/>
      </c>
      <c r="AA116" s="22" t="n">
        <v>162.217</v>
      </c>
      <c r="AB116" s="20" t="n">
        <v>0.167</v>
      </c>
      <c r="AC116" s="20" t="n">
        <v>0.1663230916784203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2026-09-09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Synopsys</t>
        </is>
      </c>
      <c r="C117" s="12" t="inlineStr">
        <is>
          <t>SNPS</t>
        </is>
      </c>
      <c r="D117" s="11" t="inlineStr">
        <is>
          <t>Software EDA</t>
        </is>
      </c>
      <c r="E117" s="13" t="inlineStr">
        <is>
          <t>Tecnologia</t>
        </is>
      </c>
      <c r="F117" s="14" t="n">
        <v>393.01</v>
      </c>
      <c r="G117" s="15" t="inlineStr">
        <is>
          <t>USD</t>
        </is>
      </c>
      <c r="H117" s="14" t="n">
        <v>337.5562869375311</v>
      </c>
      <c r="I117" s="16" t="n">
        <v>64688.13899475548</v>
      </c>
      <c r="J117" s="16" t="n">
        <v>75315.10000000001</v>
      </c>
      <c r="K117" s="14" t="n">
        <v>5.72</v>
      </c>
      <c r="L117" s="14" t="n">
        <v>17.51204</v>
      </c>
      <c r="M117" s="17">
        <f>IF(OR(F117="",K117="",K117&lt;=0),"",F117/K117)</f>
        <v/>
      </c>
      <c r="N117" s="18" t="n">
        <v>2.417229</v>
      </c>
      <c r="O117" s="19">
        <f>IF(OR(N117="",M117="",M117&lt;=0),"",N117/M117)</f>
        <v/>
      </c>
      <c r="P117" s="20" t="n">
        <v>0.03661</v>
      </c>
      <c r="Q117" s="20" t="n">
        <v>0.1693379698100742</v>
      </c>
      <c r="R117" s="20" t="n">
        <v>0.07546384101190132</v>
      </c>
      <c r="S117" s="21" t="n">
        <v>4</v>
      </c>
      <c r="T117" s="20" t="n"/>
      <c r="U117" s="20" t="n">
        <v>0.04702904255714974</v>
      </c>
      <c r="V117" s="20" t="n">
        <v>0.2517467490302759</v>
      </c>
      <c r="W117" s="20" t="n">
        <v>0.2000693636954582</v>
      </c>
      <c r="X117" s="20" t="n">
        <v>0.1785067239574127</v>
      </c>
      <c r="Y117" s="14" t="n"/>
      <c r="Z117" s="19">
        <f>IF(OR(Y117="",F117="",F117=0),"",Y117/F117)</f>
        <v/>
      </c>
      <c r="AA117" s="22" t="n">
        <v>34.804</v>
      </c>
      <c r="AB117" s="20" t="n">
        <v>0.424</v>
      </c>
      <c r="AC117" s="20" t="n">
        <v>0.1526129587316906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2026-09-09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Southern Company</t>
        </is>
      </c>
      <c r="C118" s="12" t="inlineStr">
        <is>
          <t>SO</t>
        </is>
      </c>
      <c r="D118" s="11" t="inlineStr">
        <is>
          <t>Utility</t>
        </is>
      </c>
      <c r="E118" s="13" t="inlineStr">
        <is>
          <t>Utility</t>
        </is>
      </c>
      <c r="F118" s="14" t="n">
        <v>88.205</v>
      </c>
      <c r="G118" s="15" t="inlineStr">
        <is>
          <t>USD</t>
        </is>
      </c>
      <c r="H118" s="14" t="n">
        <v>75.75927403711084</v>
      </c>
      <c r="I118" s="16" t="n">
        <v>87150.69288750927</v>
      </c>
      <c r="J118" s="16" t="n">
        <v>101467.8</v>
      </c>
      <c r="K118" s="14" t="n">
        <v>4.15</v>
      </c>
      <c r="L118" s="14" t="n">
        <v>4.92431</v>
      </c>
      <c r="M118" s="17">
        <f>IF(OR(F118="",K118="",K118&lt;=0),"",F118/K118)</f>
        <v/>
      </c>
      <c r="N118" s="18" t="n">
        <v>2.564248</v>
      </c>
      <c r="O118" s="19">
        <f>IF(OR(N118="",M118="",M118&lt;=0),"",N118/M118)</f>
        <v/>
      </c>
      <c r="P118" s="20" t="n">
        <v>0.114829995</v>
      </c>
      <c r="Q118" s="20" t="n">
        <v>0.123939347481506</v>
      </c>
      <c r="R118" s="20" t="n">
        <v>0.006139514343077336</v>
      </c>
      <c r="S118" s="21" t="n">
        <v>4</v>
      </c>
      <c r="T118" s="20" t="n"/>
      <c r="U118" s="20" t="n">
        <v>0.1205297645490893</v>
      </c>
      <c r="V118" s="20" t="n">
        <v>0.132528306432185</v>
      </c>
      <c r="W118" s="20" t="n">
        <v>0.1264470169189671</v>
      </c>
      <c r="X118" s="20" t="n">
        <v>0.1162523020257827</v>
      </c>
      <c r="Y118" s="14" t="n">
        <v>3.04</v>
      </c>
      <c r="Z118" s="19">
        <f>IF(OR(Y118="",F118="",F118=0),"",Y118/F118)</f>
        <v/>
      </c>
      <c r="AA118" s="22" t="n">
        <v>182.058</v>
      </c>
      <c r="AB118" s="20" t="n">
        <v>0.001</v>
      </c>
      <c r="AC118" s="20" t="n">
        <v>0.1576151278042838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2026-09-09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Prologis</t>
        </is>
      </c>
      <c r="C119" s="12" t="inlineStr">
        <is>
          <t>PLD</t>
        </is>
      </c>
      <c r="D119" s="11" t="inlineStr">
        <is>
          <t>REIT / Logistica</t>
        </is>
      </c>
      <c r="E119" s="13" t="inlineStr">
        <is>
          <t>Immobiliare</t>
        </is>
      </c>
      <c r="F119" s="14" t="n">
        <v>135.295</v>
      </c>
      <c r="G119" s="15" t="inlineStr">
        <is>
          <t>USD</t>
        </is>
      </c>
      <c r="H119" s="14" t="n">
        <v>116.2048747899882</v>
      </c>
      <c r="I119" s="16" t="n">
        <v>112961.7542998037</v>
      </c>
      <c r="J119" s="16" t="n">
        <v>131519.1</v>
      </c>
      <c r="K119" s="14" t="n">
        <v>4.49</v>
      </c>
      <c r="L119" s="14" t="n">
        <v>3.405</v>
      </c>
      <c r="M119" s="17">
        <f>IF(OR(F119="",K119="",K119&lt;=0),"",F119/K119)</f>
        <v/>
      </c>
      <c r="N119" s="18" t="n">
        <v>2.3523428</v>
      </c>
      <c r="O119" s="19">
        <f>IF(OR(N119="",M119="",M119&lt;=0),"",N119/M119)</f>
        <v/>
      </c>
      <c r="P119" s="20" t="n">
        <v>0.07749</v>
      </c>
      <c r="Q119" s="20" t="n">
        <v>0.06311608942280056</v>
      </c>
      <c r="R119" s="20" t="n">
        <v>0.004128986030073493</v>
      </c>
      <c r="S119" s="21" t="n">
        <v>4</v>
      </c>
      <c r="T119" s="20" t="n"/>
      <c r="U119" s="20" t="n">
        <v>0.06256875646722969</v>
      </c>
      <c r="V119" s="20" t="n">
        <v>0.06916693768350168</v>
      </c>
      <c r="W119" s="20" t="n">
        <v>0.05752378392246178</v>
      </c>
      <c r="X119" s="20" t="n">
        <v>0.06320487961800905</v>
      </c>
      <c r="Y119" s="14" t="n">
        <v>4.28</v>
      </c>
      <c r="Z119" s="19">
        <f>IF(OR(Y119="",F119="",F119=0),"",Y119/F119)</f>
        <v/>
      </c>
      <c r="AA119" s="22" t="n">
        <v>63.823</v>
      </c>
      <c r="AB119" s="20" t="n">
        <v>0.123</v>
      </c>
      <c r="AC119" s="20" t="n">
        <v>0.4780868390183668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2026-09-09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RTX Corporation</t>
        </is>
      </c>
      <c r="C120" s="12" t="inlineStr">
        <is>
          <t>RTX</t>
        </is>
      </c>
      <c r="D120" s="11" t="inlineStr">
        <is>
          <t>Difesa / Aerospazio</t>
        </is>
      </c>
      <c r="E120" s="13" t="inlineStr">
        <is>
          <t>Industriale</t>
        </is>
      </c>
      <c r="F120" s="14" t="n">
        <v>199.03</v>
      </c>
      <c r="G120" s="15" t="inlineStr">
        <is>
          <t>USD</t>
        </is>
      </c>
      <c r="H120" s="14" t="n">
        <v>170.9468659555147</v>
      </c>
      <c r="I120" s="16" t="n">
        <v>230395.0278622864</v>
      </c>
      <c r="J120" s="16" t="n">
        <v>268244.3</v>
      </c>
      <c r="K120" s="14" t="n">
        <v>5.69</v>
      </c>
      <c r="L120" s="14" t="n">
        <v>7.85586</v>
      </c>
      <c r="M120" s="17">
        <f>IF(OR(F120="",K120="",K120&lt;=0),"",F120/K120)</f>
        <v/>
      </c>
      <c r="N120" s="18" t="n">
        <v>4.0412183</v>
      </c>
      <c r="O120" s="19">
        <f>IF(OR(N120="",M120="",M120&lt;=0),"",N120/M120)</f>
        <v/>
      </c>
      <c r="P120" s="20" t="n">
        <v>0.12274</v>
      </c>
      <c r="Q120" s="20" t="n">
        <v>0.07688075362298834</v>
      </c>
      <c r="R120" s="20" t="n">
        <v>0.01786161675583029</v>
      </c>
      <c r="S120" s="21" t="n">
        <v>4</v>
      </c>
      <c r="T120" s="20" t="n"/>
      <c r="U120" s="20" t="n">
        <v>0.1031803203310599</v>
      </c>
      <c r="V120" s="20" t="n">
        <v>0.07936032980916284</v>
      </c>
      <c r="W120" s="20" t="n">
        <v>0.05342988059801331</v>
      </c>
      <c r="X120" s="20" t="n">
        <v>0.07155248375371737</v>
      </c>
      <c r="Y120" s="14" t="n">
        <v>2.92</v>
      </c>
      <c r="Z120" s="19">
        <f>IF(OR(Y120="",F120="",F120=0),"",Y120/F120)</f>
        <v/>
      </c>
      <c r="AA120" s="22" t="n">
        <v>57.02</v>
      </c>
      <c r="AB120" s="20" t="n">
        <v>0.145</v>
      </c>
      <c r="AC120" s="20" t="n">
        <v>0.08733338455808494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2026-09-09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61.82</v>
      </c>
      <c r="G121" s="15" t="inlineStr">
        <is>
          <t>USD</t>
        </is>
      </c>
      <c r="H121" s="14" t="n">
        <v>53.09719767557613</v>
      </c>
      <c r="I121" s="16" t="n">
        <v>67768.41204593501</v>
      </c>
      <c r="J121" s="16" t="n">
        <v>78901.39999999999</v>
      </c>
      <c r="K121" s="14" t="n">
        <v>2.73</v>
      </c>
      <c r="L121" s="14" t="n">
        <v>3.36185</v>
      </c>
      <c r="M121" s="17">
        <f>IF(OR(F121="",K121="",K121&lt;=0),"",F121/K121)</f>
        <v/>
      </c>
      <c r="N121" s="18" t="n">
        <v>2.9716868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2026-09-09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Vertex Pharmaceuticals</t>
        </is>
      </c>
      <c r="C122" s="12" t="inlineStr">
        <is>
          <t>VRTX</t>
        </is>
      </c>
      <c r="D122" s="11" t="inlineStr">
        <is>
          <t>Biotecnologie</t>
        </is>
      </c>
      <c r="E122" s="13" t="inlineStr">
        <is>
          <t>Salute</t>
        </is>
      </c>
      <c r="F122" s="14" t="n">
        <v>521.27</v>
      </c>
      <c r="G122" s="15" t="inlineStr">
        <is>
          <t>USD</t>
        </is>
      </c>
      <c r="H122" s="14" t="n">
        <v>447.7188002644381</v>
      </c>
      <c r="I122" s="16" t="n">
        <v>113479.2415466418</v>
      </c>
      <c r="J122" s="16" t="n">
        <v>132121.6</v>
      </c>
      <c r="K122" s="14" t="n">
        <v>17.19</v>
      </c>
      <c r="L122" s="14" t="n">
        <v>20.22846</v>
      </c>
      <c r="M122" s="17">
        <f>IF(OR(F122="",K122="",K122&lt;=0),"",F122/K122)</f>
        <v/>
      </c>
      <c r="N122" s="18" t="n">
        <v>6.5223165</v>
      </c>
      <c r="O122" s="19">
        <f>IF(OR(N122="",M122="",M122&lt;=0),"",N122/M122)</f>
        <v/>
      </c>
      <c r="P122" s="20" t="n">
        <v>0.23542999</v>
      </c>
      <c r="Q122" s="20" t="n">
        <v>0.1559529985811414</v>
      </c>
      <c r="R122" s="20" t="n">
        <v>0.1095874808620584</v>
      </c>
      <c r="S122" s="21" t="n">
        <v>4</v>
      </c>
      <c r="T122" s="20" t="n"/>
      <c r="U122" s="20" t="n">
        <v>0.2117884044616357</v>
      </c>
      <c r="V122" s="20" t="n">
        <v>-0.03263943057722309</v>
      </c>
      <c r="W122" s="20" t="n">
        <v>0.2058883756911105</v>
      </c>
      <c r="X122" s="20" t="n">
        <v>0.2387746447490423</v>
      </c>
      <c r="Y122" s="14" t="n"/>
      <c r="Z122" s="19">
        <f>IF(OR(Y122="",F122="",F122=0),"",Y122/F122)</f>
        <v/>
      </c>
      <c r="AA122" s="22" t="n">
        <v>9.766999999999999</v>
      </c>
      <c r="AB122" s="20" t="n">
        <v>0.125</v>
      </c>
      <c r="AC122" s="20" t="n">
        <v>0.3670602244756818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2026-09-09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Analog Devices</t>
        </is>
      </c>
      <c r="C123" s="12" t="inlineStr">
        <is>
          <t>ADI</t>
        </is>
      </c>
      <c r="D123" s="11" t="inlineStr">
        <is>
          <t>Semiconduttori</t>
        </is>
      </c>
      <c r="E123" s="13" t="inlineStr">
        <is>
          <t>Tecnologia</t>
        </is>
      </c>
      <c r="F123" s="14" t="n">
        <v>365.81</v>
      </c>
      <c r="G123" s="15" t="inlineStr">
        <is>
          <t>USD</t>
        </is>
      </c>
      <c r="H123" s="14" t="n">
        <v>314.1942070802734</v>
      </c>
      <c r="I123" s="16" t="n">
        <v>152247.6682797667</v>
      </c>
      <c r="J123" s="16" t="n">
        <v>177258.9</v>
      </c>
      <c r="K123" s="14" t="n">
        <v>8.43</v>
      </c>
      <c r="L123" s="14" t="n">
        <v>16.33678</v>
      </c>
      <c r="M123" s="17">
        <f>IF(OR(F123="",K123="",K123&lt;=0),"",F123/K123)</f>
        <v/>
      </c>
      <c r="N123" s="18" t="n">
        <v>5.283294</v>
      </c>
      <c r="O123" s="19">
        <f>IF(OR(N123="",M123="",M123&lt;=0),"",N123/M123)</f>
        <v/>
      </c>
      <c r="P123" s="20" t="n">
        <v>0.12227</v>
      </c>
      <c r="Q123" s="20" t="n">
        <v>0.0705274694515223</v>
      </c>
      <c r="R123" s="20" t="n">
        <v>0.01678852536801986</v>
      </c>
      <c r="S123" s="21" t="n">
        <v>4</v>
      </c>
      <c r="T123" s="20" t="n"/>
      <c r="U123" s="20" t="n">
        <v>0.06704987068897324</v>
      </c>
      <c r="V123" s="20" t="n">
        <v>0.04648789695635276</v>
      </c>
      <c r="W123" s="20" t="n">
        <v>0.09319745901616758</v>
      </c>
      <c r="X123" s="20" t="n">
        <v>0.07537465114459564</v>
      </c>
      <c r="Y123" s="14" t="n">
        <v>4.4</v>
      </c>
      <c r="Z123" s="19">
        <f>IF(OR(Y123="",F123="",F123=0),"",Y123/F123)</f>
        <v/>
      </c>
      <c r="AA123" s="22" t="n">
        <v>27.314</v>
      </c>
      <c r="AB123" s="20" t="n">
        <v>0.396</v>
      </c>
      <c r="AC123" s="20" t="n">
        <v>0.3752371913336716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2026-09-09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294.9175</v>
      </c>
      <c r="G124" s="15" t="inlineStr">
        <is>
          <t>USD</t>
        </is>
      </c>
      <c r="H124" s="14" t="n">
        <v>253.3046392023087</v>
      </c>
      <c r="I124" s="16" t="n">
        <v>89747.74880164125</v>
      </c>
      <c r="J124" s="16" t="n">
        <v>104491.5</v>
      </c>
      <c r="K124" s="14" t="n">
        <v>10.23</v>
      </c>
      <c r="L124" s="14" t="n">
        <v>13.34165</v>
      </c>
      <c r="M124" s="17">
        <f>IF(OR(F124="",K124="",K124&lt;=0),"",F124/K124)</f>
        <v/>
      </c>
      <c r="N124" s="18" t="n">
        <v>3.2768977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2026-09-09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251.915</v>
      </c>
      <c r="G125" s="15" t="inlineStr">
        <is>
          <t>USD</t>
        </is>
      </c>
      <c r="H125" s="14" t="n">
        <v>216.3697921779806</v>
      </c>
      <c r="I125" s="16" t="n">
        <v>2333832.268340285</v>
      </c>
      <c r="J125" s="16" t="n">
        <v>2717234</v>
      </c>
      <c r="K125" s="14" t="n">
        <v>12.44</v>
      </c>
      <c r="L125" s="14" t="n">
        <v>10.40032</v>
      </c>
      <c r="M125" s="17">
        <f>IF(OR(F125="",K125="",K125&lt;=0),"",F125/K125)</f>
        <v/>
      </c>
      <c r="N125" s="18" t="n">
        <v>4.924447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2026-09-09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Boston Scientific</t>
        </is>
      </c>
      <c r="C126" s="12" t="inlineStr">
        <is>
          <t>BSX</t>
        </is>
      </c>
      <c r="D126" s="11" t="inlineStr">
        <is>
          <t>Dispositivi medicali</t>
        </is>
      </c>
      <c r="E126" s="13" t="inlineStr">
        <is>
          <t>Salute</t>
        </is>
      </c>
      <c r="F126" s="14" t="n">
        <v>45.215</v>
      </c>
      <c r="G126" s="15" t="inlineStr">
        <is>
          <t>USD</t>
        </is>
      </c>
      <c r="H126" s="14" t="n">
        <v>38.83516326271716</v>
      </c>
      <c r="I126" s="16" t="n">
        <v>56281.05406612276</v>
      </c>
      <c r="J126" s="16" t="n">
        <v>65526.9</v>
      </c>
      <c r="K126" s="14" t="n">
        <v>2.47</v>
      </c>
      <c r="L126" s="14" t="n">
        <v>3.43497</v>
      </c>
      <c r="M126" s="17">
        <f>IF(OR(F126="",K126="",K126&lt;=0),"",F126/K126)</f>
        <v/>
      </c>
      <c r="N126" s="18" t="n">
        <v>2.6238973</v>
      </c>
      <c r="O126" s="19">
        <f>IF(OR(N126="",M126="",M126&lt;=0),"",N126/M126)</f>
        <v/>
      </c>
      <c r="P126" s="20" t="n">
        <v>0.15338999</v>
      </c>
      <c r="Q126" s="20" t="n">
        <v>0.08177373868964678</v>
      </c>
      <c r="R126" s="20" t="n">
        <v>0.02833405857448824</v>
      </c>
      <c r="S126" s="21" t="n">
        <v>4</v>
      </c>
      <c r="T126" s="20" t="n"/>
      <c r="U126" s="20" t="n">
        <v>0.1195939253879168</v>
      </c>
      <c r="V126" s="20" t="n">
        <v>0.08516306844281121</v>
      </c>
      <c r="W126" s="20" t="n">
        <v>0.08262019604792283</v>
      </c>
      <c r="X126" s="20" t="n">
        <v>0.03971776487993627</v>
      </c>
      <c r="Y126" s="14" t="n"/>
      <c r="Z126" s="19">
        <f>IF(OR(Y126="",F126="",F126=0),"",Y126/F126)</f>
        <v/>
      </c>
      <c r="AA126" s="22" t="n">
        <v>50.151</v>
      </c>
      <c r="AB126" s="20" t="n">
        <v>0.075</v>
      </c>
      <c r="AC126" s="20" t="n">
        <v>0.183022809205938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2026-09-09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65.39</v>
      </c>
      <c r="G127" s="15" t="inlineStr">
        <is>
          <t>USD</t>
        </is>
      </c>
      <c r="H127" s="14" t="n">
        <v>56.1634706568412</v>
      </c>
      <c r="I127" s="16" t="n">
        <v>49397.22827818293</v>
      </c>
      <c r="J127" s="16" t="n">
        <v>57512.2</v>
      </c>
      <c r="K127" s="14" t="n">
        <v>2.89</v>
      </c>
      <c r="L127" s="14" t="n">
        <v>3.81541</v>
      </c>
      <c r="M127" s="17">
        <f>IF(OR(F127="",K127="",K127&lt;=0),"",F127/K127)</f>
        <v/>
      </c>
      <c r="N127" s="18" t="n">
        <v>2.0601764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2026-09-09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Tesla</t>
        </is>
      </c>
      <c r="C128" s="12" t="inlineStr">
        <is>
          <t>TSLA</t>
        </is>
      </c>
      <c r="D128" s="11" t="inlineStr">
        <is>
          <t>Auto elettriche</t>
        </is>
      </c>
      <c r="E128" s="13" t="inlineStr">
        <is>
          <t>Consumi</t>
        </is>
      </c>
      <c r="F128" s="14" t="n">
        <v>368.48</v>
      </c>
      <c r="G128" s="15" t="inlineStr">
        <is>
          <t>USD</t>
        </is>
      </c>
      <c r="H128" s="14" t="n">
        <v>316.4874700662616</v>
      </c>
      <c r="I128" s="16" t="n">
        <v>1249982.414022607</v>
      </c>
      <c r="J128" s="16" t="n">
        <v>1455329.4</v>
      </c>
      <c r="K128" s="14" t="n">
        <v>1.07</v>
      </c>
      <c r="L128" s="14" t="n">
        <v>2.15858</v>
      </c>
      <c r="M128" s="17">
        <f>IF(OR(F128="",K128="",K128&lt;=0),"",F128/K128)</f>
        <v/>
      </c>
      <c r="N128" s="18" t="n">
        <v>16.7529</v>
      </c>
      <c r="O128" s="19">
        <f>IF(OR(N128="",M128="",M128&lt;=0),"",N128/M128)</f>
        <v/>
      </c>
      <c r="P128" s="20" t="n">
        <v>0.046669997</v>
      </c>
      <c r="Q128" s="20" t="n">
        <v>0.1662307907254467</v>
      </c>
      <c r="R128" s="20" t="n">
        <v>0.09713259207574809</v>
      </c>
      <c r="S128" s="21" t="n">
        <v>4</v>
      </c>
      <c r="T128" s="20" t="n"/>
      <c r="U128" s="20" t="n">
        <v>0.04619111971462313</v>
      </c>
      <c r="V128" s="20" t="n">
        <v>0.09778777447094482</v>
      </c>
      <c r="W128" s="20" t="n">
        <v>0.2394705750870134</v>
      </c>
      <c r="X128" s="20" t="n">
        <v>0.2814736936292054</v>
      </c>
      <c r="Y128" s="14" t="n"/>
      <c r="Z128" s="19">
        <f>IF(OR(Y128="",F128="",F128=0),"",Y128/F128)</f>
        <v/>
      </c>
      <c r="AA128" s="22" t="n">
        <v>18.373</v>
      </c>
      <c r="AB128" s="20" t="n">
        <v>0.255</v>
      </c>
      <c r="AC128" s="20" t="n">
        <v>0.04013624946481487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2026-09-09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American International Group</t>
        </is>
      </c>
      <c r="C129" s="12" t="inlineStr">
        <is>
          <t>AIG</t>
        </is>
      </c>
      <c r="D129" s="11" t="inlineStr">
        <is>
          <t>Assicurazione</t>
        </is>
      </c>
      <c r="E129" s="13" t="inlineStr">
        <is>
          <t>Finanziario</t>
        </is>
      </c>
      <c r="F129" s="14" t="n">
        <v>74.61</v>
      </c>
      <c r="G129" s="15" t="inlineStr">
        <is>
          <t>USD</t>
        </is>
      </c>
      <c r="H129" s="14" t="n">
        <v>64.08252860845576</v>
      </c>
      <c r="I129" s="16" t="n">
        <v>33508.35138526397</v>
      </c>
      <c r="J129" s="16" t="n">
        <v>39013.1</v>
      </c>
      <c r="K129" s="14" t="n">
        <v>5.48</v>
      </c>
      <c r="L129" s="14" t="n">
        <v>8.78651</v>
      </c>
      <c r="M129" s="17">
        <f>IF(OR(F129="",K129="",K129&lt;=0),"",F129/K129)</f>
        <v/>
      </c>
      <c r="N129" s="18" t="n">
        <v>0.96412784</v>
      </c>
      <c r="O129" s="19">
        <f>IF(OR(N129="",M129="",M129&lt;=0),"",N129/M129)</f>
        <v/>
      </c>
      <c r="P129" s="20" t="n">
        <v>0.0722</v>
      </c>
      <c r="Q129" s="20" t="n">
        <v>0.09304718508131808</v>
      </c>
      <c r="R129" s="20" t="n">
        <v>0.1011020395574324</v>
      </c>
      <c r="S129" s="21" t="n">
        <v>4</v>
      </c>
      <c r="T129" s="20" t="n"/>
      <c r="U129" s="20" t="n">
        <v>0.07525705534893896</v>
      </c>
      <c r="V129" s="20" t="n">
        <v>-0.0330189788575057</v>
      </c>
      <c r="W129" s="20" t="n">
        <v>0.08032898943793963</v>
      </c>
      <c r="X129" s="20" t="n">
        <v>0.2496216743958994</v>
      </c>
      <c r="Y129" s="14" t="n">
        <v>2</v>
      </c>
      <c r="Z129" s="19">
        <f>IF(OR(Y129="",F129="",F129=0),"",Y129/F129)</f>
        <v/>
      </c>
      <c r="AA129" s="22" t="n">
        <v>22.466</v>
      </c>
      <c r="AB129" s="20" t="n">
        <v>0.005</v>
      </c>
      <c r="AC129" s="20" t="n">
        <v>0.1107417620079181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2026-09-09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Freeport-McMoRan</t>
        </is>
      </c>
      <c r="C130" s="12" t="inlineStr">
        <is>
          <t>FCX</t>
        </is>
      </c>
      <c r="D130" s="11" t="inlineStr">
        <is>
          <t>Rame</t>
        </is>
      </c>
      <c r="E130" s="13" t="inlineStr">
        <is>
          <t>Materiali</t>
        </is>
      </c>
      <c r="F130" s="14" t="n">
        <v>76.97</v>
      </c>
      <c r="G130" s="15" t="inlineStr">
        <is>
          <t>USD</t>
        </is>
      </c>
      <c r="H130" s="14" t="n">
        <v>66.10953259607076</v>
      </c>
      <c r="I130" s="16" t="n">
        <v>94934.47408995037</v>
      </c>
      <c r="J130" s="16" t="n">
        <v>110530.3</v>
      </c>
      <c r="K130" s="14" t="n">
        <v>2.04</v>
      </c>
      <c r="L130" s="14" t="n">
        <v>4.13538</v>
      </c>
      <c r="M130" s="17">
        <f>IF(OR(F130="",K130="",K130&lt;=0),"",F130/K130)</f>
        <v/>
      </c>
      <c r="N130" s="18" t="n">
        <v>5.4966793</v>
      </c>
      <c r="O130" s="19">
        <f>IF(OR(N130="",M130="",M130&lt;=0),"",N130/M130)</f>
        <v/>
      </c>
      <c r="P130" s="20" t="n">
        <v>0.14755</v>
      </c>
      <c r="Q130" s="20" t="n">
        <v>0.139430342603264</v>
      </c>
      <c r="R130" s="20" t="n">
        <v>0.04833258025963022</v>
      </c>
      <c r="S130" s="21" t="n">
        <v>4</v>
      </c>
      <c r="T130" s="20" t="n"/>
      <c r="U130" s="20" t="n">
        <v>0.1166199269802635</v>
      </c>
      <c r="V130" s="20" t="n">
        <v>0.1074455377964848</v>
      </c>
      <c r="W130" s="20" t="n">
        <v>0.1107050859641766</v>
      </c>
      <c r="X130" s="20" t="n">
        <v>0.2229508196721312</v>
      </c>
      <c r="Y130" s="14" t="n">
        <v>0.6</v>
      </c>
      <c r="Z130" s="19">
        <f>IF(OR(Y130="",F130="",F130=0),"",Y130/F130)</f>
        <v/>
      </c>
      <c r="AA130" s="22" t="n">
        <v>32.149</v>
      </c>
      <c r="AB130" s="20" t="n">
        <v>-0.073</v>
      </c>
      <c r="AC130" s="20" t="n">
        <v>0.1132934593864557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2026-09-09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Bristol-Myers Squibb</t>
        </is>
      </c>
      <c r="C131" s="12" t="inlineStr">
        <is>
          <t>BMY</t>
        </is>
      </c>
      <c r="D131" s="11" t="inlineStr">
        <is>
          <t>Farmaceutica</t>
        </is>
      </c>
      <c r="E131" s="13" t="inlineStr">
        <is>
          <t>Salute</t>
        </is>
      </c>
      <c r="F131" s="14" t="n">
        <v>64.485</v>
      </c>
      <c r="G131" s="15" t="inlineStr">
        <is>
          <t>USD</t>
        </is>
      </c>
      <c r="H131" s="14" t="n">
        <v>55.38616616159053</v>
      </c>
      <c r="I131" s="16" t="n">
        <v>113138.1723587258</v>
      </c>
      <c r="J131" s="16" t="n">
        <v>131724.5</v>
      </c>
      <c r="K131" s="14" t="n">
        <v>4.54</v>
      </c>
      <c r="L131" s="14" t="n">
        <v>6.55796</v>
      </c>
      <c r="M131" s="17">
        <f>IF(OR(F131="",K131="",K131&lt;=0),"",F131/K131)</f>
        <v/>
      </c>
      <c r="N131" s="18" t="n">
        <v>5.9025173</v>
      </c>
      <c r="O131" s="19">
        <f>IF(OR(N131="",M131="",M131&lt;=0),"",N131/M131)</f>
        <v/>
      </c>
      <c r="P131" s="20" t="n">
        <v>0.46598998</v>
      </c>
      <c r="Q131" s="20" t="n">
        <v>0.07761266271412175</v>
      </c>
      <c r="R131" s="20" t="n">
        <v>0.3666158804610691</v>
      </c>
      <c r="S131" s="21" t="n">
        <v>4</v>
      </c>
      <c r="T131" s="20" t="n"/>
      <c r="U131" s="20" t="n">
        <v>0.3818545986033671</v>
      </c>
      <c r="V131" s="20" t="n">
        <v>-0.5477808386899296</v>
      </c>
      <c r="W131" s="20" t="n">
        <v>0.2726809378185525</v>
      </c>
      <c r="X131" s="20" t="n">
        <v>0.203695953124497</v>
      </c>
      <c r="Y131" s="14" t="n">
        <v>2.52</v>
      </c>
      <c r="Z131" s="19">
        <f>IF(OR(Y131="",F131="",F131=0),"",Y131/F131)</f>
        <v/>
      </c>
      <c r="AA131" s="22" t="n">
        <v>201.859</v>
      </c>
      <c r="AB131" s="20" t="n">
        <v>0.057</v>
      </c>
      <c r="AC131" s="20" t="n">
        <v>0.1925925899367154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2026-09-09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75.68000000000001</v>
      </c>
      <c r="G132" s="15" t="inlineStr">
        <is>
          <t>USD</t>
        </is>
      </c>
      <c r="H132" s="14" t="n">
        <v>65.00155160284054</v>
      </c>
      <c r="I132" s="16" t="n">
        <v>40602.17822192069</v>
      </c>
      <c r="J132" s="16" t="n">
        <v>47272.3</v>
      </c>
      <c r="K132" s="14" t="n">
        <v>3.65</v>
      </c>
      <c r="L132" s="14" t="n">
        <v>4.54254</v>
      </c>
      <c r="M132" s="17">
        <f>IF(OR(F132="",K132="",K132&lt;=0),"",F132/K132)</f>
        <v/>
      </c>
      <c r="N132" s="18" t="n">
        <v>1.9642857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2026-09-09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119.955</v>
      </c>
      <c r="G133" s="15" t="inlineStr">
        <is>
          <t>USD</t>
        </is>
      </c>
      <c r="H133" s="14" t="n">
        <v>103.0293488704907</v>
      </c>
      <c r="I133" s="16" t="n">
        <v>80332.22938917008</v>
      </c>
      <c r="J133" s="16" t="n">
        <v>93529.2</v>
      </c>
      <c r="K133" s="14" t="n">
        <v>6.64</v>
      </c>
      <c r="L133" s="14" t="n">
        <v>7.17232</v>
      </c>
      <c r="M133" s="17">
        <f>IF(OR(F133="",K133="",K133&lt;=0),"",F133/K133)</f>
        <v/>
      </c>
      <c r="N133" s="18" t="n">
        <v>1.7398399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2026-09-09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71.5201</v>
      </c>
      <c r="G134" s="15" t="inlineStr">
        <is>
          <t>USD</t>
        </is>
      </c>
      <c r="H134" s="14" t="n">
        <v>61.42861351467118</v>
      </c>
      <c r="I134" s="16" t="n">
        <v>125480.2217233159</v>
      </c>
      <c r="J134" s="16" t="n">
        <v>146094.1</v>
      </c>
      <c r="K134" s="14" t="n">
        <v>4.56</v>
      </c>
      <c r="L134" s="14" t="n">
        <v>4.40378</v>
      </c>
      <c r="M134" s="17">
        <f>IF(OR(F134="",K134="",K134&lt;=0),"",F134/K134)</f>
        <v/>
      </c>
      <c r="N134" s="18" t="n">
        <v>5.341673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2026-09-09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Danaher</t>
        </is>
      </c>
      <c r="C135" s="12" t="inlineStr">
        <is>
          <t>DHR</t>
        </is>
      </c>
      <c r="D135" s="11" t="inlineStr">
        <is>
          <t>Strumentazione life science</t>
        </is>
      </c>
      <c r="E135" s="13" t="inlineStr">
        <is>
          <t>Salute</t>
        </is>
      </c>
      <c r="F135" s="14" t="n">
        <v>204.65</v>
      </c>
      <c r="G135" s="15" t="inlineStr">
        <is>
          <t>USD</t>
        </is>
      </c>
      <c r="H135" s="14" t="n">
        <v>175.7738839260216</v>
      </c>
      <c r="I135" s="16" t="n">
        <v>123566.5925350081</v>
      </c>
      <c r="J135" s="16" t="n">
        <v>143866.1</v>
      </c>
      <c r="K135" s="14" t="n">
        <v>5.6</v>
      </c>
      <c r="L135" s="14" t="n">
        <v>9.297879999999999</v>
      </c>
      <c r="M135" s="17">
        <f>IF(OR(F135="",K135="",K135&lt;=0),"",F135/K135)</f>
        <v/>
      </c>
      <c r="N135" s="18" t="n">
        <v>2.735743</v>
      </c>
      <c r="O135" s="19">
        <f>IF(OR(N135="",M135="",M135&lt;=0),"",N135/M135)</f>
        <v/>
      </c>
      <c r="P135" s="20" t="n">
        <v>0.07605000000000001</v>
      </c>
      <c r="Q135" s="20" t="n">
        <v>0.09512670597719992</v>
      </c>
      <c r="R135" s="20" t="n">
        <v>0.02908220905236598</v>
      </c>
      <c r="S135" s="21" t="n">
        <v>4</v>
      </c>
      <c r="T135" s="20" t="n"/>
      <c r="U135" s="20" t="n">
        <v>0.06879354322914684</v>
      </c>
      <c r="V135" s="20" t="n">
        <v>0.07869931170902045</v>
      </c>
      <c r="W135" s="20" t="n">
        <v>0.08907003701903302</v>
      </c>
      <c r="X135" s="20" t="n">
        <v>0.1439439319515994</v>
      </c>
      <c r="Y135" s="14" t="n">
        <v>1.6</v>
      </c>
      <c r="Z135" s="19">
        <f>IF(OR(Y135="",F135="",F135=0),"",Y135/F135)</f>
        <v/>
      </c>
      <c r="AA135" s="22" t="n">
        <v>52.97</v>
      </c>
      <c r="AB135" s="20" t="n">
        <v>0.055</v>
      </c>
      <c r="AC135" s="20" t="n">
        <v>0.1624063874959297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2026-09-09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189</v>
      </c>
      <c r="G136" s="15" t="inlineStr">
        <is>
          <t>USD</t>
        </is>
      </c>
      <c r="H136" s="14" t="n">
        <v>162.3320990081509</v>
      </c>
      <c r="I136" s="16" t="n">
        <v>61306.90738541479</v>
      </c>
      <c r="J136" s="16" t="n">
        <v>71378.39999999999</v>
      </c>
      <c r="K136" s="14" t="n">
        <v>2.05</v>
      </c>
      <c r="L136" s="14" t="n">
        <v>2.8913</v>
      </c>
      <c r="M136" s="17">
        <f>IF(OR(F136="",K136="",K136&lt;=0),"",F136/K136)</f>
        <v/>
      </c>
      <c r="N136" s="18" t="n">
        <v>2.6188893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2026-09-09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60.2098</v>
      </c>
      <c r="G137" s="15" t="inlineStr">
        <is>
          <t>USD</t>
        </is>
      </c>
      <c r="H137" s="14" t="n">
        <v>51.71419690402626</v>
      </c>
      <c r="I137" s="16" t="n">
        <v>48932.90694101994</v>
      </c>
      <c r="J137" s="16" t="n">
        <v>56971.6</v>
      </c>
      <c r="K137" s="14" t="n">
        <v>1.37</v>
      </c>
      <c r="L137" s="14" t="n">
        <v>1.55856</v>
      </c>
      <c r="M137" s="17">
        <f>IF(OR(F137="",K137="",K137&lt;=0),"",F137/K137)</f>
        <v/>
      </c>
      <c r="N137" s="18" t="n">
        <v>1.4404948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3.25</v>
      </c>
      <c r="Z137" s="19">
        <f>IF(OR(Y137="",F137="",F137=0),"",Y137/F137)</f>
        <v/>
      </c>
      <c r="AA137" s="22" t="n">
        <v>74.72199999999999</v>
      </c>
      <c r="AB137" s="20" t="n">
        <v>0.096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2026-09-09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84.92</v>
      </c>
      <c r="G138" s="15" t="inlineStr">
        <is>
          <t>USD</t>
        </is>
      </c>
      <c r="H138" s="14" t="n">
        <v>72.93778755435012</v>
      </c>
      <c r="I138" s="16" t="n">
        <v>47694.02958858948</v>
      </c>
      <c r="J138" s="16" t="n">
        <v>55529.2</v>
      </c>
      <c r="K138" s="14" t="n">
        <v>3.45</v>
      </c>
      <c r="L138" s="14" t="n">
        <v>5.53597</v>
      </c>
      <c r="M138" s="17">
        <f>IF(OR(F138="",K138="",K138&lt;=0),"",F138/K138)</f>
        <v/>
      </c>
      <c r="N138" s="18" t="n">
        <v>1.6985359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2026-09-09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3M</t>
        </is>
      </c>
      <c r="C139" s="12" t="inlineStr">
        <is>
          <t>MMM</t>
        </is>
      </c>
      <c r="D139" s="11" t="inlineStr">
        <is>
          <t>Conglomerata industriale</t>
        </is>
      </c>
      <c r="E139" s="13" t="inlineStr">
        <is>
          <t>Industriale</t>
        </is>
      </c>
      <c r="F139" s="14" t="n">
        <v>165.17</v>
      </c>
      <c r="G139" s="15" t="inlineStr">
        <is>
          <t>USD</t>
        </is>
      </c>
      <c r="H139" s="14" t="n">
        <v>141.8645121332078</v>
      </c>
      <c r="I139" s="16" t="n">
        <v>73162.7334629757</v>
      </c>
      <c r="J139" s="16" t="n">
        <v>85181.89999999999</v>
      </c>
      <c r="K139" s="14" t="n">
        <v>5.63</v>
      </c>
      <c r="L139" s="14" t="n">
        <v>9.778079999999999</v>
      </c>
      <c r="M139" s="17">
        <f>IF(OR(F139="",K139="",K139&lt;=0),"",F139/K139)</f>
        <v/>
      </c>
      <c r="N139" s="18" t="n">
        <v>28.855696</v>
      </c>
      <c r="O139" s="19">
        <f>IF(OR(N139="",M139="",M139&lt;=0),"",N139/M139)</f>
        <v/>
      </c>
      <c r="P139" s="20" t="n">
        <v>0.81891996</v>
      </c>
      <c r="Q139" s="20" t="n">
        <v>0.1786461650131368</v>
      </c>
      <c r="R139" s="20" t="n">
        <v>0.9748490004280096</v>
      </c>
      <c r="S139" s="21" t="n">
        <v>4</v>
      </c>
      <c r="T139" s="20" t="n"/>
      <c r="U139" s="20" t="n">
        <v>0.6911952360697575</v>
      </c>
      <c r="V139" s="20" t="n">
        <v>1.086153045288912</v>
      </c>
      <c r="W139" s="20" t="n">
        <v>-1.455169544414396</v>
      </c>
      <c r="X139" s="20" t="n">
        <v>0.3924059231082733</v>
      </c>
      <c r="Y139" s="14" t="n">
        <v>3.12</v>
      </c>
      <c r="Z139" s="19">
        <f>IF(OR(Y139="",F139="",F139=0),"",Y139/F139)</f>
        <v/>
      </c>
      <c r="AA139" s="22" t="n">
        <v>437.937</v>
      </c>
      <c r="AB139" s="20" t="n">
        <v>0.025</v>
      </c>
      <c r="AC139" s="20" t="n">
        <v>0.1201298675645342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2026-09-09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247.505</v>
      </c>
      <c r="G140" s="15" t="inlineStr">
        <is>
          <t>USD</t>
        </is>
      </c>
      <c r="H140" s="14" t="n">
        <v>212.5820432011237</v>
      </c>
      <c r="I140" s="16" t="n">
        <v>174955.0086710249</v>
      </c>
      <c r="J140" s="16" t="n">
        <v>203696.6</v>
      </c>
      <c r="K140" s="14" t="n">
        <v>10.91</v>
      </c>
      <c r="L140" s="14" t="n">
        <v>16.00824</v>
      </c>
      <c r="M140" s="17">
        <f>IF(OR(F140="",K140="",K140&lt;=0),"",F140/K140)</f>
        <v/>
      </c>
      <c r="N140" s="18" t="n">
        <v>5.3076215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2026-09-09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95.43000000000001</v>
      </c>
      <c r="G141" s="15" t="inlineStr">
        <is>
          <t>USD</t>
        </is>
      </c>
      <c r="H141" s="14" t="n">
        <v>81.96482649919493</v>
      </c>
      <c r="I141" s="16" t="n">
        <v>104830.5480494854</v>
      </c>
      <c r="J141" s="16" t="n">
        <v>122052.1</v>
      </c>
      <c r="K141" s="14" t="n">
        <v>3.79</v>
      </c>
      <c r="L141" s="14" t="n">
        <v>8.52459</v>
      </c>
      <c r="M141" s="17">
        <f>IF(OR(F141="",K141="",K141&lt;=0),"",F141/K141)</f>
        <v/>
      </c>
      <c r="N141" s="18" t="n">
        <v>1.5301852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2026-09-09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Vistra</t>
        </is>
      </c>
      <c r="C142" s="12" t="inlineStr">
        <is>
          <t>VST</t>
        </is>
      </c>
      <c r="D142" s="11" t="inlineStr">
        <is>
          <t>Utility / Generazione</t>
        </is>
      </c>
      <c r="E142" s="13" t="inlineStr">
        <is>
          <t>Utility</t>
        </is>
      </c>
      <c r="F142" s="14" t="n">
        <v>150.17</v>
      </c>
      <c r="G142" s="15" t="inlineStr">
        <is>
          <t>USD</t>
        </is>
      </c>
      <c r="H142" s="14" t="n">
        <v>128.981012211926</v>
      </c>
      <c r="I142" s="16" t="n">
        <v>43290.53520549484</v>
      </c>
      <c r="J142" s="16" t="n">
        <v>50402.3</v>
      </c>
      <c r="K142" s="14" t="n">
        <v>5.93</v>
      </c>
      <c r="L142" s="14" t="n">
        <v>10.36561</v>
      </c>
      <c r="M142" s="17">
        <f>IF(OR(F142="",K142="",K142&lt;=0),"",F142/K142)</f>
        <v/>
      </c>
      <c r="N142" s="18" t="n">
        <v>16.784397</v>
      </c>
      <c r="O142" s="19">
        <f>IF(OR(N142="",M142="",M142&lt;=0),"",N142/M142)</f>
        <v/>
      </c>
      <c r="P142" s="20" t="n">
        <v>0.42962003</v>
      </c>
      <c r="Q142" s="20" t="n">
        <v>0.1734015879673228</v>
      </c>
      <c r="R142" s="20" t="n">
        <v>0.2663256640903746</v>
      </c>
      <c r="S142" s="21" t="n">
        <v>4</v>
      </c>
      <c r="T142" s="20" t="n"/>
      <c r="U142" s="20" t="n">
        <v>0.1852069845006867</v>
      </c>
      <c r="V142" s="20" t="n">
        <v>0.4773788150807899</v>
      </c>
      <c r="W142" s="20" t="n">
        <v>0.2813265498398342</v>
      </c>
      <c r="X142" s="20" t="n">
        <v>-0.2503059975520196</v>
      </c>
      <c r="Y142" s="14" t="n">
        <v>0.92</v>
      </c>
      <c r="Z142" s="19">
        <f>IF(OR(Y142="",F142="",F142=0),"",Y142/F142)</f>
        <v/>
      </c>
      <c r="AA142" s="22" t="n">
        <v>373.28</v>
      </c>
      <c r="AB142" s="20" t="n">
        <v>-0.055</v>
      </c>
      <c r="AC142" s="20" t="n">
        <v>0.114274442665464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2026-09-09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523.15</v>
      </c>
      <c r="G143" s="15" t="inlineStr">
        <is>
          <t>USD</t>
        </is>
      </c>
      <c r="H143" s="14" t="n">
        <v>449.3335322545721</v>
      </c>
      <c r="I143" s="16" t="n">
        <v>733525.8471781572</v>
      </c>
      <c r="J143" s="16" t="n">
        <v>854029.4</v>
      </c>
      <c r="K143" s="14" t="n">
        <v>3.94</v>
      </c>
      <c r="L143" s="14" t="n">
        <v>15.51307</v>
      </c>
      <c r="M143" s="17">
        <f>IF(OR(F143="",K143="",K143&lt;=0),"",F143/K143)</f>
        <v/>
      </c>
      <c r="N143" s="18" t="n">
        <v>12.70059</v>
      </c>
      <c r="O143" s="19">
        <f>IF(OR(N143="",M143="",M143&lt;=0),"",N143/M143)</f>
        <v/>
      </c>
      <c r="P143" s="20" t="n">
        <v>0.10196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6.361</v>
      </c>
      <c r="AB143" s="20" t="n">
        <v>0.501</v>
      </c>
      <c r="AC143" s="20" t="n">
        <v>0.1867548194809319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2026-09-09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CrowdStrike</t>
        </is>
      </c>
      <c r="C144" s="12" t="inlineStr">
        <is>
          <t>CRWD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208.45</v>
      </c>
      <c r="G144" s="15" t="inlineStr">
        <is>
          <t>USD</t>
        </is>
      </c>
      <c r="H144" s="14" t="n">
        <v>179.0377039060796</v>
      </c>
      <c r="I144" s="16" t="n">
        <v>183322.9277598969</v>
      </c>
      <c r="J144" s="16" t="n">
        <v>213439.2</v>
      </c>
      <c r="K144" s="14" t="n">
        <v>0.04</v>
      </c>
      <c r="L144" s="14" t="n">
        <v>1.6045</v>
      </c>
      <c r="M144" s="17">
        <f>IF(OR(F144="",K144="",K144&lt;=0),"",F144/K144)</f>
        <v/>
      </c>
      <c r="N144" s="18" t="n">
        <v>41.83223</v>
      </c>
      <c r="O144" s="19">
        <f>IF(OR(N144="",M144="",M144&lt;=0),"",N144/M144)</f>
        <v/>
      </c>
      <c r="P144" s="20" t="n">
        <v>0.01461</v>
      </c>
      <c r="Q144" s="20" t="n">
        <v>-0.03380291957831719</v>
      </c>
      <c r="R144" s="20" t="n">
        <v>0.05799500312740814</v>
      </c>
      <c r="S144" s="21" t="n">
        <v>4</v>
      </c>
      <c r="T144" s="20" t="n">
        <v>-0.0366955033319107</v>
      </c>
      <c r="U144" s="20" t="n">
        <v>-0.004647363282262447</v>
      </c>
      <c r="V144" s="20" t="n">
        <v>0.03132923891577508</v>
      </c>
      <c r="W144" s="20" t="n">
        <v>-0.1251980506148707</v>
      </c>
      <c r="X144" s="20" t="n"/>
      <c r="Y144" s="14" t="n"/>
      <c r="Z144" s="19">
        <f>IF(OR(Y144="",F144="",F144=0),"",Y144/F144)</f>
        <v/>
      </c>
      <c r="AA144" s="22" t="n">
        <v>15.958</v>
      </c>
      <c r="AB144" s="20" t="n">
        <v>0.258</v>
      </c>
      <c r="AC144" s="20" t="n">
        <v>0.00935057216274713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2026-09-09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Palo Alto Networks</t>
        </is>
      </c>
      <c r="C145" s="12" t="inlineStr">
        <is>
          <t>PANW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335.73</v>
      </c>
      <c r="G145" s="15" t="inlineStr">
        <is>
          <t>USD</t>
        </is>
      </c>
      <c r="H145" s="14" t="n">
        <v>288.3584952381296</v>
      </c>
      <c r="I145" s="16" t="n">
        <v>235012.2165640754</v>
      </c>
      <c r="J145" s="16" t="n">
        <v>273620</v>
      </c>
      <c r="K145" s="14" t="n">
        <v>1.15</v>
      </c>
      <c r="L145" s="14" t="n">
        <v>4.87864</v>
      </c>
      <c r="M145" s="17">
        <f>IF(OR(F145="",K145="",K145&lt;=0),"",F145/K145)</f>
        <v/>
      </c>
      <c r="N145" s="18" t="n">
        <v>9.865126999999999</v>
      </c>
      <c r="O145" s="19">
        <f>IF(OR(N145="",M145="",M145&lt;=0),"",N145/M145)</f>
        <v/>
      </c>
      <c r="P145" s="20" t="n">
        <v>0.01739</v>
      </c>
      <c r="Q145" s="20" t="n">
        <v>-0.09410635994787687</v>
      </c>
      <c r="R145" s="20" t="n">
        <v>0.6917284975029041</v>
      </c>
      <c r="S145" s="21" t="n">
        <v>4</v>
      </c>
      <c r="T145" s="20" t="n"/>
      <c r="U145" s="20" t="n">
        <v>0.1449184602014212</v>
      </c>
      <c r="V145" s="20" t="n">
        <v>0.4985975975395091</v>
      </c>
      <c r="W145" s="20" t="n">
        <v>0.2514870738961336</v>
      </c>
      <c r="X145" s="20" t="n">
        <v>-1.271428571428571</v>
      </c>
      <c r="Y145" s="14" t="n"/>
      <c r="Z145" s="19">
        <f>IF(OR(Y145="",F145="",F145=0),"",Y145/F145)</f>
        <v/>
      </c>
      <c r="AA145" s="22" t="n">
        <v>9.093999999999999</v>
      </c>
      <c r="AB145" s="20" t="n">
        <v>0.344</v>
      </c>
      <c r="AC145" s="20" t="n">
        <v>0.03329176381282872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2026-09-09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84.68000000000001</v>
      </c>
      <c r="G146" s="15" t="inlineStr">
        <is>
          <t>USD</t>
        </is>
      </c>
      <c r="H146" s="14" t="n">
        <v>72.73165155560962</v>
      </c>
      <c r="I146" s="16" t="n">
        <v>65782.2916980702</v>
      </c>
      <c r="J146" s="16" t="n">
        <v>76589</v>
      </c>
      <c r="K146" s="14" t="n">
        <v>2.24</v>
      </c>
      <c r="L146" s="14" t="n">
        <v>14.83885</v>
      </c>
      <c r="M146" s="17">
        <f>IF(OR(F146="",K146="",K146&lt;=0),"",F146/K146)</f>
        <v/>
      </c>
      <c r="N146" s="18" t="n">
        <v>1.1978047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2026-09-09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103.98</v>
      </c>
      <c r="G147" s="15" t="inlineStr">
        <is>
          <t>USD</t>
        </is>
      </c>
      <c r="H147" s="14" t="n">
        <v>89.30842145432555</v>
      </c>
      <c r="I147" s="16" t="n">
        <v>82484.37510602047</v>
      </c>
      <c r="J147" s="16" t="n">
        <v>96034.89999999999</v>
      </c>
      <c r="K147" s="14" t="n">
        <v>3.13</v>
      </c>
      <c r="L147" s="14" t="n">
        <v>7.40643</v>
      </c>
      <c r="M147" s="17">
        <f>IF(OR(F147="",K147="",K147&lt;=0),"",F147/K147)</f>
        <v/>
      </c>
      <c r="N147" s="18" t="n">
        <v>3.2749608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2026-09-09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954.6799999999999</v>
      </c>
      <c r="G148" s="15" t="inlineStr">
        <is>
          <t>USD</t>
        </is>
      </c>
      <c r="H148" s="14" t="n">
        <v>819.9746469899549</v>
      </c>
      <c r="I148" s="16" t="n">
        <v>218386.747035657</v>
      </c>
      <c r="J148" s="16" t="n">
        <v>254263.3</v>
      </c>
      <c r="K148" s="14" t="n">
        <v>34.87</v>
      </c>
      <c r="L148" s="14" t="n">
        <v>25.27552</v>
      </c>
      <c r="M148" s="17">
        <f>IF(OR(F148="",K148="",K148&lt;=0),"",F148/K148)</f>
        <v/>
      </c>
      <c r="N148" s="18" t="n">
        <v>21.264729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2026-09-09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211.605</v>
      </c>
      <c r="G149" s="15" t="inlineStr">
        <is>
          <t>USD</t>
        </is>
      </c>
      <c r="H149" s="14" t="n">
        <v>181.7475333895226</v>
      </c>
      <c r="I149" s="16" t="n">
        <v>26853.93778592244</v>
      </c>
      <c r="J149" s="16" t="n">
        <v>31265.5</v>
      </c>
      <c r="K149" s="14" t="n">
        <v>5.63</v>
      </c>
      <c r="L149" s="14" t="n">
        <v>16.54371</v>
      </c>
      <c r="M149" s="17">
        <f>IF(OR(F149="",K149="",K149&lt;=0),"",F149/K149)</f>
        <v/>
      </c>
      <c r="N149" s="18" t="n">
        <v>1.6582164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2026-09-09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104.235</v>
      </c>
      <c r="G150" s="15" t="inlineStr">
        <is>
          <t>USD</t>
        </is>
      </c>
      <c r="H150" s="14" t="n">
        <v>89.52744095298735</v>
      </c>
      <c r="I150" s="16" t="n">
        <v>154585.8517354805</v>
      </c>
      <c r="J150" s="16" t="n">
        <v>179981.2</v>
      </c>
      <c r="K150" s="14" t="n">
        <v>4.85</v>
      </c>
      <c r="L150" s="14" t="n">
        <v>7.47471</v>
      </c>
      <c r="M150" s="17">
        <f>IF(OR(F150="",K150="",K150&lt;=0),"",F150/K150)</f>
        <v/>
      </c>
      <c r="N150" s="18" t="n">
        <v>1.6388636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2026-09-09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1021.5496</v>
      </c>
      <c r="G151" s="15" t="inlineStr">
        <is>
          <t>USD</t>
        </is>
      </c>
      <c r="H151" s="14" t="n">
        <v>877.4089460790315</v>
      </c>
      <c r="I151" s="16" t="n">
        <v>990939.6357353589</v>
      </c>
      <c r="J151" s="16" t="n">
        <v>1153731.1</v>
      </c>
      <c r="K151" s="14" t="n">
        <v>44.21</v>
      </c>
      <c r="L151" s="14" t="n">
        <v>155.02524</v>
      </c>
      <c r="M151" s="17">
        <f>IF(OR(F151="",K151="",K151&lt;=0),"",F151/K151)</f>
        <v/>
      </c>
      <c r="N151" s="18" t="n">
        <v>11.450425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2026-09-09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27.895</v>
      </c>
      <c r="G152" s="15" t="inlineStr">
        <is>
          <t>USD</t>
        </is>
      </c>
      <c r="H152" s="14" t="n">
        <v>23.95901535361042</v>
      </c>
      <c r="I152" s="16" t="n">
        <v>136558.5715256271</v>
      </c>
      <c r="J152" s="16" t="n">
        <v>158992.4</v>
      </c>
      <c r="K152" s="14" t="n">
        <v>0.76</v>
      </c>
      <c r="L152" s="14" t="n">
        <v>2.897</v>
      </c>
      <c r="M152" s="17">
        <f>IF(OR(F152="",K152="",K152&lt;=0),"",F152/K152)</f>
        <v/>
      </c>
      <c r="N152" s="18" t="n">
        <v>1.866136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2026-09-09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238.685</v>
      </c>
      <c r="G153" s="15" t="inlineStr">
        <is>
          <t>USD</t>
        </is>
      </c>
      <c r="H153" s="14" t="n">
        <v>205.00654524741</v>
      </c>
      <c r="I153" s="16" t="n">
        <v>184240.3188442916</v>
      </c>
      <c r="J153" s="16" t="n">
        <v>214507.3</v>
      </c>
      <c r="K153" s="14" t="n">
        <v>3.02</v>
      </c>
      <c r="L153" s="14" t="n">
        <v>6.72085</v>
      </c>
      <c r="M153" s="17">
        <f>IF(OR(F153="",K153="",K153&lt;=0),"",F153/K153)</f>
        <v/>
      </c>
      <c r="N153" s="18" t="n">
        <v>11.473034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2026-09-09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98.51000000000001</v>
      </c>
      <c r="G154" s="15" t="inlineStr">
        <is>
          <t>USD</t>
        </is>
      </c>
      <c r="H154" s="14" t="n">
        <v>84.61023848303145</v>
      </c>
      <c r="I154" s="16" t="n">
        <v>30611.8829329614</v>
      </c>
      <c r="J154" s="16" t="n">
        <v>35640.8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9.364068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2026-09-09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298.015</v>
      </c>
      <c r="G155" s="15" t="inlineStr">
        <is>
          <t>USD</t>
        </is>
      </c>
      <c r="H155" s="14" t="n">
        <v>255.9650819360534</v>
      </c>
      <c r="I155" s="16" t="n">
        <v>56992.9962717728</v>
      </c>
      <c r="J155" s="16" t="n">
        <v>66355.8</v>
      </c>
      <c r="K155" s="14" t="n">
        <v>-0.21</v>
      </c>
      <c r="L155" s="14" t="n">
        <v>14.43529</v>
      </c>
      <c r="M155" s="17">
        <f>IF(OR(F155="",K155="",K155&lt;=0),"",F155/K155)</f>
        <v/>
      </c>
      <c r="N155" s="18" t="n">
        <v>4.7793803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2026-09-09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67.56</v>
      </c>
      <c r="G156" s="15" t="inlineStr">
        <is>
          <t>USD</t>
        </is>
      </c>
      <c r="H156" s="14" t="n">
        <v>58.0272836454533</v>
      </c>
      <c r="I156" s="16" t="n">
        <v>96890.7047179978</v>
      </c>
      <c r="J156" s="16" t="n">
        <v>112807.9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-42.277843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2026-09-09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541.99</v>
      </c>
      <c r="G157" s="15" t="inlineStr">
        <is>
          <t>USD</t>
        </is>
      </c>
      <c r="H157" s="14" t="n">
        <v>465.5152081557021</v>
      </c>
      <c r="I157" s="16" t="n">
        <v>300789.0971921787</v>
      </c>
      <c r="J157" s="16" t="n">
        <v>350202.7</v>
      </c>
      <c r="K157" s="14" t="n">
        <v>17.19</v>
      </c>
      <c r="L157" s="14" t="n">
        <v>28.60667</v>
      </c>
      <c r="M157" s="17">
        <f>IF(OR(F157="",K157="",K157&lt;=0),"",F157/K157)</f>
        <v/>
      </c>
      <c r="N157" s="18" t="n">
        <v>-245.02261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2026-09-09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29.54</v>
      </c>
      <c r="G158" s="15" t="inlineStr">
        <is>
          <t>USD</t>
        </is>
      </c>
      <c r="H158" s="14" t="n">
        <v>25.37190584497766</v>
      </c>
      <c r="I158" s="16" t="n">
        <v>18327.12219802129</v>
      </c>
      <c r="J158" s="16" t="n">
        <v>21337.9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1.3454182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2026-09-09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13.825</v>
      </c>
      <c r="G159" s="15" t="inlineStr">
        <is>
          <t>USD</t>
        </is>
      </c>
      <c r="H159" s="14" t="n">
        <v>11.87429242744807</v>
      </c>
      <c r="I159" s="16" t="n">
        <v>47349.86836069231</v>
      </c>
      <c r="J159" s="16" t="n">
        <v>55128.5</v>
      </c>
      <c r="K159" s="14" t="n">
        <v>-1.87</v>
      </c>
      <c r="L159" s="14" t="n">
        <v>1.9264</v>
      </c>
      <c r="M159" s="17">
        <f>IF(OR(F159="",K159="",K159&lt;=0),"",F159/K159)</f>
        <v/>
      </c>
      <c r="N159" s="18" t="n">
        <v>1.5433131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2026-09-09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145.915</v>
      </c>
      <c r="G160" s="15" t="inlineStr">
        <is>
          <t>USD</t>
        </is>
      </c>
      <c r="H160" s="14" t="n">
        <v>125.3263927342557</v>
      </c>
      <c r="I160" s="16" t="n">
        <v>155399.1441405113</v>
      </c>
      <c r="J160" s="16" t="n">
        <v>180928.1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15.30791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2026-09-09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105.61</v>
      </c>
      <c r="G161" s="15" t="inlineStr">
        <is>
          <t>USD</t>
        </is>
      </c>
      <c r="H161" s="14" t="n">
        <v>90.7084284457715</v>
      </c>
      <c r="I161" s="16" t="n">
        <v>479494.2350202902</v>
      </c>
      <c r="J161" s="16" t="n">
        <v>558265.5</v>
      </c>
      <c r="K161" s="14" t="n">
        <v>-2.09</v>
      </c>
      <c r="L161" s="14" t="n">
        <v>2.04263</v>
      </c>
      <c r="M161" s="17">
        <f>IF(OR(F161="",K161="",K161&lt;=0),"",F161/K161)</f>
        <v/>
      </c>
      <c r="N161" s="18" t="n">
        <v>6.083876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2026-09-09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</v>
      </c>
      <c r="G162" s="15" t="inlineStr">
        <is>
          <t>USD</t>
        </is>
      </c>
      <c r="H162" s="14" t="n">
        <v>170.06219896092</v>
      </c>
      <c r="I162" s="16" t="n">
        <v>95414.08384701995</v>
      </c>
      <c r="J162" s="16" t="n">
        <v>111088.7</v>
      </c>
      <c r="K162" s="14" t="n">
        <v>11.83</v>
      </c>
      <c r="L162" s="14" t="n">
        <v>13.02812</v>
      </c>
      <c r="M162" s="17">
        <f>IF(OR(F162="",K162="",K162&lt;=0),"",F162/K162)</f>
        <v/>
      </c>
      <c r="N162" s="18" t="n">
        <v>-14.935506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2026-09-09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254.95</v>
      </c>
      <c r="G163" s="15" t="inlineStr">
        <is>
          <t>USD</t>
        </is>
      </c>
      <c r="H163" s="14" t="n">
        <v>218.9765536620532</v>
      </c>
      <c r="I163" s="16" t="n">
        <v>154956.8965332134</v>
      </c>
      <c r="J163" s="16" t="n">
        <v>180413.2</v>
      </c>
      <c r="K163" s="14" t="n">
        <v>12.3</v>
      </c>
      <c r="L163" s="14" t="n">
        <v>13.97841</v>
      </c>
      <c r="M163" s="17">
        <f>IF(OR(F163="",K163="",K163&lt;=0),"",F163/K163)</f>
        <v/>
      </c>
      <c r="N163" s="18" t="n">
        <v>-176.31396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2026-09-09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894.595</v>
      </c>
      <c r="G164" s="15" t="inlineStr">
        <is>
          <t>USD</t>
        </is>
      </c>
      <c r="H164" s="14" t="n">
        <v>768.3676408052738</v>
      </c>
      <c r="I164" s="16" t="n">
        <v>89584.30013263992</v>
      </c>
      <c r="J164" s="16" t="n">
        <v>104301.2</v>
      </c>
      <c r="K164" s="14" t="n">
        <v>37.25</v>
      </c>
      <c r="L164" s="14" t="n">
        <v>50.47155</v>
      </c>
      <c r="M164" s="17">
        <f>IF(OR(F164="",K164="",K164&lt;=0),"",F164/K164)</f>
        <v/>
      </c>
      <c r="N164" s="18" t="n">
        <v>-24.474585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2026-09-09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137.39</v>
      </c>
      <c r="G165" s="15" t="inlineStr">
        <is>
          <t>USD</t>
        </is>
      </c>
      <c r="H165" s="14" t="n">
        <v>118.0042702789939</v>
      </c>
      <c r="I165" s="16" t="n">
        <v>47111.52361214859</v>
      </c>
      <c r="J165" s="16" t="n">
        <v>54851</v>
      </c>
      <c r="K165" s="14" t="n">
        <v>-7.98</v>
      </c>
      <c r="L165" s="14" t="n">
        <v>-4.59257</v>
      </c>
      <c r="M165" s="17">
        <f>IF(OR(F165="",K165="",K165&lt;=0),"",F165/K165)</f>
        <v/>
      </c>
      <c r="N165" s="18" t="n">
        <v>8.107996999999999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2026-09-09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184.495</v>
      </c>
      <c r="G166" s="15" t="inlineStr">
        <is>
          <t>USD</t>
        </is>
      </c>
      <c r="H166" s="14" t="n">
        <v>158.4627545317926</v>
      </c>
      <c r="I166" s="16" t="n">
        <v>246982.1904509389</v>
      </c>
      <c r="J166" s="16" t="n">
        <v>287556.4</v>
      </c>
      <c r="K166" s="14" t="n">
        <v>7.28</v>
      </c>
      <c r="L166" s="14" t="n">
        <v>9.175649999999999</v>
      </c>
      <c r="M166" s="17">
        <f>IF(OR(F166="",K166="",K166&lt;=0),"",F166/K166)</f>
        <v/>
      </c>
      <c r="N166" s="18" t="n">
        <v>-33.501907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2026-09-09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100.46</v>
      </c>
      <c r="G167" s="15" t="inlineStr">
        <is>
          <t>USD</t>
        </is>
      </c>
      <c r="H167" s="14" t="n">
        <v>86.28509347279808</v>
      </c>
      <c r="I167" s="16" t="n">
        <v>98365.00655898981</v>
      </c>
      <c r="J167" s="16" t="n">
        <v>114524.4</v>
      </c>
      <c r="K167" s="14" t="n">
        <v>1.73</v>
      </c>
      <c r="L167" s="14" t="n">
        <v>3.12132</v>
      </c>
      <c r="M167" s="17">
        <f>IF(OR(F167="",K167="",K167&lt;=0),"",F167/K167)</f>
        <v/>
      </c>
      <c r="N167" s="18" t="n">
        <v>-14.920541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2026-09-09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2026-09-09T17:06:51Z</dcterms:created>
  <dcterms:modified xsi:type="dcterms:W3CDTF">2026-09-09T17:06:51Z</dcterms:modified>
</cp:coreProperties>
</file>
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USA" sheetId="3" state="visible" r:id="rId3"/>
    <sheet name="PARAMETRI" sheetId="4" state="visible" r:id="rId4"/>
  </sheets>
  <definedNames>
    <definedName name="_xlnm._FilterDatabase" localSheetId="1" hidden="1">'ITALIA'!$A$1:$AG$67</definedName>
    <definedName name="_xlnm._FilterDatabase" localSheetId="2" hidden="1">'USA'!$A$1:$AG$167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COUNTIF('ITALIA'!AD2:AD67,"PASSA FORTE")+COUNTIF('USA'!AD2:AD167,"PASSA FORTE")</f>
        <v/>
      </c>
    </row>
    <row r="6">
      <c r="A6" s="4" t="inlineStr">
        <is>
          <t>PASSA</t>
        </is>
      </c>
      <c r="B6" s="4">
        <f>COUNTIF('ITALIA'!AD2:AD67,"PASSA")+COUNTIF('USA'!AD2:AD167,"PASSA")</f>
        <v/>
      </c>
    </row>
    <row r="7">
      <c r="A7" s="4" t="inlineStr">
        <is>
          <t>SCARTA</t>
        </is>
      </c>
      <c r="B7" s="4">
        <f>COUNTIF('ITALIA'!AD2:AD67,"SCARTA")+COUNTIF('USA'!AD2:AD167,"SCARTA")</f>
        <v/>
      </c>
    </row>
    <row r="8">
      <c r="A8" s="4" t="inlineStr">
        <is>
          <t>DA COMPLETARE</t>
        </is>
      </c>
      <c r="B8" s="4">
        <f>COUNTIF('ITALIA'!AD2:AD67,"DA COMPLETARE")+COUNTIF('USA'!AD2:AD167,"DA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COUNTIF('ITALIA'!AD2:AD67,"PASSA")+COUNTIF('ITALIA'!AD2:AD67,"PASSA FORTE")</f>
        <v/>
      </c>
      <c r="D13" s="7">
        <f>IFERROR(AVERAGE('ITALIA'!K2:K67),"")</f>
        <v/>
      </c>
    </row>
    <row r="14">
      <c r="A14" s="4" t="inlineStr">
        <is>
          <t>USA</t>
        </is>
      </c>
      <c r="B14" s="4">
        <f>COUNTA('USA'!B2:B167)</f>
        <v/>
      </c>
      <c r="C14" s="4">
        <f>COUNTIF('USA'!AD2:AD167,"PASSA")+COUNTIF('USA'!AD2:AD167,"PASSA FORTE")</f>
        <v/>
      </c>
      <c r="D14" s="7">
        <f>IFERROR(AVERAGE('USA'!K2:K167),"")</f>
        <v/>
      </c>
    </row>
    <row r="17">
      <c r="A17" s="6" t="inlineStr">
        <is>
          <t>Per settore</t>
        </is>
      </c>
    </row>
    <row r="18">
      <c r="A18" s="3" t="inlineStr">
        <is>
          <t>Settore</t>
        </is>
      </c>
      <c r="B18" s="3" t="inlineStr">
        <is>
          <t>Italia</t>
        </is>
      </c>
      <c r="C18" s="3" t="inlineStr">
        <is>
          <t>USA</t>
        </is>
      </c>
      <c r="D18" s="3" t="inlineStr">
        <is>
          <t>Totale</t>
        </is>
      </c>
      <c r="E18" s="3" t="inlineStr">
        <is>
          <t>Passano</t>
        </is>
      </c>
      <c r="F18" s="3" t="inlineStr">
        <is>
          <t>ROE 1a medio</t>
        </is>
      </c>
    </row>
    <row r="19">
      <c r="A19" s="4" t="inlineStr">
        <is>
          <t>Tecnologia</t>
        </is>
      </c>
      <c r="B19" s="4">
        <f>COUNTIF('ITALIA'!E2:E67,$A19)</f>
        <v/>
      </c>
      <c r="C19" s="4">
        <f>COUNTIF('USA'!E2:E167,$A19)</f>
        <v/>
      </c>
      <c r="D19" s="4">
        <f>SUM(B19:C19)</f>
        <v/>
      </c>
      <c r="E19" s="4">
        <f>COUNTIFS('ITALIA'!E2:E67,$A19,'ITALIA'!AD2:AD67,"PASSA")+COUNTIFS('ITALIA'!E2:E67,$A19,'ITALIA'!AD2:AD67,"PASSA FORTE")+COUNTIFS('USA'!E2:E167,$A19,'USA'!AD2:AD167,"PASSA")+COUNTIFS('USA'!E2:E167,$A19,'USA'!AD2:AD167,"PASSA FORTE")</f>
        <v/>
      </c>
      <c r="F19" s="8">
        <f>IFERROR((SUMIF('ITALIA'!E2:E67,$A19,'ITALIA'!N2:N67)+SUMIF('USA'!E2:E167,$A19,'USA'!N2:N167))/(COUNTIFS('ITALIA'!E2:E67,$A19,'ITALIA'!N2:N67,"&lt;&gt;")+COUNTIFS('USA'!E2:E167,$A19,'USA'!N2:N167,"&lt;&gt;")),"")</f>
        <v/>
      </c>
    </row>
    <row r="20">
      <c r="A20" s="4" t="inlineStr">
        <is>
          <t>Salute</t>
        </is>
      </c>
      <c r="B20" s="4">
        <f>COUNTIF('ITALIA'!E2:E67,$A20)</f>
        <v/>
      </c>
      <c r="C20" s="4">
        <f>COUNTIF('USA'!E2:E167,$A20)</f>
        <v/>
      </c>
      <c r="D20" s="4">
        <f>SUM(B20:C20)</f>
        <v/>
      </c>
      <c r="E20" s="4">
        <f>COUNTIFS('ITALIA'!E2:E67,$A20,'ITALIA'!AD2:AD67,"PASSA")+COUNTIFS('ITALIA'!E2:E67,$A20,'ITALIA'!AD2:AD67,"PASSA FORTE")+COUNTIFS('USA'!E2:E167,$A20,'USA'!AD2:AD167,"PASSA")+COUNTIFS('USA'!E2:E167,$A20,'USA'!AD2:AD167,"PASSA FORTE")</f>
        <v/>
      </c>
      <c r="F20" s="8">
        <f>IFERROR((SUMIF('ITALIA'!E2:E67,$A20,'ITALIA'!N2:N67)+SUMIF('USA'!E2:E167,$A20,'USA'!N2:N167))/(COUNTIFS('ITALIA'!E2:E67,$A20,'ITALIA'!N2:N67,"&lt;&gt;")+COUNTIFS('USA'!E2:E167,$A20,'USA'!N2:N167,"&lt;&gt;")),"")</f>
        <v/>
      </c>
    </row>
    <row r="21">
      <c r="A21" s="4" t="inlineStr">
        <is>
          <t>Finanziario</t>
        </is>
      </c>
      <c r="B21" s="4">
        <f>COUNTIF('ITALIA'!E2:E67,$A21)</f>
        <v/>
      </c>
      <c r="C21" s="4">
        <f>COUNTIF('USA'!E2:E167,$A21)</f>
        <v/>
      </c>
      <c r="D21" s="4">
        <f>SUM(B21:C21)</f>
        <v/>
      </c>
      <c r="E21" s="4">
        <f>COUNTIFS('ITALIA'!E2:E67,$A21,'ITALIA'!AD2:AD67,"PASSA")+COUNTIFS('ITALIA'!E2:E67,$A21,'ITALIA'!AD2:AD67,"PASSA FORTE")+COUNTIFS('USA'!E2:E167,$A21,'USA'!AD2:AD167,"PASSA")+COUNTIFS('USA'!E2:E167,$A21,'USA'!AD2:AD167,"PASSA FORTE")</f>
        <v/>
      </c>
      <c r="F21" s="8">
        <f>IFERROR((SUMIF('ITALIA'!E2:E67,$A21,'ITALIA'!N2:N67)+SUMIF('USA'!E2:E167,$A21,'USA'!N2:N167))/(COUNTIFS('ITALIA'!E2:E67,$A21,'ITALIA'!N2:N67,"&lt;&gt;")+COUNTIFS('USA'!E2:E167,$A21,'USA'!N2:N167,"&lt;&gt;")),"")</f>
        <v/>
      </c>
    </row>
    <row r="22">
      <c r="A22" s="4" t="inlineStr">
        <is>
          <t>Industriale</t>
        </is>
      </c>
      <c r="B22" s="4">
        <f>COUNTIF('ITALIA'!E2:E67,$A22)</f>
        <v/>
      </c>
      <c r="C22" s="4">
        <f>COUNTIF('USA'!E2:E167,$A22)</f>
        <v/>
      </c>
      <c r="D22" s="4">
        <f>SUM(B22:C22)</f>
        <v/>
      </c>
      <c r="E22" s="4">
        <f>COUNTIFS('ITALIA'!E2:E67,$A22,'ITALIA'!AD2:AD67,"PASSA")+COUNTIFS('ITALIA'!E2:E67,$A22,'ITALIA'!AD2:AD67,"PASSA FORTE")+COUNTIFS('USA'!E2:E167,$A22,'USA'!AD2:AD167,"PASSA")+COUNTIFS('USA'!E2:E167,$A22,'USA'!AD2:AD167,"PASSA FORTE")</f>
        <v/>
      </c>
      <c r="F22" s="8">
        <f>IFERROR((SUMIF('ITALIA'!E2:E67,$A22,'ITALIA'!N2:N67)+SUMIF('USA'!E2:E167,$A22,'USA'!N2:N167))/(COUNTIFS('ITALIA'!E2:E67,$A22,'ITALIA'!N2:N67,"&lt;&gt;")+COUNTIFS('USA'!E2:E167,$A22,'USA'!N2:N167,"&lt;&gt;")),"")</f>
        <v/>
      </c>
    </row>
    <row r="23">
      <c r="A23" s="4" t="inlineStr">
        <is>
          <t>Consumi</t>
        </is>
      </c>
      <c r="B23" s="4">
        <f>COUNTIF('ITALIA'!E2:E67,$A23)</f>
        <v/>
      </c>
      <c r="C23" s="4">
        <f>COUNTIF('USA'!E2:E167,$A23)</f>
        <v/>
      </c>
      <c r="D23" s="4">
        <f>SUM(B23:C23)</f>
        <v/>
      </c>
      <c r="E23" s="4">
        <f>COUNTIFS('ITALIA'!E2:E67,$A23,'ITALIA'!AD2:AD67,"PASSA")+COUNTIFS('ITALIA'!E2:E67,$A23,'ITALIA'!AD2:AD67,"PASSA FORTE")+COUNTIFS('USA'!E2:E167,$A23,'USA'!AD2:AD167,"PASSA")+COUNTIFS('USA'!E2:E167,$A23,'USA'!AD2:AD167,"PASSA FORTE")</f>
        <v/>
      </c>
      <c r="F23" s="8">
        <f>IFERROR((SUMIF('ITALIA'!E2:E67,$A23,'ITALIA'!N2:N67)+SUMIF('USA'!E2:E167,$A23,'USA'!N2:N167))/(COUNTIFS('ITALIA'!E2:E67,$A23,'ITALIA'!N2:N67,"&lt;&gt;")+COUNTIFS('USA'!E2:E167,$A23,'USA'!N2:N167,"&lt;&gt;")),"")</f>
        <v/>
      </c>
    </row>
    <row r="24">
      <c r="A24" s="4" t="inlineStr">
        <is>
          <t>Energia</t>
        </is>
      </c>
      <c r="B24" s="4">
        <f>COUNTIF('ITALIA'!E2:E67,$A24)</f>
        <v/>
      </c>
      <c r="C24" s="4">
        <f>COUNTIF('USA'!E2:E167,$A24)</f>
        <v/>
      </c>
      <c r="D24" s="4">
        <f>SUM(B24:C24)</f>
        <v/>
      </c>
      <c r="E24" s="4">
        <f>COUNTIFS('ITALIA'!E2:E67,$A24,'ITALIA'!AD2:AD67,"PASSA")+COUNTIFS('ITALIA'!E2:E67,$A24,'ITALIA'!AD2:AD67,"PASSA FORTE")+COUNTIFS('USA'!E2:E167,$A24,'USA'!AD2:AD167,"PASSA")+COUNTIFS('USA'!E2:E167,$A24,'USA'!AD2:AD167,"PASSA FORTE")</f>
        <v/>
      </c>
      <c r="F24" s="8">
        <f>IFERROR((SUMIF('ITALIA'!E2:E67,$A24,'ITALIA'!N2:N67)+SUMIF('USA'!E2:E167,$A24,'USA'!N2:N167))/(COUNTIFS('ITALIA'!E2:E67,$A24,'ITALIA'!N2:N67,"&lt;&gt;")+COUNTIFS('USA'!E2:E167,$A24,'USA'!N2:N167,"&lt;&gt;")),"")</f>
        <v/>
      </c>
    </row>
    <row r="25">
      <c r="A25" s="4" t="inlineStr">
        <is>
          <t>Utility</t>
        </is>
      </c>
      <c r="B25" s="4">
        <f>COUNTIF('ITALIA'!E2:E67,$A25)</f>
        <v/>
      </c>
      <c r="C25" s="4">
        <f>COUNTIF('USA'!E2:E167,$A25)</f>
        <v/>
      </c>
      <c r="D25" s="4">
        <f>SUM(B25:C25)</f>
        <v/>
      </c>
      <c r="E25" s="4">
        <f>COUNTIFS('ITALIA'!E2:E67,$A25,'ITALIA'!AD2:AD67,"PASSA")+COUNTIFS('ITALIA'!E2:E67,$A25,'ITALIA'!AD2:AD67,"PASSA FORTE")+COUNTIFS('USA'!E2:E167,$A25,'USA'!AD2:AD167,"PASSA")+COUNTIFS('USA'!E2:E167,$A25,'USA'!AD2:AD167,"PASSA FORTE")</f>
        <v/>
      </c>
      <c r="F25" s="8">
        <f>IFERROR((SUMIF('ITALIA'!E2:E67,$A25,'ITALIA'!N2:N67)+SUMIF('USA'!E2:E167,$A25,'USA'!N2:N167))/(COUNTIFS('ITALIA'!E2:E67,$A25,'ITALIA'!N2:N67,"&lt;&gt;")+COUNTIFS('USA'!E2:E167,$A25,'USA'!N2:N167,"&lt;&gt;")),"")</f>
        <v/>
      </c>
    </row>
    <row r="26">
      <c r="A26" s="4" t="inlineStr">
        <is>
          <t>Materiali</t>
        </is>
      </c>
      <c r="B26" s="4">
        <f>COUNTIF('ITALIA'!E2:E67,$A26)</f>
        <v/>
      </c>
      <c r="C26" s="4">
        <f>COUNTIF('USA'!E2:E167,$A26)</f>
        <v/>
      </c>
      <c r="D26" s="4">
        <f>SUM(B26:C26)</f>
        <v/>
      </c>
      <c r="E26" s="4">
        <f>COUNTIFS('ITALIA'!E2:E67,$A26,'ITALIA'!AD2:AD67,"PASSA")+COUNTIFS('ITALIA'!E2:E67,$A26,'ITALIA'!AD2:AD67,"PASSA FORTE")+COUNTIFS('USA'!E2:E167,$A26,'USA'!AD2:AD167,"PASSA")+COUNTIFS('USA'!E2:E167,$A26,'USA'!AD2:AD167,"PASSA FORTE")</f>
        <v/>
      </c>
      <c r="F26" s="8">
        <f>IFERROR((SUMIF('ITALIA'!E2:E67,$A26,'ITALIA'!N2:N67)+SUMIF('USA'!E2:E167,$A26,'USA'!N2:N167))/(COUNTIFS('ITALIA'!E2:E67,$A26,'ITALIA'!N2:N67,"&lt;&gt;")+COUNTIFS('USA'!E2:E167,$A26,'USA'!N2:N167,"&lt;&gt;")),"")</f>
        <v/>
      </c>
    </row>
    <row r="27">
      <c r="A27" s="4" t="inlineStr">
        <is>
          <t>Immobiliare</t>
        </is>
      </c>
      <c r="B27" s="4">
        <f>COUNTIF('ITALIA'!E2:E67,$A27)</f>
        <v/>
      </c>
      <c r="C27" s="4">
        <f>COUNTIF('USA'!E2:E167,$A27)</f>
        <v/>
      </c>
      <c r="D27" s="4">
        <f>SUM(B27:C27)</f>
        <v/>
      </c>
      <c r="E27" s="4">
        <f>COUNTIFS('ITALIA'!E2:E67,$A27,'ITALIA'!AD2:AD67,"PASSA")+COUNTIFS('ITALIA'!E2:E67,$A27,'ITALIA'!AD2:AD67,"PASSA FORTE")+COUNTIFS('USA'!E2:E167,$A27,'USA'!AD2:AD167,"PASSA")+COUNTIFS('USA'!E2:E167,$A27,'USA'!AD2:AD167,"PASSA FORTE")</f>
        <v/>
      </c>
      <c r="F27" s="8">
        <f>IFERROR((SUMIF('ITALIA'!E2:E67,$A27,'ITALIA'!N2:N67)+SUMIF('USA'!E2:E167,$A27,'USA'!N2:N167))/(COUNTIFS('ITALIA'!E2:E67,$A27,'ITALIA'!N2:N67,"&lt;&gt;")+COUNTIFS('USA'!E2:E167,$A27,'USA'!N2:N167,"&lt;&gt;")),"")</f>
        <v/>
      </c>
    </row>
    <row r="28">
      <c r="A28" s="4" t="inlineStr">
        <is>
          <t>Veicolo</t>
        </is>
      </c>
      <c r="B28" s="4">
        <f>COUNTIF('ITALIA'!E2:E67,$A28)</f>
        <v/>
      </c>
      <c r="C28" s="4">
        <f>COUNTIF('USA'!E2:E167,$A28)</f>
        <v/>
      </c>
      <c r="D28" s="4">
        <f>SUM(B28:C28)</f>
        <v/>
      </c>
      <c r="E28" s="4">
        <f>COUNTIFS('ITALIA'!E2:E67,$A28,'ITALIA'!AD2:AD67,"PASSA")+COUNTIFS('ITALIA'!E2:E67,$A28,'ITALIA'!AD2:AD67,"PASSA FORTE")+COUNTIFS('USA'!E2:E167,$A28,'USA'!AD2:AD167,"PASSA")+COUNTIFS('USA'!E2:E167,$A28,'USA'!AD2:AD167,"PASSA FORTE")</f>
        <v/>
      </c>
      <c r="F28" s="8">
        <f>IFERROR((SUMIF('ITALIA'!E2:E67,$A28,'ITALIA'!N2:N67)+SUMIF('USA'!E2:E167,$A28,'USA'!N2:N167))/(COUNTIFS('ITALIA'!E2:E67,$A28,'ITALIA'!N2:N67,"&lt;&gt;")+COUNTIFS('USA'!E2:E167,$A28,'USA'!N2:N167,"&lt;&gt;")),"")</f>
        <v/>
      </c>
    </row>
    <row r="30">
      <c r="A30" s="2" t="inlineStr">
        <is>
          <t>Il ROE contabile di banche e assicurazioni non e' confrontabile con quello degli industriali: leggi i settori separatamente.</t>
        </is>
      </c>
    </row>
    <row r="31">
      <c r="A31" s="2" t="inlineStr">
        <is>
          <t>I titoli USA sono in dollari, gli italiani in euro. P/E, P/B e ROE sono rapporti e restano confrontabili; prezzi e capitalizzazioni no.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1" customWidth="1" min="8" max="8"/>
    <col width="10" customWidth="1" min="9" max="9"/>
    <col width="10" customWidth="1" min="10" max="10"/>
    <col width="8" customWidth="1" min="11" max="11"/>
    <col width="8" customWidth="1" min="12" max="12"/>
    <col width="10" customWidth="1" min="13" max="13"/>
    <col width="9" customWidth="1" min="14" max="14"/>
    <col width="9" customWidth="1" min="15" max="15"/>
    <col width="9" customWidth="1" min="16" max="16"/>
    <col width="6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9" customWidth="1" min="23" max="23"/>
    <col width="9" customWidth="1" min="24" max="24"/>
    <col width="10" customWidth="1" min="25" max="25"/>
    <col width="9" customWidth="1" min="26" max="26"/>
    <col width="9" customWidth="1" min="27" max="27"/>
    <col width="10" customWidth="1" min="28" max="28"/>
    <col width="10" customWidth="1" min="29" max="29"/>
    <col width="14" customWidth="1" min="30" max="30"/>
    <col width="12" customWidth="1" min="31" max="31"/>
    <col width="10" customWidth="1" min="32" max="32"/>
    <col width="42" customWidth="1" min="33" max="33"/>
  </cols>
  <sheetData>
    <row r="1" ht="30" customHeight="1">
      <c r="A1" s="9" t="inlineStr">
        <is>
          <t>N.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CAP. MLN</t>
        </is>
      </c>
      <c r="I1" s="9" t="inlineStr">
        <is>
          <t>EPS TTM</t>
        </is>
      </c>
      <c r="J1" s="9" t="inlineStr">
        <is>
          <t>EPS ATTESO</t>
        </is>
      </c>
      <c r="K1" s="9" t="inlineStr">
        <is>
          <t>P/E</t>
        </is>
      </c>
      <c r="L1" s="9" t="inlineStr">
        <is>
          <t>P/B</t>
        </is>
      </c>
      <c r="M1" s="9" t="inlineStr">
        <is>
          <t>ROE IMPL.</t>
        </is>
      </c>
      <c r="N1" s="9" t="inlineStr">
        <is>
          <t>ROE 1a</t>
        </is>
      </c>
      <c r="O1" s="9" t="inlineStr">
        <is>
          <t>ROE 5a</t>
        </is>
      </c>
      <c r="P1" s="9" t="inlineStr">
        <is>
          <t>VARIAB.
ROE</t>
        </is>
      </c>
      <c r="Q1" s="9" t="inlineStr">
        <is>
          <t>ANNI</t>
        </is>
      </c>
      <c r="R1" s="9" t="inlineStr">
        <is>
          <t>2026</t>
        </is>
      </c>
      <c r="S1" s="9" t="inlineStr">
        <is>
          <t>2025</t>
        </is>
      </c>
      <c r="T1" s="9" t="inlineStr">
        <is>
          <t>2024</t>
        </is>
      </c>
      <c r="U1" s="9" t="inlineStr">
        <is>
          <t>2023</t>
        </is>
      </c>
      <c r="V1" s="9" t="inlineStr">
        <is>
          <t>2022</t>
        </is>
      </c>
      <c r="W1" s="9" t="inlineStr">
        <is>
          <t>DIVID.</t>
        </is>
      </c>
      <c r="X1" s="9" t="inlineStr">
        <is>
          <t>RENDIM.</t>
        </is>
      </c>
      <c r="Y1" s="9" t="inlineStr">
        <is>
          <t>DEBITO/MP</t>
        </is>
      </c>
      <c r="Z1" s="9" t="inlineStr">
        <is>
          <t>CRESC.
RICAVI</t>
        </is>
      </c>
      <c r="AA1" s="9" t="inlineStr">
        <is>
          <t>MARGINE</t>
        </is>
      </c>
      <c r="AB1" s="9" t="inlineStr">
        <is>
          <t>ESITO ROE</t>
        </is>
      </c>
      <c r="AC1" s="9" t="inlineStr">
        <is>
          <t>ESITO P/E</t>
        </is>
      </c>
      <c r="AD1" s="9" t="inlineStr">
        <is>
          <t>GIUDIZIO</t>
        </is>
      </c>
      <c r="AE1" s="9" t="inlineStr">
        <is>
          <t>RILEVATO</t>
        </is>
      </c>
      <c r="AF1" s="9" t="inlineStr">
        <is>
          <t>FONTE</t>
        </is>
      </c>
      <c r="AG1" s="9" t="inlineStr">
        <is>
          <t>NOTE</t>
        </is>
      </c>
    </row>
    <row r="2">
      <c r="A2" s="10" t="n">
        <v>1</v>
      </c>
      <c r="B2" s="10" t="inlineStr">
        <is>
          <t>Esprinet</t>
        </is>
      </c>
      <c r="C2" s="10" t="inlineStr">
        <is>
          <t>PRT.MI</t>
        </is>
      </c>
      <c r="D2" s="10" t="inlineStr">
        <is>
          <t>Distribuzione IT</t>
        </is>
      </c>
      <c r="E2" s="11" t="inlineStr">
        <is>
          <t>Tecnologia</t>
        </is>
      </c>
      <c r="F2" s="12" t="n">
        <v>7.165</v>
      </c>
      <c r="G2" s="13" t="inlineStr">
        <is>
          <t>EUR</t>
        </is>
      </c>
      <c r="H2" s="14" t="n">
        <v>354.3</v>
      </c>
      <c r="I2" s="12" t="n">
        <v>0.46</v>
      </c>
      <c r="J2" s="12" t="n">
        <v>0.61153</v>
      </c>
      <c r="K2" s="15">
        <f>IF(OR(F2="",I2="",I2&lt;=0),"",F2/I2)</f>
        <v/>
      </c>
      <c r="L2" s="16" t="n">
        <v>0.8624218</v>
      </c>
      <c r="M2" s="17">
        <f>IF(OR(L2="",K2="",K2&lt;=0),"",L2/K2)</f>
        <v/>
      </c>
      <c r="N2" s="18" t="n">
        <v>0.057550002</v>
      </c>
      <c r="O2" s="18" t="n">
        <v>0.04761574922132365</v>
      </c>
      <c r="P2" s="18" t="n">
        <v>0.05268191971291874</v>
      </c>
      <c r="Q2" s="19" t="n">
        <v>4</v>
      </c>
      <c r="R2" s="18" t="n"/>
      <c r="S2" s="18" t="n">
        <v>0.05179603050299125</v>
      </c>
      <c r="T2" s="18" t="n">
        <v>0.0552888011982109</v>
      </c>
      <c r="U2" s="18" t="n">
        <v>-0.03232084047794018</v>
      </c>
      <c r="V2" s="18" t="n">
        <v>0.1156990056620326</v>
      </c>
      <c r="W2" s="12" t="n">
        <v>0.35</v>
      </c>
      <c r="X2" s="17">
        <f>IF(OR(W2="",F2="",F2=0),"",W2/F2)</f>
        <v/>
      </c>
      <c r="Y2" s="20" t="n">
        <v>130.73</v>
      </c>
      <c r="Z2" s="18" t="n">
        <v>0.106</v>
      </c>
      <c r="AA2" s="18" t="n">
        <v>0.005245279062452674</v>
      </c>
      <c r="AB2" s="11">
        <f>IF(AND(N2="",O2=""),"DATI MANCANTI",IF(AND(N(N2)&gt;=PARAMETRI!$B$4,N(O2)&gt;=PARAMETRI!$B$4),"OK","NO"))</f>
        <v/>
      </c>
      <c r="AC2" s="11">
        <f>IF(K2="","N/D",IF(K2&lt;PARAMETRI!$B$6,"OTTIMO",IF(K2&lt;PARAMETRI!$B$5,"OK","NO")))</f>
        <v/>
      </c>
      <c r="AD2" s="11">
        <f>IF(OR(AB2="DATI MANCANTI",AC2="N/D"),"DA COMPLETARE",IF(AND(AB2="OK",AC2="OTTIMO"),"PASSA FORTE",IF(AND(AB2="OK",AC2="OK"),"PASSA","SCARTA")))</f>
        <v/>
      </c>
      <c r="AE2" s="10" t="inlineStr">
        <is>
          <t>2026-08-04</t>
        </is>
      </c>
      <c r="AF2" s="10" t="inlineStr">
        <is>
          <t>yahoo</t>
        </is>
      </c>
      <c r="AG2" s="21" t="inlineStr"/>
    </row>
    <row r="3">
      <c r="A3" s="10" t="n">
        <v>2</v>
      </c>
      <c r="B3" s="10" t="inlineStr">
        <is>
          <t>Nexi</t>
        </is>
      </c>
      <c r="C3" s="10" t="inlineStr">
        <is>
          <t>NEXI.MI</t>
        </is>
      </c>
      <c r="D3" s="10" t="inlineStr">
        <is>
          <t>Pagamenti / Tech</t>
        </is>
      </c>
      <c r="E3" s="11" t="inlineStr">
        <is>
          <t>Tecnologia</t>
        </is>
      </c>
      <c r="F3" s="12" t="n">
        <v>4.369</v>
      </c>
      <c r="G3" s="13" t="inlineStr">
        <is>
          <t>EUR</t>
        </is>
      </c>
      <c r="H3" s="14" t="n">
        <v>5122.7</v>
      </c>
      <c r="I3" s="12" t="n">
        <v>-2.79</v>
      </c>
      <c r="J3" s="12" t="n">
        <v>0.66259</v>
      </c>
      <c r="K3" s="15">
        <f>IF(OR(F3="",I3="",I3&lt;=0),"",F3/I3)</f>
        <v/>
      </c>
      <c r="L3" s="16" t="n">
        <v>0.7255065000000001</v>
      </c>
      <c r="M3" s="17">
        <f>IF(OR(L3="",K3="",K3&lt;=0),"",L3/K3)</f>
        <v/>
      </c>
      <c r="N3" s="18" t="n">
        <v>-0.3861</v>
      </c>
      <c r="O3" s="18" t="n">
        <v>-0.1352643854154521</v>
      </c>
      <c r="P3" s="18" t="n">
        <v>0.202525332351745</v>
      </c>
      <c r="Q3" s="19" t="n">
        <v>4</v>
      </c>
      <c r="R3" s="18" t="n"/>
      <c r="S3" s="18" t="n">
        <v>-0.4784641541513177</v>
      </c>
      <c r="T3" s="18" t="n">
        <v>0.01527345893543077</v>
      </c>
      <c r="U3" s="18" t="n">
        <v>-0.08922760072252085</v>
      </c>
      <c r="V3" s="18" t="n">
        <v>0.0113607542765992</v>
      </c>
      <c r="W3" s="12" t="n">
        <v>0.3</v>
      </c>
      <c r="X3" s="17">
        <f>IF(OR(W3="",F3="",F3=0),"",W3/F3)</f>
        <v/>
      </c>
      <c r="Y3" s="20" t="n">
        <v>86.669</v>
      </c>
      <c r="Z3" s="18" t="n">
        <v>0.016</v>
      </c>
      <c r="AA3" s="18" t="n">
        <v>-0.5361810647115078</v>
      </c>
      <c r="AB3" s="11">
        <f>IF(AND(N3="",O3=""),"DATI MANCANTI",IF(AND(N(N3)&gt;=PARAMETRI!$B$4,N(O3)&gt;=PARAMETRI!$B$4),"OK","NO"))</f>
        <v/>
      </c>
      <c r="AC3" s="11">
        <f>IF(K3="","N/D",IF(K3&lt;PARAMETRI!$B$6,"OTTIMO",IF(K3&lt;PARAMETRI!$B$5,"OK","NO")))</f>
        <v/>
      </c>
      <c r="AD3" s="11">
        <f>IF(OR(AB3="DATI MANCANTI",AC3="N/D"),"DA COMPLETARE",IF(AND(AB3="OK",AC3="OTTIMO"),"PASSA FORTE",IF(AND(AB3="OK",AC3="OK"),"PASSA","SCARTA")))</f>
        <v/>
      </c>
      <c r="AE3" s="10" t="inlineStr">
        <is>
          <t>2026-08-04</t>
        </is>
      </c>
      <c r="AF3" s="10" t="inlineStr">
        <is>
          <t>yahoo</t>
        </is>
      </c>
      <c r="AG3" s="21" t="inlineStr"/>
    </row>
    <row r="4">
      <c r="A4" s="10" t="n">
        <v>3</v>
      </c>
      <c r="B4" s="10" t="inlineStr">
        <is>
          <t>STMicroelectronics</t>
        </is>
      </c>
      <c r="C4" s="10" t="inlineStr">
        <is>
          <t>STMMI.MI</t>
        </is>
      </c>
      <c r="D4" s="10" t="inlineStr">
        <is>
          <t>Semiconduttori</t>
        </is>
      </c>
      <c r="E4" s="11" t="inlineStr">
        <is>
          <t>Tecnologia</t>
        </is>
      </c>
      <c r="F4" s="12" t="n">
        <v>46.3</v>
      </c>
      <c r="G4" s="13" t="inlineStr">
        <is>
          <t>EUR</t>
        </is>
      </c>
      <c r="H4" s="14" t="n">
        <v>41293.9</v>
      </c>
      <c r="I4" s="12" t="n">
        <v>0.44</v>
      </c>
      <c r="J4" s="12" t="n">
        <v>1.42</v>
      </c>
      <c r="K4" s="15">
        <f>IF(OR(F4="",I4="",I4&lt;=0),"",F4/I4)</f>
        <v/>
      </c>
      <c r="L4" s="16" t="n">
        <v>2.6988816</v>
      </c>
      <c r="M4" s="17">
        <f>IF(OR(L4="",K4="",K4&lt;=0),"",L4/K4)</f>
        <v/>
      </c>
      <c r="N4" s="18" t="n">
        <v>0.02686</v>
      </c>
      <c r="O4" s="18" t="n">
        <v>0.1655610564349585</v>
      </c>
      <c r="P4" s="18" t="n">
        <v>0.1215552570620177</v>
      </c>
      <c r="Q4" s="19" t="n">
        <v>4</v>
      </c>
      <c r="R4" s="18" t="n"/>
      <c r="S4" s="18" t="n">
        <v>0.009311195871662552</v>
      </c>
      <c r="T4" s="18" t="n">
        <v>0.08923147458307067</v>
      </c>
      <c r="U4" s="18" t="n">
        <v>0.2517185725387052</v>
      </c>
      <c r="V4" s="18" t="n">
        <v>0.3119829827463956</v>
      </c>
      <c r="W4" s="12" t="n">
        <v>0.31</v>
      </c>
      <c r="X4" s="17">
        <f>IF(OR(W4="",F4="",F4=0),"",W4/F4)</f>
        <v/>
      </c>
      <c r="Y4" s="20" t="n">
        <v>23.446</v>
      </c>
      <c r="Z4" s="18" t="n">
        <v>0.261</v>
      </c>
      <c r="AA4" s="18" t="n">
        <v>0.03949152542372882</v>
      </c>
      <c r="AB4" s="11">
        <f>IF(AND(N4="",O4=""),"DATI MANCANTI",IF(AND(N(N4)&gt;=PARAMETRI!$B$4,N(O4)&gt;=PARAMETRI!$B$4),"OK","NO"))</f>
        <v/>
      </c>
      <c r="AC4" s="11">
        <f>IF(K4="","N/D",IF(K4&lt;PARAMETRI!$B$6,"OTTIMO",IF(K4&lt;PARAMETRI!$B$5,"OK","NO")))</f>
        <v/>
      </c>
      <c r="AD4" s="11">
        <f>IF(OR(AB4="DATI MANCANTI",AC4="N/D"),"DA COMPLETARE",IF(AND(AB4="OK",AC4="OTTIMO"),"PASSA FORTE",IF(AND(AB4="OK",AC4="OK"),"PASSA","SCARTA")))</f>
        <v/>
      </c>
      <c r="AE4" s="10" t="inlineStr">
        <is>
          <t>2026-08-04</t>
        </is>
      </c>
      <c r="AF4" s="10" t="inlineStr">
        <is>
          <t>yahoo</t>
        </is>
      </c>
      <c r="AG4" s="21" t="inlineStr">
        <is>
          <t>Bilancio in USD</t>
        </is>
      </c>
    </row>
    <row r="5">
      <c r="A5" s="10" t="n">
        <v>4</v>
      </c>
      <c r="B5" s="10" t="inlineStr">
        <is>
          <t>Amplifon</t>
        </is>
      </c>
      <c r="C5" s="10" t="inlineStr">
        <is>
          <t>AMP.MI</t>
        </is>
      </c>
      <c r="D5" s="10" t="inlineStr">
        <is>
          <t>Dispositivi medicali</t>
        </is>
      </c>
      <c r="E5" s="11" t="inlineStr">
        <is>
          <t>Salute</t>
        </is>
      </c>
      <c r="F5" s="12" t="n">
        <v>11.865</v>
      </c>
      <c r="G5" s="13" t="inlineStr">
        <is>
          <t>EUR</t>
        </is>
      </c>
      <c r="H5" s="14" t="n">
        <v>3147.2</v>
      </c>
      <c r="I5" s="12" t="n">
        <v>0.31</v>
      </c>
      <c r="J5" s="12" t="n">
        <v>0.87396</v>
      </c>
      <c r="K5" s="15">
        <f>IF(OR(F5="",I5="",I5&lt;=0),"",F5/I5)</f>
        <v/>
      </c>
      <c r="L5" s="16" t="n">
        <v>2.4243972</v>
      </c>
      <c r="M5" s="17">
        <f>IF(OR(L5="",K5="",K5&lt;=0),"",L5/K5)</f>
        <v/>
      </c>
      <c r="N5" s="18" t="n">
        <v>0.0914974143820864</v>
      </c>
      <c r="O5" s="18" t="n">
        <v>0.1326830497258543</v>
      </c>
      <c r="P5" s="18" t="n">
        <v>0.02890399099608494</v>
      </c>
      <c r="Q5" s="19" t="n">
        <v>4</v>
      </c>
      <c r="R5" s="18" t="n"/>
      <c r="S5" s="18" t="n">
        <v>0.0914974143820864</v>
      </c>
      <c r="T5" s="18" t="n">
        <v>0.1264119540661668</v>
      </c>
      <c r="U5" s="18" t="n">
        <v>0.140917724192243</v>
      </c>
      <c r="V5" s="18" t="n">
        <v>0.1719051062629212</v>
      </c>
      <c r="W5" s="12" t="n">
        <v>0.29</v>
      </c>
      <c r="X5" s="17">
        <f>IF(OR(W5="",F5="",F5=0),"",W5/F5)</f>
        <v/>
      </c>
      <c r="Y5" s="20" t="n">
        <v>166.757</v>
      </c>
      <c r="Z5" s="18" t="n">
        <v>0.022</v>
      </c>
      <c r="AA5" s="18" t="n">
        <v>0.03019319991401279</v>
      </c>
      <c r="AB5" s="11">
        <f>IF(AND(N5="",O5=""),"DATI MANCANTI",IF(AND(N(N5)&gt;=PARAMETRI!$B$4,N(O5)&gt;=PARAMETRI!$B$4),"OK","NO"))</f>
        <v/>
      </c>
      <c r="AC5" s="11">
        <f>IF(K5="","N/D",IF(K5&lt;PARAMETRI!$B$6,"OTTIMO",IF(K5&lt;PARAMETRI!$B$5,"OK","NO")))</f>
        <v/>
      </c>
      <c r="AD5" s="11">
        <f>IF(OR(AB5="DATI MANCANTI",AC5="N/D"),"DA COMPLETARE",IF(AND(AB5="OK",AC5="OTTIMO"),"PASSA FORTE",IF(AND(AB5="OK",AC5="OK"),"PASSA","SCARTA")))</f>
        <v/>
      </c>
      <c r="AE5" s="10" t="inlineStr">
        <is>
          <t>2026-08-04</t>
        </is>
      </c>
      <c r="AF5" s="10" t="inlineStr">
        <is>
          <t>yahoo</t>
        </is>
      </c>
      <c r="AG5" s="21" t="inlineStr"/>
    </row>
    <row r="6">
      <c r="A6" s="10" t="n">
        <v>5</v>
      </c>
      <c r="B6" s="10" t="inlineStr">
        <is>
          <t>DiaSorin</t>
        </is>
      </c>
      <c r="C6" s="10" t="inlineStr">
        <is>
          <t>DIA.MI</t>
        </is>
      </c>
      <c r="D6" s="10" t="inlineStr">
        <is>
          <t>Diagnostica</t>
        </is>
      </c>
      <c r="E6" s="11" t="inlineStr">
        <is>
          <t>Salute</t>
        </is>
      </c>
      <c r="F6" s="12" t="n">
        <v>74.59999999999999</v>
      </c>
      <c r="G6" s="13" t="inlineStr">
        <is>
          <t>EUR</t>
        </is>
      </c>
      <c r="H6" s="14" t="n">
        <v>3689.2</v>
      </c>
      <c r="I6" s="12" t="n">
        <v>2.64</v>
      </c>
      <c r="J6" s="12" t="n">
        <v>4.29718</v>
      </c>
      <c r="K6" s="15">
        <f>IF(OR(F6="",I6="",I6&lt;=0),"",F6/I6)</f>
        <v/>
      </c>
      <c r="L6" s="16" t="n">
        <v>2.495317</v>
      </c>
      <c r="M6" s="17">
        <f>IF(OR(L6="",K6="",K6&lt;=0),"",L6/K6)</f>
        <v/>
      </c>
      <c r="N6" s="18" t="n">
        <v>0.0916</v>
      </c>
      <c r="O6" s="18" t="n">
        <v>0.116288776654548</v>
      </c>
      <c r="P6" s="18" t="n">
        <v>0.02454805062203687</v>
      </c>
      <c r="Q6" s="19" t="n">
        <v>4</v>
      </c>
      <c r="R6" s="18" t="n"/>
      <c r="S6" s="18" t="n">
        <v>0.09821690597560229</v>
      </c>
      <c r="T6" s="18" t="n">
        <v>0.1044495085284283</v>
      </c>
      <c r="U6" s="18" t="n">
        <v>0.1038917569158156</v>
      </c>
      <c r="V6" s="18" t="n">
        <v>0.1585969351983458</v>
      </c>
      <c r="W6" s="12" t="n">
        <v>1.3</v>
      </c>
      <c r="X6" s="17">
        <f>IF(OR(W6="",F6="",F6=0),"",W6/F6)</f>
        <v/>
      </c>
      <c r="Y6" s="20" t="n">
        <v>59.605</v>
      </c>
      <c r="Z6" s="18" t="n">
        <v>0.029</v>
      </c>
      <c r="AA6" s="18" t="n">
        <v>0.117671571601307</v>
      </c>
      <c r="AB6" s="11">
        <f>IF(AND(N6="",O6=""),"DATI MANCANTI",IF(AND(N(N6)&gt;=PARAMETRI!$B$4,N(O6)&gt;=PARAMETRI!$B$4),"OK","NO"))</f>
        <v/>
      </c>
      <c r="AC6" s="11">
        <f>IF(K6="","N/D",IF(K6&lt;PARAMETRI!$B$6,"OTTIMO",IF(K6&lt;PARAMETRI!$B$5,"OK","NO")))</f>
        <v/>
      </c>
      <c r="AD6" s="11">
        <f>IF(OR(AB6="DATI MANCANTI",AC6="N/D"),"DA COMPLETARE",IF(AND(AB6="OK",AC6="OTTIMO"),"PASSA FORTE",IF(AND(AB6="OK",AC6="OK"),"PASSA","SCARTA")))</f>
        <v/>
      </c>
      <c r="AE6" s="10" t="inlineStr">
        <is>
          <t>2026-08-04</t>
        </is>
      </c>
      <c r="AF6" s="10" t="inlineStr">
        <is>
          <t>yahoo</t>
        </is>
      </c>
      <c r="AG6" s="21" t="inlineStr"/>
    </row>
    <row r="7">
      <c r="A7" s="10" t="n">
        <v>6</v>
      </c>
      <c r="B7" s="10" t="inlineStr">
        <is>
          <t>Recordati</t>
        </is>
      </c>
      <c r="C7" s="10" t="inlineStr">
        <is>
          <t>REC.MI</t>
        </is>
      </c>
      <c r="D7" s="10" t="inlineStr">
        <is>
          <t>Farmaceutica</t>
        </is>
      </c>
      <c r="E7" s="11" t="inlineStr">
        <is>
          <t>Salute</t>
        </is>
      </c>
      <c r="F7" s="12" t="n">
        <v>51.65</v>
      </c>
      <c r="G7" s="13" t="inlineStr">
        <is>
          <t>EUR</t>
        </is>
      </c>
      <c r="H7" s="14" t="n">
        <v>10508.9</v>
      </c>
      <c r="I7" s="12" t="n">
        <v>2.38</v>
      </c>
      <c r="J7" s="12" t="n">
        <v>3.78</v>
      </c>
      <c r="K7" s="15">
        <f>IF(OR(F7="",I7="",I7&lt;=0),"",F7/I7)</f>
        <v/>
      </c>
      <c r="L7" s="16" t="n">
        <v>4.933142</v>
      </c>
      <c r="M7" s="17">
        <f>IF(OR(L7="",K7="",K7&lt;=0),"",L7/K7)</f>
        <v/>
      </c>
      <c r="N7" s="18" t="n">
        <v>0.24851999</v>
      </c>
      <c r="O7" s="18" t="n">
        <v>0.2214495065575219</v>
      </c>
      <c r="P7" s="18" t="n">
        <v>0.01181960198165553</v>
      </c>
      <c r="Q7" s="19" t="n">
        <v>4</v>
      </c>
      <c r="R7" s="18" t="n"/>
      <c r="S7" s="18" t="n">
        <v>0.2310816076075701</v>
      </c>
      <c r="T7" s="18" t="n">
        <v>0.2219234882185667</v>
      </c>
      <c r="U7" s="18" t="n">
        <v>0.2307968728504405</v>
      </c>
      <c r="V7" s="18" t="n">
        <v>0.2019960575535102</v>
      </c>
      <c r="W7" s="12" t="n">
        <v>1.42</v>
      </c>
      <c r="X7" s="17">
        <f>IF(OR(W7="",F7="",F7=0),"",W7/F7)</f>
        <v/>
      </c>
      <c r="Y7" s="20" t="n">
        <v>108.586</v>
      </c>
      <c r="Z7" s="18" t="n">
        <v>0.083</v>
      </c>
      <c r="AA7" s="18" t="n">
        <v>0.1898793996141894</v>
      </c>
      <c r="AB7" s="11">
        <f>IF(AND(N7="",O7=""),"DATI MANCANTI",IF(AND(N(N7)&gt;=PARAMETRI!$B$4,N(O7)&gt;=PARAMETRI!$B$4),"OK","NO"))</f>
        <v/>
      </c>
      <c r="AC7" s="11">
        <f>IF(K7="","N/D",IF(K7&lt;PARAMETRI!$B$6,"OTTIMO",IF(K7&lt;PARAMETRI!$B$5,"OK","NO")))</f>
        <v/>
      </c>
      <c r="AD7" s="11">
        <f>IF(OR(AB7="DATI MANCANTI",AC7="N/D"),"DA COMPLETARE",IF(AND(AB7="OK",AC7="OTTIMO"),"PASSA FORTE",IF(AND(AB7="OK",AC7="OK"),"PASSA","SCARTA")))</f>
        <v/>
      </c>
      <c r="AE7" s="10" t="inlineStr">
        <is>
          <t>2026-08-04</t>
        </is>
      </c>
      <c r="AF7" s="10" t="inlineStr">
        <is>
          <t>yahoo</t>
        </is>
      </c>
      <c r="AG7" s="21" t="inlineStr"/>
    </row>
    <row r="8">
      <c r="A8" s="10" t="n">
        <v>7</v>
      </c>
      <c r="B8" s="10" t="inlineStr">
        <is>
          <t>Assicurazioni Generali</t>
        </is>
      </c>
      <c r="C8" s="10" t="inlineStr">
        <is>
          <t>G.MI</t>
        </is>
      </c>
      <c r="D8" s="10" t="inlineStr">
        <is>
          <t>Assicurazione</t>
        </is>
      </c>
      <c r="E8" s="11" t="inlineStr">
        <is>
          <t>Finanziario</t>
        </is>
      </c>
      <c r="F8" s="12" t="n">
        <v>44.46</v>
      </c>
      <c r="G8" s="13" t="inlineStr">
        <is>
          <t>EUR</t>
        </is>
      </c>
      <c r="H8" s="14" t="n">
        <v>66511.2</v>
      </c>
      <c r="I8" s="12" t="n">
        <v>2.69</v>
      </c>
      <c r="J8" s="12" t="n">
        <v>3.44254</v>
      </c>
      <c r="K8" s="15">
        <f>IF(OR(F8="",I8="",I8&lt;=0),"",F8/I8)</f>
        <v/>
      </c>
      <c r="L8" s="16" t="n">
        <v>2.0849748</v>
      </c>
      <c r="M8" s="17">
        <f>IF(OR(L8="",K8="",K8&lt;=0),"",L8/K8)</f>
        <v/>
      </c>
      <c r="N8" s="18" t="n">
        <v>0.13688</v>
      </c>
      <c r="O8" s="18" t="n">
        <v>0.1164672974509258</v>
      </c>
      <c r="P8" s="18" t="n">
        <v>0.01905215662104418</v>
      </c>
      <c r="Q8" s="19" t="n">
        <v>4</v>
      </c>
      <c r="R8" s="18" t="n"/>
      <c r="S8" s="18" t="n">
        <v>0.1301147704590818</v>
      </c>
      <c r="T8" s="18" t="n">
        <v>0.1225443417025898</v>
      </c>
      <c r="U8" s="18" t="n">
        <v>0.1293451620697988</v>
      </c>
      <c r="V8" s="18" t="n">
        <v>0.08386491557223265</v>
      </c>
      <c r="W8" s="12" t="n">
        <v>1.64</v>
      </c>
      <c r="X8" s="17">
        <f>IF(OR(W8="",F8="",F8=0),"",W8/F8)</f>
        <v/>
      </c>
      <c r="Y8" s="20" t="n">
        <v>113.746</v>
      </c>
      <c r="Z8" s="18" t="n"/>
      <c r="AA8" s="18" t="n">
        <v>0.05598046926469993</v>
      </c>
      <c r="AB8" s="11">
        <f>IF(AND(N8="",O8=""),"DATI MANCANTI",IF(AND(N(N8)&gt;=PARAMETRI!$B$4,N(O8)&gt;=PARAMETRI!$B$4),"OK","NO"))</f>
        <v/>
      </c>
      <c r="AC8" s="11">
        <f>IF(K8="","N/D",IF(K8&lt;PARAMETRI!$B$6,"OTTIMO",IF(K8&lt;PARAMETRI!$B$5,"OK","NO")))</f>
        <v/>
      </c>
      <c r="AD8" s="11">
        <f>IF(OR(AB8="DATI MANCANTI",AC8="N/D"),"DA COMPLETARE",IF(AND(AB8="OK",AC8="OTTIMO"),"PASSA FORTE",IF(AND(AB8="OK",AC8="OK"),"PASSA","SCARTA")))</f>
        <v/>
      </c>
      <c r="AE8" s="10" t="inlineStr">
        <is>
          <t>2026-08-04</t>
        </is>
      </c>
      <c r="AF8" s="10" t="inlineStr">
        <is>
          <t>yahoo</t>
        </is>
      </c>
      <c r="AG8" s="21" t="inlineStr"/>
    </row>
    <row r="9">
      <c r="A9" s="10" t="n">
        <v>8</v>
      </c>
      <c r="B9" s="10" t="inlineStr">
        <is>
          <t>Azimut Holding</t>
        </is>
      </c>
      <c r="C9" s="10" t="inlineStr">
        <is>
          <t>AZM.MI</t>
        </is>
      </c>
      <c r="D9" s="10" t="inlineStr">
        <is>
          <t>Risparmio gestito</t>
        </is>
      </c>
      <c r="E9" s="11" t="inlineStr">
        <is>
          <t>Finanziario</t>
        </is>
      </c>
      <c r="F9" s="12" t="n">
        <v>37.55</v>
      </c>
      <c r="G9" s="13" t="inlineStr">
        <is>
          <t>EUR</t>
        </is>
      </c>
      <c r="H9" s="14" t="n">
        <v>5325.3</v>
      </c>
      <c r="I9" s="12" t="n">
        <v>3.72</v>
      </c>
      <c r="J9" s="12" t="n">
        <v>3.64518</v>
      </c>
      <c r="K9" s="15">
        <f>IF(OR(F9="",I9="",I9&lt;=0),"",F9/I9)</f>
        <v/>
      </c>
      <c r="L9" s="16" t="n">
        <v>2.6804197</v>
      </c>
      <c r="M9" s="17">
        <f>IF(OR(L9="",K9="",K9&lt;=0),"",L9/K9)</f>
        <v/>
      </c>
      <c r="N9" s="18" t="n">
        <v>0.29348</v>
      </c>
      <c r="O9" s="18" t="n">
        <v>0.2809648123616741</v>
      </c>
      <c r="P9" s="18" t="n">
        <v>0.01535346990982674</v>
      </c>
      <c r="Q9" s="19" t="n">
        <v>4</v>
      </c>
      <c r="R9" s="18" t="n"/>
      <c r="S9" s="18" t="n">
        <v>0.2572535562453722</v>
      </c>
      <c r="T9" s="18" t="n">
        <v>0.299582732129626</v>
      </c>
      <c r="U9" s="18" t="n">
        <v>0.2802638265818115</v>
      </c>
      <c r="V9" s="18" t="n">
        <v>0.2867591344898866</v>
      </c>
      <c r="W9" s="12" t="n">
        <v>2</v>
      </c>
      <c r="X9" s="17">
        <f>IF(OR(W9="",F9="",F9=0),"",W9/F9)</f>
        <v/>
      </c>
      <c r="Y9" s="20" t="n">
        <v>4.261</v>
      </c>
      <c r="Z9" s="18" t="n">
        <v>0.17</v>
      </c>
      <c r="AA9" s="18" t="n">
        <v>0.3749142073513007</v>
      </c>
      <c r="AB9" s="11">
        <f>IF(AND(N9="",O9=""),"DATI MANCANTI",IF(AND(N(N9)&gt;=PARAMETRI!$B$4,N(O9)&gt;=PARAMETRI!$B$4),"OK","NO"))</f>
        <v/>
      </c>
      <c r="AC9" s="11">
        <f>IF(K9="","N/D",IF(K9&lt;PARAMETRI!$B$6,"OTTIMO",IF(K9&lt;PARAMETRI!$B$5,"OK","NO")))</f>
        <v/>
      </c>
      <c r="AD9" s="11">
        <f>IF(OR(AB9="DATI MANCANTI",AC9="N/D"),"DA COMPLETARE",IF(AND(AB9="OK",AC9="OTTIMO"),"PASSA FORTE",IF(AND(AB9="OK",AC9="OK"),"PASSA","SCARTA")))</f>
        <v/>
      </c>
      <c r="AE9" s="10" t="inlineStr">
        <is>
          <t>2026-08-04</t>
        </is>
      </c>
      <c r="AF9" s="10" t="inlineStr">
        <is>
          <t>yahoo</t>
        </is>
      </c>
      <c r="AG9" s="21" t="inlineStr"/>
    </row>
    <row r="10">
      <c r="A10" s="10" t="n">
        <v>9</v>
      </c>
      <c r="B10" s="10" t="inlineStr">
        <is>
          <t>Banca Generali</t>
        </is>
      </c>
      <c r="C10" s="10" t="inlineStr">
        <is>
          <t>BGN.MI</t>
        </is>
      </c>
      <c r="D10" s="10" t="inlineStr">
        <is>
          <t>Risparmio gestito</t>
        </is>
      </c>
      <c r="E10" s="11" t="inlineStr">
        <is>
          <t>Finanziario</t>
        </is>
      </c>
      <c r="F10" s="12" t="n">
        <v>66.59999999999999</v>
      </c>
      <c r="G10" s="13" t="inlineStr">
        <is>
          <t>EUR</t>
        </is>
      </c>
      <c r="H10" s="14" t="n">
        <v>7586.4</v>
      </c>
      <c r="I10" s="12" t="n">
        <v>4.61</v>
      </c>
      <c r="J10" s="12" t="n">
        <v>3.87342</v>
      </c>
      <c r="K10" s="15">
        <f>IF(OR(F10="",I10="",I10&lt;=0),"",F10/I10)</f>
        <v/>
      </c>
      <c r="L10" s="16" t="n">
        <v>4.7975793</v>
      </c>
      <c r="M10" s="17">
        <f>IF(OR(L10="",K10="",K10&lt;=0),"",L10/K10)</f>
        <v/>
      </c>
      <c r="N10" s="18" t="n">
        <v>0.36486998</v>
      </c>
      <c r="O10" s="18" t="n">
        <v>0.2618840820075273</v>
      </c>
      <c r="P10" s="18" t="n">
        <v>0.03724667157956014</v>
      </c>
      <c r="Q10" s="19" t="n">
        <v>4</v>
      </c>
      <c r="R10" s="18" t="n"/>
      <c r="S10" s="18" t="n">
        <v>0.2838222375004775</v>
      </c>
      <c r="T10" s="18" t="n">
        <v>0.2953751670464812</v>
      </c>
      <c r="U10" s="18" t="n">
        <v>0.2688834530025302</v>
      </c>
      <c r="V10" s="18" t="n">
        <v>0.1994554704806203</v>
      </c>
      <c r="W10" s="12" t="n">
        <v>2.9</v>
      </c>
      <c r="X10" s="17">
        <f>IF(OR(W10="",F10="",F10=0),"",W10/F10)</f>
        <v/>
      </c>
      <c r="Y10" s="20" t="n"/>
      <c r="Z10" s="18" t="n">
        <v>0.434</v>
      </c>
      <c r="AA10" s="18" t="n">
        <v>0.4479705012430691</v>
      </c>
      <c r="AB10" s="11">
        <f>IF(AND(N10="",O10=""),"DATI MANCANTI",IF(AND(N(N10)&gt;=PARAMETRI!$B$4,N(O10)&gt;=PARAMETRI!$B$4),"OK","NO"))</f>
        <v/>
      </c>
      <c r="AC10" s="11">
        <f>IF(K10="","N/D",IF(K10&lt;PARAMETRI!$B$6,"OTTIMO",IF(K10&lt;PARAMETRI!$B$5,"OK","NO")))</f>
        <v/>
      </c>
      <c r="AD10" s="11">
        <f>IF(OR(AB10="DATI MANCANTI",AC10="N/D"),"DA COMPLETARE",IF(AND(AB10="OK",AC10="OTTIMO"),"PASSA FORTE",IF(AND(AB10="OK",AC10="OK"),"PASSA","SCARTA")))</f>
        <v/>
      </c>
      <c r="AE10" s="10" t="inlineStr">
        <is>
          <t>2026-08-04</t>
        </is>
      </c>
      <c r="AF10" s="10" t="inlineStr">
        <is>
          <t>yahoo</t>
        </is>
      </c>
      <c r="AG10" s="21" t="inlineStr"/>
    </row>
    <row r="11">
      <c r="A11" s="10" t="n">
        <v>10</v>
      </c>
      <c r="B11" s="10" t="inlineStr">
        <is>
          <t>Banca Ifis</t>
        </is>
      </c>
      <c r="C11" s="10" t="inlineStr">
        <is>
          <t>IF.MI</t>
        </is>
      </c>
      <c r="D11" s="10" t="inlineStr">
        <is>
          <t>Banca</t>
        </is>
      </c>
      <c r="E11" s="11" t="inlineStr">
        <is>
          <t>Finanziario</t>
        </is>
      </c>
      <c r="F11" s="12" t="n">
        <v>14.92</v>
      </c>
      <c r="G11" s="13" t="inlineStr">
        <is>
          <t>EUR</t>
        </is>
      </c>
      <c r="H11" s="14" t="n">
        <v>911.3</v>
      </c>
      <c r="I11" s="12" t="n">
        <v>5.33</v>
      </c>
      <c r="J11" s="12" t="n">
        <v>2.06056</v>
      </c>
      <c r="K11" s="15">
        <f>IF(OR(F11="",I11="",I11&lt;=0),"",F11/I11)</f>
        <v/>
      </c>
      <c r="L11" s="16" t="n">
        <v>0.42990923</v>
      </c>
      <c r="M11" s="17">
        <f>IF(OR(L11="",K11="",K11&lt;=0),"",L11/K11)</f>
        <v/>
      </c>
      <c r="N11" s="18" t="n">
        <v>0.15787</v>
      </c>
      <c r="O11" s="18" t="n">
        <v>0.1080837120556844</v>
      </c>
      <c r="P11" s="18" t="n">
        <v>0.02703035448321747</v>
      </c>
      <c r="Q11" s="19" t="n">
        <v>4</v>
      </c>
      <c r="R11" s="18" t="n"/>
      <c r="S11" s="18" t="n">
        <v>0.1547337791733341</v>
      </c>
      <c r="T11" s="18" t="n">
        <v>0.09327314395229491</v>
      </c>
      <c r="U11" s="18" t="n">
        <v>0.09533427133380451</v>
      </c>
      <c r="V11" s="18" t="n">
        <v>0.08899365376330386</v>
      </c>
      <c r="W11" s="12" t="n">
        <v>2.12</v>
      </c>
      <c r="X11" s="17">
        <f>IF(OR(W11="",F11="",F11=0),"",W11/F11)</f>
        <v/>
      </c>
      <c r="Y11" s="20" t="n"/>
      <c r="Z11" s="18" t="n">
        <v>0.204</v>
      </c>
      <c r="AA11" s="18" t="n">
        <v>0.4350236780862317</v>
      </c>
      <c r="AB11" s="11">
        <f>IF(AND(N11="",O11=""),"DATI MANCANTI",IF(AND(N(N11)&gt;=PARAMETRI!$B$4,N(O11)&gt;=PARAMETRI!$B$4),"OK","NO"))</f>
        <v/>
      </c>
      <c r="AC11" s="11">
        <f>IF(K11="","N/D",IF(K11&lt;PARAMETRI!$B$6,"OTTIMO",IF(K11&lt;PARAMETRI!$B$5,"OK","NO")))</f>
        <v/>
      </c>
      <c r="AD11" s="11">
        <f>IF(OR(AB11="DATI MANCANTI",AC11="N/D"),"DA COMPLETARE",IF(AND(AB11="OK",AC11="OTTIMO"),"PASSA FORTE",IF(AND(AB11="OK",AC11="OK"),"PASSA","SCARTA")))</f>
        <v/>
      </c>
      <c r="AE11" s="10" t="inlineStr">
        <is>
          <t>2026-08-04</t>
        </is>
      </c>
      <c r="AF11" s="10" t="inlineStr">
        <is>
          <t>yahoo</t>
        </is>
      </c>
      <c r="AG11" s="21" t="inlineStr"/>
    </row>
    <row r="12">
      <c r="A12" s="10" t="n">
        <v>11</v>
      </c>
      <c r="B12" s="10" t="inlineStr">
        <is>
          <t>Banca Mediolanum</t>
        </is>
      </c>
      <c r="C12" s="10" t="inlineStr">
        <is>
          <t>BMED.MI</t>
        </is>
      </c>
      <c r="D12" s="10" t="inlineStr">
        <is>
          <t>Banca</t>
        </is>
      </c>
      <c r="E12" s="11" t="inlineStr">
        <is>
          <t>Finanziario</t>
        </is>
      </c>
      <c r="F12" s="12" t="n">
        <v>23.71</v>
      </c>
      <c r="G12" s="13" t="inlineStr">
        <is>
          <t>EUR</t>
        </is>
      </c>
      <c r="H12" s="14" t="n">
        <v>17529.2</v>
      </c>
      <c r="I12" s="12" t="n">
        <v>1.56</v>
      </c>
      <c r="J12" s="12" t="n">
        <v>1.55913</v>
      </c>
      <c r="K12" s="15">
        <f>IF(OR(F12="",I12="",I12&lt;=0),"",F12/I12)</f>
        <v/>
      </c>
      <c r="L12" s="16" t="n">
        <v>3.8996708</v>
      </c>
      <c r="M12" s="17">
        <f>IF(OR(L12="",K12="",K12&lt;=0),"",L12/K12)</f>
        <v/>
      </c>
      <c r="N12" s="18" t="n">
        <v>0.2754358183510404</v>
      </c>
      <c r="O12" s="18" t="n">
        <v>0.2408436712214453</v>
      </c>
      <c r="P12" s="18" t="n">
        <v>0.04285069479521749</v>
      </c>
      <c r="Q12" s="19" t="n">
        <v>4</v>
      </c>
      <c r="R12" s="18" t="n"/>
      <c r="S12" s="18" t="n">
        <v>0.2754358183510404</v>
      </c>
      <c r="T12" s="18" t="n">
        <v>0.2781189451824767</v>
      </c>
      <c r="U12" s="18" t="n">
        <v>0.2378963395219322</v>
      </c>
      <c r="V12" s="18" t="n">
        <v>0.1719235818303319</v>
      </c>
      <c r="W12" s="12" t="n">
        <v>1.3</v>
      </c>
      <c r="X12" s="17">
        <f>IF(OR(W12="",F12="",F12=0),"",W12/F12)</f>
        <v/>
      </c>
      <c r="Y12" s="20" t="n"/>
      <c r="Z12" s="18" t="n">
        <v>0.111</v>
      </c>
      <c r="AA12" s="18" t="n">
        <v>0.5392820074067336</v>
      </c>
      <c r="AB12" s="11">
        <f>IF(AND(N12="",O12=""),"DATI MANCANTI",IF(AND(N(N12)&gt;=PARAMETRI!$B$4,N(O12)&gt;=PARAMETRI!$B$4),"OK","NO"))</f>
        <v/>
      </c>
      <c r="AC12" s="11">
        <f>IF(K12="","N/D",IF(K12&lt;PARAMETRI!$B$6,"OTTIMO",IF(K12&lt;PARAMETRI!$B$5,"OK","NO")))</f>
        <v/>
      </c>
      <c r="AD12" s="11">
        <f>IF(OR(AB12="DATI MANCANTI",AC12="N/D"),"DA COMPLETARE",IF(AND(AB12="OK",AC12="OTTIMO"),"PASSA FORTE",IF(AND(AB12="OK",AC12="OK"),"PASSA","SCARTA")))</f>
        <v/>
      </c>
      <c r="AE12" s="10" t="inlineStr">
        <is>
          <t>2026-08-04</t>
        </is>
      </c>
      <c r="AF12" s="10" t="inlineStr">
        <is>
          <t>yahoo</t>
        </is>
      </c>
      <c r="AG12" s="21" t="inlineStr"/>
    </row>
    <row r="13">
      <c r="A13" s="10" t="n">
        <v>12</v>
      </c>
      <c r="B13" s="10" t="inlineStr">
        <is>
          <t>Banca Monte dei Paschi</t>
        </is>
      </c>
      <c r="C13" s="10" t="inlineStr">
        <is>
          <t>BMPS.MI</t>
        </is>
      </c>
      <c r="D13" s="10" t="inlineStr">
        <is>
          <t>Banca</t>
        </is>
      </c>
      <c r="E13" s="11" t="inlineStr">
        <is>
          <t>Finanziario</t>
        </is>
      </c>
      <c r="F13" s="12" t="n">
        <v>11.706</v>
      </c>
      <c r="G13" s="13" t="inlineStr">
        <is>
          <t>EUR</t>
        </is>
      </c>
      <c r="H13" s="14" t="n">
        <v>35567.7</v>
      </c>
      <c r="I13" s="12" t="n">
        <v>1.38</v>
      </c>
      <c r="J13" s="12" t="n">
        <v>0.89069</v>
      </c>
      <c r="K13" s="15">
        <f>IF(OR(F13="",I13="",I13&lt;=0),"",F13/I13)</f>
        <v/>
      </c>
      <c r="L13" s="16" t="n">
        <v>1.2511758</v>
      </c>
      <c r="M13" s="17">
        <f>IF(OR(L13="",K13="",K13&lt;=0),"",L13/K13)</f>
        <v/>
      </c>
      <c r="N13" s="18" t="n">
        <v>0.13343</v>
      </c>
      <c r="O13" s="18" t="n">
        <v>0.1118793043818977</v>
      </c>
      <c r="P13" s="18" t="n">
        <v>0.08689710531060152</v>
      </c>
      <c r="Q13" s="19" t="n">
        <v>4</v>
      </c>
      <c r="R13" s="18" t="n"/>
      <c r="S13" s="18" t="n">
        <v>0.09712411852409344</v>
      </c>
      <c r="T13" s="18" t="n">
        <v>0.1674643066481196</v>
      </c>
      <c r="U13" s="18" t="n">
        <v>0.2056210488634617</v>
      </c>
      <c r="V13" s="18" t="n">
        <v>-0.02269225650808385</v>
      </c>
      <c r="W13" s="12" t="n">
        <v>0.86</v>
      </c>
      <c r="X13" s="17">
        <f>IF(OR(W13="",F13="",F13=0),"",W13/F13)</f>
        <v/>
      </c>
      <c r="Y13" s="20" t="n"/>
      <c r="Z13" s="18" t="n">
        <v>0.959</v>
      </c>
      <c r="AA13" s="18" t="n">
        <v>0.5645294258421514</v>
      </c>
      <c r="AB13" s="11">
        <f>IF(AND(N13="",O13=""),"DATI MANCANTI",IF(AND(N(N13)&gt;=PARAMETRI!$B$4,N(O13)&gt;=PARAMETRI!$B$4),"OK","NO"))</f>
        <v/>
      </c>
      <c r="AC13" s="11">
        <f>IF(K13="","N/D",IF(K13&lt;PARAMETRI!$B$6,"OTTIMO",IF(K13&lt;PARAMETRI!$B$5,"OK","NO")))</f>
        <v/>
      </c>
      <c r="AD13" s="11">
        <f>IF(OR(AB13="DATI MANCANTI",AC13="N/D"),"DA COMPLETARE",IF(AND(AB13="OK",AC13="OTTIMO"),"PASSA FORTE",IF(AND(AB13="OK",AC13="OK"),"PASSA","SCARTA")))</f>
        <v/>
      </c>
      <c r="AE13" s="10" t="inlineStr">
        <is>
          <t>2026-08-04</t>
        </is>
      </c>
      <c r="AF13" s="10" t="inlineStr">
        <is>
          <t>yahoo</t>
        </is>
      </c>
      <c r="AG13" s="21" t="inlineStr"/>
    </row>
    <row r="14">
      <c r="A14" s="10" t="n">
        <v>13</v>
      </c>
      <c r="B14" s="10" t="inlineStr">
        <is>
          <t>Banca Profilo</t>
        </is>
      </c>
      <c r="C14" s="10" t="inlineStr">
        <is>
          <t>PRO.MI</t>
        </is>
      </c>
      <c r="D14" s="10" t="inlineStr">
        <is>
          <t>Banca</t>
        </is>
      </c>
      <c r="E14" s="11" t="inlineStr">
        <is>
          <t>Finanziario</t>
        </is>
      </c>
      <c r="F14" s="12" t="n">
        <v>1.6538</v>
      </c>
      <c r="G14" s="13" t="inlineStr">
        <is>
          <t>EUR</t>
        </is>
      </c>
      <c r="H14" s="14" t="n">
        <v>109.3</v>
      </c>
      <c r="I14" s="12" t="n">
        <v>0.12</v>
      </c>
      <c r="J14" s="12" t="n">
        <v>0.16</v>
      </c>
      <c r="K14" s="15">
        <f>IF(OR(F14="",I14="",I14&lt;=0),"",F14/I14)</f>
        <v/>
      </c>
      <c r="L14" s="16" t="n">
        <v>0.65940994</v>
      </c>
      <c r="M14" s="17">
        <f>IF(OR(L14="",K14="",K14&lt;=0),"",L14/K14)</f>
        <v/>
      </c>
      <c r="N14" s="18" t="n">
        <v>0.049450003</v>
      </c>
      <c r="O14" s="18" t="n">
        <v>0.06503077574268615</v>
      </c>
      <c r="P14" s="18" t="n">
        <v>0.006357036968247848</v>
      </c>
      <c r="Q14" s="19" t="n">
        <v>4</v>
      </c>
      <c r="R14" s="18" t="n"/>
      <c r="S14" s="18" t="n">
        <v>0.060088543950598</v>
      </c>
      <c r="T14" s="18" t="n">
        <v>0.05765696403735347</v>
      </c>
      <c r="U14" s="18" t="n">
        <v>0.07306048899843912</v>
      </c>
      <c r="V14" s="18" t="n">
        <v>0.06931710598435398</v>
      </c>
      <c r="W14" s="12" t="n">
        <v>0.07000000000000001</v>
      </c>
      <c r="X14" s="17">
        <f>IF(OR(W14="",F14="",F14=0),"",W14/F14)</f>
        <v/>
      </c>
      <c r="Y14" s="20" t="n"/>
      <c r="Z14" s="18" t="n">
        <v>-0.366</v>
      </c>
      <c r="AA14" s="18" t="n">
        <v>0.1203926489039781</v>
      </c>
      <c r="AB14" s="11">
        <f>IF(AND(N14="",O14=""),"DATI MANCANTI",IF(AND(N(N14)&gt;=PARAMETRI!$B$4,N(O14)&gt;=PARAMETRI!$B$4),"OK","NO"))</f>
        <v/>
      </c>
      <c r="AC14" s="11">
        <f>IF(K14="","N/D",IF(K14&lt;PARAMETRI!$B$6,"OTTIMO",IF(K14&lt;PARAMETRI!$B$5,"OK","NO")))</f>
        <v/>
      </c>
      <c r="AD14" s="11">
        <f>IF(OR(AB14="DATI MANCANTI",AC14="N/D"),"DA COMPLETARE",IF(AND(AB14="OK",AC14="OTTIMO"),"PASSA FORTE",IF(AND(AB14="OK",AC14="OK"),"PASSA","SCARTA")))</f>
        <v/>
      </c>
      <c r="AE14" s="10" t="inlineStr">
        <is>
          <t>2026-08-04</t>
        </is>
      </c>
      <c r="AF14" s="10" t="inlineStr">
        <is>
          <t>yahoo</t>
        </is>
      </c>
      <c r="AG14" s="21" t="inlineStr"/>
    </row>
    <row r="15">
      <c r="A15" s="10" t="n">
        <v>14</v>
      </c>
      <c r="B15" s="10" t="inlineStr">
        <is>
          <t>Banco BPM</t>
        </is>
      </c>
      <c r="C15" s="10" t="inlineStr">
        <is>
          <t>BAMI.MI</t>
        </is>
      </c>
      <c r="D15" s="10" t="inlineStr">
        <is>
          <t>Banca</t>
        </is>
      </c>
      <c r="E15" s="11" t="inlineStr">
        <is>
          <t>Finanziario</t>
        </is>
      </c>
      <c r="F15" s="12" t="n">
        <v>16.28</v>
      </c>
      <c r="G15" s="13" t="inlineStr">
        <is>
          <t>EUR</t>
        </is>
      </c>
      <c r="H15" s="14" t="n">
        <v>24502.5</v>
      </c>
      <c r="I15" s="12" t="n">
        <v>1.38</v>
      </c>
      <c r="J15" s="12" t="n">
        <v>1.36754</v>
      </c>
      <c r="K15" s="15">
        <f>IF(OR(F15="",I15="",I15&lt;=0),"",F15/I15)</f>
        <v/>
      </c>
      <c r="L15" s="16" t="n">
        <v>1.5952965</v>
      </c>
      <c r="M15" s="17">
        <f>IF(OR(L15="",K15="",K15&lt;=0),"",L15/K15)</f>
        <v/>
      </c>
      <c r="N15" s="18" t="n">
        <v>0.13722</v>
      </c>
      <c r="O15" s="18" t="n">
        <v>0.1021211334100729</v>
      </c>
      <c r="P15" s="18" t="n">
        <v>0.03350975211730548</v>
      </c>
      <c r="Q15" s="19" t="n">
        <v>4</v>
      </c>
      <c r="R15" s="18" t="n"/>
      <c r="S15" s="18" t="n">
        <v>0.1342812323198498</v>
      </c>
      <c r="T15" s="18" t="n">
        <v>0.1314982535880892</v>
      </c>
      <c r="U15" s="18" t="n">
        <v>0.09007299567491081</v>
      </c>
      <c r="V15" s="18" t="n">
        <v>0.05263205205744168</v>
      </c>
      <c r="W15" s="12" t="n">
        <v>1</v>
      </c>
      <c r="X15" s="17">
        <f>IF(OR(W15="",F15="",F15=0),"",W15/F15)</f>
        <v/>
      </c>
      <c r="Y15" s="20" t="n"/>
      <c r="Z15" s="18" t="n">
        <v>0.029</v>
      </c>
      <c r="AA15" s="18" t="n">
        <v>0.3089127903158856</v>
      </c>
      <c r="AB15" s="11">
        <f>IF(AND(N15="",O15=""),"DATI MANCANTI",IF(AND(N(N15)&gt;=PARAMETRI!$B$4,N(O15)&gt;=PARAMETRI!$B$4),"OK","NO"))</f>
        <v/>
      </c>
      <c r="AC15" s="11">
        <f>IF(K15="","N/D",IF(K15&lt;PARAMETRI!$B$6,"OTTIMO",IF(K15&lt;PARAMETRI!$B$5,"OK","NO")))</f>
        <v/>
      </c>
      <c r="AD15" s="11">
        <f>IF(OR(AB15="DATI MANCANTI",AC15="N/D"),"DA COMPLETARE",IF(AND(AB15="OK",AC15="OTTIMO"),"PASSA FORTE",IF(AND(AB15="OK",AC15="OK"),"PASSA","SCARTA")))</f>
        <v/>
      </c>
      <c r="AE15" s="10" t="inlineStr">
        <is>
          <t>2026-08-04</t>
        </is>
      </c>
      <c r="AF15" s="10" t="inlineStr">
        <is>
          <t>yahoo</t>
        </is>
      </c>
      <c r="AG15" s="21" t="inlineStr"/>
    </row>
    <row r="16">
      <c r="A16" s="10" t="n">
        <v>15</v>
      </c>
      <c r="B16" s="10" t="inlineStr">
        <is>
          <t>Banco Desio e Brianza</t>
        </is>
      </c>
      <c r="C16" s="10" t="inlineStr">
        <is>
          <t>BDB.MI</t>
        </is>
      </c>
      <c r="D16" s="10" t="inlineStr">
        <is>
          <t>Banca</t>
        </is>
      </c>
      <c r="E16" s="11" t="inlineStr">
        <is>
          <t>Finanziario</t>
        </is>
      </c>
      <c r="F16" s="12" t="n">
        <v>18.74</v>
      </c>
      <c r="G16" s="13" t="inlineStr">
        <is>
          <t>EUR</t>
        </is>
      </c>
      <c r="H16" s="14" t="n">
        <v>2463.8</v>
      </c>
      <c r="I16" s="12" t="n">
        <v>1.02</v>
      </c>
      <c r="J16" s="12" t="n"/>
      <c r="K16" s="15">
        <f>IF(OR(F16="",I16="",I16&lt;=0),"",F16/I16)</f>
        <v/>
      </c>
      <c r="L16" s="16" t="n">
        <v>1.6529946</v>
      </c>
      <c r="M16" s="17">
        <f>IF(OR(L16="",K16="",K16&lt;=0),"",L16/K16)</f>
        <v/>
      </c>
      <c r="N16" s="18" t="n">
        <v>0.09042</v>
      </c>
      <c r="O16" s="18" t="n">
        <v>0.1057732555853402</v>
      </c>
      <c r="P16" s="18" t="n">
        <v>0.04181671720819548</v>
      </c>
      <c r="Q16" s="19" t="n">
        <v>4</v>
      </c>
      <c r="R16" s="18" t="n"/>
      <c r="S16" s="18" t="n">
        <v>0.08541270271503291</v>
      </c>
      <c r="T16" s="18" t="n">
        <v>0.08758728118881172</v>
      </c>
      <c r="U16" s="18" t="n">
        <v>0.1775172357765608</v>
      </c>
      <c r="V16" s="18" t="n">
        <v>0.07257580266095537</v>
      </c>
      <c r="W16" s="12" t="n">
        <v>0.51</v>
      </c>
      <c r="X16" s="17">
        <f>IF(OR(W16="",F16="",F16=0),"",W16/F16)</f>
        <v/>
      </c>
      <c r="Y16" s="20" t="n"/>
      <c r="Z16" s="18" t="n">
        <v>0.099</v>
      </c>
      <c r="AA16" s="18" t="n">
        <v>0.2061490474278459</v>
      </c>
      <c r="AB16" s="11">
        <f>IF(AND(N16="",O16=""),"DATI MANCANTI",IF(AND(N(N16)&gt;=PARAMETRI!$B$4,N(O16)&gt;=PARAMETRI!$B$4),"OK","NO"))</f>
        <v/>
      </c>
      <c r="AC16" s="11">
        <f>IF(K16="","N/D",IF(K16&lt;PARAMETRI!$B$6,"OTTIMO",IF(K16&lt;PARAMETRI!$B$5,"OK","NO")))</f>
        <v/>
      </c>
      <c r="AD16" s="11">
        <f>IF(OR(AB16="DATI MANCANTI",AC16="N/D"),"DA COMPLETARE",IF(AND(AB16="OK",AC16="OTTIMO"),"PASSA FORTE",IF(AND(AB16="OK",AC16="OK"),"PASSA","SCARTA")))</f>
        <v/>
      </c>
      <c r="AE16" s="10" t="inlineStr">
        <is>
          <t>2026-08-04</t>
        </is>
      </c>
      <c r="AF16" s="10" t="inlineStr">
        <is>
          <t>yahoo</t>
        </is>
      </c>
      <c r="AG16" s="21" t="inlineStr"/>
    </row>
    <row r="17">
      <c r="A17" s="10" t="n">
        <v>16</v>
      </c>
      <c r="B17" s="10" t="inlineStr">
        <is>
          <t>BPER Banca</t>
        </is>
      </c>
      <c r="C17" s="10" t="inlineStr">
        <is>
          <t>BPE.MI</t>
        </is>
      </c>
      <c r="D17" s="10" t="inlineStr">
        <is>
          <t>Banca</t>
        </is>
      </c>
      <c r="E17" s="11" t="inlineStr">
        <is>
          <t>Finanziario</t>
        </is>
      </c>
      <c r="F17" s="12" t="n">
        <v>14.864</v>
      </c>
      <c r="G17" s="13" t="inlineStr">
        <is>
          <t>EUR</t>
        </is>
      </c>
      <c r="H17" s="14" t="n">
        <v>30974</v>
      </c>
      <c r="I17" s="12" t="n">
        <v>1.05</v>
      </c>
      <c r="J17" s="12" t="n">
        <v>1.27856</v>
      </c>
      <c r="K17" s="15">
        <f>IF(OR(F17="",I17="",I17&lt;=0),"",F17/I17)</f>
        <v/>
      </c>
      <c r="L17" s="16" t="n">
        <v>1.7144176</v>
      </c>
      <c r="M17" s="17">
        <f>IF(OR(L17="",K17="",K17&lt;=0),"",L17/K17)</f>
        <v/>
      </c>
      <c r="N17" s="18" t="n">
        <v>0.13133</v>
      </c>
      <c r="O17" s="18" t="n">
        <v>0.1445086984556243</v>
      </c>
      <c r="P17" s="18" t="n">
        <v>0.02916558394996791</v>
      </c>
      <c r="Q17" s="19" t="n">
        <v>4</v>
      </c>
      <c r="R17" s="18" t="n"/>
      <c r="S17" s="18" t="n">
        <v>0.1097761581692051</v>
      </c>
      <c r="T17" s="18" t="n">
        <v>0.1235393192469138</v>
      </c>
      <c r="U17" s="18" t="n">
        <v>0.1622327383431547</v>
      </c>
      <c r="V17" s="18" t="n">
        <v>0.1824865780632235</v>
      </c>
      <c r="W17" s="12" t="n">
        <v>1.26</v>
      </c>
      <c r="X17" s="17">
        <f>IF(OR(W17="",F17="",F17=0),"",W17/F17)</f>
        <v/>
      </c>
      <c r="Y17" s="20" t="n"/>
      <c r="Z17" s="18" t="n">
        <v>0.241</v>
      </c>
      <c r="AA17" s="18" t="n">
        <v>0.2715994784439413</v>
      </c>
      <c r="AB17" s="11">
        <f>IF(AND(N17="",O17=""),"DATI MANCANTI",IF(AND(N(N17)&gt;=PARAMETRI!$B$4,N(O17)&gt;=PARAMETRI!$B$4),"OK","NO"))</f>
        <v/>
      </c>
      <c r="AC17" s="11">
        <f>IF(K17="","N/D",IF(K17&lt;PARAMETRI!$B$6,"OTTIMO",IF(K17&lt;PARAMETRI!$B$5,"OK","NO")))</f>
        <v/>
      </c>
      <c r="AD17" s="11">
        <f>IF(OR(AB17="DATI MANCANTI",AC17="N/D"),"DA COMPLETARE",IF(AND(AB17="OK",AC17="OTTIMO"),"PASSA FORTE",IF(AND(AB17="OK",AC17="OK"),"PASSA","SCARTA")))</f>
        <v/>
      </c>
      <c r="AE17" s="10" t="inlineStr">
        <is>
          <t>2026-08-04</t>
        </is>
      </c>
      <c r="AF17" s="10" t="inlineStr">
        <is>
          <t>yahoo</t>
        </is>
      </c>
      <c r="AG17" s="21" t="inlineStr"/>
    </row>
    <row r="18">
      <c r="A18" s="10" t="n">
        <v>17</v>
      </c>
      <c r="B18" s="10" t="inlineStr">
        <is>
          <t>Credito Emiliano</t>
        </is>
      </c>
      <c r="C18" s="10" t="inlineStr">
        <is>
          <t>CE.MI</t>
        </is>
      </c>
      <c r="D18" s="10" t="inlineStr">
        <is>
          <t>Banca</t>
        </is>
      </c>
      <c r="E18" s="11" t="inlineStr">
        <is>
          <t>Finanziario</t>
        </is>
      </c>
      <c r="F18" s="12" t="n">
        <v>19.85</v>
      </c>
      <c r="G18" s="13" t="inlineStr">
        <is>
          <t>EUR</t>
        </is>
      </c>
      <c r="H18" s="14" t="n">
        <v>6741.9</v>
      </c>
      <c r="I18" s="12" t="n">
        <v>1.57</v>
      </c>
      <c r="J18" s="12" t="n">
        <v>1.63504</v>
      </c>
      <c r="K18" s="15">
        <f>IF(OR(F18="",I18="",I18&lt;=0),"",F18/I18)</f>
        <v/>
      </c>
      <c r="L18" s="16" t="n">
        <v>1.4458445</v>
      </c>
      <c r="M18" s="17">
        <f>IF(OR(L18="",K18="",K18&lt;=0),"",L18/K18)</f>
        <v/>
      </c>
      <c r="N18" s="18" t="n">
        <v>0.12091</v>
      </c>
      <c r="O18" s="18" t="n">
        <v>0.1300062824285416</v>
      </c>
      <c r="P18" s="18" t="n">
        <v>0.01959756211205863</v>
      </c>
      <c r="Q18" s="19" t="n">
        <v>4</v>
      </c>
      <c r="R18" s="18" t="n"/>
      <c r="S18" s="18" t="n">
        <v>0.1332810045412384</v>
      </c>
      <c r="T18" s="18" t="n">
        <v>0.1444498517998922</v>
      </c>
      <c r="U18" s="18" t="n">
        <v>0.1452297895230177</v>
      </c>
      <c r="V18" s="18" t="n">
        <v>0.09706448385001806</v>
      </c>
      <c r="W18" s="12" t="n">
        <v>0.75</v>
      </c>
      <c r="X18" s="17">
        <f>IF(OR(W18="",F18="",F18=0),"",W18/F18)</f>
        <v/>
      </c>
      <c r="Y18" s="20" t="n"/>
      <c r="Z18" s="18" t="n">
        <v>0.065</v>
      </c>
      <c r="AA18" s="18" t="n">
        <v>0.256171787535883</v>
      </c>
      <c r="AB18" s="11">
        <f>IF(AND(N18="",O18=""),"DATI MANCANTI",IF(AND(N(N18)&gt;=PARAMETRI!$B$4,N(O18)&gt;=PARAMETRI!$B$4),"OK","NO"))</f>
        <v/>
      </c>
      <c r="AC18" s="11">
        <f>IF(K18="","N/D",IF(K18&lt;PARAMETRI!$B$6,"OTTIMO",IF(K18&lt;PARAMETRI!$B$5,"OK","NO")))</f>
        <v/>
      </c>
      <c r="AD18" s="11">
        <f>IF(OR(AB18="DATI MANCANTI",AC18="N/D"),"DA COMPLETARE",IF(AND(AB18="OK",AC18="OTTIMO"),"PASSA FORTE",IF(AND(AB18="OK",AC18="OK"),"PASSA","SCARTA")))</f>
        <v/>
      </c>
      <c r="AE18" s="10" t="inlineStr">
        <is>
          <t>2026-08-04</t>
        </is>
      </c>
      <c r="AF18" s="10" t="inlineStr">
        <is>
          <t>yahoo</t>
        </is>
      </c>
      <c r="AG18" s="21" t="inlineStr"/>
    </row>
    <row r="19">
      <c r="A19" s="10" t="n">
        <v>18</v>
      </c>
      <c r="B19" s="10" t="inlineStr">
        <is>
          <t>Exor</t>
        </is>
      </c>
      <c r="C19" s="10" t="inlineStr">
        <is>
          <t>EXO.AS</t>
        </is>
      </c>
      <c r="D19" s="10" t="inlineStr">
        <is>
          <t>Holding</t>
        </is>
      </c>
      <c r="E19" s="11" t="inlineStr">
        <is>
          <t>Finanziario</t>
        </is>
      </c>
      <c r="F19" s="12" t="n">
        <v>70.15000000000001</v>
      </c>
      <c r="G19" s="13" t="inlineStr">
        <is>
          <t>EUR</t>
        </is>
      </c>
      <c r="H19" s="14" t="n">
        <v>23056.7</v>
      </c>
      <c r="I19" s="12" t="n">
        <v>-18.48</v>
      </c>
      <c r="J19" s="12" t="n">
        <v>1.26279</v>
      </c>
      <c r="K19" s="15">
        <f>IF(OR(F19="",I19="",I19&lt;=0),"",F19/I19)</f>
        <v/>
      </c>
      <c r="L19" s="16" t="n">
        <v>0.42677844</v>
      </c>
      <c r="M19" s="17">
        <f>IF(OR(L19="",K19="",K19&lt;=0),"",L19/K19)</f>
        <v/>
      </c>
      <c r="N19" s="18" t="n">
        <v>-0.10617</v>
      </c>
      <c r="O19" s="18" t="n">
        <v>0.1637510106448963</v>
      </c>
      <c r="P19" s="18" t="n">
        <v>0.1786434319411815</v>
      </c>
      <c r="Q19" s="19" t="n">
        <v>4</v>
      </c>
      <c r="R19" s="18" t="n"/>
      <c r="S19" s="18" t="n">
        <v>-0.1141060738244939</v>
      </c>
      <c r="T19" s="18" t="n">
        <v>0.3839369831466555</v>
      </c>
      <c r="U19" s="18" t="n">
        <v>0.1802475502836514</v>
      </c>
      <c r="V19" s="18" t="n">
        <v>0.2049255829737723</v>
      </c>
      <c r="W19" s="12" t="n">
        <v>0.49</v>
      </c>
      <c r="X19" s="17">
        <f>IF(OR(W19="",F19="",F19=0),"",W19/F19)</f>
        <v/>
      </c>
      <c r="Y19" s="20" t="n">
        <v>11.155</v>
      </c>
      <c r="Z19" s="18" t="n"/>
      <c r="AA19" s="18" t="n">
        <v>1.056251722639933</v>
      </c>
      <c r="AB19" s="11">
        <f>IF(AND(N19="",O19=""),"DATI MANCANTI",IF(AND(N(N19)&gt;=PARAMETRI!$B$4,N(O19)&gt;=PARAMETRI!$B$4),"OK","NO"))</f>
        <v/>
      </c>
      <c r="AC19" s="11">
        <f>IF(K19="","N/D",IF(K19&lt;PARAMETRI!$B$6,"OTTIMO",IF(K19&lt;PARAMETRI!$B$5,"OK","NO")))</f>
        <v/>
      </c>
      <c r="AD19" s="11">
        <f>IF(OR(AB19="DATI MANCANTI",AC19="N/D"),"DA COMPLETARE",IF(AND(AB19="OK",AC19="OTTIMO"),"PASSA FORTE",IF(AND(AB19="OK",AC19="OK"),"PASSA","SCARTA")))</f>
        <v/>
      </c>
      <c r="AE19" s="10" t="inlineStr">
        <is>
          <t>2026-08-04</t>
        </is>
      </c>
      <c r="AF19" s="10" t="inlineStr">
        <is>
          <t>yahoo</t>
        </is>
      </c>
      <c r="AG19" s="21" t="inlineStr">
        <is>
          <t>Quotata ad Amsterdam</t>
        </is>
      </c>
    </row>
    <row r="20">
      <c r="A20" s="10" t="n">
        <v>19</v>
      </c>
      <c r="B20" s="10" t="inlineStr">
        <is>
          <t>FinecoBank</t>
        </is>
      </c>
      <c r="C20" s="10" t="inlineStr">
        <is>
          <t>FBK.MI</t>
        </is>
      </c>
      <c r="D20" s="10" t="inlineStr">
        <is>
          <t>Banca</t>
        </is>
      </c>
      <c r="E20" s="11" t="inlineStr">
        <is>
          <t>Finanziario</t>
        </is>
      </c>
      <c r="F20" s="12" t="n">
        <v>24.45</v>
      </c>
      <c r="G20" s="13" t="inlineStr">
        <is>
          <t>EUR</t>
        </is>
      </c>
      <c r="H20" s="14" t="n">
        <v>14959</v>
      </c>
      <c r="I20" s="12" t="n">
        <v>1.1</v>
      </c>
      <c r="J20" s="12" t="n">
        <v>1.25527</v>
      </c>
      <c r="K20" s="15">
        <f>IF(OR(F20="",I20="",I20&lt;=0),"",F20/I20)</f>
        <v/>
      </c>
      <c r="L20" s="16" t="n">
        <v>5.532926</v>
      </c>
      <c r="M20" s="17">
        <f>IF(OR(L20="",K20="",K20&lt;=0),"",L20/K20)</f>
        <v/>
      </c>
      <c r="N20" s="18" t="n">
        <v>0.28855</v>
      </c>
      <c r="O20" s="18" t="n">
        <v>0.2570624236556285</v>
      </c>
      <c r="P20" s="18" t="n">
        <v>0.02097502353736271</v>
      </c>
      <c r="Q20" s="19" t="n">
        <v>4</v>
      </c>
      <c r="R20" s="18" t="n"/>
      <c r="S20" s="18" t="n">
        <v>0.2534112396233302</v>
      </c>
      <c r="T20" s="18" t="n">
        <v>0.2730011819301958</v>
      </c>
      <c r="U20" s="18" t="n">
        <v>0.2775357273693247</v>
      </c>
      <c r="V20" s="18" t="n">
        <v>0.2243015456996635</v>
      </c>
      <c r="W20" s="12" t="n">
        <v>0.79</v>
      </c>
      <c r="X20" s="17">
        <f>IF(OR(W20="",F20="",F20=0),"",W20/F20)</f>
        <v/>
      </c>
      <c r="Y20" s="20" t="n"/>
      <c r="Z20" s="18" t="n">
        <v>0.177</v>
      </c>
      <c r="AA20" s="18" t="n">
        <v>0.4311898534625156</v>
      </c>
      <c r="AB20" s="11">
        <f>IF(AND(N20="",O20=""),"DATI MANCANTI",IF(AND(N(N20)&gt;=PARAMETRI!$B$4,N(O20)&gt;=PARAMETRI!$B$4),"OK","NO"))</f>
        <v/>
      </c>
      <c r="AC20" s="11">
        <f>IF(K20="","N/D",IF(K20&lt;PARAMETRI!$B$6,"OTTIMO",IF(K20&lt;PARAMETRI!$B$5,"OK","NO")))</f>
        <v/>
      </c>
      <c r="AD20" s="11">
        <f>IF(OR(AB20="DATI MANCANTI",AC20="N/D"),"DA COMPLETARE",IF(AND(AB20="OK",AC20="OTTIMO"),"PASSA FORTE",IF(AND(AB20="OK",AC20="OK"),"PASSA","SCARTA")))</f>
        <v/>
      </c>
      <c r="AE20" s="10" t="inlineStr">
        <is>
          <t>2026-08-04</t>
        </is>
      </c>
      <c r="AF20" s="10" t="inlineStr">
        <is>
          <t>yahoo</t>
        </is>
      </c>
      <c r="AG20" s="21" t="inlineStr"/>
    </row>
    <row r="21">
      <c r="A21" s="10" t="n">
        <v>20</v>
      </c>
      <c r="B21" s="10" t="inlineStr">
        <is>
          <t>Intesa Sanpaolo</t>
        </is>
      </c>
      <c r="C21" s="10" t="inlineStr">
        <is>
          <t>ISP.MI</t>
        </is>
      </c>
      <c r="D21" s="10" t="inlineStr">
        <is>
          <t>Banca</t>
        </is>
      </c>
      <c r="E21" s="11" t="inlineStr">
        <is>
          <t>Finanziario</t>
        </is>
      </c>
      <c r="F21" s="12" t="n">
        <v>6.758</v>
      </c>
      <c r="G21" s="13" t="inlineStr">
        <is>
          <t>EUR</t>
        </is>
      </c>
      <c r="H21" s="14" t="n">
        <v>118470.4</v>
      </c>
      <c r="I21" s="12" t="n">
        <v>0.5600000000000001</v>
      </c>
      <c r="J21" s="12" t="n">
        <v>0.6415</v>
      </c>
      <c r="K21" s="15">
        <f>IF(OR(F21="",I21="",I21&lt;=0),"",F21/I21)</f>
        <v/>
      </c>
      <c r="L21" s="16" t="n">
        <v>1.7022669</v>
      </c>
      <c r="M21" s="17">
        <f>IF(OR(L21="",K21="",K21&lt;=0),"",L21/K21)</f>
        <v/>
      </c>
      <c r="N21" s="18" t="n">
        <v>0.14273</v>
      </c>
      <c r="O21" s="18" t="n">
        <v>0.1170723447862178</v>
      </c>
      <c r="P21" s="18" t="n">
        <v>0.0273636203726556</v>
      </c>
      <c r="Q21" s="19" t="n">
        <v>4</v>
      </c>
      <c r="R21" s="18" t="n"/>
      <c r="S21" s="18" t="n">
        <v>0.1429031367859443</v>
      </c>
      <c r="T21" s="18" t="n">
        <v>0.1329630538848656</v>
      </c>
      <c r="U21" s="18" t="n">
        <v>0.1207573128214749</v>
      </c>
      <c r="V21" s="18" t="n">
        <v>0.07166587565258661</v>
      </c>
      <c r="W21" s="12" t="n">
        <v>0.38</v>
      </c>
      <c r="X21" s="17">
        <f>IF(OR(W21="",F21="",F21=0),"",W21/F21)</f>
        <v/>
      </c>
      <c r="Y21" s="20" t="n"/>
      <c r="Z21" s="18" t="n">
        <v>0.037</v>
      </c>
      <c r="AA21" s="18" t="n">
        <v>0.3385677664131235</v>
      </c>
      <c r="AB21" s="11">
        <f>IF(AND(N21="",O21=""),"DATI MANCANTI",IF(AND(N(N21)&gt;=PARAMETRI!$B$4,N(O21)&gt;=PARAMETRI!$B$4),"OK","NO"))</f>
        <v/>
      </c>
      <c r="AC21" s="11">
        <f>IF(K21="","N/D",IF(K21&lt;PARAMETRI!$B$6,"OTTIMO",IF(K21&lt;PARAMETRI!$B$5,"OK","NO")))</f>
        <v/>
      </c>
      <c r="AD21" s="11">
        <f>IF(OR(AB21="DATI MANCANTI",AC21="N/D"),"DA COMPLETARE",IF(AND(AB21="OK",AC21="OTTIMO"),"PASSA FORTE",IF(AND(AB21="OK",AC21="OK"),"PASSA","SCARTA")))</f>
        <v/>
      </c>
      <c r="AE21" s="10" t="inlineStr">
        <is>
          <t>2026-08-04</t>
        </is>
      </c>
      <c r="AF21" s="10" t="inlineStr">
        <is>
          <t>yahoo</t>
        </is>
      </c>
      <c r="AG21" s="21" t="inlineStr"/>
    </row>
    <row r="22">
      <c r="A22" s="10" t="n">
        <v>21</v>
      </c>
      <c r="B22" s="10" t="inlineStr">
        <is>
          <t>Mediobanca</t>
        </is>
      </c>
      <c r="C22" s="10" t="inlineStr">
        <is>
          <t>MB.MI</t>
        </is>
      </c>
      <c r="D22" s="10" t="inlineStr">
        <is>
          <t>Banca</t>
        </is>
      </c>
      <c r="E22" s="11" t="inlineStr">
        <is>
          <t>Finanziario</t>
        </is>
      </c>
      <c r="F22" s="12" t="n">
        <v>28.13</v>
      </c>
      <c r="G22" s="13" t="inlineStr">
        <is>
          <t>EUR</t>
        </is>
      </c>
      <c r="H22" s="14" t="n">
        <v>22687.8</v>
      </c>
      <c r="I22" s="12" t="n">
        <v>1.47</v>
      </c>
      <c r="J22" s="12" t="n">
        <v>1.80068</v>
      </c>
      <c r="K22" s="15">
        <f>IF(OR(F22="",I22="",I22&lt;=0),"",F22/I22)</f>
        <v/>
      </c>
      <c r="L22" s="16" t="n">
        <v>1.9843397</v>
      </c>
      <c r="M22" s="17">
        <f>IF(OR(L22="",K22="",K22&lt;=0),"",L22/K22)</f>
        <v/>
      </c>
      <c r="N22" s="18" t="n">
        <v>0.1171754223438182</v>
      </c>
      <c r="O22" s="18" t="n">
        <v>0.1017707532112722</v>
      </c>
      <c r="P22" s="18" t="n">
        <v>0.01405535340424778</v>
      </c>
      <c r="Q22" s="19" t="n">
        <v>4</v>
      </c>
      <c r="R22" s="18" t="n"/>
      <c r="S22" s="18" t="n">
        <v>0.1171754223438182</v>
      </c>
      <c r="T22" s="18" t="n">
        <v>0.1141322843602949</v>
      </c>
      <c r="U22" s="18" t="n">
        <v>0.09059131861966614</v>
      </c>
      <c r="V22" s="18" t="n">
        <v>0.08518398752130946</v>
      </c>
      <c r="W22" s="12" t="n">
        <v>1.26</v>
      </c>
      <c r="X22" s="17">
        <f>IF(OR(W22="",F22="",F22=0),"",W22/F22)</f>
        <v/>
      </c>
      <c r="Y22" s="20" t="n"/>
      <c r="Z22" s="18" t="n">
        <v>0.005</v>
      </c>
      <c r="AA22" s="18" t="n">
        <v>0.3120885315982499</v>
      </c>
      <c r="AB22" s="11">
        <f>IF(AND(N22="",O22=""),"DATI MANCANTI",IF(AND(N(N22)&gt;=PARAMETRI!$B$4,N(O22)&gt;=PARAMETRI!$B$4),"OK","NO"))</f>
        <v/>
      </c>
      <c r="AC22" s="11">
        <f>IF(K22="","N/D",IF(K22&lt;PARAMETRI!$B$6,"OTTIMO",IF(K22&lt;PARAMETRI!$B$5,"OK","NO")))</f>
        <v/>
      </c>
      <c r="AD22" s="11">
        <f>IF(OR(AB22="DATI MANCANTI",AC22="N/D"),"DA COMPLETARE",IF(AND(AB22="OK",AC22="OTTIMO"),"PASSA FORTE",IF(AND(AB22="OK",AC22="OK"),"PASSA","SCARTA")))</f>
        <v/>
      </c>
      <c r="AE22" s="10" t="inlineStr">
        <is>
          <t>2026-08-04</t>
        </is>
      </c>
      <c r="AF22" s="10" t="inlineStr">
        <is>
          <t>yahoo</t>
        </is>
      </c>
      <c r="AG22" s="21" t="inlineStr">
        <is>
          <t>Coinvolta nel risiko bancario: verificare se ancora quotata</t>
        </is>
      </c>
    </row>
    <row r="23">
      <c r="A23" s="10" t="n">
        <v>22</v>
      </c>
      <c r="B23" s="10" t="inlineStr">
        <is>
          <t>Poste Italiane</t>
        </is>
      </c>
      <c r="C23" s="10" t="inlineStr">
        <is>
          <t>PST.MI</t>
        </is>
      </c>
      <c r="D23" s="10" t="inlineStr">
        <is>
          <t>Servizi finanziari</t>
        </is>
      </c>
      <c r="E23" s="11" t="inlineStr">
        <is>
          <t>Finanziario</t>
        </is>
      </c>
      <c r="F23" s="12" t="n">
        <v>26.98</v>
      </c>
      <c r="G23" s="13" t="inlineStr">
        <is>
          <t>EUR</t>
        </is>
      </c>
      <c r="H23" s="14" t="n">
        <v>34895.7</v>
      </c>
      <c r="I23" s="12" t="n">
        <v>1.85</v>
      </c>
      <c r="J23" s="12" t="n">
        <v>1.97021</v>
      </c>
      <c r="K23" s="15">
        <f>IF(OR(F23="",I23="",I23&lt;=0),"",F23/I23)</f>
        <v/>
      </c>
      <c r="L23" s="16" t="n">
        <v>2.558316</v>
      </c>
      <c r="M23" s="17">
        <f>IF(OR(L23="",K23="",K23&lt;=0),"",L23/K23)</f>
        <v/>
      </c>
      <c r="N23" s="18" t="n">
        <v>0.18174</v>
      </c>
      <c r="O23" s="18" t="n">
        <v>0.1799413465174911</v>
      </c>
      <c r="P23" s="18" t="n">
        <v>0.01549228779776163</v>
      </c>
      <c r="Q23" s="19" t="n">
        <v>4</v>
      </c>
      <c r="R23" s="18" t="n"/>
      <c r="S23" s="18" t="n">
        <v>0.1599826577064817</v>
      </c>
      <c r="T23" s="18" t="n">
        <v>0.1721488388155055</v>
      </c>
      <c r="U23" s="18" t="n">
        <v>0.1862042239875993</v>
      </c>
      <c r="V23" s="18" t="n">
        <v>0.2014296655603778</v>
      </c>
      <c r="W23" s="12" t="n">
        <v>1.25</v>
      </c>
      <c r="X23" s="17">
        <f>IF(OR(W23="",F23="",F23=0),"",W23/F23)</f>
        <v/>
      </c>
      <c r="Y23" s="20" t="n">
        <v>726.309</v>
      </c>
      <c r="Z23" s="18" t="n">
        <v>0.034</v>
      </c>
      <c r="AA23" s="18" t="n">
        <v>0.1031947370684095</v>
      </c>
      <c r="AB23" s="11">
        <f>IF(AND(N23="",O23=""),"DATI MANCANTI",IF(AND(N(N23)&gt;=PARAMETRI!$B$4,N(O23)&gt;=PARAMETRI!$B$4),"OK","NO"))</f>
        <v/>
      </c>
      <c r="AC23" s="11">
        <f>IF(K23="","N/D",IF(K23&lt;PARAMETRI!$B$6,"OTTIMO",IF(K23&lt;PARAMETRI!$B$5,"OK","NO")))</f>
        <v/>
      </c>
      <c r="AD23" s="11">
        <f>IF(OR(AB23="DATI MANCANTI",AC23="N/D"),"DA COMPLETARE",IF(AND(AB23="OK",AC23="OTTIMO"),"PASSA FORTE",IF(AND(AB23="OK",AC23="OK"),"PASSA","SCARTA")))</f>
        <v/>
      </c>
      <c r="AE23" s="10" t="inlineStr">
        <is>
          <t>2026-08-04</t>
        </is>
      </c>
      <c r="AF23" s="10" t="inlineStr">
        <is>
          <t>yahoo</t>
        </is>
      </c>
      <c r="AG23" s="21" t="inlineStr"/>
    </row>
    <row r="24">
      <c r="A24" s="10" t="n">
        <v>23</v>
      </c>
      <c r="B24" s="10" t="inlineStr">
        <is>
          <t>UniCredit</t>
        </is>
      </c>
      <c r="C24" s="10" t="inlineStr">
        <is>
          <t>UCG.MI</t>
        </is>
      </c>
      <c r="D24" s="10" t="inlineStr">
        <is>
          <t>Banca</t>
        </is>
      </c>
      <c r="E24" s="11" t="inlineStr">
        <is>
          <t>Finanziario</t>
        </is>
      </c>
      <c r="F24" s="12" t="n">
        <v>84.78</v>
      </c>
      <c r="G24" s="13" t="inlineStr">
        <is>
          <t>EUR</t>
        </is>
      </c>
      <c r="H24" s="14" t="n">
        <v>127024</v>
      </c>
      <c r="I24" s="12" t="n">
        <v>7.05</v>
      </c>
      <c r="J24" s="12" t="n">
        <v>8.32521</v>
      </c>
      <c r="K24" s="15">
        <f>IF(OR(F24="",I24="",I24&lt;=0),"",F24/I24)</f>
        <v/>
      </c>
      <c r="L24" s="16" t="n">
        <v>1.8819925</v>
      </c>
      <c r="M24" s="17">
        <f>IF(OR(L24="",K24="",K24&lt;=0),"",L24/K24)</f>
        <v/>
      </c>
      <c r="N24" s="18" t="n">
        <v>0.15779</v>
      </c>
      <c r="O24" s="18" t="n">
        <v>0.1417934441062063</v>
      </c>
      <c r="P24" s="18" t="n">
        <v>0.02344442801155508</v>
      </c>
      <c r="Q24" s="19" t="n">
        <v>4</v>
      </c>
      <c r="R24" s="18" t="n"/>
      <c r="S24" s="18" t="n">
        <v>0.1611998050538317</v>
      </c>
      <c r="T24" s="18" t="n">
        <v>0.1556509344821511</v>
      </c>
      <c r="U24" s="18" t="n">
        <v>0.1483637385102764</v>
      </c>
      <c r="V24" s="18" t="n">
        <v>0.1019592983785661</v>
      </c>
      <c r="W24" s="12" t="n">
        <v>3.15</v>
      </c>
      <c r="X24" s="17">
        <f>IF(OR(W24="",F24="",F24=0),"",W24/F24)</f>
        <v/>
      </c>
      <c r="Y24" s="20" t="n"/>
      <c r="Z24" s="18" t="n">
        <v>-0.092</v>
      </c>
      <c r="AA24" s="18" t="n">
        <v>0.4284915506210312</v>
      </c>
      <c r="AB24" s="11">
        <f>IF(AND(N24="",O24=""),"DATI MANCANTI",IF(AND(N(N24)&gt;=PARAMETRI!$B$4,N(O24)&gt;=PARAMETRI!$B$4),"OK","NO"))</f>
        <v/>
      </c>
      <c r="AC24" s="11">
        <f>IF(K24="","N/D",IF(K24&lt;PARAMETRI!$B$6,"OTTIMO",IF(K24&lt;PARAMETRI!$B$5,"OK","NO")))</f>
        <v/>
      </c>
      <c r="AD24" s="11">
        <f>IF(OR(AB24="DATI MANCANTI",AC24="N/D"),"DA COMPLETARE",IF(AND(AB24="OK",AC24="OTTIMO"),"PASSA FORTE",IF(AND(AB24="OK",AC24="OK"),"PASSA","SCARTA")))</f>
        <v/>
      </c>
      <c r="AE24" s="10" t="inlineStr">
        <is>
          <t>2026-08-04</t>
        </is>
      </c>
      <c r="AF24" s="10" t="inlineStr">
        <is>
          <t>yahoo</t>
        </is>
      </c>
      <c r="AG24" s="21" t="inlineStr"/>
    </row>
    <row r="25">
      <c r="A25" s="10" t="n">
        <v>24</v>
      </c>
      <c r="B25" s="10" t="inlineStr">
        <is>
          <t>Unipol</t>
        </is>
      </c>
      <c r="C25" s="10" t="inlineStr">
        <is>
          <t>UNI.MI</t>
        </is>
      </c>
      <c r="D25" s="10" t="inlineStr">
        <is>
          <t>Assicurazione</t>
        </is>
      </c>
      <c r="E25" s="11" t="inlineStr">
        <is>
          <t>Finanziario</t>
        </is>
      </c>
      <c r="F25" s="12" t="n">
        <v>28.38</v>
      </c>
      <c r="G25" s="13" t="inlineStr">
        <is>
          <t>EUR</t>
        </is>
      </c>
      <c r="H25" s="14" t="n">
        <v>20354.2</v>
      </c>
      <c r="I25" s="12" t="n">
        <v>2.03</v>
      </c>
      <c r="J25" s="12" t="n">
        <v>2.22391</v>
      </c>
      <c r="K25" s="15">
        <f>IF(OR(F25="",I25="",I25&lt;=0),"",F25/I25)</f>
        <v/>
      </c>
      <c r="L25" s="16" t="n">
        <v>2.041286</v>
      </c>
      <c r="M25" s="17">
        <f>IF(OR(L25="",K25="",K25&lt;=0),"",L25/K25)</f>
        <v/>
      </c>
      <c r="N25" s="18" t="n">
        <v>0.1426234241170244</v>
      </c>
      <c r="O25" s="18" t="n">
        <v>0.1181376184447107</v>
      </c>
      <c r="P25" s="18" t="n">
        <v>0.02618848036787977</v>
      </c>
      <c r="Q25" s="19" t="n">
        <v>4</v>
      </c>
      <c r="R25" s="18" t="n"/>
      <c r="S25" s="18" t="n">
        <v>0.1426234241170244</v>
      </c>
      <c r="T25" s="18" t="n">
        <v>0.1152236884454458</v>
      </c>
      <c r="U25" s="18" t="n">
        <v>0.1381950546002259</v>
      </c>
      <c r="V25" s="18" t="n">
        <v>0.0765083066161469</v>
      </c>
      <c r="W25" s="12" t="n">
        <v>1.12</v>
      </c>
      <c r="X25" s="17">
        <f>IF(OR(W25="",F25="",F25=0),"",W25/F25)</f>
        <v/>
      </c>
      <c r="Y25" s="20" t="n">
        <v>46.738</v>
      </c>
      <c r="Z25" s="18" t="n">
        <v>-0.021</v>
      </c>
      <c r="AA25" s="18" t="n">
        <v>0.108874785677824</v>
      </c>
      <c r="AB25" s="11">
        <f>IF(AND(N25="",O25=""),"DATI MANCANTI",IF(AND(N(N25)&gt;=PARAMETRI!$B$4,N(O25)&gt;=PARAMETRI!$B$4),"OK","NO"))</f>
        <v/>
      </c>
      <c r="AC25" s="11">
        <f>IF(K25="","N/D",IF(K25&lt;PARAMETRI!$B$6,"OTTIMO",IF(K25&lt;PARAMETRI!$B$5,"OK","NO")))</f>
        <v/>
      </c>
      <c r="AD25" s="11">
        <f>IF(OR(AB25="DATI MANCANTI",AC25="N/D"),"DA COMPLETARE",IF(AND(AB25="OK",AC25="OTTIMO"),"PASSA FORTE",IF(AND(AB25="OK",AC25="OK"),"PASSA","SCARTA")))</f>
        <v/>
      </c>
      <c r="AE25" s="10" t="inlineStr">
        <is>
          <t>2026-08-04</t>
        </is>
      </c>
      <c r="AF25" s="10" t="inlineStr">
        <is>
          <t>yahoo</t>
        </is>
      </c>
      <c r="AG25" s="21" t="inlineStr"/>
    </row>
    <row r="26">
      <c r="A26" s="10" t="n">
        <v>25</v>
      </c>
      <c r="B26" s="10" t="inlineStr">
        <is>
          <t>Brembo</t>
        </is>
      </c>
      <c r="C26" s="10" t="inlineStr">
        <is>
          <t>BRE.MI</t>
        </is>
      </c>
      <c r="D26" s="10" t="inlineStr">
        <is>
          <t>Componentistica auto</t>
        </is>
      </c>
      <c r="E26" s="11" t="inlineStr">
        <is>
          <t>Industriale</t>
        </is>
      </c>
      <c r="F26" s="12" t="n">
        <v>10.62</v>
      </c>
      <c r="G26" s="13" t="inlineStr">
        <is>
          <t>EUR</t>
        </is>
      </c>
      <c r="H26" s="14" t="n">
        <v>3378.4</v>
      </c>
      <c r="I26" s="12" t="n">
        <v>0.68</v>
      </c>
      <c r="J26" s="12" t="n">
        <v>0.84656</v>
      </c>
      <c r="K26" s="15">
        <f>IF(OR(F26="",I26="",I26&lt;=0),"",F26/I26)</f>
        <v/>
      </c>
      <c r="L26" s="16" t="n">
        <v>1.4486427</v>
      </c>
      <c r="M26" s="17">
        <f>IF(OR(L26="",K26="",K26&lt;=0),"",L26/K26)</f>
        <v/>
      </c>
      <c r="N26" s="18" t="n">
        <v>0.101330005</v>
      </c>
      <c r="O26" s="18" t="n">
        <v>0.1265656568780933</v>
      </c>
      <c r="P26" s="18" t="n">
        <v>0.02514618444892005</v>
      </c>
      <c r="Q26" s="19" t="n">
        <v>4</v>
      </c>
      <c r="R26" s="18" t="n"/>
      <c r="S26" s="18" t="n">
        <v>0.09128864491291784</v>
      </c>
      <c r="T26" s="18" t="n">
        <v>0.1144501964284625</v>
      </c>
      <c r="U26" s="18" t="n">
        <v>0.1475189755270711</v>
      </c>
      <c r="V26" s="18" t="n">
        <v>0.153004810643922</v>
      </c>
      <c r="W26" s="12" t="n">
        <v>0.3</v>
      </c>
      <c r="X26" s="17">
        <f>IF(OR(W26="",F26="",F26=0),"",W26/F26)</f>
        <v/>
      </c>
      <c r="Y26" s="20" t="n">
        <v>58.738</v>
      </c>
      <c r="Z26" s="18" t="n">
        <v>0.075</v>
      </c>
      <c r="AA26" s="18" t="n">
        <v>0.06153502074835945</v>
      </c>
      <c r="AB26" s="11">
        <f>IF(AND(N26="",O26=""),"DATI MANCANTI",IF(AND(N(N26)&gt;=PARAMETRI!$B$4,N(O26)&gt;=PARAMETRI!$B$4),"OK","NO"))</f>
        <v/>
      </c>
      <c r="AC26" s="11">
        <f>IF(K26="","N/D",IF(K26&lt;PARAMETRI!$B$6,"OTTIMO",IF(K26&lt;PARAMETRI!$B$5,"OK","NO")))</f>
        <v/>
      </c>
      <c r="AD26" s="11">
        <f>IF(OR(AB26="DATI MANCANTI",AC26="N/D"),"DA COMPLETARE",IF(AND(AB26="OK",AC26="OTTIMO"),"PASSA FORTE",IF(AND(AB26="OK",AC26="OK"),"PASSA","SCARTA")))</f>
        <v/>
      </c>
      <c r="AE26" s="10" t="inlineStr">
        <is>
          <t>2026-08-04</t>
        </is>
      </c>
      <c r="AF26" s="10" t="inlineStr">
        <is>
          <t>yahoo</t>
        </is>
      </c>
      <c r="AG26" s="21" t="inlineStr"/>
    </row>
    <row r="27">
      <c r="A27" s="10" t="n">
        <v>26</v>
      </c>
      <c r="B27" s="10" t="inlineStr">
        <is>
          <t>CNH Industrial</t>
        </is>
      </c>
      <c r="C27" s="10" t="inlineStr">
        <is>
          <t>CNH</t>
        </is>
      </c>
      <c r="D27" s="10" t="inlineStr">
        <is>
          <t>Industria pesante</t>
        </is>
      </c>
      <c r="E27" s="11" t="inlineStr">
        <is>
          <t>Industriale</t>
        </is>
      </c>
      <c r="F27" s="12" t="n">
        <v>10.8</v>
      </c>
      <c r="G27" s="13" t="inlineStr">
        <is>
          <t>USD</t>
        </is>
      </c>
      <c r="H27" s="14" t="n">
        <v>13391.5</v>
      </c>
      <c r="I27" s="12" t="n">
        <v>0.32</v>
      </c>
      <c r="J27" s="12" t="n">
        <v>0.73193</v>
      </c>
      <c r="K27" s="15">
        <f>IF(OR(F27="",I27="",I27&lt;=0),"",F27/I27)</f>
        <v/>
      </c>
      <c r="L27" s="16" t="n">
        <v>1.7230376</v>
      </c>
      <c r="M27" s="17">
        <f>IF(OR(L27="",K27="",K27&lt;=0),"",L27/K27)</f>
        <v/>
      </c>
      <c r="N27" s="18" t="n">
        <v>0.0484</v>
      </c>
      <c r="O27" s="18" t="n">
        <v>0.2012639037953489</v>
      </c>
      <c r="P27" s="18" t="n">
        <v>0.09342005211694962</v>
      </c>
      <c r="Q27" s="19" t="n">
        <v>4</v>
      </c>
      <c r="R27" s="18" t="n"/>
      <c r="S27" s="18" t="n">
        <v>0.06597671410090557</v>
      </c>
      <c r="T27" s="18" t="n">
        <v>0.1628545288197621</v>
      </c>
      <c r="U27" s="18" t="n">
        <v>0.2833125778331258</v>
      </c>
      <c r="V27" s="18" t="n">
        <v>0.2929117944276021</v>
      </c>
      <c r="W27" s="12" t="n">
        <v>0.1</v>
      </c>
      <c r="X27" s="17">
        <f>IF(OR(W27="",F27="",F27=0),"",W27/F27)</f>
        <v/>
      </c>
      <c r="Y27" s="20" t="n">
        <v>333.719</v>
      </c>
      <c r="Z27" s="18" t="n">
        <v>-0.001</v>
      </c>
      <c r="AA27" s="18" t="n">
        <v>0.02133185962973197</v>
      </c>
      <c r="AB27" s="11">
        <f>IF(AND(N27="",O27=""),"DATI MANCANTI",IF(AND(N(N27)&gt;=PARAMETRI!$B$4,N(O27)&gt;=PARAMETRI!$B$4),"OK","NO"))</f>
        <v/>
      </c>
      <c r="AC27" s="11">
        <f>IF(K27="","N/D",IF(K27&lt;PARAMETRI!$B$6,"OTTIMO",IF(K27&lt;PARAMETRI!$B$5,"OK","NO")))</f>
        <v/>
      </c>
      <c r="AD27" s="11">
        <f>IF(OR(AB27="DATI MANCANTI",AC27="N/D"),"DA COMPLETARE",IF(AND(AB27="OK",AC27="OTTIMO"),"PASSA FORTE",IF(AND(AB27="OK",AC27="OK"),"PASSA","SCARTA")))</f>
        <v/>
      </c>
      <c r="AE27" s="10" t="inlineStr">
        <is>
          <t>2026-08-04</t>
        </is>
      </c>
      <c r="AF27" s="10" t="inlineStr">
        <is>
          <t>yahoo</t>
        </is>
      </c>
      <c r="AG27" s="21" t="inlineStr">
        <is>
          <t>Delistata da Milano (gen-2024), quota solo NYSE in USD</t>
        </is>
      </c>
    </row>
    <row r="28">
      <c r="A28" s="10" t="n">
        <v>27</v>
      </c>
      <c r="B28" s="10" t="inlineStr">
        <is>
          <t>Danieli &amp; C. ord.</t>
        </is>
      </c>
      <c r="C28" s="10" t="inlineStr">
        <is>
          <t>DAN.MI</t>
        </is>
      </c>
      <c r="D28" s="10" t="inlineStr">
        <is>
          <t>Impiantistica</t>
        </is>
      </c>
      <c r="E28" s="11" t="inlineStr">
        <is>
          <t>Industriale</t>
        </is>
      </c>
      <c r="F28" s="12" t="n">
        <v>67.05</v>
      </c>
      <c r="G28" s="13" t="inlineStr">
        <is>
          <t>EUR</t>
        </is>
      </c>
      <c r="H28" s="14" t="n">
        <v>4799</v>
      </c>
      <c r="I28" s="12" t="n">
        <v>3.19</v>
      </c>
      <c r="J28" s="12" t="n">
        <v>4.61273</v>
      </c>
      <c r="K28" s="15">
        <f>IF(OR(F28="",I28="",I28&lt;=0),"",F28/I28)</f>
        <v/>
      </c>
      <c r="L28" s="16" t="n">
        <v>1.681294</v>
      </c>
      <c r="M28" s="17">
        <f>IF(OR(L28="",K28="",K28&lt;=0),"",L28/K28)</f>
        <v/>
      </c>
      <c r="N28" s="18" t="n">
        <v>0.08031000000000001</v>
      </c>
      <c r="O28" s="18" t="n">
        <v>0.0968440934016148</v>
      </c>
      <c r="P28" s="18" t="n">
        <v>0.00397470844110338</v>
      </c>
      <c r="Q28" s="19" t="n">
        <v>3</v>
      </c>
      <c r="R28" s="18" t="n"/>
      <c r="S28" s="18" t="n"/>
      <c r="T28" s="18" t="n">
        <v>0.09166035137508417</v>
      </c>
      <c r="U28" s="18" t="n">
        <v>0.1013185357254691</v>
      </c>
      <c r="V28" s="18" t="n">
        <v>0.09755339310429112</v>
      </c>
      <c r="W28" s="12" t="n">
        <v>0.31</v>
      </c>
      <c r="X28" s="17">
        <f>IF(OR(W28="",F28="",F28=0),"",W28/F28)</f>
        <v/>
      </c>
      <c r="Y28" s="20" t="n">
        <v>20.972</v>
      </c>
      <c r="Z28" s="18" t="n">
        <v>-0.162</v>
      </c>
      <c r="AA28" s="18" t="n">
        <v>0.0522529807088036</v>
      </c>
      <c r="AB28" s="11">
        <f>IF(AND(N28="",O28=""),"DATI MANCANTI",IF(AND(N(N28)&gt;=PARAMETRI!$B$4,N(O28)&gt;=PARAMETRI!$B$4),"OK","NO"))</f>
        <v/>
      </c>
      <c r="AC28" s="11">
        <f>IF(K28="","N/D",IF(K28&lt;PARAMETRI!$B$6,"OTTIMO",IF(K28&lt;PARAMETRI!$B$5,"OK","NO")))</f>
        <v/>
      </c>
      <c r="AD28" s="11">
        <f>IF(OR(AB28="DATI MANCANTI",AC28="N/D"),"DA COMPLETARE",IF(AND(AB28="OK",AC28="OTTIMO"),"PASSA FORTE",IF(AND(AB28="OK",AC28="OK"),"PASSA","SCARTA")))</f>
        <v/>
      </c>
      <c r="AE28" s="10" t="inlineStr">
        <is>
          <t>2026-08-04</t>
        </is>
      </c>
      <c r="AF28" s="10" t="inlineStr">
        <is>
          <t>yahoo</t>
        </is>
      </c>
      <c r="AG28" s="21" t="inlineStr">
        <is>
          <t>Verificare se posizione e' su risparmio (DANR.MI)</t>
        </is>
      </c>
    </row>
    <row r="29">
      <c r="A29" s="10" t="n">
        <v>28</v>
      </c>
      <c r="B29" s="10" t="inlineStr">
        <is>
          <t>Fincantieri</t>
        </is>
      </c>
      <c r="C29" s="10" t="inlineStr">
        <is>
          <t>FCT.MI</t>
        </is>
      </c>
      <c r="D29" s="10" t="inlineStr">
        <is>
          <t>Cantieristica</t>
        </is>
      </c>
      <c r="E29" s="11" t="inlineStr">
        <is>
          <t>Industriale</t>
        </is>
      </c>
      <c r="F29" s="12" t="n">
        <v>13.765</v>
      </c>
      <c r="G29" s="13" t="inlineStr">
        <is>
          <t>EUR</t>
        </is>
      </c>
      <c r="H29" s="14" t="n">
        <v>4919.8</v>
      </c>
      <c r="I29" s="12" t="n">
        <v>0.57</v>
      </c>
      <c r="J29" s="12" t="n">
        <v>0.8156099999999999</v>
      </c>
      <c r="K29" s="15">
        <f>IF(OR(F29="",I29="",I29&lt;=0),"",F29/I29)</f>
        <v/>
      </c>
      <c r="L29" s="16" t="n">
        <v>4.478049</v>
      </c>
      <c r="M29" s="17">
        <f>IF(OR(L29="",K29="",K29&lt;=0),"",L29/K29)</f>
        <v/>
      </c>
      <c r="N29" s="18" t="n">
        <v>0.14947</v>
      </c>
      <c r="O29" s="18" t="n">
        <v>-0.1218811329227864</v>
      </c>
      <c r="P29" s="18" t="n">
        <v>0.2502291189215625</v>
      </c>
      <c r="Q29" s="19" t="n">
        <v>4</v>
      </c>
      <c r="R29" s="18" t="n"/>
      <c r="S29" s="18" t="n">
        <v>0.1233359538258522</v>
      </c>
      <c r="T29" s="18" t="n">
        <v>0.03865147746282063</v>
      </c>
      <c r="U29" s="18" t="n">
        <v>-0.1219754340598448</v>
      </c>
      <c r="V29" s="18" t="n">
        <v>-0.5275365289199737</v>
      </c>
      <c r="W29" s="12" t="n"/>
      <c r="X29" s="17">
        <f>IF(OR(W29="",F29="",F29=0),"",W29/F29)</f>
        <v/>
      </c>
      <c r="Y29" s="20" t="n">
        <v>123.496</v>
      </c>
      <c r="Z29" s="18" t="n">
        <v>0.006</v>
      </c>
      <c r="AA29" s="18" t="n">
        <v>0.02141278331866008</v>
      </c>
      <c r="AB29" s="11">
        <f>IF(AND(N29="",O29=""),"DATI MANCANTI",IF(AND(N(N29)&gt;=PARAMETRI!$B$4,N(O29)&gt;=PARAMETRI!$B$4),"OK","NO"))</f>
        <v/>
      </c>
      <c r="AC29" s="11">
        <f>IF(K29="","N/D",IF(K29&lt;PARAMETRI!$B$6,"OTTIMO",IF(K29&lt;PARAMETRI!$B$5,"OK","NO")))</f>
        <v/>
      </c>
      <c r="AD29" s="11">
        <f>IF(OR(AB29="DATI MANCANTI",AC29="N/D"),"DA COMPLETARE",IF(AND(AB29="OK",AC29="OTTIMO"),"PASSA FORTE",IF(AND(AB29="OK",AC29="OK"),"PASSA","SCARTA")))</f>
        <v/>
      </c>
      <c r="AE29" s="10" t="inlineStr">
        <is>
          <t>2026-08-04</t>
        </is>
      </c>
      <c r="AF29" s="10" t="inlineStr">
        <is>
          <t>yahoo</t>
        </is>
      </c>
      <c r="AG29" s="21" t="inlineStr">
        <is>
          <t>Prezzo storico pre-raggruppamento 2025</t>
        </is>
      </c>
    </row>
    <row r="30">
      <c r="A30" s="10" t="n">
        <v>29</v>
      </c>
      <c r="B30" s="10" t="inlineStr">
        <is>
          <t>Forvia (ex Faurecia)</t>
        </is>
      </c>
      <c r="C30" s="10" t="inlineStr">
        <is>
          <t>FRVIA.PA</t>
        </is>
      </c>
      <c r="D30" s="10" t="inlineStr">
        <is>
          <t>Componentistica auto</t>
        </is>
      </c>
      <c r="E30" s="11" t="inlineStr">
        <is>
          <t>Industriale</t>
        </is>
      </c>
      <c r="F30" s="12" t="n">
        <v>9.134</v>
      </c>
      <c r="G30" s="13" t="inlineStr">
        <is>
          <t>EUR</t>
        </is>
      </c>
      <c r="H30" s="14" t="n">
        <v>1682.7</v>
      </c>
      <c r="I30" s="12" t="n">
        <v>-6</v>
      </c>
      <c r="J30" s="12" t="n">
        <v>2.37403</v>
      </c>
      <c r="K30" s="15">
        <f>IF(OR(F30="",I30="",I30&lt;=0),"",F30/I30)</f>
        <v/>
      </c>
      <c r="L30" s="16" t="n">
        <v>0.8811499</v>
      </c>
      <c r="M30" s="17">
        <f>IF(OR(L30="",K30="",K30&lt;=0),"",L30/K30)</f>
        <v/>
      </c>
      <c r="N30" s="18" t="n">
        <v>-0.2566</v>
      </c>
      <c r="O30" s="18" t="n">
        <v>-0.297041108489524</v>
      </c>
      <c r="P30" s="18" t="n">
        <v>0.4720314770633242</v>
      </c>
      <c r="Q30" s="19" t="n">
        <v>4</v>
      </c>
      <c r="R30" s="18" t="n"/>
      <c r="S30" s="18" t="n">
        <v>-1.110338236074975</v>
      </c>
      <c r="T30" s="18" t="n">
        <v>-0.04315205741180857</v>
      </c>
      <c r="U30" s="18" t="n">
        <v>0.04927484809509026</v>
      </c>
      <c r="V30" s="18" t="n">
        <v>-0.08394898856640282</v>
      </c>
      <c r="W30" s="12" t="n"/>
      <c r="X30" s="17">
        <f>IF(OR(W30="",F30="",F30=0),"",W30/F30)</f>
        <v/>
      </c>
      <c r="Y30" s="20" t="n">
        <v>254.917</v>
      </c>
      <c r="Z30" s="18" t="n">
        <v>-0.043</v>
      </c>
      <c r="AA30" s="18" t="n">
        <v>-0.0595217988644668</v>
      </c>
      <c r="AB30" s="11">
        <f>IF(AND(N30="",O30=""),"DATI MANCANTI",IF(AND(N(N30)&gt;=PARAMETRI!$B$4,N(O30)&gt;=PARAMETRI!$B$4),"OK","NO"))</f>
        <v/>
      </c>
      <c r="AC30" s="11">
        <f>IF(K30="","N/D",IF(K30&lt;PARAMETRI!$B$6,"OTTIMO",IF(K30&lt;PARAMETRI!$B$5,"OK","NO")))</f>
        <v/>
      </c>
      <c r="AD30" s="11">
        <f>IF(OR(AB30="DATI MANCANTI",AC30="N/D"),"DA COMPLETARE",IF(AND(AB30="OK",AC30="OTTIMO"),"PASSA FORTE",IF(AND(AB30="OK",AC30="OK"),"PASSA","SCARTA")))</f>
        <v/>
      </c>
      <c r="AE30" s="10" t="inlineStr">
        <is>
          <t>2026-08-04</t>
        </is>
      </c>
      <c r="AF30" s="10" t="inlineStr">
        <is>
          <t>yahoo</t>
        </is>
      </c>
      <c r="AG30" s="21" t="inlineStr">
        <is>
          <t>Quotata a Parigi</t>
        </is>
      </c>
    </row>
    <row r="31">
      <c r="A31" s="10" t="n">
        <v>30</v>
      </c>
      <c r="B31" s="10" t="inlineStr">
        <is>
          <t>Interpump Group</t>
        </is>
      </c>
      <c r="C31" s="10" t="inlineStr">
        <is>
          <t>IP.MI</t>
        </is>
      </c>
      <c r="D31" s="10" t="inlineStr">
        <is>
          <t>Meccanica</t>
        </is>
      </c>
      <c r="E31" s="11" t="inlineStr">
        <is>
          <t>Industriale</t>
        </is>
      </c>
      <c r="F31" s="12" t="n">
        <v>35.62</v>
      </c>
      <c r="G31" s="13" t="inlineStr">
        <is>
          <t>EUR</t>
        </is>
      </c>
      <c r="H31" s="14" t="n">
        <v>3743.5</v>
      </c>
      <c r="I31" s="12" t="n">
        <v>1.96</v>
      </c>
      <c r="J31" s="12" t="n">
        <v>2.34109</v>
      </c>
      <c r="K31" s="15">
        <f>IF(OR(F31="",I31="",I31&lt;=0),"",F31/I31)</f>
        <v/>
      </c>
      <c r="L31" s="16" t="n">
        <v>1.7585782</v>
      </c>
      <c r="M31" s="17">
        <f>IF(OR(L31="",K31="",K31&lt;=0),"",L31/K31)</f>
        <v/>
      </c>
      <c r="N31" s="18" t="n">
        <v>0.09994</v>
      </c>
      <c r="O31" s="18" t="n">
        <v>0.1341707417514897</v>
      </c>
      <c r="P31" s="18" t="n">
        <v>0.02923547445248708</v>
      </c>
      <c r="Q31" s="19" t="n">
        <v>4</v>
      </c>
      <c r="R31" s="18" t="n"/>
      <c r="S31" s="18" t="n">
        <v>0.09917145079023811</v>
      </c>
      <c r="T31" s="18" t="n">
        <v>0.1130533890473383</v>
      </c>
      <c r="U31" s="18" t="n">
        <v>0.1529172414023812</v>
      </c>
      <c r="V31" s="18" t="n">
        <v>0.1715408857660014</v>
      </c>
      <c r="W31" s="12" t="n">
        <v>0.35</v>
      </c>
      <c r="X31" s="17">
        <f>IF(OR(W31="",F31="",F31=0),"",W31/F31)</f>
        <v/>
      </c>
      <c r="Y31" s="20" t="n">
        <v>31.498</v>
      </c>
      <c r="Z31" s="18" t="n">
        <v>0.006</v>
      </c>
      <c r="AA31" s="18" t="n">
        <v>0.1006841179050014</v>
      </c>
      <c r="AB31" s="11">
        <f>IF(AND(N31="",O31=""),"DATI MANCANTI",IF(AND(N(N31)&gt;=PARAMETRI!$B$4,N(O31)&gt;=PARAMETRI!$B$4),"OK","NO"))</f>
        <v/>
      </c>
      <c r="AC31" s="11">
        <f>IF(K31="","N/D",IF(K31&lt;PARAMETRI!$B$6,"OTTIMO",IF(K31&lt;PARAMETRI!$B$5,"OK","NO")))</f>
        <v/>
      </c>
      <c r="AD31" s="11">
        <f>IF(OR(AB31="DATI MANCANTI",AC31="N/D"),"DA COMPLETARE",IF(AND(AB31="OK",AC31="OTTIMO"),"PASSA FORTE",IF(AND(AB31="OK",AC31="OK"),"PASSA","SCARTA")))</f>
        <v/>
      </c>
      <c r="AE31" s="10" t="inlineStr">
        <is>
          <t>2026-08-04</t>
        </is>
      </c>
      <c r="AF31" s="10" t="inlineStr">
        <is>
          <t>yahoo</t>
        </is>
      </c>
      <c r="AG31" s="21" t="inlineStr"/>
    </row>
    <row r="32">
      <c r="A32" s="10" t="n">
        <v>31</v>
      </c>
      <c r="B32" s="10" t="inlineStr">
        <is>
          <t>INWIT</t>
        </is>
      </c>
      <c r="C32" s="10" t="inlineStr">
        <is>
          <t>INW.MI</t>
        </is>
      </c>
      <c r="D32" s="10" t="inlineStr">
        <is>
          <t>Torri / Infrastrutture</t>
        </is>
      </c>
      <c r="E32" s="11" t="inlineStr">
        <is>
          <t>Industriale</t>
        </is>
      </c>
      <c r="F32" s="12" t="n">
        <v>6.48</v>
      </c>
      <c r="G32" s="13" t="inlineStr">
        <is>
          <t>EUR</t>
        </is>
      </c>
      <c r="H32" s="14" t="n">
        <v>5850.6</v>
      </c>
      <c r="I32" s="12" t="n">
        <v>0.37</v>
      </c>
      <c r="J32" s="12" t="n">
        <v>0.3566</v>
      </c>
      <c r="K32" s="15">
        <f>IF(OR(F32="",I32="",I32&lt;=0),"",F32/I32)</f>
        <v/>
      </c>
      <c r="L32" s="16" t="n">
        <v>1.8722913</v>
      </c>
      <c r="M32" s="17">
        <f>IF(OR(L32="",K32="",K32&lt;=0),"",L32/K32)</f>
        <v/>
      </c>
      <c r="N32" s="18" t="n">
        <v>0.09859</v>
      </c>
      <c r="O32" s="18" t="n">
        <v>0.08375718905919846</v>
      </c>
      <c r="P32" s="18" t="n">
        <v>0.01401549999798546</v>
      </c>
      <c r="Q32" s="19" t="n">
        <v>4</v>
      </c>
      <c r="R32" s="18" t="n"/>
      <c r="S32" s="18" t="n">
        <v>0.1042395007229944</v>
      </c>
      <c r="T32" s="18" t="n">
        <v>0.0868230114415488</v>
      </c>
      <c r="U32" s="18" t="n">
        <v>0.0782900743220354</v>
      </c>
      <c r="V32" s="18" t="n">
        <v>0.06567616975021522</v>
      </c>
      <c r="W32" s="12" t="n">
        <v>0.55</v>
      </c>
      <c r="X32" s="17">
        <f>IF(OR(W32="",F32="",F32=0),"",W32/F32)</f>
        <v/>
      </c>
      <c r="Y32" s="20" t="n">
        <v>176.703</v>
      </c>
      <c r="Z32" s="18" t="n">
        <v>-0.008</v>
      </c>
      <c r="AA32" s="18" t="n">
        <v>0.3132534184705564</v>
      </c>
      <c r="AB32" s="11">
        <f>IF(AND(N32="",O32=""),"DATI MANCANTI",IF(AND(N(N32)&gt;=PARAMETRI!$B$4,N(O32)&gt;=PARAMETRI!$B$4),"OK","NO"))</f>
        <v/>
      </c>
      <c r="AC32" s="11">
        <f>IF(K32="","N/D",IF(K32&lt;PARAMETRI!$B$6,"OTTIMO",IF(K32&lt;PARAMETRI!$B$5,"OK","NO")))</f>
        <v/>
      </c>
      <c r="AD32" s="11">
        <f>IF(OR(AB32="DATI MANCANTI",AC32="N/D"),"DA COMPLETARE",IF(AND(AB32="OK",AC32="OTTIMO"),"PASSA FORTE",IF(AND(AB32="OK",AC32="OK"),"PASSA","SCARTA")))</f>
        <v/>
      </c>
      <c r="AE32" s="10" t="inlineStr">
        <is>
          <t>2026-08-04</t>
        </is>
      </c>
      <c r="AF32" s="10" t="inlineStr">
        <is>
          <t>yahoo</t>
        </is>
      </c>
      <c r="AG32" s="21" t="inlineStr"/>
    </row>
    <row r="33">
      <c r="A33" s="10" t="n">
        <v>32</v>
      </c>
      <c r="B33" s="10" t="inlineStr">
        <is>
          <t>Iveco Group</t>
        </is>
      </c>
      <c r="C33" s="10" t="inlineStr">
        <is>
          <t>IVG.MI</t>
        </is>
      </c>
      <c r="D33" s="10" t="inlineStr">
        <is>
          <t>Veicoli industriali</t>
        </is>
      </c>
      <c r="E33" s="11" t="inlineStr">
        <is>
          <t>Industriale</t>
        </is>
      </c>
      <c r="F33" s="12" t="n">
        <v>13.895</v>
      </c>
      <c r="G33" s="13" t="inlineStr">
        <is>
          <t>EUR</t>
        </is>
      </c>
      <c r="H33" s="14" t="n">
        <v>3700.9</v>
      </c>
      <c r="I33" s="12" t="n">
        <v>0.04</v>
      </c>
      <c r="J33" s="12" t="n">
        <v>2.04293</v>
      </c>
      <c r="K33" s="15">
        <f>IF(OR(F33="",I33="",I33&lt;=0),"",F33/I33)</f>
        <v/>
      </c>
      <c r="L33" s="16" t="n">
        <v>1.488006</v>
      </c>
      <c r="M33" s="17">
        <f>IF(OR(L33="",K33="",K33&lt;=0),"",L33/K33)</f>
        <v/>
      </c>
      <c r="N33" s="18" t="n">
        <v>0.02429</v>
      </c>
      <c r="O33" s="18" t="n">
        <v>0.09726813021820266</v>
      </c>
      <c r="P33" s="18" t="n">
        <v>0.02406301283286296</v>
      </c>
      <c r="Q33" s="19" t="n">
        <v>4</v>
      </c>
      <c r="R33" s="18" t="n"/>
      <c r="S33" s="18" t="n">
        <v>0.1047101449275362</v>
      </c>
      <c r="T33" s="18" t="n">
        <v>0.1293071507965913</v>
      </c>
      <c r="U33" s="18" t="n">
        <v>0.09260832625318606</v>
      </c>
      <c r="V33" s="18" t="n">
        <v>0.06244689889549702</v>
      </c>
      <c r="W33" s="12" t="n">
        <v>0.33</v>
      </c>
      <c r="X33" s="17">
        <f>IF(OR(W33="",F33="",F33=0),"",W33/F33)</f>
        <v/>
      </c>
      <c r="Y33" s="20" t="n">
        <v>242.829</v>
      </c>
      <c r="Z33" s="18" t="n"/>
      <c r="AA33" s="18" t="n">
        <v>0.004691689008042895</v>
      </c>
      <c r="AB33" s="11">
        <f>IF(AND(N33="",O33=""),"DATI MANCANTI",IF(AND(N(N33)&gt;=PARAMETRI!$B$4,N(O33)&gt;=PARAMETRI!$B$4),"OK","NO"))</f>
        <v/>
      </c>
      <c r="AC33" s="11">
        <f>IF(K33="","N/D",IF(K33&lt;PARAMETRI!$B$6,"OTTIMO",IF(K33&lt;PARAMETRI!$B$5,"OK","NO")))</f>
        <v/>
      </c>
      <c r="AD33" s="11">
        <f>IF(OR(AB33="DATI MANCANTI",AC33="N/D"),"DA COMPLETARE",IF(AND(AB33="OK",AC33="OTTIMO"),"PASSA FORTE",IF(AND(AB33="OK",AC33="OK"),"PASSA","SCARTA")))</f>
        <v/>
      </c>
      <c r="AE33" s="10" t="inlineStr">
        <is>
          <t>2026-08-04</t>
        </is>
      </c>
      <c r="AF33" s="10" t="inlineStr">
        <is>
          <t>yahoo</t>
        </is>
      </c>
      <c r="AG33" s="21" t="inlineStr"/>
    </row>
    <row r="34">
      <c r="A34" s="10" t="n">
        <v>33</v>
      </c>
      <c r="B34" s="10" t="inlineStr">
        <is>
          <t>Leonardo</t>
        </is>
      </c>
      <c r="C34" s="10" t="inlineStr">
        <is>
          <t>LDO.MI</t>
        </is>
      </c>
      <c r="D34" s="10" t="inlineStr">
        <is>
          <t>Difesa / Aerospazio</t>
        </is>
      </c>
      <c r="E34" s="11" t="inlineStr">
        <is>
          <t>Industriale</t>
        </is>
      </c>
      <c r="F34" s="12" t="n">
        <v>56.54</v>
      </c>
      <c r="G34" s="13" t="inlineStr">
        <is>
          <t>EUR</t>
        </is>
      </c>
      <c r="H34" s="14" t="n">
        <v>32617.1</v>
      </c>
      <c r="I34" s="12" t="n">
        <v>1.95</v>
      </c>
      <c r="J34" s="12" t="n">
        <v>2.82756</v>
      </c>
      <c r="K34" s="15">
        <f>IF(OR(F34="",I34="",I34&lt;=0),"",F34/I34)</f>
        <v/>
      </c>
      <c r="L34" s="16" t="n">
        <v>3.3386478</v>
      </c>
      <c r="M34" s="17">
        <f>IF(OR(L34="",K34="",K34&lt;=0),"",L34/K34)</f>
        <v/>
      </c>
      <c r="N34" s="18" t="n">
        <v>0.11893</v>
      </c>
      <c r="O34" s="18" t="n">
        <v>0.1152283082732223</v>
      </c>
      <c r="P34" s="18" t="n">
        <v>0.01820725214457366</v>
      </c>
      <c r="Q34" s="19" t="n">
        <v>4</v>
      </c>
      <c r="R34" s="18" t="n"/>
      <c r="S34" s="18" t="n">
        <v>0.1280334728033473</v>
      </c>
      <c r="T34" s="18" t="n">
        <v>0.1194660734149054</v>
      </c>
      <c r="U34" s="18" t="n">
        <v>0.08435897435897435</v>
      </c>
      <c r="V34" s="18" t="n">
        <v>0.129054712515662</v>
      </c>
      <c r="W34" s="12" t="n">
        <v>0.63</v>
      </c>
      <c r="X34" s="17">
        <f>IF(OR(W34="",F34="",F34=0),"",W34/F34)</f>
        <v/>
      </c>
      <c r="Y34" s="20" t="n">
        <v>41.533</v>
      </c>
      <c r="Z34" s="18" t="n">
        <v>0.167</v>
      </c>
      <c r="AA34" s="18" t="n">
        <v>0.05773470748090037</v>
      </c>
      <c r="AB34" s="11">
        <f>IF(AND(N34="",O34=""),"DATI MANCANTI",IF(AND(N(N34)&gt;=PARAMETRI!$B$4,N(O34)&gt;=PARAMETRI!$B$4),"OK","NO"))</f>
        <v/>
      </c>
      <c r="AC34" s="11">
        <f>IF(K34="","N/D",IF(K34&lt;PARAMETRI!$B$6,"OTTIMO",IF(K34&lt;PARAMETRI!$B$5,"OK","NO")))</f>
        <v/>
      </c>
      <c r="AD34" s="11">
        <f>IF(OR(AB34="DATI MANCANTI",AC34="N/D"),"DA COMPLETARE",IF(AND(AB34="OK",AC34="OTTIMO"),"PASSA FORTE",IF(AND(AB34="OK",AC34="OK"),"PASSA","SCARTA")))</f>
        <v/>
      </c>
      <c r="AE34" s="10" t="inlineStr">
        <is>
          <t>2026-08-04</t>
        </is>
      </c>
      <c r="AF34" s="10" t="inlineStr">
        <is>
          <t>yahoo</t>
        </is>
      </c>
      <c r="AG34" s="21" t="inlineStr"/>
    </row>
    <row r="35">
      <c r="A35" s="10" t="n">
        <v>34</v>
      </c>
      <c r="B35" s="10" t="inlineStr">
        <is>
          <t>Maire</t>
        </is>
      </c>
      <c r="C35" s="10" t="inlineStr">
        <is>
          <t>MAIRE.MI</t>
        </is>
      </c>
      <c r="D35" s="10" t="inlineStr">
        <is>
          <t>Impiantistica</t>
        </is>
      </c>
      <c r="E35" s="11" t="inlineStr">
        <is>
          <t>Industriale</t>
        </is>
      </c>
      <c r="F35" s="12" t="n">
        <v>12.92</v>
      </c>
      <c r="G35" s="13" t="inlineStr">
        <is>
          <t>EUR</t>
        </is>
      </c>
      <c r="H35" s="14" t="n">
        <v>4207.6</v>
      </c>
      <c r="I35" s="12" t="n">
        <v>0.83</v>
      </c>
      <c r="J35" s="12" t="n">
        <v>1.02029</v>
      </c>
      <c r="K35" s="15">
        <f>IF(OR(F35="",I35="",I35&lt;=0),"",F35/I35)</f>
        <v/>
      </c>
      <c r="L35" s="16" t="n">
        <v>5.9211736</v>
      </c>
      <c r="M35" s="17">
        <f>IF(OR(L35="",K35="",K35&lt;=0),"",L35/K35)</f>
        <v/>
      </c>
      <c r="N35" s="18" t="n">
        <v>0.48770002</v>
      </c>
      <c r="O35" s="18" t="n">
        <v>0.2798475537626282</v>
      </c>
      <c r="P35" s="18" t="n">
        <v>0.07298807403400039</v>
      </c>
      <c r="Q35" s="19" t="n">
        <v>4</v>
      </c>
      <c r="R35" s="18" t="n"/>
      <c r="S35" s="18" t="n">
        <v>0.3651153492743763</v>
      </c>
      <c r="T35" s="18" t="n">
        <v>0.3334743216615139</v>
      </c>
      <c r="U35" s="18" t="n">
        <v>0.2379389607111064</v>
      </c>
      <c r="V35" s="18" t="n">
        <v>0.182861583403516</v>
      </c>
      <c r="W35" s="12" t="n">
        <v>0.59</v>
      </c>
      <c r="X35" s="17">
        <f>IF(OR(W35="",F35="",F35=0),"",W35/F35)</f>
        <v/>
      </c>
      <c r="Y35" s="20" t="n">
        <v>235.473</v>
      </c>
      <c r="Z35" s="18" t="n">
        <v>0.066</v>
      </c>
      <c r="AA35" s="18" t="n">
        <v>0.03901697042341981</v>
      </c>
      <c r="AB35" s="11">
        <f>IF(AND(N35="",O35=""),"DATI MANCANTI",IF(AND(N(N35)&gt;=PARAMETRI!$B$4,N(O35)&gt;=PARAMETRI!$B$4),"OK","NO"))</f>
        <v/>
      </c>
      <c r="AC35" s="11">
        <f>IF(K35="","N/D",IF(K35&lt;PARAMETRI!$B$6,"OTTIMO",IF(K35&lt;PARAMETRI!$B$5,"OK","NO")))</f>
        <v/>
      </c>
      <c r="AD35" s="11">
        <f>IF(OR(AB35="DATI MANCANTI",AC35="N/D"),"DA COMPLETARE",IF(AND(AB35="OK",AC35="OTTIMO"),"PASSA FORTE",IF(AND(AB35="OK",AC35="OK"),"PASSA","SCARTA")))</f>
        <v/>
      </c>
      <c r="AE35" s="10" t="inlineStr">
        <is>
          <t>2026-08-04</t>
        </is>
      </c>
      <c r="AF35" s="10" t="inlineStr">
        <is>
          <t>yahoo</t>
        </is>
      </c>
      <c r="AG35" s="21" t="inlineStr"/>
    </row>
    <row r="36">
      <c r="A36" s="10" t="n">
        <v>35</v>
      </c>
      <c r="B36" s="10" t="inlineStr">
        <is>
          <t>MFE-MediaForEurope A</t>
        </is>
      </c>
      <c r="C36" s="10" t="inlineStr">
        <is>
          <t>MFEA.MI</t>
        </is>
      </c>
      <c r="D36" s="10" t="inlineStr">
        <is>
          <t>Media / TV</t>
        </is>
      </c>
      <c r="E36" s="11" t="inlineStr">
        <is>
          <t>Industriale</t>
        </is>
      </c>
      <c r="F36" s="12" t="n">
        <v>2.658</v>
      </c>
      <c r="G36" s="13" t="inlineStr">
        <is>
          <t>EUR</t>
        </is>
      </c>
      <c r="H36" s="14" t="n">
        <v>1859.6</v>
      </c>
      <c r="I36" s="12" t="n">
        <v>0.3</v>
      </c>
      <c r="J36" s="12" t="n">
        <v>0.50581</v>
      </c>
      <c r="K36" s="15">
        <f>IF(OR(F36="",I36="",I36&lt;=0),"",F36/I36)</f>
        <v/>
      </c>
      <c r="L36" s="16" t="n">
        <v>0.53384215</v>
      </c>
      <c r="M36" s="17">
        <f>IF(OR(L36="",K36="",K36&lt;=0),"",L36/K36)</f>
        <v/>
      </c>
      <c r="N36" s="18" t="n">
        <v>0.07248</v>
      </c>
      <c r="O36" s="18" t="n">
        <v>0.07215163334997049</v>
      </c>
      <c r="P36" s="18" t="n">
        <v>0.01470500804818441</v>
      </c>
      <c r="Q36" s="19" t="n">
        <v>4</v>
      </c>
      <c r="R36" s="18" t="n"/>
      <c r="S36" s="18" t="n">
        <v>0.08632122864934692</v>
      </c>
      <c r="T36" s="18" t="n">
        <v>0.04807055460661624</v>
      </c>
      <c r="U36" s="18" t="n">
        <v>0.07291485134711234</v>
      </c>
      <c r="V36" s="18" t="n">
        <v>0.08129989879680648</v>
      </c>
      <c r="W36" s="12" t="n">
        <v>0.22</v>
      </c>
      <c r="X36" s="17">
        <f>IF(OR(W36="",F36="",F36=0),"",W36/F36)</f>
        <v/>
      </c>
      <c r="Y36" s="20" t="n">
        <v>77.363</v>
      </c>
      <c r="Z36" s="18" t="n">
        <v>1.178</v>
      </c>
      <c r="AA36" s="18" t="n">
        <v>0.05589782118707739</v>
      </c>
      <c r="AB36" s="11">
        <f>IF(AND(N36="",O36=""),"DATI MANCANTI",IF(AND(N(N36)&gt;=PARAMETRI!$B$4,N(O36)&gt;=PARAMETRI!$B$4),"OK","NO"))</f>
        <v/>
      </c>
      <c r="AC36" s="11">
        <f>IF(K36="","N/D",IF(K36&lt;PARAMETRI!$B$6,"OTTIMO",IF(K36&lt;PARAMETRI!$B$5,"OK","NO")))</f>
        <v/>
      </c>
      <c r="AD36" s="11">
        <f>IF(OR(AB36="DATI MANCANTI",AC36="N/D"),"DA COMPLETARE",IF(AND(AB36="OK",AC36="OTTIMO"),"PASSA FORTE",IF(AND(AB36="OK",AC36="OK"),"PASSA","SCARTA")))</f>
        <v/>
      </c>
      <c r="AE36" s="10" t="inlineStr">
        <is>
          <t>2026-08-04</t>
        </is>
      </c>
      <c r="AF36" s="10" t="inlineStr">
        <is>
          <t>yahoo</t>
        </is>
      </c>
      <c r="AG36" s="21" t="inlineStr"/>
    </row>
    <row r="37">
      <c r="A37" s="10" t="n">
        <v>36</v>
      </c>
      <c r="B37" s="10" t="inlineStr">
        <is>
          <t>MFE-MediaForEurope B</t>
        </is>
      </c>
      <c r="C37" s="10" t="inlineStr">
        <is>
          <t>MFEB.MI</t>
        </is>
      </c>
      <c r="D37" s="10" t="inlineStr">
        <is>
          <t>Media / TV</t>
        </is>
      </c>
      <c r="E37" s="11" t="inlineStr">
        <is>
          <t>Industriale</t>
        </is>
      </c>
      <c r="F37" s="12" t="n">
        <v>3.642</v>
      </c>
      <c r="G37" s="13" t="inlineStr">
        <is>
          <t>EUR</t>
        </is>
      </c>
      <c r="H37" s="14" t="n">
        <v>2548.1</v>
      </c>
      <c r="I37" s="12" t="n">
        <v>0.3</v>
      </c>
      <c r="J37" s="12" t="n">
        <v>0.55927</v>
      </c>
      <c r="K37" s="15">
        <f>IF(OR(F37="",I37="",I37&lt;=0),"",F37/I37)</f>
        <v/>
      </c>
      <c r="L37" s="16" t="n">
        <v>0.73147213</v>
      </c>
      <c r="M37" s="17">
        <f>IF(OR(L37="",K37="",K37&lt;=0),"",L37/K37)</f>
        <v/>
      </c>
      <c r="N37" s="18" t="n">
        <v>0.07248</v>
      </c>
      <c r="O37" s="18" t="n">
        <v>0.07215163334997049</v>
      </c>
      <c r="P37" s="18" t="n">
        <v>0.01470500804818441</v>
      </c>
      <c r="Q37" s="19" t="n">
        <v>4</v>
      </c>
      <c r="R37" s="18" t="n"/>
      <c r="S37" s="18" t="n">
        <v>0.08632122864934692</v>
      </c>
      <c r="T37" s="18" t="n">
        <v>0.04807055460661624</v>
      </c>
      <c r="U37" s="18" t="n">
        <v>0.07291485134711234</v>
      </c>
      <c r="V37" s="18" t="n">
        <v>0.08129989879680648</v>
      </c>
      <c r="W37" s="12" t="n">
        <v>0.22</v>
      </c>
      <c r="X37" s="17">
        <f>IF(OR(W37="",F37="",F37=0),"",W37/F37)</f>
        <v/>
      </c>
      <c r="Y37" s="20" t="n">
        <v>77.363</v>
      </c>
      <c r="Z37" s="18" t="n">
        <v>1.178</v>
      </c>
      <c r="AA37" s="18" t="n">
        <v>0.05589782118707739</v>
      </c>
      <c r="AB37" s="11">
        <f>IF(AND(N37="",O37=""),"DATI MANCANTI",IF(AND(N(N37)&gt;=PARAMETRI!$B$4,N(O37)&gt;=PARAMETRI!$B$4),"OK","NO"))</f>
        <v/>
      </c>
      <c r="AC37" s="11">
        <f>IF(K37="","N/D",IF(K37&lt;PARAMETRI!$B$6,"OTTIMO",IF(K37&lt;PARAMETRI!$B$5,"OK","NO")))</f>
        <v/>
      </c>
      <c r="AD37" s="11">
        <f>IF(OR(AB37="DATI MANCANTI",AC37="N/D"),"DA COMPLETARE",IF(AND(AB37="OK",AC37="OTTIMO"),"PASSA FORTE",IF(AND(AB37="OK",AC37="OK"),"PASSA","SCARTA")))</f>
        <v/>
      </c>
      <c r="AE37" s="10" t="inlineStr">
        <is>
          <t>2026-08-04</t>
        </is>
      </c>
      <c r="AF37" s="10" t="inlineStr">
        <is>
          <t>yahoo</t>
        </is>
      </c>
      <c r="AG37" s="21" t="inlineStr">
        <is>
          <t>Stessa societa' di MFEA, voto multiplo</t>
        </is>
      </c>
    </row>
    <row r="38">
      <c r="A38" s="10" t="n">
        <v>37</v>
      </c>
      <c r="B38" s="10" t="inlineStr">
        <is>
          <t>Mondadori Editore</t>
        </is>
      </c>
      <c r="C38" s="10" t="inlineStr">
        <is>
          <t>MN.MI</t>
        </is>
      </c>
      <c r="D38" s="10" t="inlineStr">
        <is>
          <t>Editoria / Media</t>
        </is>
      </c>
      <c r="E38" s="11" t="inlineStr">
        <is>
          <t>Industriale</t>
        </is>
      </c>
      <c r="F38" s="12" t="n">
        <v>2.135</v>
      </c>
      <c r="G38" s="13" t="inlineStr">
        <is>
          <t>EUR</t>
        </is>
      </c>
      <c r="H38" s="14" t="n">
        <v>553.3</v>
      </c>
      <c r="I38" s="12" t="n">
        <v>0.2</v>
      </c>
      <c r="J38" s="12" t="n">
        <v>0.23696</v>
      </c>
      <c r="K38" s="15">
        <f>IF(OR(F38="",I38="",I38&lt;=0),"",F38/I38)</f>
        <v/>
      </c>
      <c r="L38" s="16" t="n">
        <v>1.7557566</v>
      </c>
      <c r="M38" s="17">
        <f>IF(OR(L38="",K38="",K38&lt;=0),"",L38/K38)</f>
        <v/>
      </c>
      <c r="N38" s="18" t="n">
        <v>0.16627</v>
      </c>
      <c r="O38" s="18" t="n">
        <v>0.1927118381206158</v>
      </c>
      <c r="P38" s="18" t="n">
        <v>0.0194685841625853</v>
      </c>
      <c r="Q38" s="19" t="n">
        <v>4</v>
      </c>
      <c r="R38" s="18" t="n"/>
      <c r="S38" s="18" t="n">
        <v>0.1631079567581275</v>
      </c>
      <c r="T38" s="18" t="n">
        <v>0.1905013509836553</v>
      </c>
      <c r="U38" s="18" t="n">
        <v>0.2166424259675163</v>
      </c>
      <c r="V38" s="18" t="n">
        <v>0.200595618773164</v>
      </c>
      <c r="W38" s="12" t="n">
        <v>0.15</v>
      </c>
      <c r="X38" s="17">
        <f>IF(OR(W38="",F38="",F38=0),"",W38/F38)</f>
        <v/>
      </c>
      <c r="Y38" s="20" t="n">
        <v>91.563</v>
      </c>
      <c r="Z38" s="18" t="n">
        <v>0.039</v>
      </c>
      <c r="AA38" s="18" t="n">
        <v>0.05445895290071321</v>
      </c>
      <c r="AB38" s="11">
        <f>IF(AND(N38="",O38=""),"DATI MANCANTI",IF(AND(N(N38)&gt;=PARAMETRI!$B$4,N(O38)&gt;=PARAMETRI!$B$4),"OK","NO"))</f>
        <v/>
      </c>
      <c r="AC38" s="11">
        <f>IF(K38="","N/D",IF(K38&lt;PARAMETRI!$B$6,"OTTIMO",IF(K38&lt;PARAMETRI!$B$5,"OK","NO")))</f>
        <v/>
      </c>
      <c r="AD38" s="11">
        <f>IF(OR(AB38="DATI MANCANTI",AC38="N/D"),"DA COMPLETARE",IF(AND(AB38="OK",AC38="OTTIMO"),"PASSA FORTE",IF(AND(AB38="OK",AC38="OK"),"PASSA","SCARTA")))</f>
        <v/>
      </c>
      <c r="AE38" s="10" t="inlineStr">
        <is>
          <t>2026-08-04</t>
        </is>
      </c>
      <c r="AF38" s="10" t="inlineStr">
        <is>
          <t>yahoo</t>
        </is>
      </c>
      <c r="AG38" s="21" t="inlineStr"/>
    </row>
    <row r="39">
      <c r="A39" s="10" t="n">
        <v>38</v>
      </c>
      <c r="B39" s="10" t="inlineStr">
        <is>
          <t>Pirelli &amp; C.</t>
        </is>
      </c>
      <c r="C39" s="10" t="inlineStr">
        <is>
          <t>PIRC.MI</t>
        </is>
      </c>
      <c r="D39" s="10" t="inlineStr">
        <is>
          <t>Componentistica auto</t>
        </is>
      </c>
      <c r="E39" s="11" t="inlineStr">
        <is>
          <t>Industriale</t>
        </is>
      </c>
      <c r="F39" s="12" t="n">
        <v>6.535</v>
      </c>
      <c r="G39" s="13" t="inlineStr">
        <is>
          <t>EUR</t>
        </is>
      </c>
      <c r="H39" s="14" t="n">
        <v>7089.7</v>
      </c>
      <c r="I39" s="12" t="n">
        <v>0.51</v>
      </c>
      <c r="J39" s="12" t="n">
        <v>0.58297</v>
      </c>
      <c r="K39" s="15">
        <f>IF(OR(F39="",I39="",I39&lt;=0),"",F39/I39)</f>
        <v/>
      </c>
      <c r="L39" s="16" t="n">
        <v>1.0774938</v>
      </c>
      <c r="M39" s="17">
        <f>IF(OR(L39="",K39="",K39&lt;=0),"",L39/K39)</f>
        <v/>
      </c>
      <c r="N39" s="18" t="n">
        <v>0.09134</v>
      </c>
      <c r="O39" s="18" t="n">
        <v>0.08155451507945152</v>
      </c>
      <c r="P39" s="18" t="n">
        <v>0.003416455326785165</v>
      </c>
      <c r="Q39" s="19" t="n">
        <v>4</v>
      </c>
      <c r="R39" s="18" t="n"/>
      <c r="S39" s="18" t="n">
        <v>0.07925120200425369</v>
      </c>
      <c r="T39" s="18" t="n">
        <v>0.08130215905953905</v>
      </c>
      <c r="U39" s="18" t="n">
        <v>0.08719434521702397</v>
      </c>
      <c r="V39" s="18" t="n">
        <v>0.0784703540369894</v>
      </c>
      <c r="W39" s="12" t="n">
        <v>0.24</v>
      </c>
      <c r="X39" s="17">
        <f>IF(OR(W39="",F39="",F39=0),"",W39/F39)</f>
        <v/>
      </c>
      <c r="Y39" s="20" t="n">
        <v>46.887</v>
      </c>
      <c r="Z39" s="18" t="n">
        <v>0.005</v>
      </c>
      <c r="AA39" s="18" t="n">
        <v>0.07636557921605651</v>
      </c>
      <c r="AB39" s="11">
        <f>IF(AND(N39="",O39=""),"DATI MANCANTI",IF(AND(N(N39)&gt;=PARAMETRI!$B$4,N(O39)&gt;=PARAMETRI!$B$4),"OK","NO"))</f>
        <v/>
      </c>
      <c r="AC39" s="11">
        <f>IF(K39="","N/D",IF(K39&lt;PARAMETRI!$B$6,"OTTIMO",IF(K39&lt;PARAMETRI!$B$5,"OK","NO")))</f>
        <v/>
      </c>
      <c r="AD39" s="11">
        <f>IF(OR(AB39="DATI MANCANTI",AC39="N/D"),"DA COMPLETARE",IF(AND(AB39="OK",AC39="OTTIMO"),"PASSA FORTE",IF(AND(AB39="OK",AC39="OK"),"PASSA","SCARTA")))</f>
        <v/>
      </c>
      <c r="AE39" s="10" t="inlineStr">
        <is>
          <t>2026-08-04</t>
        </is>
      </c>
      <c r="AF39" s="10" t="inlineStr">
        <is>
          <t>yahoo</t>
        </is>
      </c>
      <c r="AG39" s="21" t="inlineStr"/>
    </row>
    <row r="40">
      <c r="A40" s="10" t="n">
        <v>39</v>
      </c>
      <c r="B40" s="10" t="inlineStr">
        <is>
          <t>Prysmian</t>
        </is>
      </c>
      <c r="C40" s="10" t="inlineStr">
        <is>
          <t>PRY.MI</t>
        </is>
      </c>
      <c r="D40" s="10" t="inlineStr">
        <is>
          <t>Cavi / Elettrificazione</t>
        </is>
      </c>
      <c r="E40" s="11" t="inlineStr">
        <is>
          <t>Industriale</t>
        </is>
      </c>
      <c r="F40" s="12" t="n">
        <v>120.6</v>
      </c>
      <c r="G40" s="13" t="inlineStr">
        <is>
          <t>EUR</t>
        </is>
      </c>
      <c r="H40" s="14" t="n">
        <v>35244.7</v>
      </c>
      <c r="I40" s="12" t="n">
        <v>4.81</v>
      </c>
      <c r="J40" s="12" t="n">
        <v>6.0931</v>
      </c>
      <c r="K40" s="15">
        <f>IF(OR(F40="",I40="",I40&lt;=0),"",F40/I40)</f>
        <v/>
      </c>
      <c r="L40" s="16" t="n">
        <v>5.0085135</v>
      </c>
      <c r="M40" s="17">
        <f>IF(OR(L40="",K40="",K40&lt;=0),"",L40/K40)</f>
        <v/>
      </c>
      <c r="N40" s="18" t="n">
        <v>0.22361</v>
      </c>
      <c r="O40" s="18" t="n">
        <v>0.154992902694697</v>
      </c>
      <c r="P40" s="18" t="n">
        <v>0.02380716722865209</v>
      </c>
      <c r="Q40" s="19" t="n">
        <v>4</v>
      </c>
      <c r="R40" s="18" t="n"/>
      <c r="S40" s="18" t="n">
        <v>0.1961692925548347</v>
      </c>
      <c r="T40" s="18" t="n">
        <v>0.14330646746609</v>
      </c>
      <c r="U40" s="18" t="n">
        <v>0.1399100766992859</v>
      </c>
      <c r="V40" s="18" t="n">
        <v>0.1405857740585774</v>
      </c>
      <c r="W40" s="12" t="n">
        <v>0.9</v>
      </c>
      <c r="X40" s="17">
        <f>IF(OR(W40="",F40="",F40=0),"",W40/F40)</f>
        <v/>
      </c>
      <c r="Y40" s="20" t="n">
        <v>74.976</v>
      </c>
      <c r="Z40" s="18" t="n">
        <v>0.226</v>
      </c>
      <c r="AA40" s="18" t="n">
        <v>0.06936387094147582</v>
      </c>
      <c r="AB40" s="11">
        <f>IF(AND(N40="",O40=""),"DATI MANCANTI",IF(AND(N(N40)&gt;=PARAMETRI!$B$4,N(O40)&gt;=PARAMETRI!$B$4),"OK","NO"))</f>
        <v/>
      </c>
      <c r="AC40" s="11">
        <f>IF(K40="","N/D",IF(K40&lt;PARAMETRI!$B$6,"OTTIMO",IF(K40&lt;PARAMETRI!$B$5,"OK","NO")))</f>
        <v/>
      </c>
      <c r="AD40" s="11">
        <f>IF(OR(AB40="DATI MANCANTI",AC40="N/D"),"DA COMPLETARE",IF(AND(AB40="OK",AC40="OTTIMO"),"PASSA FORTE",IF(AND(AB40="OK",AC40="OK"),"PASSA","SCARTA")))</f>
        <v/>
      </c>
      <c r="AE40" s="10" t="inlineStr">
        <is>
          <t>2026-08-04</t>
        </is>
      </c>
      <c r="AF40" s="10" t="inlineStr">
        <is>
          <t>yahoo</t>
        </is>
      </c>
      <c r="AG40" s="21" t="inlineStr"/>
    </row>
    <row r="41">
      <c r="A41" s="10" t="n">
        <v>40</v>
      </c>
      <c r="B41" s="10" t="inlineStr">
        <is>
          <t>RCS MediaGroup</t>
        </is>
      </c>
      <c r="C41" s="10" t="inlineStr">
        <is>
          <t>RCS.MI</t>
        </is>
      </c>
      <c r="D41" s="10" t="inlineStr">
        <is>
          <t>Editoria / Media</t>
        </is>
      </c>
      <c r="E41" s="11" t="inlineStr">
        <is>
          <t>Industriale</t>
        </is>
      </c>
      <c r="F41" s="12" t="n">
        <v>0.9370000000000001</v>
      </c>
      <c r="G41" s="13" t="inlineStr">
        <is>
          <t>EUR</t>
        </is>
      </c>
      <c r="H41" s="14" t="n">
        <v>484.8</v>
      </c>
      <c r="I41" s="12" t="n">
        <v>0.11</v>
      </c>
      <c r="J41" s="12" t="n">
        <v>0.11</v>
      </c>
      <c r="K41" s="15">
        <f>IF(OR(F41="",I41="",I41&lt;=0),"",F41/I41)</f>
        <v/>
      </c>
      <c r="L41" s="16" t="n">
        <v>1.0539932</v>
      </c>
      <c r="M41" s="17">
        <f>IF(OR(L41="",K41="",K41&lt;=0),"",L41/K41)</f>
        <v/>
      </c>
      <c r="N41" s="18" t="n">
        <v>0.12212</v>
      </c>
      <c r="O41" s="18" t="n">
        <v>0.1313459415807887</v>
      </c>
      <c r="P41" s="18" t="n">
        <v>0.008353501327388812</v>
      </c>
      <c r="Q41" s="19" t="n">
        <v>4</v>
      </c>
      <c r="R41" s="18" t="n"/>
      <c r="S41" s="18" t="n">
        <v>0.1190786614515428</v>
      </c>
      <c r="T41" s="18" t="n">
        <v>0.1404939950147292</v>
      </c>
      <c r="U41" s="18" t="n">
        <v>0.1373825018076645</v>
      </c>
      <c r="V41" s="18" t="n">
        <v>0.1284286080492182</v>
      </c>
      <c r="W41" s="12" t="n">
        <v>0.07000000000000001</v>
      </c>
      <c r="X41" s="17">
        <f>IF(OR(W41="",F41="",F41=0),"",W41/F41)</f>
        <v/>
      </c>
      <c r="Y41" s="20" t="n">
        <v>30.876</v>
      </c>
      <c r="Z41" s="18" t="n">
        <v>0.004</v>
      </c>
      <c r="AA41" s="18" t="n">
        <v>0.06982353687952265</v>
      </c>
      <c r="AB41" s="11">
        <f>IF(AND(N41="",O41=""),"DATI MANCANTI",IF(AND(N(N41)&gt;=PARAMETRI!$B$4,N(O41)&gt;=PARAMETRI!$B$4),"OK","NO"))</f>
        <v/>
      </c>
      <c r="AC41" s="11">
        <f>IF(K41="","N/D",IF(K41&lt;PARAMETRI!$B$6,"OTTIMO",IF(K41&lt;PARAMETRI!$B$5,"OK","NO")))</f>
        <v/>
      </c>
      <c r="AD41" s="11">
        <f>IF(OR(AB41="DATI MANCANTI",AC41="N/D"),"DA COMPLETARE",IF(AND(AB41="OK",AC41="OTTIMO"),"PASSA FORTE",IF(AND(AB41="OK",AC41="OK"),"PASSA","SCARTA")))</f>
        <v/>
      </c>
      <c r="AE41" s="10" t="inlineStr">
        <is>
          <t>2026-08-04</t>
        </is>
      </c>
      <c r="AF41" s="10" t="inlineStr">
        <is>
          <t>yahoo</t>
        </is>
      </c>
      <c r="AG41" s="21" t="inlineStr"/>
    </row>
    <row r="42">
      <c r="A42" s="10" t="n">
        <v>41</v>
      </c>
      <c r="B42" s="10" t="inlineStr">
        <is>
          <t>Stellantis</t>
        </is>
      </c>
      <c r="C42" s="10" t="inlineStr">
        <is>
          <t>STLAM.MI</t>
        </is>
      </c>
      <c r="D42" s="10" t="inlineStr">
        <is>
          <t>Auto</t>
        </is>
      </c>
      <c r="E42" s="11" t="inlineStr">
        <is>
          <t>Industriale</t>
        </is>
      </c>
      <c r="F42" s="12" t="n">
        <v>4.895</v>
      </c>
      <c r="G42" s="13" t="inlineStr">
        <is>
          <t>EUR</t>
        </is>
      </c>
      <c r="H42" s="14" t="n">
        <v>18441.1</v>
      </c>
      <c r="I42" s="12" t="n">
        <v>-6.77</v>
      </c>
      <c r="J42" s="12" t="n">
        <v>1.28826</v>
      </c>
      <c r="K42" s="15">
        <f>IF(OR(F42="",I42="",I42&lt;=0),"",F42/I42)</f>
        <v/>
      </c>
      <c r="L42" s="16" t="n">
        <v>0.2554935</v>
      </c>
      <c r="M42" s="17">
        <f>IF(OR(L42="",K42="",K42&lt;=0),"",L42/K42)</f>
        <v/>
      </c>
      <c r="N42" s="18" t="n">
        <v>-0.28694</v>
      </c>
      <c r="O42" s="18" t="n">
        <v>0.02756391766316059</v>
      </c>
      <c r="P42" s="18" t="n">
        <v>0.2656006420888029</v>
      </c>
      <c r="Q42" s="19" t="n">
        <v>4</v>
      </c>
      <c r="R42" s="18" t="n"/>
      <c r="S42" s="18" t="n">
        <v>-0.4176952811338724</v>
      </c>
      <c r="T42" s="18" t="n">
        <v>0.066995544239338</v>
      </c>
      <c r="U42" s="18" t="n">
        <v>0.2276327225098846</v>
      </c>
      <c r="V42" s="18" t="n">
        <v>0.2333226850372922</v>
      </c>
      <c r="W42" s="12" t="n">
        <v>0.68</v>
      </c>
      <c r="X42" s="17">
        <f>IF(OR(W42="",F42="",F42=0),"",W42/F42)</f>
        <v/>
      </c>
      <c r="Y42" s="20" t="n">
        <v>84.387</v>
      </c>
      <c r="Z42" s="18" t="n">
        <v>0.131</v>
      </c>
      <c r="AA42" s="18" t="n">
        <v>-0.1268468026161503</v>
      </c>
      <c r="AB42" s="11">
        <f>IF(AND(N42="",O42=""),"DATI MANCANTI",IF(AND(N(N42)&gt;=PARAMETRI!$B$4,N(O42)&gt;=PARAMETRI!$B$4),"OK","NO"))</f>
        <v/>
      </c>
      <c r="AC42" s="11">
        <f>IF(K42="","N/D",IF(K42&lt;PARAMETRI!$B$6,"OTTIMO",IF(K42&lt;PARAMETRI!$B$5,"OK","NO")))</f>
        <v/>
      </c>
      <c r="AD42" s="11">
        <f>IF(OR(AB42="DATI MANCANTI",AC42="N/D"),"DA COMPLETARE",IF(AND(AB42="OK",AC42="OTTIMO"),"PASSA FORTE",IF(AND(AB42="OK",AC42="OK"),"PASSA","SCARTA")))</f>
        <v/>
      </c>
      <c r="AE42" s="10" t="inlineStr">
        <is>
          <t>2026-08-04</t>
        </is>
      </c>
      <c r="AF42" s="10" t="inlineStr">
        <is>
          <t>yahoo</t>
        </is>
      </c>
      <c r="AG42" s="21" t="inlineStr"/>
    </row>
    <row r="43">
      <c r="A43" s="10" t="n">
        <v>42</v>
      </c>
      <c r="B43" s="10" t="inlineStr">
        <is>
          <t>Telecom Italia ord.</t>
        </is>
      </c>
      <c r="C43" s="10" t="inlineStr">
        <is>
          <t>TIT.MI</t>
        </is>
      </c>
      <c r="D43" s="10" t="inlineStr">
        <is>
          <t>Telecomunicazioni</t>
        </is>
      </c>
      <c r="E43" s="11" t="inlineStr">
        <is>
          <t>Industriale</t>
        </is>
      </c>
      <c r="F43" s="12" t="n">
        <v>7.535</v>
      </c>
      <c r="G43" s="13" t="inlineStr">
        <is>
          <t>EUR</t>
        </is>
      </c>
      <c r="H43" s="14" t="n">
        <v>16067.7</v>
      </c>
      <c r="I43" s="12" t="n">
        <v>0.18</v>
      </c>
      <c r="J43" s="12" t="n">
        <v>0.28147</v>
      </c>
      <c r="K43" s="15">
        <f>IF(OR(F43="",I43="",I43&lt;=0),"",F43/I43)</f>
        <v/>
      </c>
      <c r="L43" s="16" t="n">
        <v>1.3110532</v>
      </c>
      <c r="M43" s="17">
        <f>IF(OR(L43="",K43="",K43&lt;=0),"",L43/K43)</f>
        <v/>
      </c>
      <c r="N43" s="18" t="n">
        <v>0.03897</v>
      </c>
      <c r="O43" s="18" t="n">
        <v>-0.08162966379239703</v>
      </c>
      <c r="P43" s="18" t="n">
        <v>0.07970027299822047</v>
      </c>
      <c r="Q43" s="19" t="n">
        <v>4</v>
      </c>
      <c r="R43" s="18" t="n"/>
      <c r="S43" s="18" t="n">
        <v>0.02430640805303216</v>
      </c>
      <c r="T43" s="18" t="n">
        <v>-0.05101614117253492</v>
      </c>
      <c r="U43" s="18" t="n">
        <v>-0.1055987102447604</v>
      </c>
      <c r="V43" s="18" t="n">
        <v>-0.194210211805325</v>
      </c>
      <c r="W43" s="12" t="n"/>
      <c r="X43" s="17">
        <f>IF(OR(W43="",F43="",F43=0),"",W43/F43)</f>
        <v/>
      </c>
      <c r="Y43" s="20" t="n">
        <v>104.611</v>
      </c>
      <c r="Z43" s="18" t="n">
        <v>0.043</v>
      </c>
      <c r="AA43" s="18" t="n">
        <v>0.02067860783457114</v>
      </c>
      <c r="AB43" s="11">
        <f>IF(AND(N43="",O43=""),"DATI MANCANTI",IF(AND(N(N43)&gt;=PARAMETRI!$B$4,N(O43)&gt;=PARAMETRI!$B$4),"OK","NO"))</f>
        <v/>
      </c>
      <c r="AC43" s="11">
        <f>IF(K43="","N/D",IF(K43&lt;PARAMETRI!$B$6,"OTTIMO",IF(K43&lt;PARAMETRI!$B$5,"OK","NO")))</f>
        <v/>
      </c>
      <c r="AD43" s="11">
        <f>IF(OR(AB43="DATI MANCANTI",AC43="N/D"),"DA COMPLETARE",IF(AND(AB43="OK",AC43="OTTIMO"),"PASSA FORTE",IF(AND(AB43="OK",AC43="OK"),"PASSA","SCARTA")))</f>
        <v/>
      </c>
      <c r="AE43" s="10" t="inlineStr">
        <is>
          <t>2026-08-04</t>
        </is>
      </c>
      <c r="AF43" s="10" t="inlineStr">
        <is>
          <t>yahoo</t>
        </is>
      </c>
      <c r="AG43" s="21" t="inlineStr"/>
    </row>
    <row r="44">
      <c r="A44" s="10" t="n">
        <v>43</v>
      </c>
      <c r="B44" s="10" t="inlineStr">
        <is>
          <t>Webuild</t>
        </is>
      </c>
      <c r="C44" s="10" t="inlineStr">
        <is>
          <t>WBD.MI</t>
        </is>
      </c>
      <c r="D44" s="10" t="inlineStr">
        <is>
          <t>Costruzioni</t>
        </is>
      </c>
      <c r="E44" s="11" t="inlineStr">
        <is>
          <t>Industriale</t>
        </is>
      </c>
      <c r="F44" s="12" t="n">
        <v>2.286</v>
      </c>
      <c r="G44" s="13" t="inlineStr">
        <is>
          <t>EUR</t>
        </is>
      </c>
      <c r="H44" s="14" t="n">
        <v>2260.4</v>
      </c>
      <c r="I44" s="12" t="n">
        <v>0.25</v>
      </c>
      <c r="J44" s="12" t="n">
        <v>0.35059</v>
      </c>
      <c r="K44" s="15">
        <f>IF(OR(F44="",I44="",I44&lt;=0),"",F44/I44)</f>
        <v/>
      </c>
      <c r="L44" s="16" t="n">
        <v>1.3526627</v>
      </c>
      <c r="M44" s="17">
        <f>IF(OR(L44="",K44="",K44&lt;=0),"",L44/K44)</f>
        <v/>
      </c>
      <c r="N44" s="18" t="n">
        <v>0.11915</v>
      </c>
      <c r="O44" s="18" t="n">
        <v>0.08623905340303167</v>
      </c>
      <c r="P44" s="18" t="n">
        <v>0.05099301347626185</v>
      </c>
      <c r="Q44" s="19" t="n">
        <v>4</v>
      </c>
      <c r="R44" s="18" t="n"/>
      <c r="S44" s="18" t="n">
        <v>0.1431968553016038</v>
      </c>
      <c r="T44" s="18" t="n">
        <v>0.1135025665119075</v>
      </c>
      <c r="U44" s="18" t="n">
        <v>0.08199027909741466</v>
      </c>
      <c r="V44" s="18" t="n">
        <v>0.006266512701200791</v>
      </c>
      <c r="W44" s="12" t="n">
        <v>0.08</v>
      </c>
      <c r="X44" s="17">
        <f>IF(OR(W44="",F44="",F44=0),"",W44/F44)</f>
        <v/>
      </c>
      <c r="Y44" s="20" t="n">
        <v>175.257</v>
      </c>
      <c r="Z44" s="18" t="n">
        <v>-0.034</v>
      </c>
      <c r="AA44" s="18" t="n">
        <v>0.01923260372838383</v>
      </c>
      <c r="AB44" s="11">
        <f>IF(AND(N44="",O44=""),"DATI MANCANTI",IF(AND(N(N44)&gt;=PARAMETRI!$B$4,N(O44)&gt;=PARAMETRI!$B$4),"OK","NO"))</f>
        <v/>
      </c>
      <c r="AC44" s="11">
        <f>IF(K44="","N/D",IF(K44&lt;PARAMETRI!$B$6,"OTTIMO",IF(K44&lt;PARAMETRI!$B$5,"OK","NO")))</f>
        <v/>
      </c>
      <c r="AD44" s="11">
        <f>IF(OR(AB44="DATI MANCANTI",AC44="N/D"),"DA COMPLETARE",IF(AND(AB44="OK",AC44="OTTIMO"),"PASSA FORTE",IF(AND(AB44="OK",AC44="OK"),"PASSA","SCARTA")))</f>
        <v/>
      </c>
      <c r="AE44" s="10" t="inlineStr">
        <is>
          <t>2026-08-04</t>
        </is>
      </c>
      <c r="AF44" s="10" t="inlineStr">
        <is>
          <t>yahoo</t>
        </is>
      </c>
      <c r="AG44" s="21" t="inlineStr"/>
    </row>
    <row r="45">
      <c r="A45" s="10" t="n">
        <v>44</v>
      </c>
      <c r="B45" s="10" t="inlineStr">
        <is>
          <t>Brunello Cucinelli</t>
        </is>
      </c>
      <c r="C45" s="10" t="inlineStr">
        <is>
          <t>BC.MI</t>
        </is>
      </c>
      <c r="D45" s="10" t="inlineStr">
        <is>
          <t>Lusso</t>
        </is>
      </c>
      <c r="E45" s="11" t="inlineStr">
        <is>
          <t>Consumi</t>
        </is>
      </c>
      <c r="F45" s="12" t="n">
        <v>91.26000000000001</v>
      </c>
      <c r="G45" s="13" t="inlineStr">
        <is>
          <t>EUR</t>
        </is>
      </c>
      <c r="H45" s="14" t="n">
        <v>6205.7</v>
      </c>
      <c r="I45" s="12" t="n">
        <v>1.99</v>
      </c>
      <c r="J45" s="12" t="n">
        <v>2.61984</v>
      </c>
      <c r="K45" s="15">
        <f>IF(OR(F45="",I45="",I45&lt;=0),"",F45/I45)</f>
        <v/>
      </c>
      <c r="L45" s="16" t="n">
        <v>11.325392</v>
      </c>
      <c r="M45" s="17">
        <f>IF(OR(L45="",K45="",K45&lt;=0),"",L45/K45)</f>
        <v/>
      </c>
      <c r="N45" s="18" t="n">
        <v>0.26791</v>
      </c>
      <c r="O45" s="18" t="n">
        <v>0.2403248193952109</v>
      </c>
      <c r="P45" s="18" t="n">
        <v>0.01805965959882995</v>
      </c>
      <c r="Q45" s="19" t="n">
        <v>4</v>
      </c>
      <c r="R45" s="18" t="n"/>
      <c r="S45" s="18" t="n">
        <v>0.2473059594886634</v>
      </c>
      <c r="T45" s="18" t="n">
        <v>0.2438635092603554</v>
      </c>
      <c r="U45" s="18" t="n">
        <v>0.2594371546726846</v>
      </c>
      <c r="V45" s="18" t="n">
        <v>0.2106926541591403</v>
      </c>
      <c r="W45" s="12" t="n">
        <v>1.04</v>
      </c>
      <c r="X45" s="17">
        <f>IF(OR(W45="",F45="",F45=0),"",W45/F45)</f>
        <v/>
      </c>
      <c r="Y45" s="20" t="n">
        <v>217.133</v>
      </c>
      <c r="Z45" s="18" t="n">
        <v>0.095</v>
      </c>
      <c r="AA45" s="18" t="n">
        <v>0.09793877201692389</v>
      </c>
      <c r="AB45" s="11">
        <f>IF(AND(N45="",O45=""),"DATI MANCANTI",IF(AND(N(N45)&gt;=PARAMETRI!$B$4,N(O45)&gt;=PARAMETRI!$B$4),"OK","NO"))</f>
        <v/>
      </c>
      <c r="AC45" s="11">
        <f>IF(K45="","N/D",IF(K45&lt;PARAMETRI!$B$6,"OTTIMO",IF(K45&lt;PARAMETRI!$B$5,"OK","NO")))</f>
        <v/>
      </c>
      <c r="AD45" s="11">
        <f>IF(OR(AB45="DATI MANCANTI",AC45="N/D"),"DA COMPLETARE",IF(AND(AB45="OK",AC45="OTTIMO"),"PASSA FORTE",IF(AND(AB45="OK",AC45="OK"),"PASSA","SCARTA")))</f>
        <v/>
      </c>
      <c r="AE45" s="10" t="inlineStr">
        <is>
          <t>2026-08-04</t>
        </is>
      </c>
      <c r="AF45" s="10" t="inlineStr">
        <is>
          <t>yahoo</t>
        </is>
      </c>
      <c r="AG45" s="21" t="inlineStr"/>
    </row>
    <row r="46">
      <c r="A46" s="10" t="n">
        <v>45</v>
      </c>
      <c r="B46" s="10" t="inlineStr">
        <is>
          <t>Davide Campari-Milano</t>
        </is>
      </c>
      <c r="C46" s="10" t="inlineStr">
        <is>
          <t>CPR.MI</t>
        </is>
      </c>
      <c r="D46" s="10" t="inlineStr">
        <is>
          <t>Bevande</t>
        </is>
      </c>
      <c r="E46" s="11" t="inlineStr">
        <is>
          <t>Consumi</t>
        </is>
      </c>
      <c r="F46" s="12" t="n">
        <v>5.81</v>
      </c>
      <c r="G46" s="13" t="inlineStr">
        <is>
          <t>EUR</t>
        </is>
      </c>
      <c r="H46" s="14" t="n">
        <v>6968.3</v>
      </c>
      <c r="I46" s="12" t="n">
        <v>0.23</v>
      </c>
      <c r="J46" s="12" t="n">
        <v>0.35124</v>
      </c>
      <c r="K46" s="15">
        <f>IF(OR(F46="",I46="",I46&lt;=0),"",F46/I46)</f>
        <v/>
      </c>
      <c r="L46" s="16" t="n">
        <v>1.7457932</v>
      </c>
      <c r="M46" s="17">
        <f>IF(OR(L46="",K46="",K46&lt;=0),"",L46/K46)</f>
        <v/>
      </c>
      <c r="N46" s="18" t="n">
        <v>0.06676</v>
      </c>
      <c r="O46" s="18" t="n">
        <v>0.09484329341283899</v>
      </c>
      <c r="P46" s="18" t="n">
        <v>0.02757068204192986</v>
      </c>
      <c r="Q46" s="19" t="n">
        <v>4</v>
      </c>
      <c r="R46" s="18" t="n"/>
      <c r="S46" s="18" t="n">
        <v>0.08964999482240861</v>
      </c>
      <c r="T46" s="18" t="n">
        <v>0.05230928905033731</v>
      </c>
      <c r="U46" s="18" t="n">
        <v>0.1129837276083687</v>
      </c>
      <c r="V46" s="18" t="n">
        <v>0.1244301621702414</v>
      </c>
      <c r="W46" s="12" t="n">
        <v>0.1</v>
      </c>
      <c r="X46" s="17">
        <f>IF(OR(W46="",F46="",F46=0),"",W46/F46)</f>
        <v/>
      </c>
      <c r="Y46" s="20" t="n">
        <v>70.273</v>
      </c>
      <c r="Z46" s="18" t="n">
        <v>-0.01</v>
      </c>
      <c r="AA46" s="18" t="n">
        <v>0.0882632493199174</v>
      </c>
      <c r="AB46" s="11">
        <f>IF(AND(N46="",O46=""),"DATI MANCANTI",IF(AND(N(N46)&gt;=PARAMETRI!$B$4,N(O46)&gt;=PARAMETRI!$B$4),"OK","NO"))</f>
        <v/>
      </c>
      <c r="AC46" s="11">
        <f>IF(K46="","N/D",IF(K46&lt;PARAMETRI!$B$6,"OTTIMO",IF(K46&lt;PARAMETRI!$B$5,"OK","NO")))</f>
        <v/>
      </c>
      <c r="AD46" s="11">
        <f>IF(OR(AB46="DATI MANCANTI",AC46="N/D"),"DA COMPLETARE",IF(AND(AB46="OK",AC46="OTTIMO"),"PASSA FORTE",IF(AND(AB46="OK",AC46="OK"),"PASSA","SCARTA")))</f>
        <v/>
      </c>
      <c r="AE46" s="10" t="inlineStr">
        <is>
          <t>2026-08-04</t>
        </is>
      </c>
      <c r="AF46" s="10" t="inlineStr">
        <is>
          <t>yahoo</t>
        </is>
      </c>
      <c r="AG46" s="21" t="inlineStr"/>
    </row>
    <row r="47">
      <c r="A47" s="10" t="n">
        <v>46</v>
      </c>
      <c r="B47" s="10" t="inlineStr">
        <is>
          <t>Ferrari</t>
        </is>
      </c>
      <c r="C47" s="10" t="inlineStr">
        <is>
          <t>RACE.MI</t>
        </is>
      </c>
      <c r="D47" s="10" t="inlineStr">
        <is>
          <t>Lusso / Auto</t>
        </is>
      </c>
      <c r="E47" s="11" t="inlineStr">
        <is>
          <t>Consumi</t>
        </is>
      </c>
      <c r="F47" s="12" t="n">
        <v>345.35</v>
      </c>
      <c r="G47" s="13" t="inlineStr">
        <is>
          <t>EUR</t>
        </is>
      </c>
      <c r="H47" s="14" t="n">
        <v>60704.5</v>
      </c>
      <c r="I47" s="12" t="n">
        <v>9.279999999999999</v>
      </c>
      <c r="J47" s="12" t="n">
        <v>10.9597</v>
      </c>
      <c r="K47" s="15">
        <f>IF(OR(F47="",I47="",I47&lt;=0),"",F47/I47)</f>
        <v/>
      </c>
      <c r="L47" s="16" t="n">
        <v>16.60656</v>
      </c>
      <c r="M47" s="17">
        <f>IF(OR(L47="",K47="",K47&lt;=0),"",L47/K47)</f>
        <v/>
      </c>
      <c r="N47" s="18" t="n">
        <v>0.45439997</v>
      </c>
      <c r="O47" s="18" t="n">
        <v>0.4020305960143391</v>
      </c>
      <c r="P47" s="18" t="n">
        <v>0.02601046878287762</v>
      </c>
      <c r="Q47" s="19" t="n">
        <v>4</v>
      </c>
      <c r="R47" s="18" t="n"/>
      <c r="S47" s="18" t="n">
        <v>0.4087439814706981</v>
      </c>
      <c r="T47" s="18" t="n">
        <v>0.4306452334019818</v>
      </c>
      <c r="U47" s="18" t="n">
        <v>0.4090473091468881</v>
      </c>
      <c r="V47" s="18" t="n">
        <v>0.3596858600377884</v>
      </c>
      <c r="W47" s="12" t="n">
        <v>3.62</v>
      </c>
      <c r="X47" s="17">
        <f>IF(OR(W47="",F47="",F47=0),"",W47/F47)</f>
        <v/>
      </c>
      <c r="Y47" s="20" t="n">
        <v>86.386</v>
      </c>
      <c r="Z47" s="18" t="n">
        <v>0.08400000000000001</v>
      </c>
      <c r="AA47" s="18" t="n">
        <v>0.2289629285473584</v>
      </c>
      <c r="AB47" s="11">
        <f>IF(AND(N47="",O47=""),"DATI MANCANTI",IF(AND(N(N47)&gt;=PARAMETRI!$B$4,N(O47)&gt;=PARAMETRI!$B$4),"OK","NO"))</f>
        <v/>
      </c>
      <c r="AC47" s="11">
        <f>IF(K47="","N/D",IF(K47&lt;PARAMETRI!$B$6,"OTTIMO",IF(K47&lt;PARAMETRI!$B$5,"OK","NO")))</f>
        <v/>
      </c>
      <c r="AD47" s="11">
        <f>IF(OR(AB47="DATI MANCANTI",AC47="N/D"),"DA COMPLETARE",IF(AND(AB47="OK",AC47="OTTIMO"),"PASSA FORTE",IF(AND(AB47="OK",AC47="OK"),"PASSA","SCARTA")))</f>
        <v/>
      </c>
      <c r="AE47" s="10" t="inlineStr">
        <is>
          <t>2026-08-04</t>
        </is>
      </c>
      <c r="AF47" s="10" t="inlineStr">
        <is>
          <t>yahoo</t>
        </is>
      </c>
      <c r="AG47" s="21" t="inlineStr"/>
    </row>
    <row r="48">
      <c r="A48" s="10" t="n">
        <v>47</v>
      </c>
      <c r="B48" s="10" t="inlineStr">
        <is>
          <t>Geox</t>
        </is>
      </c>
      <c r="C48" s="10" t="inlineStr">
        <is>
          <t>GEO.MI</t>
        </is>
      </c>
      <c r="D48" s="10" t="inlineStr">
        <is>
          <t>Abbigliamento</t>
        </is>
      </c>
      <c r="E48" s="11" t="inlineStr">
        <is>
          <t>Consumi</t>
        </is>
      </c>
      <c r="F48" s="12" t="n">
        <v>0.2875</v>
      </c>
      <c r="G48" s="13" t="inlineStr">
        <is>
          <t>EUR</t>
        </is>
      </c>
      <c r="H48" s="14" t="n">
        <v>105.3</v>
      </c>
      <c r="I48" s="12" t="n">
        <v>-0.04</v>
      </c>
      <c r="J48" s="12" t="n">
        <v>0.01</v>
      </c>
      <c r="K48" s="15">
        <f>IF(OR(F48="",I48="",I48&lt;=0),"",F48/I48)</f>
        <v/>
      </c>
      <c r="L48" s="16" t="n">
        <v>1.402439</v>
      </c>
      <c r="M48" s="17">
        <f>IF(OR(L48="",K48="",K48&lt;=0),"",L48/K48)</f>
        <v/>
      </c>
      <c r="N48" s="18" t="n">
        <v>-0.19634001</v>
      </c>
      <c r="O48" s="18" t="n">
        <v>-0.2135655708912357</v>
      </c>
      <c r="P48" s="18" t="n">
        <v>0.1443956009267138</v>
      </c>
      <c r="Q48" s="19" t="n">
        <v>4</v>
      </c>
      <c r="R48" s="18" t="n"/>
      <c r="S48" s="18" t="n">
        <v>-0.2158361520227981</v>
      </c>
      <c r="T48" s="18" t="n">
        <v>-0.4468843429211034</v>
      </c>
      <c r="U48" s="18" t="n">
        <v>-0.07121095043603047</v>
      </c>
      <c r="V48" s="18" t="n">
        <v>-0.1203308381850106</v>
      </c>
      <c r="W48" s="12" t="n"/>
      <c r="X48" s="17">
        <f>IF(OR(W48="",F48="",F48=0),"",W48/F48)</f>
        <v/>
      </c>
      <c r="Y48" s="20" t="n">
        <v>396.463</v>
      </c>
      <c r="Z48" s="18" t="n">
        <v>-0.114</v>
      </c>
      <c r="AA48" s="18" t="n">
        <v>-0.02501589575669552</v>
      </c>
      <c r="AB48" s="11">
        <f>IF(AND(N48="",O48=""),"DATI MANCANTI",IF(AND(N(N48)&gt;=PARAMETRI!$B$4,N(O48)&gt;=PARAMETRI!$B$4),"OK","NO"))</f>
        <v/>
      </c>
      <c r="AC48" s="11">
        <f>IF(K48="","N/D",IF(K48&lt;PARAMETRI!$B$6,"OTTIMO",IF(K48&lt;PARAMETRI!$B$5,"OK","NO")))</f>
        <v/>
      </c>
      <c r="AD48" s="11">
        <f>IF(OR(AB48="DATI MANCANTI",AC48="N/D"),"DA COMPLETARE",IF(AND(AB48="OK",AC48="OTTIMO"),"PASSA FORTE",IF(AND(AB48="OK",AC48="OK"),"PASSA","SCARTA")))</f>
        <v/>
      </c>
      <c r="AE48" s="10" t="inlineStr">
        <is>
          <t>2026-08-04</t>
        </is>
      </c>
      <c r="AF48" s="10" t="inlineStr">
        <is>
          <t>yahoo</t>
        </is>
      </c>
      <c r="AG48" s="21" t="inlineStr"/>
    </row>
    <row r="49">
      <c r="A49" s="10" t="n">
        <v>48</v>
      </c>
      <c r="B49" s="10" t="inlineStr">
        <is>
          <t>Juventus FC</t>
        </is>
      </c>
      <c r="C49" s="10" t="inlineStr">
        <is>
          <t>JUVE.MI</t>
        </is>
      </c>
      <c r="D49" s="10" t="inlineStr">
        <is>
          <t>Sport / Intrattenimento</t>
        </is>
      </c>
      <c r="E49" s="11" t="inlineStr">
        <is>
          <t>Consumi</t>
        </is>
      </c>
      <c r="F49" s="12" t="n">
        <v>2.064</v>
      </c>
      <c r="G49" s="13" t="inlineStr">
        <is>
          <t>EUR</t>
        </is>
      </c>
      <c r="H49" s="14" t="n">
        <v>860.8</v>
      </c>
      <c r="I49" s="12" t="n">
        <v>-0.26</v>
      </c>
      <c r="J49" s="12" t="n">
        <v>-0.10025</v>
      </c>
      <c r="K49" s="15">
        <f>IF(OR(F49="",I49="",I49&lt;=0),"",F49/I49)</f>
        <v/>
      </c>
      <c r="L49" s="16" t="n">
        <v>11.037432</v>
      </c>
      <c r="M49" s="17">
        <f>IF(OR(L49="",K49="",K49&lt;=0),"",L49/K49)</f>
        <v/>
      </c>
      <c r="N49" s="18" t="n">
        <v>-1.1478701</v>
      </c>
      <c r="O49" s="18" t="n">
        <v>-3.115727151459425</v>
      </c>
      <c r="P49" s="18" t="n">
        <v>1.435930396899337</v>
      </c>
      <c r="Q49" s="19" t="n">
        <v>3</v>
      </c>
      <c r="R49" s="18" t="n"/>
      <c r="S49" s="18" t="n"/>
      <c r="T49" s="18" t="n">
        <v>-4.956438451587222</v>
      </c>
      <c r="U49" s="18" t="n">
        <v>-2.938123538952883</v>
      </c>
      <c r="V49" s="18" t="n">
        <v>-1.45261946383817</v>
      </c>
      <c r="W49" s="12" t="n"/>
      <c r="X49" s="17">
        <f>IF(OR(W49="",F49="",F49=0),"",W49/F49)</f>
        <v/>
      </c>
      <c r="Y49" s="20" t="n">
        <v>436.114</v>
      </c>
      <c r="Z49" s="18" t="n">
        <v>-0.091</v>
      </c>
      <c r="AA49" s="18" t="n">
        <v>-0.1970811575327133</v>
      </c>
      <c r="AB49" s="11">
        <f>IF(AND(N49="",O49=""),"DATI MANCANTI",IF(AND(N(N49)&gt;=PARAMETRI!$B$4,N(O49)&gt;=PARAMETRI!$B$4),"OK","NO"))</f>
        <v/>
      </c>
      <c r="AC49" s="11">
        <f>IF(K49="","N/D",IF(K49&lt;PARAMETRI!$B$6,"OTTIMO",IF(K49&lt;PARAMETRI!$B$5,"OK","NO")))</f>
        <v/>
      </c>
      <c r="AD49" s="11">
        <f>IF(OR(AB49="DATI MANCANTI",AC49="N/D"),"DA COMPLETARE",IF(AND(AB49="OK",AC49="OTTIMO"),"PASSA FORTE",IF(AND(AB49="OK",AC49="OK"),"PASSA","SCARTA")))</f>
        <v/>
      </c>
      <c r="AE49" s="10" t="inlineStr">
        <is>
          <t>2026-08-04</t>
        </is>
      </c>
      <c r="AF49" s="10" t="inlineStr">
        <is>
          <t>yahoo</t>
        </is>
      </c>
      <c r="AG49" s="21" t="inlineStr"/>
    </row>
    <row r="50">
      <c r="A50" s="10" t="n">
        <v>49</v>
      </c>
      <c r="B50" s="10" t="inlineStr">
        <is>
          <t>Lottomatica Group</t>
        </is>
      </c>
      <c r="C50" s="10" t="inlineStr">
        <is>
          <t>LTMC.MI</t>
        </is>
      </c>
      <c r="D50" s="10" t="inlineStr">
        <is>
          <t>Gaming / Concessioni</t>
        </is>
      </c>
      <c r="E50" s="11" t="inlineStr">
        <is>
          <t>Consumi</t>
        </is>
      </c>
      <c r="F50" s="12" t="n">
        <v>24.25</v>
      </c>
      <c r="G50" s="13" t="inlineStr">
        <is>
          <t>EUR</t>
        </is>
      </c>
      <c r="H50" s="14" t="n">
        <v>5660.4</v>
      </c>
      <c r="I50" s="12" t="n">
        <v>0.91</v>
      </c>
      <c r="J50" s="12" t="n">
        <v>2.25351</v>
      </c>
      <c r="K50" s="15">
        <f>IF(OR(F50="",I50="",I50&lt;=0),"",F50/I50)</f>
        <v/>
      </c>
      <c r="L50" s="16" t="n">
        <v>25.286757</v>
      </c>
      <c r="M50" s="17">
        <f>IF(OR(L50="",K50="",K50&lt;=0),"",L50/K50)</f>
        <v/>
      </c>
      <c r="N50" s="18" t="n">
        <v>0.54611</v>
      </c>
      <c r="O50" s="18" t="n">
        <v>0.5665811918142258</v>
      </c>
      <c r="P50" s="18" t="n">
        <v>0.5068808803966198</v>
      </c>
      <c r="Q50" s="19" t="n">
        <v>4</v>
      </c>
      <c r="R50" s="18" t="n"/>
      <c r="S50" s="18" t="n">
        <v>0.53617682345341</v>
      </c>
      <c r="T50" s="18" t="n">
        <v>0.1903530906289759</v>
      </c>
      <c r="U50" s="18" t="n">
        <v>0.136428439475354</v>
      </c>
      <c r="V50" s="18" t="n">
        <v>1.403366413699163</v>
      </c>
      <c r="W50" s="12" t="n">
        <v>0.44</v>
      </c>
      <c r="X50" s="17">
        <f>IF(OR(W50="",F50="",F50=0),"",W50/F50)</f>
        <v/>
      </c>
      <c r="Y50" s="20" t="n">
        <v>905.193</v>
      </c>
      <c r="Z50" s="18" t="n">
        <v>0.043</v>
      </c>
      <c r="AA50" s="18" t="n">
        <v>0.09803410237833739</v>
      </c>
      <c r="AB50" s="11">
        <f>IF(AND(N50="",O50=""),"DATI MANCANTI",IF(AND(N(N50)&gt;=PARAMETRI!$B$4,N(O50)&gt;=PARAMETRI!$B$4),"OK","NO"))</f>
        <v/>
      </c>
      <c r="AC50" s="11">
        <f>IF(K50="","N/D",IF(K50&lt;PARAMETRI!$B$6,"OTTIMO",IF(K50&lt;PARAMETRI!$B$5,"OK","NO")))</f>
        <v/>
      </c>
      <c r="AD50" s="11">
        <f>IF(OR(AB50="DATI MANCANTI",AC50="N/D"),"DA COMPLETARE",IF(AND(AB50="OK",AC50="OTTIMO"),"PASSA FORTE",IF(AND(AB50="OK",AC50="OK"),"PASSA","SCARTA")))</f>
        <v/>
      </c>
      <c r="AE50" s="10" t="inlineStr">
        <is>
          <t>2026-08-04</t>
        </is>
      </c>
      <c r="AF50" s="10" t="inlineStr">
        <is>
          <t>yahoo</t>
        </is>
      </c>
      <c r="AG50" s="21" t="inlineStr"/>
    </row>
    <row r="51">
      <c r="A51" s="10" t="n">
        <v>50</v>
      </c>
      <c r="B51" s="10" t="inlineStr">
        <is>
          <t>Moncler</t>
        </is>
      </c>
      <c r="C51" s="10" t="inlineStr">
        <is>
          <t>MONC.MI</t>
        </is>
      </c>
      <c r="D51" s="10" t="inlineStr">
        <is>
          <t>Lusso</t>
        </is>
      </c>
      <c r="E51" s="11" t="inlineStr">
        <is>
          <t>Consumi</t>
        </is>
      </c>
      <c r="F51" s="12" t="n">
        <v>50.12</v>
      </c>
      <c r="G51" s="13" t="inlineStr">
        <is>
          <t>EUR</t>
        </is>
      </c>
      <c r="H51" s="14" t="n">
        <v>13632.1</v>
      </c>
      <c r="I51" s="12" t="n">
        <v>2.35</v>
      </c>
      <c r="J51" s="12" t="n">
        <v>2.60085</v>
      </c>
      <c r="K51" s="15">
        <f>IF(OR(F51="",I51="",I51&lt;=0),"",F51/I51)</f>
        <v/>
      </c>
      <c r="L51" s="16" t="n">
        <v>3.7361162</v>
      </c>
      <c r="M51" s="17">
        <f>IF(OR(L51="",K51="",K51&lt;=0),"",L51/K51)</f>
        <v/>
      </c>
      <c r="N51" s="18" t="n">
        <v>0.18122</v>
      </c>
      <c r="O51" s="18" t="n">
        <v>0.1851349369556408</v>
      </c>
      <c r="P51" s="18" t="n">
        <v>0.01692053914808814</v>
      </c>
      <c r="Q51" s="19" t="n">
        <v>4</v>
      </c>
      <c r="R51" s="18" t="n"/>
      <c r="S51" s="18" t="n">
        <v>0.1627843667574618</v>
      </c>
      <c r="T51" s="18" t="n">
        <v>0.1783303314020599</v>
      </c>
      <c r="U51" s="18" t="n">
        <v>0.1903756142405816</v>
      </c>
      <c r="V51" s="18" t="n">
        <v>0.2090494354224597</v>
      </c>
      <c r="W51" s="12" t="n">
        <v>1.4</v>
      </c>
      <c r="X51" s="17">
        <f>IF(OR(W51="",F51="",F51=0),"",W51/F51)</f>
        <v/>
      </c>
      <c r="Y51" s="20" t="n">
        <v>33.88</v>
      </c>
      <c r="Z51" s="18" t="n">
        <v>0.052</v>
      </c>
      <c r="AA51" s="18" t="n">
        <v>0.2036704706831905</v>
      </c>
      <c r="AB51" s="11">
        <f>IF(AND(N51="",O51=""),"DATI MANCANTI",IF(AND(N(N51)&gt;=PARAMETRI!$B$4,N(O51)&gt;=PARAMETRI!$B$4),"OK","NO"))</f>
        <v/>
      </c>
      <c r="AC51" s="11">
        <f>IF(K51="","N/D",IF(K51&lt;PARAMETRI!$B$6,"OTTIMO",IF(K51&lt;PARAMETRI!$B$5,"OK","NO")))</f>
        <v/>
      </c>
      <c r="AD51" s="11">
        <f>IF(OR(AB51="DATI MANCANTI",AC51="N/D"),"DA COMPLETARE",IF(AND(AB51="OK",AC51="OTTIMO"),"PASSA FORTE",IF(AND(AB51="OK",AC51="OK"),"PASSA","SCARTA")))</f>
        <v/>
      </c>
      <c r="AE51" s="10" t="inlineStr">
        <is>
          <t>2026-08-04</t>
        </is>
      </c>
      <c r="AF51" s="10" t="inlineStr">
        <is>
          <t>yahoo</t>
        </is>
      </c>
      <c r="AG51" s="21" t="inlineStr"/>
    </row>
    <row r="52">
      <c r="A52" s="10" t="n">
        <v>51</v>
      </c>
      <c r="B52" s="10" t="inlineStr">
        <is>
          <t>Salvatore Ferragamo</t>
        </is>
      </c>
      <c r="C52" s="10" t="inlineStr">
        <is>
          <t>SFER.MI</t>
        </is>
      </c>
      <c r="D52" s="10" t="inlineStr">
        <is>
          <t>Lusso</t>
        </is>
      </c>
      <c r="E52" s="11" t="inlineStr">
        <is>
          <t>Consumi</t>
        </is>
      </c>
      <c r="F52" s="12" t="n">
        <v>9.359999999999999</v>
      </c>
      <c r="G52" s="13" t="inlineStr">
        <is>
          <t>EUR</t>
        </is>
      </c>
      <c r="H52" s="14" t="n">
        <v>1550.7</v>
      </c>
      <c r="I52" s="12" t="n">
        <v>-0.3</v>
      </c>
      <c r="J52" s="12" t="n">
        <v>0.17245</v>
      </c>
      <c r="K52" s="15">
        <f>IF(OR(F52="",I52="",I52&lt;=0),"",F52/I52)</f>
        <v/>
      </c>
      <c r="L52" s="16" t="n">
        <v>2.6225832</v>
      </c>
      <c r="M52" s="17">
        <f>IF(OR(L52="",K52="",K52&lt;=0),"",L52/K52)</f>
        <v/>
      </c>
      <c r="N52" s="18" t="n">
        <v>-0.08108</v>
      </c>
      <c r="O52" s="18" t="n">
        <v>-0.01621397710321158</v>
      </c>
      <c r="P52" s="18" t="n">
        <v>0.08353359250645503</v>
      </c>
      <c r="Q52" s="19" t="n">
        <v>4</v>
      </c>
      <c r="R52" s="18" t="n"/>
      <c r="S52" s="18" t="n">
        <v>-0.08360140037546299</v>
      </c>
      <c r="T52" s="18" t="n">
        <v>-0.109978985318798</v>
      </c>
      <c r="U52" s="18" t="n">
        <v>0.03613592432255542</v>
      </c>
      <c r="V52" s="18" t="n">
        <v>0.09258855295885929</v>
      </c>
      <c r="W52" s="12" t="n"/>
      <c r="X52" s="17">
        <f>IF(OR(W52="",F52="",F52=0),"",W52/F52)</f>
        <v/>
      </c>
      <c r="Y52" s="20" t="n">
        <v>116.299</v>
      </c>
      <c r="Z52" s="18" t="n">
        <v>-0.018</v>
      </c>
      <c r="AA52" s="18" t="n">
        <v>-0.05061897676571456</v>
      </c>
      <c r="AB52" s="11">
        <f>IF(AND(N52="",O52=""),"DATI MANCANTI",IF(AND(N(N52)&gt;=PARAMETRI!$B$4,N(O52)&gt;=PARAMETRI!$B$4),"OK","NO"))</f>
        <v/>
      </c>
      <c r="AC52" s="11">
        <f>IF(K52="","N/D",IF(K52&lt;PARAMETRI!$B$6,"OTTIMO",IF(K52&lt;PARAMETRI!$B$5,"OK","NO")))</f>
        <v/>
      </c>
      <c r="AD52" s="11">
        <f>IF(OR(AB52="DATI MANCANTI",AC52="N/D"),"DA COMPLETARE",IF(AND(AB52="OK",AC52="OTTIMO"),"PASSA FORTE",IF(AND(AB52="OK",AC52="OK"),"PASSA","SCARTA")))</f>
        <v/>
      </c>
      <c r="AE52" s="10" t="inlineStr">
        <is>
          <t>2026-08-04</t>
        </is>
      </c>
      <c r="AF52" s="10" t="inlineStr">
        <is>
          <t>yahoo</t>
        </is>
      </c>
      <c r="AG52" s="21" t="inlineStr"/>
    </row>
    <row r="53">
      <c r="A53" s="10" t="n">
        <v>52</v>
      </c>
      <c r="B53" s="10" t="inlineStr">
        <is>
          <t>Eni</t>
        </is>
      </c>
      <c r="C53" s="10" t="inlineStr">
        <is>
          <t>ENI.MI</t>
        </is>
      </c>
      <c r="D53" s="10" t="inlineStr">
        <is>
          <t>Energia</t>
        </is>
      </c>
      <c r="E53" s="11" t="inlineStr">
        <is>
          <t>Energia</t>
        </is>
      </c>
      <c r="F53" s="12" t="n">
        <v>24.125</v>
      </c>
      <c r="G53" s="13" t="inlineStr">
        <is>
          <t>EUR</t>
        </is>
      </c>
      <c r="H53" s="14" t="n">
        <v>70010.8</v>
      </c>
      <c r="I53" s="12" t="n">
        <v>1.23</v>
      </c>
      <c r="J53" s="12" t="n">
        <v>2.30063</v>
      </c>
      <c r="K53" s="15">
        <f>IF(OR(F53="",I53="",I53&lt;=0),"",F53/I53)</f>
        <v/>
      </c>
      <c r="L53" s="16" t="n">
        <v>1.6617303</v>
      </c>
      <c r="M53" s="17">
        <f>IF(OR(L53="",K53="",K53&lt;=0),"",L53/K53)</f>
        <v/>
      </c>
      <c r="N53" s="18" t="n">
        <v>0.10901</v>
      </c>
      <c r="O53" s="18" t="n">
        <v>0.1118555013917138</v>
      </c>
      <c r="P53" s="18" t="n">
        <v>0.08328498900347517</v>
      </c>
      <c r="Q53" s="19" t="n">
        <v>4</v>
      </c>
      <c r="R53" s="18" t="n"/>
      <c r="S53" s="18" t="n">
        <v>0.05440133500208594</v>
      </c>
      <c r="T53" s="18" t="n">
        <v>0.04971109216633513</v>
      </c>
      <c r="U53" s="18" t="n">
        <v>0.08970743080625752</v>
      </c>
      <c r="V53" s="18" t="n">
        <v>0.2536021475921766</v>
      </c>
      <c r="W53" s="12" t="n">
        <v>1.07</v>
      </c>
      <c r="X53" s="17">
        <f>IF(OR(W53="",F53="",F53=0),"",W53/F53)</f>
        <v/>
      </c>
      <c r="Y53" s="20" t="n">
        <v>64.97499999999999</v>
      </c>
      <c r="Z53" s="18" t="n">
        <v>0.185</v>
      </c>
      <c r="AA53" s="18" t="n">
        <v>0.070419105500846</v>
      </c>
      <c r="AB53" s="11">
        <f>IF(AND(N53="",O53=""),"DATI MANCANTI",IF(AND(N(N53)&gt;=PARAMETRI!$B$4,N(O53)&gt;=PARAMETRI!$B$4),"OK","NO"))</f>
        <v/>
      </c>
      <c r="AC53" s="11">
        <f>IF(K53="","N/D",IF(K53&lt;PARAMETRI!$B$6,"OTTIMO",IF(K53&lt;PARAMETRI!$B$5,"OK","NO")))</f>
        <v/>
      </c>
      <c r="AD53" s="11">
        <f>IF(OR(AB53="DATI MANCANTI",AC53="N/D"),"DA COMPLETARE",IF(AND(AB53="OK",AC53="OTTIMO"),"PASSA FORTE",IF(AND(AB53="OK",AC53="OK"),"PASSA","SCARTA")))</f>
        <v/>
      </c>
      <c r="AE53" s="10" t="inlineStr">
        <is>
          <t>2026-08-04</t>
        </is>
      </c>
      <c r="AF53" s="10" t="inlineStr">
        <is>
          <t>yahoo</t>
        </is>
      </c>
      <c r="AG53" s="21" t="inlineStr"/>
    </row>
    <row r="54">
      <c r="A54" s="10" t="n">
        <v>53</v>
      </c>
      <c r="B54" s="10" t="inlineStr">
        <is>
          <t>Saipem</t>
        </is>
      </c>
      <c r="C54" s="10" t="inlineStr">
        <is>
          <t>SPM.MI</t>
        </is>
      </c>
      <c r="D54" s="10" t="inlineStr">
        <is>
          <t>Oil service</t>
        </is>
      </c>
      <c r="E54" s="11" t="inlineStr">
        <is>
          <t>Energia</t>
        </is>
      </c>
      <c r="F54" s="12" t="n">
        <v>4.325</v>
      </c>
      <c r="G54" s="13" t="inlineStr">
        <is>
          <t>EUR</t>
        </is>
      </c>
      <c r="H54" s="14" t="n">
        <v>8391.700000000001</v>
      </c>
      <c r="I54" s="12" t="n">
        <v>0.13</v>
      </c>
      <c r="J54" s="12" t="n">
        <v>0.29854</v>
      </c>
      <c r="K54" s="15">
        <f>IF(OR(F54="",I54="",I54&lt;=0),"",F54/I54)</f>
        <v/>
      </c>
      <c r="L54" s="16" t="n">
        <v>3.182487</v>
      </c>
      <c r="M54" s="17">
        <f>IF(OR(L54="",K54="",K54&lt;=0),"",L54/K54)</f>
        <v/>
      </c>
      <c r="N54" s="18" t="n">
        <v>0.108509995</v>
      </c>
      <c r="O54" s="18" t="n">
        <v>0.05312509829599771</v>
      </c>
      <c r="P54" s="18" t="n">
        <v>0.0908755035974316</v>
      </c>
      <c r="Q54" s="19" t="n">
        <v>4</v>
      </c>
      <c r="R54" s="18" t="n"/>
      <c r="S54" s="18" t="n">
        <v>0.1175578308684111</v>
      </c>
      <c r="T54" s="18" t="n">
        <v>0.1212361331220285</v>
      </c>
      <c r="U54" s="18" t="n">
        <v>0.07477025898078529</v>
      </c>
      <c r="V54" s="18" t="n">
        <v>-0.101063829787234</v>
      </c>
      <c r="W54" s="12" t="n">
        <v>0.17</v>
      </c>
      <c r="X54" s="17">
        <f>IF(OR(W54="",F54="",F54=0),"",W54/F54)</f>
        <v/>
      </c>
      <c r="Y54" s="20" t="n">
        <v>51.319</v>
      </c>
      <c r="Z54" s="18" t="n">
        <v>0.032</v>
      </c>
      <c r="AA54" s="18" t="n">
        <v>0.01722136222910217</v>
      </c>
      <c r="AB54" s="11">
        <f>IF(AND(N54="",O54=""),"DATI MANCANTI",IF(AND(N(N54)&gt;=PARAMETRI!$B$4,N(O54)&gt;=PARAMETRI!$B$4),"OK","NO"))</f>
        <v/>
      </c>
      <c r="AC54" s="11">
        <f>IF(K54="","N/D",IF(K54&lt;PARAMETRI!$B$6,"OTTIMO",IF(K54&lt;PARAMETRI!$B$5,"OK","NO")))</f>
        <v/>
      </c>
      <c r="AD54" s="11">
        <f>IF(OR(AB54="DATI MANCANTI",AC54="N/D"),"DA COMPLETARE",IF(AND(AB54="OK",AC54="OTTIMO"),"PASSA FORTE",IF(AND(AB54="OK",AC54="OK"),"PASSA","SCARTA")))</f>
        <v/>
      </c>
      <c r="AE54" s="10" t="inlineStr">
        <is>
          <t>2026-08-04</t>
        </is>
      </c>
      <c r="AF54" s="10" t="inlineStr">
        <is>
          <t>yahoo</t>
        </is>
      </c>
      <c r="AG54" s="21" t="inlineStr"/>
    </row>
    <row r="55">
      <c r="A55" s="10" t="n">
        <v>54</v>
      </c>
      <c r="B55" s="10" t="inlineStr">
        <is>
          <t>Tenaris</t>
        </is>
      </c>
      <c r="C55" s="10" t="inlineStr">
        <is>
          <t>TEN.MI</t>
        </is>
      </c>
      <c r="D55" s="10" t="inlineStr">
        <is>
          <t>Oil service</t>
        </is>
      </c>
      <c r="E55" s="11" t="inlineStr">
        <is>
          <t>Energia</t>
        </is>
      </c>
      <c r="F55" s="12" t="n">
        <v>25.15</v>
      </c>
      <c r="G55" s="13" t="inlineStr">
        <is>
          <t>EUR</t>
        </is>
      </c>
      <c r="H55" s="14" t="n">
        <v>25392.4</v>
      </c>
      <c r="I55" s="12" t="n">
        <v>1.65</v>
      </c>
      <c r="J55" s="12" t="n">
        <v>1.814443</v>
      </c>
      <c r="K55" s="15">
        <f>IF(OR(F55="",I55="",I55&lt;=0),"",F55/I55)</f>
        <v/>
      </c>
      <c r="L55" s="16" t="n">
        <v>1.713456</v>
      </c>
      <c r="M55" s="17">
        <f>IF(OR(L55="",K55="",K55&lt;=0),"",L55/K55)</f>
        <v/>
      </c>
      <c r="N55" s="18" t="n">
        <v>0.11625</v>
      </c>
      <c r="O55" s="18" t="n">
        <v>0.163851096927405</v>
      </c>
      <c r="P55" s="18" t="n">
        <v>0.04758970868898593</v>
      </c>
      <c r="Q55" s="19" t="n">
        <v>4</v>
      </c>
      <c r="R55" s="18" t="n"/>
      <c r="S55" s="18" t="n">
        <v>0.1164401927780697</v>
      </c>
      <c r="T55" s="18" t="n">
        <v>0.1227272620438531</v>
      </c>
      <c r="U55" s="18" t="n">
        <v>0.2326231380067603</v>
      </c>
      <c r="V55" s="18" t="n">
        <v>0.183613794880937</v>
      </c>
      <c r="W55" s="12" t="n">
        <v>0.77</v>
      </c>
      <c r="X55" s="17">
        <f>IF(OR(W55="",F55="",F55=0),"",W55/F55)</f>
        <v/>
      </c>
      <c r="Y55" s="20" t="n">
        <v>2.73</v>
      </c>
      <c r="Z55" s="18" t="n">
        <v>0.061</v>
      </c>
      <c r="AA55" s="18" t="n">
        <v>0.1641396603015886</v>
      </c>
      <c r="AB55" s="11">
        <f>IF(AND(N55="",O55=""),"DATI MANCANTI",IF(AND(N(N55)&gt;=PARAMETRI!$B$4,N(O55)&gt;=PARAMETRI!$B$4),"OK","NO"))</f>
        <v/>
      </c>
      <c r="AC55" s="11">
        <f>IF(K55="","N/D",IF(K55&lt;PARAMETRI!$B$6,"OTTIMO",IF(K55&lt;PARAMETRI!$B$5,"OK","NO")))</f>
        <v/>
      </c>
      <c r="AD55" s="11">
        <f>IF(OR(AB55="DATI MANCANTI",AC55="N/D"),"DA COMPLETARE",IF(AND(AB55="OK",AC55="OTTIMO"),"PASSA FORTE",IF(AND(AB55="OK",AC55="OK"),"PASSA","SCARTA")))</f>
        <v/>
      </c>
      <c r="AE55" s="10" t="inlineStr">
        <is>
          <t>2026-08-04</t>
        </is>
      </c>
      <c r="AF55" s="10" t="inlineStr">
        <is>
          <t>yahoo</t>
        </is>
      </c>
      <c r="AG55" s="21" t="inlineStr">
        <is>
          <t>Bilancio in USD</t>
        </is>
      </c>
    </row>
    <row r="56">
      <c r="A56" s="10" t="n">
        <v>55</v>
      </c>
      <c r="B56" s="10" t="inlineStr">
        <is>
          <t>A2A</t>
        </is>
      </c>
      <c r="C56" s="10" t="inlineStr">
        <is>
          <t>A2A.MI</t>
        </is>
      </c>
      <c r="D56" s="10" t="inlineStr">
        <is>
          <t>Utility</t>
        </is>
      </c>
      <c r="E56" s="11" t="inlineStr">
        <is>
          <t>Utility</t>
        </is>
      </c>
      <c r="F56" s="12" t="n">
        <v>2.332</v>
      </c>
      <c r="G56" s="13" t="inlineStr">
        <is>
          <t>EUR</t>
        </is>
      </c>
      <c r="H56" s="14" t="n">
        <v>7295.5</v>
      </c>
      <c r="I56" s="12" t="n">
        <v>0.22</v>
      </c>
      <c r="J56" s="12" t="n">
        <v>0.21079</v>
      </c>
      <c r="K56" s="15">
        <f>IF(OR(F56="",I56="",I56&lt;=0),"",F56/I56)</f>
        <v/>
      </c>
      <c r="L56" s="16" t="n">
        <v>1.4099153</v>
      </c>
      <c r="M56" s="17">
        <f>IF(OR(L56="",K56="",K56&lt;=0),"",L56/K56)</f>
        <v/>
      </c>
      <c r="N56" s="18" t="n">
        <v>0.11337</v>
      </c>
      <c r="O56" s="18" t="n">
        <v>0.1352876506101037</v>
      </c>
      <c r="P56" s="18" t="n">
        <v>0.02216391989798138</v>
      </c>
      <c r="Q56" s="19" t="n">
        <v>4</v>
      </c>
      <c r="R56" s="18" t="n"/>
      <c r="S56" s="18" t="n">
        <v>0.1267534223424032</v>
      </c>
      <c r="T56" s="18" t="n">
        <v>0.1561257679797615</v>
      </c>
      <c r="U56" s="18" t="n">
        <v>0.1554245283018868</v>
      </c>
      <c r="V56" s="18" t="n">
        <v>0.1028468838163632</v>
      </c>
      <c r="W56" s="12" t="n">
        <v>0.1</v>
      </c>
      <c r="X56" s="17">
        <f>IF(OR(W56="",F56="",F56=0),"",W56/F56)</f>
        <v/>
      </c>
      <c r="Y56" s="20" t="n">
        <v>113.764</v>
      </c>
      <c r="Z56" s="18" t="n">
        <v>0.373</v>
      </c>
      <c r="AA56" s="18" t="n">
        <v>0.05000363927505641</v>
      </c>
      <c r="AB56" s="11">
        <f>IF(AND(N56="",O56=""),"DATI MANCANTI",IF(AND(N(N56)&gt;=PARAMETRI!$B$4,N(O56)&gt;=PARAMETRI!$B$4),"OK","NO"))</f>
        <v/>
      </c>
      <c r="AC56" s="11">
        <f>IF(K56="","N/D",IF(K56&lt;PARAMETRI!$B$6,"OTTIMO",IF(K56&lt;PARAMETRI!$B$5,"OK","NO")))</f>
        <v/>
      </c>
      <c r="AD56" s="11">
        <f>IF(OR(AB56="DATI MANCANTI",AC56="N/D"),"DA COMPLETARE",IF(AND(AB56="OK",AC56="OTTIMO"),"PASSA FORTE",IF(AND(AB56="OK",AC56="OK"),"PASSA","SCARTA")))</f>
        <v/>
      </c>
      <c r="AE56" s="10" t="inlineStr">
        <is>
          <t>2026-08-04</t>
        </is>
      </c>
      <c r="AF56" s="10" t="inlineStr">
        <is>
          <t>yahoo</t>
        </is>
      </c>
      <c r="AG56" s="21" t="inlineStr"/>
    </row>
    <row r="57">
      <c r="A57" s="10" t="n">
        <v>56</v>
      </c>
      <c r="B57" s="10" t="inlineStr">
        <is>
          <t>Acea</t>
        </is>
      </c>
      <c r="C57" s="10" t="inlineStr">
        <is>
          <t>ACE.MI</t>
        </is>
      </c>
      <c r="D57" s="10" t="inlineStr">
        <is>
          <t>Utility</t>
        </is>
      </c>
      <c r="E57" s="11" t="inlineStr">
        <is>
          <t>Utility</t>
        </is>
      </c>
      <c r="F57" s="12" t="n">
        <v>21.4</v>
      </c>
      <c r="G57" s="13" t="inlineStr">
        <is>
          <t>EUR</t>
        </is>
      </c>
      <c r="H57" s="14" t="n">
        <v>4548.5</v>
      </c>
      <c r="I57" s="12" t="n">
        <v>2.93</v>
      </c>
      <c r="J57" s="12" t="n">
        <v>1.58913</v>
      </c>
      <c r="K57" s="15">
        <f>IF(OR(F57="",I57="",I57&lt;=0),"",F57/I57)</f>
        <v/>
      </c>
      <c r="L57" s="16" t="n">
        <v>1.6357104</v>
      </c>
      <c r="M57" s="17">
        <f>IF(OR(L57="",K57="",K57&lt;=0),"",L57/K57)</f>
        <v/>
      </c>
      <c r="N57" s="18" t="n">
        <v>0.20725</v>
      </c>
      <c r="O57" s="18" t="n">
        <v>0.1377274020186562</v>
      </c>
      <c r="P57" s="18" t="n">
        <v>0.02063562538189108</v>
      </c>
      <c r="Q57" s="19" t="n">
        <v>4</v>
      </c>
      <c r="R57" s="18" t="n"/>
      <c r="S57" s="18" t="n">
        <v>0.172816869044327</v>
      </c>
      <c r="T57" s="18" t="n">
        <v>0.1323776847677043</v>
      </c>
      <c r="U57" s="18" t="n">
        <v>0.1236319980683815</v>
      </c>
      <c r="V57" s="18" t="n">
        <v>0.1220830561942121</v>
      </c>
      <c r="W57" s="12" t="n">
        <v>0.95</v>
      </c>
      <c r="X57" s="17">
        <f>IF(OR(W57="",F57="",F57=0),"",W57/F57)</f>
        <v/>
      </c>
      <c r="Y57" s="20" t="n">
        <v>169.549</v>
      </c>
      <c r="Z57" s="18" t="n"/>
      <c r="AA57" s="18" t="n">
        <v>0.2261544738465162</v>
      </c>
      <c r="AB57" s="11">
        <f>IF(AND(N57="",O57=""),"DATI MANCANTI",IF(AND(N(N57)&gt;=PARAMETRI!$B$4,N(O57)&gt;=PARAMETRI!$B$4),"OK","NO"))</f>
        <v/>
      </c>
      <c r="AC57" s="11">
        <f>IF(K57="","N/D",IF(K57&lt;PARAMETRI!$B$6,"OTTIMO",IF(K57&lt;PARAMETRI!$B$5,"OK","NO")))</f>
        <v/>
      </c>
      <c r="AD57" s="11">
        <f>IF(OR(AB57="DATI MANCANTI",AC57="N/D"),"DA COMPLETARE",IF(AND(AB57="OK",AC57="OTTIMO"),"PASSA FORTE",IF(AND(AB57="OK",AC57="OK"),"PASSA","SCARTA")))</f>
        <v/>
      </c>
      <c r="AE57" s="10" t="inlineStr">
        <is>
          <t>2026-08-04</t>
        </is>
      </c>
      <c r="AF57" s="10" t="inlineStr">
        <is>
          <t>yahoo</t>
        </is>
      </c>
      <c r="AG57" s="21" t="inlineStr"/>
    </row>
    <row r="58">
      <c r="A58" s="10" t="n">
        <v>57</v>
      </c>
      <c r="B58" s="10" t="inlineStr">
        <is>
          <t>Enel</t>
        </is>
      </c>
      <c r="C58" s="10" t="inlineStr">
        <is>
          <t>ENEL.MI</t>
        </is>
      </c>
      <c r="D58" s="10" t="inlineStr">
        <is>
          <t>Utility</t>
        </is>
      </c>
      <c r="E58" s="11" t="inlineStr">
        <is>
          <t>Utility</t>
        </is>
      </c>
      <c r="F58" s="12" t="n">
        <v>10.024</v>
      </c>
      <c r="G58" s="13" t="inlineStr">
        <is>
          <t>EUR</t>
        </is>
      </c>
      <c r="H58" s="14" t="n">
        <v>99470.8</v>
      </c>
      <c r="I58" s="12" t="n">
        <v>0.38</v>
      </c>
      <c r="J58" s="12" t="n">
        <v>0.75103</v>
      </c>
      <c r="K58" s="15">
        <f>IF(OR(F58="",I58="",I58&lt;=0),"",F58/I58)</f>
        <v/>
      </c>
      <c r="L58" s="16" t="n">
        <v>3.0047963</v>
      </c>
      <c r="M58" s="17">
        <f>IF(OR(L58="",K58="",K58&lt;=0),"",L58/K58)</f>
        <v/>
      </c>
      <c r="N58" s="18" t="n">
        <v>0.122559994</v>
      </c>
      <c r="O58" s="18" t="n">
        <v>0.1266786444245822</v>
      </c>
      <c r="P58" s="18" t="n">
        <v>0.05384932558582804</v>
      </c>
      <c r="Q58" s="19" t="n">
        <v>4</v>
      </c>
      <c r="R58" s="18" t="n"/>
      <c r="S58" s="18" t="n">
        <v>0.1317512785331171</v>
      </c>
      <c r="T58" s="18" t="n">
        <v>0.2079985769766683</v>
      </c>
      <c r="U58" s="18" t="n">
        <v>0.1082664147378366</v>
      </c>
      <c r="V58" s="18" t="n">
        <v>0.05869830745070669</v>
      </c>
      <c r="W58" s="12" t="n">
        <v>0.52</v>
      </c>
      <c r="X58" s="17">
        <f>IF(OR(W58="",F58="",F58=0),"",W58/F58)</f>
        <v/>
      </c>
      <c r="Y58" s="20" t="n">
        <v>147.246</v>
      </c>
      <c r="Z58" s="18" t="n">
        <v>0.08500000000000001</v>
      </c>
      <c r="AA58" s="18" t="n">
        <v>0.06389729182233292</v>
      </c>
      <c r="AB58" s="11">
        <f>IF(AND(N58="",O58=""),"DATI MANCANTI",IF(AND(N(N58)&gt;=PARAMETRI!$B$4,N(O58)&gt;=PARAMETRI!$B$4),"OK","NO"))</f>
        <v/>
      </c>
      <c r="AC58" s="11">
        <f>IF(K58="","N/D",IF(K58&lt;PARAMETRI!$B$6,"OTTIMO",IF(K58&lt;PARAMETRI!$B$5,"OK","NO")))</f>
        <v/>
      </c>
      <c r="AD58" s="11">
        <f>IF(OR(AB58="DATI MANCANTI",AC58="N/D"),"DA COMPLETARE",IF(AND(AB58="OK",AC58="OTTIMO"),"PASSA FORTE",IF(AND(AB58="OK",AC58="OK"),"PASSA","SCARTA")))</f>
        <v/>
      </c>
      <c r="AE58" s="10" t="inlineStr">
        <is>
          <t>2026-08-04</t>
        </is>
      </c>
      <c r="AF58" s="10" t="inlineStr">
        <is>
          <t>yahoo</t>
        </is>
      </c>
      <c r="AG58" s="21" t="inlineStr"/>
    </row>
    <row r="59">
      <c r="A59" s="10" t="n">
        <v>58</v>
      </c>
      <c r="B59" s="10" t="inlineStr">
        <is>
          <t>ERG</t>
        </is>
      </c>
      <c r="C59" s="10" t="inlineStr">
        <is>
          <t>ERG.MI</t>
        </is>
      </c>
      <c r="D59" s="10" t="inlineStr">
        <is>
          <t>Utility / Rinnovabili</t>
        </is>
      </c>
      <c r="E59" s="11" t="inlineStr">
        <is>
          <t>Utility</t>
        </is>
      </c>
      <c r="F59" s="12" t="n">
        <v>21.88</v>
      </c>
      <c r="G59" s="13" t="inlineStr">
        <is>
          <t>EUR</t>
        </is>
      </c>
      <c r="H59" s="14" t="n">
        <v>3180.4</v>
      </c>
      <c r="I59" s="12" t="n">
        <v>0.57</v>
      </c>
      <c r="J59" s="12" t="n">
        <v>1.16657</v>
      </c>
      <c r="K59" s="15">
        <f>IF(OR(F59="",I59="",I59&lt;=0),"",F59/I59)</f>
        <v/>
      </c>
      <c r="L59" s="16" t="n">
        <v>1.5567412</v>
      </c>
      <c r="M59" s="17">
        <f>IF(OR(L59="",K59="",K59&lt;=0),"",L59/K59)</f>
        <v/>
      </c>
      <c r="N59" s="18" t="n">
        <v>0.04065</v>
      </c>
      <c r="O59" s="18" t="n">
        <v>0.09724741336023976</v>
      </c>
      <c r="P59" s="18" t="n">
        <v>0.05519134116901761</v>
      </c>
      <c r="Q59" s="19" t="n">
        <v>4</v>
      </c>
      <c r="R59" s="18" t="n"/>
      <c r="S59" s="18" t="n">
        <v>0.03280439526475774</v>
      </c>
      <c r="T59" s="18" t="n">
        <v>0.08715430505101514</v>
      </c>
      <c r="U59" s="18" t="n">
        <v>0.08376241717779331</v>
      </c>
      <c r="V59" s="18" t="n">
        <v>0.1852685359473929</v>
      </c>
      <c r="W59" s="12" t="n">
        <v>1</v>
      </c>
      <c r="X59" s="17">
        <f>IF(OR(W59="",F59="",F59=0),"",W59/F59)</f>
        <v/>
      </c>
      <c r="Y59" s="20" t="n">
        <v>137.035</v>
      </c>
      <c r="Z59" s="18" t="n"/>
      <c r="AA59" s="18" t="n">
        <v>0.1046401699804334</v>
      </c>
      <c r="AB59" s="11">
        <f>IF(AND(N59="",O59=""),"DATI MANCANTI",IF(AND(N(N59)&gt;=PARAMETRI!$B$4,N(O59)&gt;=PARAMETRI!$B$4),"OK","NO"))</f>
        <v/>
      </c>
      <c r="AC59" s="11">
        <f>IF(K59="","N/D",IF(K59&lt;PARAMETRI!$B$6,"OTTIMO",IF(K59&lt;PARAMETRI!$B$5,"OK","NO")))</f>
        <v/>
      </c>
      <c r="AD59" s="11">
        <f>IF(OR(AB59="DATI MANCANTI",AC59="N/D"),"DA COMPLETARE",IF(AND(AB59="OK",AC59="OTTIMO"),"PASSA FORTE",IF(AND(AB59="OK",AC59="OK"),"PASSA","SCARTA")))</f>
        <v/>
      </c>
      <c r="AE59" s="10" t="inlineStr">
        <is>
          <t>2026-08-04</t>
        </is>
      </c>
      <c r="AF59" s="10" t="inlineStr">
        <is>
          <t>yahoo</t>
        </is>
      </c>
      <c r="AG59" s="21" t="inlineStr"/>
    </row>
    <row r="60">
      <c r="A60" s="10" t="n">
        <v>59</v>
      </c>
      <c r="B60" s="10" t="inlineStr">
        <is>
          <t>Hera</t>
        </is>
      </c>
      <c r="C60" s="10" t="inlineStr">
        <is>
          <t>HER.MI</t>
        </is>
      </c>
      <c r="D60" s="10" t="inlineStr">
        <is>
          <t>Utility</t>
        </is>
      </c>
      <c r="E60" s="11" t="inlineStr">
        <is>
          <t>Utility</t>
        </is>
      </c>
      <c r="F60" s="12" t="n">
        <v>3.898</v>
      </c>
      <c r="G60" s="13" t="inlineStr">
        <is>
          <t>EUR</t>
        </is>
      </c>
      <c r="H60" s="14" t="n">
        <v>5762.7</v>
      </c>
      <c r="I60" s="12" t="n">
        <v>0.32</v>
      </c>
      <c r="J60" s="12" t="n">
        <v>0.33184</v>
      </c>
      <c r="K60" s="15">
        <f>IF(OR(F60="",I60="",I60&lt;=0),"",F60/I60)</f>
        <v/>
      </c>
      <c r="L60" s="16" t="n">
        <v>1.4026628</v>
      </c>
      <c r="M60" s="17">
        <f>IF(OR(L60="",K60="",K60&lt;=0),"",L60/K60)</f>
        <v/>
      </c>
      <c r="N60" s="18" t="n">
        <v>0.121079996</v>
      </c>
      <c r="O60" s="18" t="n">
        <v>0.1129016561358004</v>
      </c>
      <c r="P60" s="18" t="n">
        <v>0.02307978086200269</v>
      </c>
      <c r="Q60" s="19" t="n">
        <v>4</v>
      </c>
      <c r="R60" s="18" t="n"/>
      <c r="S60" s="18" t="n">
        <v>0.1137599843191062</v>
      </c>
      <c r="T60" s="18" t="n">
        <v>0.1343713486046575</v>
      </c>
      <c r="U60" s="18" t="n">
        <v>0.1283811296608691</v>
      </c>
      <c r="V60" s="18" t="n">
        <v>0.07509416195856874</v>
      </c>
      <c r="W60" s="12" t="n">
        <v>0.16</v>
      </c>
      <c r="X60" s="17">
        <f>IF(OR(W60="",F60="",F60=0),"",W60/F60)</f>
        <v/>
      </c>
      <c r="Y60" s="20" t="n">
        <v>133.318</v>
      </c>
      <c r="Z60" s="18" t="n">
        <v>0.221</v>
      </c>
      <c r="AA60" s="18" t="n">
        <v>0.03629365073242979</v>
      </c>
      <c r="AB60" s="11">
        <f>IF(AND(N60="",O60=""),"DATI MANCANTI",IF(AND(N(N60)&gt;=PARAMETRI!$B$4,N(O60)&gt;=PARAMETRI!$B$4),"OK","NO"))</f>
        <v/>
      </c>
      <c r="AC60" s="11">
        <f>IF(K60="","N/D",IF(K60&lt;PARAMETRI!$B$6,"OTTIMO",IF(K60&lt;PARAMETRI!$B$5,"OK","NO")))</f>
        <v/>
      </c>
      <c r="AD60" s="11">
        <f>IF(OR(AB60="DATI MANCANTI",AC60="N/D"),"DA COMPLETARE",IF(AND(AB60="OK",AC60="OTTIMO"),"PASSA FORTE",IF(AND(AB60="OK",AC60="OK"),"PASSA","SCARTA")))</f>
        <v/>
      </c>
      <c r="AE60" s="10" t="inlineStr">
        <is>
          <t>2026-08-04</t>
        </is>
      </c>
      <c r="AF60" s="10" t="inlineStr">
        <is>
          <t>yahoo</t>
        </is>
      </c>
      <c r="AG60" s="21" t="inlineStr"/>
    </row>
    <row r="61">
      <c r="A61" s="10" t="n">
        <v>60</v>
      </c>
      <c r="B61" s="10" t="inlineStr">
        <is>
          <t>Iren</t>
        </is>
      </c>
      <c r="C61" s="10" t="inlineStr">
        <is>
          <t>IRE.MI</t>
        </is>
      </c>
      <c r="D61" s="10" t="inlineStr">
        <is>
          <t>Utility</t>
        </is>
      </c>
      <c r="E61" s="11" t="inlineStr">
        <is>
          <t>Utility</t>
        </is>
      </c>
      <c r="F61" s="12" t="n">
        <v>2.562</v>
      </c>
      <c r="G61" s="13" t="inlineStr">
        <is>
          <t>EUR</t>
        </is>
      </c>
      <c r="H61" s="14" t="n">
        <v>3287.2</v>
      </c>
      <c r="I61" s="12" t="n">
        <v>0.23</v>
      </c>
      <c r="J61" s="12" t="n">
        <v>0.24707</v>
      </c>
      <c r="K61" s="15">
        <f>IF(OR(F61="",I61="",I61&lt;=0),"",F61/I61)</f>
        <v/>
      </c>
      <c r="L61" s="16" t="n">
        <v>1.0652807</v>
      </c>
      <c r="M61" s="17">
        <f>IF(OR(L61="",K61="",K61&lt;=0),"",L61/K61)</f>
        <v/>
      </c>
      <c r="N61" s="18" t="n">
        <v>0.08586001</v>
      </c>
      <c r="O61" s="18" t="n">
        <v>0.08833789201631842</v>
      </c>
      <c r="P61" s="18" t="n">
        <v>0.004159652247824652</v>
      </c>
      <c r="Q61" s="19" t="n">
        <v>4</v>
      </c>
      <c r="R61" s="18" t="n"/>
      <c r="S61" s="18" t="n">
        <v>0.086886861999682</v>
      </c>
      <c r="T61" s="18" t="n">
        <v>0.09334796927981129</v>
      </c>
      <c r="U61" s="18" t="n">
        <v>0.09078158140807809</v>
      </c>
      <c r="V61" s="18" t="n">
        <v>0.08233515537770233</v>
      </c>
      <c r="W61" s="12" t="n">
        <v>0.14</v>
      </c>
      <c r="X61" s="17">
        <f>IF(OR(W61="",F61="",F61=0),"",W61/F61)</f>
        <v/>
      </c>
      <c r="Y61" s="20" t="n">
        <v>128.903</v>
      </c>
      <c r="Z61" s="18" t="n">
        <v>0.049</v>
      </c>
      <c r="AA61" s="18" t="n">
        <v>0.04642093273543158</v>
      </c>
      <c r="AB61" s="11">
        <f>IF(AND(N61="",O61=""),"DATI MANCANTI",IF(AND(N(N61)&gt;=PARAMETRI!$B$4,N(O61)&gt;=PARAMETRI!$B$4),"OK","NO"))</f>
        <v/>
      </c>
      <c r="AC61" s="11">
        <f>IF(K61="","N/D",IF(K61&lt;PARAMETRI!$B$6,"OTTIMO",IF(K61&lt;PARAMETRI!$B$5,"OK","NO")))</f>
        <v/>
      </c>
      <c r="AD61" s="11">
        <f>IF(OR(AB61="DATI MANCANTI",AC61="N/D"),"DA COMPLETARE",IF(AND(AB61="OK",AC61="OTTIMO"),"PASSA FORTE",IF(AND(AB61="OK",AC61="OK"),"PASSA","SCARTA")))</f>
        <v/>
      </c>
      <c r="AE61" s="10" t="inlineStr">
        <is>
          <t>2026-08-04</t>
        </is>
      </c>
      <c r="AF61" s="10" t="inlineStr">
        <is>
          <t>yahoo</t>
        </is>
      </c>
      <c r="AG61" s="21" t="inlineStr"/>
    </row>
    <row r="62">
      <c r="A62" s="10" t="n">
        <v>61</v>
      </c>
      <c r="B62" s="10" t="inlineStr">
        <is>
          <t>Italgas</t>
        </is>
      </c>
      <c r="C62" s="10" t="inlineStr">
        <is>
          <t>IG.MI</t>
        </is>
      </c>
      <c r="D62" s="10" t="inlineStr">
        <is>
          <t>Utility / Reti</t>
        </is>
      </c>
      <c r="E62" s="11" t="inlineStr">
        <is>
          <t>Utility</t>
        </is>
      </c>
      <c r="F62" s="12" t="n">
        <v>9.1</v>
      </c>
      <c r="G62" s="13" t="inlineStr">
        <is>
          <t>EUR</t>
        </is>
      </c>
      <c r="H62" s="14" t="n">
        <v>9250.4</v>
      </c>
      <c r="I62" s="12" t="n">
        <v>0.7</v>
      </c>
      <c r="J62" s="12" t="n">
        <v>0.79984</v>
      </c>
      <c r="K62" s="15">
        <f>IF(OR(F62="",I62="",I62&lt;=0),"",F62/I62)</f>
        <v/>
      </c>
      <c r="L62" s="16" t="n">
        <v>2.420213</v>
      </c>
      <c r="M62" s="17">
        <f>IF(OR(L62="",K62="",K62&lt;=0),"",L62/K62)</f>
        <v/>
      </c>
      <c r="N62" s="18" t="n">
        <v>0.19063</v>
      </c>
      <c r="O62" s="18" t="n">
        <v>0.1892111669010866</v>
      </c>
      <c r="P62" s="18" t="n">
        <v>0.007636666953879905</v>
      </c>
      <c r="Q62" s="19" t="n">
        <v>4</v>
      </c>
      <c r="R62" s="18" t="n"/>
      <c r="S62" s="18" t="n">
        <v>0.1760500959304389</v>
      </c>
      <c r="T62" s="18" t="n">
        <v>0.194821061899161</v>
      </c>
      <c r="U62" s="18" t="n">
        <v>0.1927868944489472</v>
      </c>
      <c r="V62" s="18" t="n">
        <v>0.1931866153257992</v>
      </c>
      <c r="W62" s="12" t="n">
        <v>0.43</v>
      </c>
      <c r="X62" s="17">
        <f>IF(OR(W62="",F62="",F62=0),"",W62/F62)</f>
        <v/>
      </c>
      <c r="Y62" s="20" t="n">
        <v>294.061</v>
      </c>
      <c r="Z62" s="18" t="n">
        <v>0.306</v>
      </c>
      <c r="AA62" s="18" t="n">
        <v>0.2063045888567778</v>
      </c>
      <c r="AB62" s="11">
        <f>IF(AND(N62="",O62=""),"DATI MANCANTI",IF(AND(N(N62)&gt;=PARAMETRI!$B$4,N(O62)&gt;=PARAMETRI!$B$4),"OK","NO"))</f>
        <v/>
      </c>
      <c r="AC62" s="11">
        <f>IF(K62="","N/D",IF(K62&lt;PARAMETRI!$B$6,"OTTIMO",IF(K62&lt;PARAMETRI!$B$5,"OK","NO")))</f>
        <v/>
      </c>
      <c r="AD62" s="11">
        <f>IF(OR(AB62="DATI MANCANTI",AC62="N/D"),"DA COMPLETARE",IF(AND(AB62="OK",AC62="OTTIMO"),"PASSA FORTE",IF(AND(AB62="OK",AC62="OK"),"PASSA","SCARTA")))</f>
        <v/>
      </c>
      <c r="AE62" s="10" t="inlineStr">
        <is>
          <t>2026-08-04</t>
        </is>
      </c>
      <c r="AF62" s="10" t="inlineStr">
        <is>
          <t>yahoo</t>
        </is>
      </c>
      <c r="AG62" s="21" t="inlineStr"/>
    </row>
    <row r="63">
      <c r="A63" s="10" t="n">
        <v>62</v>
      </c>
      <c r="B63" s="10" t="inlineStr">
        <is>
          <t>Snam</t>
        </is>
      </c>
      <c r="C63" s="10" t="inlineStr">
        <is>
          <t>SRG.MI</t>
        </is>
      </c>
      <c r="D63" s="10" t="inlineStr">
        <is>
          <t>Utility / Reti</t>
        </is>
      </c>
      <c r="E63" s="11" t="inlineStr">
        <is>
          <t>Utility</t>
        </is>
      </c>
      <c r="F63" s="12" t="n">
        <v>5.924</v>
      </c>
      <c r="G63" s="13" t="inlineStr">
        <is>
          <t>EUR</t>
        </is>
      </c>
      <c r="H63" s="14" t="n">
        <v>19879.7</v>
      </c>
      <c r="I63" s="12" t="n">
        <v>0.36</v>
      </c>
      <c r="J63" s="12" t="n">
        <v>0.43761</v>
      </c>
      <c r="K63" s="15">
        <f>IF(OR(F63="",I63="",I63&lt;=0),"",F63/I63)</f>
        <v/>
      </c>
      <c r="L63" s="16" t="n">
        <v>2.4130347</v>
      </c>
      <c r="M63" s="17">
        <f>IF(OR(L63="",K63="",K63&lt;=0),"",L63/K63)</f>
        <v/>
      </c>
      <c r="N63" s="18" t="n">
        <v>0.1238</v>
      </c>
      <c r="O63" s="18" t="n">
        <v>0.1292498210780141</v>
      </c>
      <c r="P63" s="18" t="n">
        <v>0.02310306594021611</v>
      </c>
      <c r="Q63" s="19" t="n">
        <v>4</v>
      </c>
      <c r="R63" s="18" t="n"/>
      <c r="S63" s="18" t="n">
        <v>0.1374905272274548</v>
      </c>
      <c r="T63" s="18" t="n">
        <v>0.1410012319408668</v>
      </c>
      <c r="U63" s="18" t="n">
        <v>0.1486574983628029</v>
      </c>
      <c r="V63" s="18" t="n">
        <v>0.08985002678093197</v>
      </c>
      <c r="W63" s="12" t="n">
        <v>0.3</v>
      </c>
      <c r="X63" s="17">
        <f>IF(OR(W63="",F63="",F63=0),"",W63/F63)</f>
        <v/>
      </c>
      <c r="Y63" s="20" t="n">
        <v>234.16</v>
      </c>
      <c r="Z63" s="18" t="n">
        <v>0.097</v>
      </c>
      <c r="AA63" s="18" t="n">
        <v>0.2889407933541018</v>
      </c>
      <c r="AB63" s="11">
        <f>IF(AND(N63="",O63=""),"DATI MANCANTI",IF(AND(N(N63)&gt;=PARAMETRI!$B$4,N(O63)&gt;=PARAMETRI!$B$4),"OK","NO"))</f>
        <v/>
      </c>
      <c r="AC63" s="11">
        <f>IF(K63="","N/D",IF(K63&lt;PARAMETRI!$B$6,"OTTIMO",IF(K63&lt;PARAMETRI!$B$5,"OK","NO")))</f>
        <v/>
      </c>
      <c r="AD63" s="11">
        <f>IF(OR(AB63="DATI MANCANTI",AC63="N/D"),"DA COMPLETARE",IF(AND(AB63="OK",AC63="OTTIMO"),"PASSA FORTE",IF(AND(AB63="OK",AC63="OK"),"PASSA","SCARTA")))</f>
        <v/>
      </c>
      <c r="AE63" s="10" t="inlineStr">
        <is>
          <t>2026-08-04</t>
        </is>
      </c>
      <c r="AF63" s="10" t="inlineStr">
        <is>
          <t>yahoo</t>
        </is>
      </c>
      <c r="AG63" s="21" t="inlineStr"/>
    </row>
    <row r="64">
      <c r="A64" s="10" t="n">
        <v>63</v>
      </c>
      <c r="B64" s="10" t="inlineStr">
        <is>
          <t>Terna</t>
        </is>
      </c>
      <c r="C64" s="10" t="inlineStr">
        <is>
          <t>TRN.MI</t>
        </is>
      </c>
      <c r="D64" s="10" t="inlineStr">
        <is>
          <t>Utility / Reti</t>
        </is>
      </c>
      <c r="E64" s="11" t="inlineStr">
        <is>
          <t>Utility</t>
        </is>
      </c>
      <c r="F64" s="12" t="n">
        <v>10.125</v>
      </c>
      <c r="G64" s="13" t="inlineStr">
        <is>
          <t>EUR</t>
        </is>
      </c>
      <c r="H64" s="14" t="n">
        <v>20318.4</v>
      </c>
      <c r="I64" s="12" t="n">
        <v>0.5600000000000001</v>
      </c>
      <c r="J64" s="12" t="n">
        <v>0.56179</v>
      </c>
      <c r="K64" s="15">
        <f>IF(OR(F64="",I64="",I64&lt;=0),"",F64/I64)</f>
        <v/>
      </c>
      <c r="L64" s="16" t="n">
        <v>2.2814329</v>
      </c>
      <c r="M64" s="17">
        <f>IF(OR(L64="",K64="",K64&lt;=0),"",L64/K64)</f>
        <v/>
      </c>
      <c r="N64" s="18" t="n">
        <v>0.13828</v>
      </c>
      <c r="O64" s="18" t="n">
        <v>0.1473166531875201</v>
      </c>
      <c r="P64" s="18" t="n">
        <v>0.01230561727656675</v>
      </c>
      <c r="Q64" s="19" t="n">
        <v>4</v>
      </c>
      <c r="R64" s="18" t="n"/>
      <c r="S64" s="18" t="n"/>
      <c r="T64" s="18" t="n">
        <v>0.1411312830599931</v>
      </c>
      <c r="U64" s="18" t="n">
        <v>0.1399974701157422</v>
      </c>
      <c r="V64" s="18" t="n">
        <v>0.1395310973624227</v>
      </c>
      <c r="W64" s="12" t="n">
        <v>0.4</v>
      </c>
      <c r="X64" s="17">
        <f>IF(OR(W64="",F64="",F64=0),"",W64/F64)</f>
        <v/>
      </c>
      <c r="Y64" s="20" t="n">
        <v>172.37</v>
      </c>
      <c r="Z64" s="18" t="n">
        <v>0.123</v>
      </c>
      <c r="AA64" s="18" t="n">
        <v>0.291854893908282</v>
      </c>
      <c r="AB64" s="11">
        <f>IF(AND(N64="",O64=""),"DATI MANCANTI",IF(AND(N(N64)&gt;=PARAMETRI!$B$4,N(O64)&gt;=PARAMETRI!$B$4),"OK","NO"))</f>
        <v/>
      </c>
      <c r="AC64" s="11">
        <f>IF(K64="","N/D",IF(K64&lt;PARAMETRI!$B$6,"OTTIMO",IF(K64&lt;PARAMETRI!$B$5,"OK","NO")))</f>
        <v/>
      </c>
      <c r="AD64" s="11">
        <f>IF(OR(AB64="DATI MANCANTI",AC64="N/D"),"DA COMPLETARE",IF(AND(AB64="OK",AC64="OTTIMO"),"PASSA FORTE",IF(AND(AB64="OK",AC64="OK"),"PASSA","SCARTA")))</f>
        <v/>
      </c>
      <c r="AE64" s="10" t="inlineStr">
        <is>
          <t>2026-08-04</t>
        </is>
      </c>
      <c r="AF64" s="10" t="inlineStr">
        <is>
          <t>yahoo</t>
        </is>
      </c>
      <c r="AG64" s="21" t="inlineStr"/>
    </row>
    <row r="65">
      <c r="A65" s="10" t="n">
        <v>64</v>
      </c>
      <c r="B65" s="10" t="inlineStr">
        <is>
          <t>Buzzi</t>
        </is>
      </c>
      <c r="C65" s="10" t="inlineStr">
        <is>
          <t>BZU.MI</t>
        </is>
      </c>
      <c r="D65" s="10" t="inlineStr">
        <is>
          <t>Materiali / Cemento</t>
        </is>
      </c>
      <c r="E65" s="11" t="inlineStr">
        <is>
          <t>Materiali</t>
        </is>
      </c>
      <c r="F65" s="12" t="n">
        <v>42.17</v>
      </c>
      <c r="G65" s="13" t="inlineStr">
        <is>
          <t>EUR</t>
        </is>
      </c>
      <c r="H65" s="14" t="n">
        <v>7443.5</v>
      </c>
      <c r="I65" s="12" t="n">
        <v>5.09</v>
      </c>
      <c r="J65" s="12" t="n">
        <v>5.0767</v>
      </c>
      <c r="K65" s="15">
        <f>IF(OR(F65="",I65="",I65&lt;=0),"",F65/I65)</f>
        <v/>
      </c>
      <c r="L65" s="16" t="n">
        <v>1.0771667</v>
      </c>
      <c r="M65" s="17">
        <f>IF(OR(L65="",K65="",K65&lt;=0),"",L65/K65)</f>
        <v/>
      </c>
      <c r="N65" s="18" t="n">
        <v>0.13445</v>
      </c>
      <c r="O65" s="18" t="n">
        <v>0.1345063151175203</v>
      </c>
      <c r="P65" s="18" t="n">
        <v>0.02809718446027663</v>
      </c>
      <c r="Q65" s="19" t="n">
        <v>4</v>
      </c>
      <c r="R65" s="18" t="n"/>
      <c r="S65" s="18" t="n">
        <v>0.1300000564412122</v>
      </c>
      <c r="T65" s="18" t="n">
        <v>0.1427187127514725</v>
      </c>
      <c r="U65" s="18" t="n">
        <v>0.1717888401993831</v>
      </c>
      <c r="V65" s="18" t="n">
        <v>0.09351765107801338</v>
      </c>
      <c r="W65" s="12" t="n">
        <v>0.7</v>
      </c>
      <c r="X65" s="17">
        <f>IF(OR(W65="",F65="",F65=0),"",W65/F65)</f>
        <v/>
      </c>
      <c r="Y65" s="20" t="n">
        <v>6.178</v>
      </c>
      <c r="Z65" s="18" t="n">
        <v>0.029</v>
      </c>
      <c r="AA65" s="18" t="n">
        <v>0.2038853911642946</v>
      </c>
      <c r="AB65" s="11">
        <f>IF(AND(N65="",O65=""),"DATI MANCANTI",IF(AND(N(N65)&gt;=PARAMETRI!$B$4,N(O65)&gt;=PARAMETRI!$B$4),"OK","NO"))</f>
        <v/>
      </c>
      <c r="AC65" s="11">
        <f>IF(K65="","N/D",IF(K65&lt;PARAMETRI!$B$6,"OTTIMO",IF(K65&lt;PARAMETRI!$B$5,"OK","NO")))</f>
        <v/>
      </c>
      <c r="AD65" s="11">
        <f>IF(OR(AB65="DATI MANCANTI",AC65="N/D"),"DA COMPLETARE",IF(AND(AB65="OK",AC65="OTTIMO"),"PASSA FORTE",IF(AND(AB65="OK",AC65="OK"),"PASSA","SCARTA")))</f>
        <v/>
      </c>
      <c r="AE65" s="10" t="inlineStr">
        <is>
          <t>2026-08-04</t>
        </is>
      </c>
      <c r="AF65" s="10" t="inlineStr">
        <is>
          <t>yahoo</t>
        </is>
      </c>
      <c r="AG65" s="21" t="inlineStr"/>
    </row>
    <row r="66">
      <c r="A66" s="10" t="n">
        <v>65</v>
      </c>
      <c r="B66" s="10" t="inlineStr">
        <is>
          <t>Risanamento</t>
        </is>
      </c>
      <c r="C66" s="10" t="inlineStr">
        <is>
          <t>RN.MI</t>
        </is>
      </c>
      <c r="D66" s="10" t="inlineStr">
        <is>
          <t>Immobiliare</t>
        </is>
      </c>
      <c r="E66" s="11" t="inlineStr">
        <is>
          <t>Immobiliare</t>
        </is>
      </c>
      <c r="F66" s="12" t="n">
        <v>0.0175</v>
      </c>
      <c r="G66" s="13" t="inlineStr">
        <is>
          <t>EUR</t>
        </is>
      </c>
      <c r="H66" s="14" t="n">
        <v>31.5</v>
      </c>
      <c r="I66" s="12" t="n">
        <v>-0.01</v>
      </c>
      <c r="J66" s="12" t="n"/>
      <c r="K66" s="15">
        <f>IF(OR(F66="",I66="",I66&lt;=0),"",F66/I66)</f>
        <v/>
      </c>
      <c r="L66" s="16" t="n"/>
      <c r="M66" s="17">
        <f>IF(OR(L66="",K66="",K66&lt;=0),"",L66/K66)</f>
        <v/>
      </c>
      <c r="N66" s="18" t="n">
        <v>-2.12318</v>
      </c>
      <c r="O66" s="18" t="n">
        <v>-2.631412626629395</v>
      </c>
      <c r="P66" s="18" t="n">
        <v>3.822301984946608</v>
      </c>
      <c r="Q66" s="19" t="n">
        <v>4</v>
      </c>
      <c r="R66" s="18" t="n"/>
      <c r="S66" s="18" t="n"/>
      <c r="T66" s="18" t="n">
        <v>-9.186217576461479</v>
      </c>
      <c r="U66" s="18" t="n">
        <v>0.2023488274866026</v>
      </c>
      <c r="V66" s="18" t="n">
        <v>-1.281388478581979</v>
      </c>
      <c r="W66" s="12" t="n"/>
      <c r="X66" s="17">
        <f>IF(OR(W66="",F66="",F66=0),"",W66/F66)</f>
        <v/>
      </c>
      <c r="Y66" s="20" t="n"/>
      <c r="Z66" s="18" t="n">
        <v>369.333</v>
      </c>
      <c r="AA66" s="18" t="n">
        <v>-193.2014925373134</v>
      </c>
      <c r="AB66" s="11">
        <f>IF(AND(N66="",O66=""),"DATI MANCANTI",IF(AND(N(N66)&gt;=PARAMETRI!$B$4,N(O66)&gt;=PARAMETRI!$B$4),"OK","NO"))</f>
        <v/>
      </c>
      <c r="AC66" s="11">
        <f>IF(K66="","N/D",IF(K66&lt;PARAMETRI!$B$6,"OTTIMO",IF(K66&lt;PARAMETRI!$B$5,"OK","NO")))</f>
        <v/>
      </c>
      <c r="AD66" s="11">
        <f>IF(OR(AB66="DATI MANCANTI",AC66="N/D"),"DA COMPLETARE",IF(AND(AB66="OK",AC66="OTTIMO"),"PASSA FORTE",IF(AND(AB66="OK",AC66="OK"),"PASSA","SCARTA")))</f>
        <v/>
      </c>
      <c r="AE66" s="10" t="inlineStr">
        <is>
          <t>2026-08-04</t>
        </is>
      </c>
      <c r="AF66" s="10" t="inlineStr">
        <is>
          <t>yahoo</t>
        </is>
      </c>
      <c r="AG66" s="21" t="inlineStr"/>
    </row>
    <row r="67">
      <c r="A67" s="10" t="n">
        <v>66</v>
      </c>
      <c r="B67" s="10" t="inlineStr">
        <is>
          <t>BB Biotech</t>
        </is>
      </c>
      <c r="C67" s="10" t="inlineStr">
        <is>
          <t>BION.SW</t>
        </is>
      </c>
      <c r="D67" s="10" t="inlineStr">
        <is>
          <t>Veicolo biotech</t>
        </is>
      </c>
      <c r="E67" s="11" t="inlineStr">
        <is>
          <t>Veicolo</t>
        </is>
      </c>
      <c r="F67" s="12" t="n">
        <v>50.7</v>
      </c>
      <c r="G67" s="13" t="inlineStr">
        <is>
          <t>CHF</t>
        </is>
      </c>
      <c r="H67" s="14" t="n">
        <v>2796.1</v>
      </c>
      <c r="I67" s="12" t="n">
        <v>24.57</v>
      </c>
      <c r="J67" s="12" t="n">
        <v>-0.65777</v>
      </c>
      <c r="K67" s="15">
        <f>IF(OR(F67="",I67="",I67&lt;=0),"",F67/I67)</f>
        <v/>
      </c>
      <c r="L67" s="16" t="n">
        <v>0.90658754</v>
      </c>
      <c r="M67" s="17">
        <f>IF(OR(L67="",K67="",K67&lt;=0),"",L67/K67)</f>
        <v/>
      </c>
      <c r="N67" s="18" t="n">
        <v>0.54764</v>
      </c>
      <c r="O67" s="18" t="n">
        <v>0.004777857685230683</v>
      </c>
      <c r="P67" s="18" t="n">
        <v>0.1322398198407014</v>
      </c>
      <c r="Q67" s="19" t="n">
        <v>4</v>
      </c>
      <c r="R67" s="18" t="n"/>
      <c r="S67" s="18" t="n">
        <v>0.2080524401851888</v>
      </c>
      <c r="T67" s="18" t="n">
        <v>0.033197421851627</v>
      </c>
      <c r="U67" s="18" t="n">
        <v>-0.08893142569118598</v>
      </c>
      <c r="V67" s="18" t="n">
        <v>-0.1332070056047071</v>
      </c>
      <c r="W67" s="12" t="n">
        <v>2.25</v>
      </c>
      <c r="X67" s="17">
        <f>IF(OR(W67="",F67="",F67=0),"",W67/F67)</f>
        <v/>
      </c>
      <c r="Y67" s="20" t="n"/>
      <c r="Z67" s="18" t="n"/>
      <c r="AA67" s="18" t="n">
        <v>2.29826056588763</v>
      </c>
      <c r="AB67" s="11">
        <f>IF(AND(N67="",O67=""),"DATI MANCANTI",IF(AND(N(N67)&gt;=PARAMETRI!$B$4,N(O67)&gt;=PARAMETRI!$B$4),"OK","NO"))</f>
        <v/>
      </c>
      <c r="AC67" s="11">
        <f>IF(K67="","N/D",IF(K67&lt;PARAMETRI!$B$6,"OTTIMO",IF(K67&lt;PARAMETRI!$B$5,"OK","NO")))</f>
        <v/>
      </c>
      <c r="AD67" s="11">
        <f>IF(OR(AB67="DATI MANCANTI",AC67="N/D"),"DA COMPLETARE",IF(AND(AB67="OK",AC67="OTTIMO"),"PASSA FORTE",IF(AND(AB67="OK",AC67="OK"),"PASSA","SCARTA")))</f>
        <v/>
      </c>
      <c r="AE67" s="10" t="inlineStr">
        <is>
          <t>2026-08-04</t>
        </is>
      </c>
      <c r="AF67" s="10" t="inlineStr">
        <is>
          <t>yahoo</t>
        </is>
      </c>
      <c r="AG67" s="21" t="inlineStr">
        <is>
          <t>Quotata Zurigo/Xetra, NAV-driven: ROE poco significativo</t>
        </is>
      </c>
    </row>
  </sheetData>
  <autoFilter ref="A1:AG67"/>
  <conditionalFormatting sqref="AD2:AD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N2:N67">
    <cfRule type="dataBar" priority="5">
      <dataBar>
        <cfvo type="num" val="0"/>
        <cfvo type="num" val="0.4"/>
        <color rgb="00638EC6"/>
      </dataBar>
    </cfRule>
  </conditionalFormatting>
  <conditionalFormatting sqref="O2:O67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1" customWidth="1" min="8" max="8"/>
    <col width="10" customWidth="1" min="9" max="9"/>
    <col width="10" customWidth="1" min="10" max="10"/>
    <col width="8" customWidth="1" min="11" max="11"/>
    <col width="8" customWidth="1" min="12" max="12"/>
    <col width="10" customWidth="1" min="13" max="13"/>
    <col width="9" customWidth="1" min="14" max="14"/>
    <col width="9" customWidth="1" min="15" max="15"/>
    <col width="9" customWidth="1" min="16" max="16"/>
    <col width="6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9" customWidth="1" min="23" max="23"/>
    <col width="9" customWidth="1" min="24" max="24"/>
    <col width="10" customWidth="1" min="25" max="25"/>
    <col width="9" customWidth="1" min="26" max="26"/>
    <col width="9" customWidth="1" min="27" max="27"/>
    <col width="10" customWidth="1" min="28" max="28"/>
    <col width="10" customWidth="1" min="29" max="29"/>
    <col width="14" customWidth="1" min="30" max="30"/>
    <col width="12" customWidth="1" min="31" max="31"/>
    <col width="10" customWidth="1" min="32" max="32"/>
    <col width="42" customWidth="1" min="33" max="33"/>
  </cols>
  <sheetData>
    <row r="1" ht="30" customHeight="1">
      <c r="A1" s="9" t="inlineStr">
        <is>
          <t>N.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CAP. MLN</t>
        </is>
      </c>
      <c r="I1" s="9" t="inlineStr">
        <is>
          <t>EPS TTM</t>
        </is>
      </c>
      <c r="J1" s="9" t="inlineStr">
        <is>
          <t>EPS ATTESO</t>
        </is>
      </c>
      <c r="K1" s="9" t="inlineStr">
        <is>
          <t>P/E</t>
        </is>
      </c>
      <c r="L1" s="9" t="inlineStr">
        <is>
          <t>P/B</t>
        </is>
      </c>
      <c r="M1" s="9" t="inlineStr">
        <is>
          <t>ROE IMPL.</t>
        </is>
      </c>
      <c r="N1" s="9" t="inlineStr">
        <is>
          <t>ROE 1a</t>
        </is>
      </c>
      <c r="O1" s="9" t="inlineStr">
        <is>
          <t>ROE 5a</t>
        </is>
      </c>
      <c r="P1" s="9" t="inlineStr">
        <is>
          <t>VARIAB.
ROE</t>
        </is>
      </c>
      <c r="Q1" s="9" t="inlineStr">
        <is>
          <t>ANNI</t>
        </is>
      </c>
      <c r="R1" s="9" t="inlineStr">
        <is>
          <t>2026</t>
        </is>
      </c>
      <c r="S1" s="9" t="inlineStr">
        <is>
          <t>2025</t>
        </is>
      </c>
      <c r="T1" s="9" t="inlineStr">
        <is>
          <t>2024</t>
        </is>
      </c>
      <c r="U1" s="9" t="inlineStr">
        <is>
          <t>2023</t>
        </is>
      </c>
      <c r="V1" s="9" t="inlineStr">
        <is>
          <t>2022</t>
        </is>
      </c>
      <c r="W1" s="9" t="inlineStr">
        <is>
          <t>DIVID.</t>
        </is>
      </c>
      <c r="X1" s="9" t="inlineStr">
        <is>
          <t>RENDIM.</t>
        </is>
      </c>
      <c r="Y1" s="9" t="inlineStr">
        <is>
          <t>DEBITO/MP</t>
        </is>
      </c>
      <c r="Z1" s="9" t="inlineStr">
        <is>
          <t>CRESC.
RICAVI</t>
        </is>
      </c>
      <c r="AA1" s="9" t="inlineStr">
        <is>
          <t>MARGINE</t>
        </is>
      </c>
      <c r="AB1" s="9" t="inlineStr">
        <is>
          <t>ESITO ROE</t>
        </is>
      </c>
      <c r="AC1" s="9" t="inlineStr">
        <is>
          <t>ESITO P/E</t>
        </is>
      </c>
      <c r="AD1" s="9" t="inlineStr">
        <is>
          <t>GIUDIZIO</t>
        </is>
      </c>
      <c r="AE1" s="9" t="inlineStr">
        <is>
          <t>RILEVATO</t>
        </is>
      </c>
      <c r="AF1" s="9" t="inlineStr">
        <is>
          <t>FONTE</t>
        </is>
      </c>
      <c r="AG1" s="9" t="inlineStr">
        <is>
          <t>NOTE</t>
        </is>
      </c>
    </row>
    <row r="2">
      <c r="A2" s="10" t="n">
        <v>1</v>
      </c>
      <c r="B2" s="10" t="inlineStr">
        <is>
          <t>Accenture</t>
        </is>
      </c>
      <c r="C2" s="10" t="inlineStr">
        <is>
          <t>ACN</t>
        </is>
      </c>
      <c r="D2" s="10" t="inlineStr">
        <is>
          <t>Consulenza IT</t>
        </is>
      </c>
      <c r="E2" s="11" t="inlineStr">
        <is>
          <t>Tecnologia</t>
        </is>
      </c>
      <c r="F2" s="12" t="n">
        <v>165.76</v>
      </c>
      <c r="G2" s="13" t="inlineStr">
        <is>
          <t>USD</t>
        </is>
      </c>
      <c r="H2" s="14" t="n">
        <v>101435.5</v>
      </c>
      <c r="I2" s="12" t="n">
        <v>12.53</v>
      </c>
      <c r="J2" s="12" t="n">
        <v>14.68338</v>
      </c>
      <c r="K2" s="15">
        <f>IF(OR(F2="",I2="",I2&lt;=0),"",F2/I2)</f>
        <v/>
      </c>
      <c r="L2" s="16" t="n">
        <v>3.180292</v>
      </c>
      <c r="M2" s="17">
        <f>IF(OR(L2="",K2="",K2&lt;=0),"",L2/K2)</f>
        <v/>
      </c>
      <c r="N2" s="18" t="n">
        <v>0.24406</v>
      </c>
      <c r="O2" s="18" t="n">
        <v>0.2703743517719677</v>
      </c>
      <c r="P2" s="18" t="n">
        <v>0.02468970483462087</v>
      </c>
      <c r="Q2" s="19" t="n">
        <v>4</v>
      </c>
      <c r="R2" s="18" t="n"/>
      <c r="S2" s="18" t="n">
        <v>0.2461395487020766</v>
      </c>
      <c r="T2" s="18" t="n">
        <v>0.2568092866657528</v>
      </c>
      <c r="U2" s="18" t="n">
        <v>0.2674502806015326</v>
      </c>
      <c r="V2" s="18" t="n">
        <v>0.3110982911185091</v>
      </c>
      <c r="W2" s="12" t="n">
        <v>6.52</v>
      </c>
      <c r="X2" s="17">
        <f>IF(OR(W2="",F2="",F2=0),"",W2/F2)</f>
        <v/>
      </c>
      <c r="Y2" s="20" t="n">
        <v>25.035</v>
      </c>
      <c r="Z2" s="18" t="n">
        <v>0.056</v>
      </c>
      <c r="AA2" s="18" t="n">
        <v>0.1118044921203812</v>
      </c>
      <c r="AB2" s="11">
        <f>IF(AND(N2="",O2=""),"DATI MANCANTI",IF(AND(N(N2)&gt;=PARAMETRI!$B$4,N(O2)&gt;=PARAMETRI!$B$4),"OK","NO"))</f>
        <v/>
      </c>
      <c r="AC2" s="11">
        <f>IF(K2="","N/D",IF(K2&lt;PARAMETRI!$B$6,"OTTIMO",IF(K2&lt;PARAMETRI!$B$5,"OK","NO")))</f>
        <v/>
      </c>
      <c r="AD2" s="11">
        <f>IF(OR(AB2="DATI MANCANTI",AC2="N/D"),"DA COMPLETARE",IF(AND(AB2="OK",AC2="OTTIMO"),"PASSA FORTE",IF(AND(AB2="OK",AC2="OK"),"PASSA","SCARTA")))</f>
        <v/>
      </c>
      <c r="AE2" s="10" t="inlineStr">
        <is>
          <t>2026-08-04</t>
        </is>
      </c>
      <c r="AF2" s="10" t="inlineStr">
        <is>
          <t>yahoo</t>
        </is>
      </c>
      <c r="AG2" s="21" t="inlineStr"/>
    </row>
    <row r="3">
      <c r="A3" s="10" t="n">
        <v>2</v>
      </c>
      <c r="B3" s="10" t="inlineStr">
        <is>
          <t>Adobe</t>
        </is>
      </c>
      <c r="C3" s="10" t="inlineStr">
        <is>
          <t>ADBE</t>
        </is>
      </c>
      <c r="D3" s="10" t="inlineStr">
        <is>
          <t>Software</t>
        </is>
      </c>
      <c r="E3" s="11" t="inlineStr">
        <is>
          <t>Tecnologia</t>
        </is>
      </c>
      <c r="F3" s="12" t="n">
        <v>251.34</v>
      </c>
      <c r="G3" s="13" t="inlineStr">
        <is>
          <t>USD</t>
        </is>
      </c>
      <c r="H3" s="14" t="n">
        <v>99907.60000000001</v>
      </c>
      <c r="I3" s="12" t="n">
        <v>17.48</v>
      </c>
      <c r="J3" s="12" t="n">
        <v>27.48687</v>
      </c>
      <c r="K3" s="15">
        <f>IF(OR(F3="",I3="",I3&lt;=0),"",F3/I3)</f>
        <v/>
      </c>
      <c r="L3" s="16" t="n">
        <v>8.706827000000001</v>
      </c>
      <c r="M3" s="17">
        <f>IF(OR(L3="",K3="",K3&lt;=0),"",L3/K3)</f>
        <v/>
      </c>
      <c r="N3" s="18" t="n">
        <v>0.6295399699999999</v>
      </c>
      <c r="O3" s="18" t="n">
        <v>0.4186794472009294</v>
      </c>
      <c r="P3" s="18" t="n">
        <v>0.1151902535453331</v>
      </c>
      <c r="Q3" s="19" t="n">
        <v>4</v>
      </c>
      <c r="R3" s="18" t="n"/>
      <c r="S3" s="18" t="n">
        <v>0.6134388712036479</v>
      </c>
      <c r="T3" s="18" t="n">
        <v>0.3941864587025877</v>
      </c>
      <c r="U3" s="18" t="n">
        <v>0.3286112120111394</v>
      </c>
      <c r="V3" s="18" t="n">
        <v>0.3384812468863426</v>
      </c>
      <c r="W3" s="12" t="n"/>
      <c r="X3" s="17">
        <f>IF(OR(W3="",F3="",F3=0),"",W3/F3)</f>
        <v/>
      </c>
      <c r="Y3" s="20" t="n">
        <v>61.443</v>
      </c>
      <c r="Z3" s="18" t="n">
        <v>0.127</v>
      </c>
      <c r="AA3" s="18" t="n">
        <v>0.3041356469350835</v>
      </c>
      <c r="AB3" s="11">
        <f>IF(AND(N3="",O3=""),"DATI MANCANTI",IF(AND(N(N3)&gt;=PARAMETRI!$B$4,N(O3)&gt;=PARAMETRI!$B$4),"OK","NO"))</f>
        <v/>
      </c>
      <c r="AC3" s="11">
        <f>IF(K3="","N/D",IF(K3&lt;PARAMETRI!$B$6,"OTTIMO",IF(K3&lt;PARAMETRI!$B$5,"OK","NO")))</f>
        <v/>
      </c>
      <c r="AD3" s="11">
        <f>IF(OR(AB3="DATI MANCANTI",AC3="N/D"),"DA COMPLETARE",IF(AND(AB3="OK",AC3="OTTIMO"),"PASSA FORTE",IF(AND(AB3="OK",AC3="OK"),"PASSA","SCARTA")))</f>
        <v/>
      </c>
      <c r="AE3" s="10" t="inlineStr">
        <is>
          <t>2026-08-04</t>
        </is>
      </c>
      <c r="AF3" s="10" t="inlineStr">
        <is>
          <t>yahoo</t>
        </is>
      </c>
      <c r="AG3" s="21" t="inlineStr"/>
    </row>
    <row r="4">
      <c r="A4" s="10" t="n">
        <v>3</v>
      </c>
      <c r="B4" s="10" t="inlineStr">
        <is>
          <t>Advanced Micro Devices</t>
        </is>
      </c>
      <c r="C4" s="10" t="inlineStr">
        <is>
          <t>AMD</t>
        </is>
      </c>
      <c r="D4" s="10" t="inlineStr">
        <is>
          <t>Semiconduttori</t>
        </is>
      </c>
      <c r="E4" s="11" t="inlineStr">
        <is>
          <t>Tecnologia</t>
        </is>
      </c>
      <c r="F4" s="12" t="n">
        <v>484.64</v>
      </c>
      <c r="G4" s="13" t="inlineStr">
        <is>
          <t>USD</t>
        </is>
      </c>
      <c r="H4" s="14" t="n">
        <v>790254.3</v>
      </c>
      <c r="I4" s="12" t="n">
        <v>3</v>
      </c>
      <c r="J4" s="12" t="n">
        <v>13.91754</v>
      </c>
      <c r="K4" s="15">
        <f>IF(OR(F4="",I4="",I4&lt;=0),"",F4/I4)</f>
        <v/>
      </c>
      <c r="L4" s="16" t="n">
        <v>12.254786</v>
      </c>
      <c r="M4" s="17">
        <f>IF(OR(L4="",K4="",K4&lt;=0),"",L4/K4)</f>
        <v/>
      </c>
      <c r="N4" s="18" t="n">
        <v>0.08062999999999999</v>
      </c>
      <c r="O4" s="18" t="n">
        <v>0.03417627307619231</v>
      </c>
      <c r="P4" s="18" t="n">
        <v>0.02055555689875465</v>
      </c>
      <c r="Q4" s="19" t="n">
        <v>4</v>
      </c>
      <c r="R4" s="18" t="n"/>
      <c r="S4" s="18" t="n">
        <v>0.06881061604152447</v>
      </c>
      <c r="T4" s="18" t="n">
        <v>0.02850541967759867</v>
      </c>
      <c r="U4" s="18" t="n">
        <v>0.0152794675445502</v>
      </c>
      <c r="V4" s="18" t="n">
        <v>0.02410958904109589</v>
      </c>
      <c r="W4" s="12" t="n"/>
      <c r="X4" s="17">
        <f>IF(OR(W4="",F4="",F4=0),"",W4/F4)</f>
        <v/>
      </c>
      <c r="Y4" s="20" t="n">
        <v>6.005</v>
      </c>
      <c r="Z4" s="18" t="n">
        <v>0.378</v>
      </c>
      <c r="AA4" s="18" t="n">
        <v>0.1423828558561159</v>
      </c>
      <c r="AB4" s="11">
        <f>IF(AND(N4="",O4=""),"DATI MANCANTI",IF(AND(N(N4)&gt;=PARAMETRI!$B$4,N(O4)&gt;=PARAMETRI!$B$4),"OK","NO"))</f>
        <v/>
      </c>
      <c r="AC4" s="11">
        <f>IF(K4="","N/D",IF(K4&lt;PARAMETRI!$B$6,"OTTIMO",IF(K4&lt;PARAMETRI!$B$5,"OK","NO")))</f>
        <v/>
      </c>
      <c r="AD4" s="11">
        <f>IF(OR(AB4="DATI MANCANTI",AC4="N/D"),"DA COMPLETARE",IF(AND(AB4="OK",AC4="OTTIMO"),"PASSA FORTE",IF(AND(AB4="OK",AC4="OK"),"PASSA","SCARTA")))</f>
        <v/>
      </c>
      <c r="AE4" s="10" t="inlineStr">
        <is>
          <t>2026-08-04</t>
        </is>
      </c>
      <c r="AF4" s="10" t="inlineStr">
        <is>
          <t>yahoo</t>
        </is>
      </c>
      <c r="AG4" s="21" t="inlineStr"/>
    </row>
    <row r="5">
      <c r="A5" s="10" t="n">
        <v>4</v>
      </c>
      <c r="B5" s="10" t="inlineStr">
        <is>
          <t>Alphabet</t>
        </is>
      </c>
      <c r="C5" s="10" t="inlineStr">
        <is>
          <t>GOOGL</t>
        </is>
      </c>
      <c r="D5" s="10" t="inlineStr">
        <is>
          <t>Internet / Cloud</t>
        </is>
      </c>
      <c r="E5" s="11" t="inlineStr">
        <is>
          <t>Tecnologia</t>
        </is>
      </c>
      <c r="F5" s="12" t="n">
        <v>373.51</v>
      </c>
      <c r="G5" s="13" t="inlineStr">
        <is>
          <t>USD</t>
        </is>
      </c>
      <c r="H5" s="14" t="n">
        <v>4568003.4</v>
      </c>
      <c r="I5" s="12" t="n">
        <v>19.94</v>
      </c>
      <c r="J5" s="12" t="n">
        <v>14.73443</v>
      </c>
      <c r="K5" s="15">
        <f>IF(OR(F5="",I5="",I5&lt;=0),"",F5/I5)</f>
        <v/>
      </c>
      <c r="L5" s="16" t="n">
        <v>7.3386908</v>
      </c>
      <c r="M5" s="17">
        <f>IF(OR(L5="",K5="",K5&lt;=0),"",L5/K5)</f>
        <v/>
      </c>
      <c r="N5" s="18" t="n">
        <v>0.48676</v>
      </c>
      <c r="O5" s="18" t="n">
        <v>0.280199841988681</v>
      </c>
      <c r="P5" s="18" t="n">
        <v>0.03440628523217517</v>
      </c>
      <c r="Q5" s="19" t="n">
        <v>4</v>
      </c>
      <c r="R5" s="18" t="n"/>
      <c r="S5" s="18" t="n">
        <v>0.3182786895115167</v>
      </c>
      <c r="T5" s="18" t="n">
        <v>0.3079757847202569</v>
      </c>
      <c r="U5" s="18" t="n">
        <v>0.2604109690555758</v>
      </c>
      <c r="V5" s="18" t="n">
        <v>0.2341339246673746</v>
      </c>
      <c r="W5" s="12" t="n">
        <v>0.88</v>
      </c>
      <c r="X5" s="17">
        <f>IF(OR(W5="",F5="",F5=0),"",W5/F5)</f>
        <v/>
      </c>
      <c r="Y5" s="20" t="n">
        <v>18.859</v>
      </c>
      <c r="Z5" s="18" t="n">
        <v>0.242</v>
      </c>
      <c r="AA5" s="18" t="n">
        <v>0.6060009406905044</v>
      </c>
      <c r="AB5" s="11">
        <f>IF(AND(N5="",O5=""),"DATI MANCANTI",IF(AND(N(N5)&gt;=PARAMETRI!$B$4,N(O5)&gt;=PARAMETRI!$B$4),"OK","NO"))</f>
        <v/>
      </c>
      <c r="AC5" s="11">
        <f>IF(K5="","N/D",IF(K5&lt;PARAMETRI!$B$6,"OTTIMO",IF(K5&lt;PARAMETRI!$B$5,"OK","NO")))</f>
        <v/>
      </c>
      <c r="AD5" s="11">
        <f>IF(OR(AB5="DATI MANCANTI",AC5="N/D"),"DA COMPLETARE",IF(AND(AB5="OK",AC5="OTTIMO"),"PASSA FORTE",IF(AND(AB5="OK",AC5="OK"),"PASSA","SCARTA")))</f>
        <v/>
      </c>
      <c r="AE5" s="10" t="inlineStr">
        <is>
          <t>2026-08-04</t>
        </is>
      </c>
      <c r="AF5" s="10" t="inlineStr">
        <is>
          <t>yahoo</t>
        </is>
      </c>
      <c r="AG5" s="21" t="inlineStr"/>
    </row>
    <row r="6">
      <c r="A6" s="10" t="n">
        <v>5</v>
      </c>
      <c r="B6" s="10" t="inlineStr">
        <is>
          <t>Amazon</t>
        </is>
      </c>
      <c r="C6" s="10" t="inlineStr">
        <is>
          <t>AMZN</t>
        </is>
      </c>
      <c r="D6" s="10" t="inlineStr">
        <is>
          <t>E-commerce / Cloud</t>
        </is>
      </c>
      <c r="E6" s="11" t="inlineStr">
        <is>
          <t>Tecnologia</t>
        </is>
      </c>
      <c r="F6" s="12" t="n">
        <v>284.02</v>
      </c>
      <c r="G6" s="13" t="inlineStr">
        <is>
          <t>USD</t>
        </is>
      </c>
      <c r="H6" s="14" t="n">
        <v>3063528.6</v>
      </c>
      <c r="I6" s="12" t="n">
        <v>12.44</v>
      </c>
      <c r="J6" s="12" t="n">
        <v>10.31743</v>
      </c>
      <c r="K6" s="15">
        <f>IF(OR(F6="",I6="",I6&lt;=0),"",F6/I6)</f>
        <v/>
      </c>
      <c r="L6" s="16" t="n">
        <v>5.552037</v>
      </c>
      <c r="M6" s="17">
        <f>IF(OR(L6="",K6="",K6&lt;=0),"",L6/K6)</f>
        <v/>
      </c>
      <c r="N6" s="18" t="n">
        <v>0.30558002</v>
      </c>
      <c r="O6" s="18" t="n">
        <v>0.1320511298823096</v>
      </c>
      <c r="P6" s="18" t="n">
        <v>0.08935541595787762</v>
      </c>
      <c r="Q6" s="19" t="n">
        <v>4</v>
      </c>
      <c r="R6" s="18" t="n"/>
      <c r="S6" s="18" t="n">
        <v>0.1889482198679041</v>
      </c>
      <c r="T6" s="18" t="n">
        <v>0.2071825715984194</v>
      </c>
      <c r="U6" s="18" t="n">
        <v>0.1507120743034056</v>
      </c>
      <c r="V6" s="18" t="n">
        <v>-0.01863834624049081</v>
      </c>
      <c r="W6" s="12" t="n"/>
      <c r="X6" s="17">
        <f>IF(OR(W6="",F6="",F6=0),"",W6/F6)</f>
        <v/>
      </c>
      <c r="Y6" s="20" t="n">
        <v>45.617</v>
      </c>
      <c r="Z6" s="18" t="n">
        <v>0.196</v>
      </c>
      <c r="AA6" s="18" t="n">
        <v>0.1886964314878564</v>
      </c>
      <c r="AB6" s="11">
        <f>IF(AND(N6="",O6=""),"DATI MANCANTI",IF(AND(N(N6)&gt;=PARAMETRI!$B$4,N(O6)&gt;=PARAMETRI!$B$4),"OK","NO"))</f>
        <v/>
      </c>
      <c r="AC6" s="11">
        <f>IF(K6="","N/D",IF(K6&lt;PARAMETRI!$B$6,"OTTIMO",IF(K6&lt;PARAMETRI!$B$5,"OK","NO")))</f>
        <v/>
      </c>
      <c r="AD6" s="11">
        <f>IF(OR(AB6="DATI MANCANTI",AC6="N/D"),"DA COMPLETARE",IF(AND(AB6="OK",AC6="OTTIMO"),"PASSA FORTE",IF(AND(AB6="OK",AC6="OK"),"PASSA","SCARTA")))</f>
        <v/>
      </c>
      <c r="AE6" s="10" t="inlineStr">
        <is>
          <t>2026-08-04</t>
        </is>
      </c>
      <c r="AF6" s="10" t="inlineStr">
        <is>
          <t>yahoo</t>
        </is>
      </c>
      <c r="AG6" s="21" t="inlineStr"/>
    </row>
    <row r="7">
      <c r="A7" s="10" t="n">
        <v>6</v>
      </c>
      <c r="B7" s="10" t="inlineStr">
        <is>
          <t>Analog Devices</t>
        </is>
      </c>
      <c r="C7" s="10" t="inlineStr">
        <is>
          <t>ADI</t>
        </is>
      </c>
      <c r="D7" s="10" t="inlineStr">
        <is>
          <t>Semiconduttori</t>
        </is>
      </c>
      <c r="E7" s="11" t="inlineStr">
        <is>
          <t>Tecnologia</t>
        </is>
      </c>
      <c r="F7" s="12" t="n">
        <v>361.88</v>
      </c>
      <c r="G7" s="13" t="inlineStr">
        <is>
          <t>USD</t>
        </is>
      </c>
      <c r="H7" s="14" t="n">
        <v>176267.1</v>
      </c>
      <c r="I7" s="12" t="n">
        <v>6.72</v>
      </c>
      <c r="J7" s="12" t="n">
        <v>15.06237</v>
      </c>
      <c r="K7" s="15">
        <f>IF(OR(F7="",I7="",I7&lt;=0),"",F7/I7)</f>
        <v/>
      </c>
      <c r="L7" s="16" t="n">
        <v>5.223969</v>
      </c>
      <c r="M7" s="17">
        <f>IF(OR(L7="",K7="",K7&lt;=0),"",L7/K7)</f>
        <v/>
      </c>
      <c r="N7" s="18" t="n">
        <v>0.09639</v>
      </c>
      <c r="O7" s="18" t="n">
        <v>0.0705274694515223</v>
      </c>
      <c r="P7" s="18" t="n">
        <v>0.01678852536801986</v>
      </c>
      <c r="Q7" s="19" t="n">
        <v>4</v>
      </c>
      <c r="R7" s="18" t="n"/>
      <c r="S7" s="18" t="n">
        <v>0.06704987068897324</v>
      </c>
      <c r="T7" s="18" t="n">
        <v>0.04648789695635276</v>
      </c>
      <c r="U7" s="18" t="n">
        <v>0.09319745901616758</v>
      </c>
      <c r="V7" s="18" t="n">
        <v>0.07537465114459564</v>
      </c>
      <c r="W7" s="12" t="n">
        <v>4.4</v>
      </c>
      <c r="X7" s="17">
        <f>IF(OR(W7="",F7="",F7=0),"",W7/F7)</f>
        <v/>
      </c>
      <c r="Y7" s="20" t="n">
        <v>25.81</v>
      </c>
      <c r="Z7" s="18" t="n">
        <v>0.372</v>
      </c>
      <c r="AA7" s="18" t="n">
        <v>0.3006824105214413</v>
      </c>
      <c r="AB7" s="11">
        <f>IF(AND(N7="",O7=""),"DATI MANCANTI",IF(AND(N(N7)&gt;=PARAMETRI!$B$4,N(O7)&gt;=PARAMETRI!$B$4),"OK","NO"))</f>
        <v/>
      </c>
      <c r="AC7" s="11">
        <f>IF(K7="","N/D",IF(K7&lt;PARAMETRI!$B$6,"OTTIMO",IF(K7&lt;PARAMETRI!$B$5,"OK","NO")))</f>
        <v/>
      </c>
      <c r="AD7" s="11">
        <f>IF(OR(AB7="DATI MANCANTI",AC7="N/D"),"DA COMPLETARE",IF(AND(AB7="OK",AC7="OTTIMO"),"PASSA FORTE",IF(AND(AB7="OK",AC7="OK"),"PASSA","SCARTA")))</f>
        <v/>
      </c>
      <c r="AE7" s="10" t="inlineStr">
        <is>
          <t>2026-08-04</t>
        </is>
      </c>
      <c r="AF7" s="10" t="inlineStr">
        <is>
          <t>yahoo</t>
        </is>
      </c>
      <c r="AG7" s="21" t="inlineStr"/>
    </row>
    <row r="8">
      <c r="A8" s="10" t="n">
        <v>7</v>
      </c>
      <c r="B8" s="10" t="inlineStr">
        <is>
          <t>Apple</t>
        </is>
      </c>
      <c r="C8" s="10" t="inlineStr">
        <is>
          <t>AAPL</t>
        </is>
      </c>
      <c r="D8" s="10" t="inlineStr">
        <is>
          <t>Hardware / Consumer tech</t>
        </is>
      </c>
      <c r="E8" s="11" t="inlineStr">
        <is>
          <t>Tecnologia</t>
        </is>
      </c>
      <c r="F8" s="12" t="n">
        <v>303.42</v>
      </c>
      <c r="G8" s="13" t="inlineStr">
        <is>
          <t>USD</t>
        </is>
      </c>
      <c r="H8" s="14" t="n">
        <v>4428166.3</v>
      </c>
      <c r="I8" s="12" t="n">
        <v>8.710000000000001</v>
      </c>
      <c r="J8" s="12" t="n">
        <v>9.513070000000001</v>
      </c>
      <c r="K8" s="15">
        <f>IF(OR(F8="",I8="",I8&lt;=0),"",F8/I8)</f>
        <v/>
      </c>
      <c r="L8" s="16" t="n">
        <v>41.225544</v>
      </c>
      <c r="M8" s="17">
        <f>IF(OR(L8="",K8="",K8&lt;=0),"",L8/K8)</f>
        <v/>
      </c>
      <c r="N8" s="18" t="n">
        <v>1.4875101</v>
      </c>
      <c r="O8" s="18" t="n">
        <v>1.673853434253124</v>
      </c>
      <c r="P8" s="18" t="n">
        <v>0.1767542683955699</v>
      </c>
      <c r="Q8" s="19" t="n">
        <v>4</v>
      </c>
      <c r="R8" s="18" t="n"/>
      <c r="S8" s="18" t="n">
        <v>1.519129833317511</v>
      </c>
      <c r="T8" s="18" t="n">
        <v>1.64593503072871</v>
      </c>
      <c r="U8" s="18" t="n">
        <v>1.560760145463908</v>
      </c>
      <c r="V8" s="18" t="n">
        <v>1.969588727502368</v>
      </c>
      <c r="W8" s="12" t="n">
        <v>1.08</v>
      </c>
      <c r="X8" s="17">
        <f>IF(OR(W8="",F8="",F8=0),"",W8/F8)</f>
        <v/>
      </c>
      <c r="Y8" s="20" t="n">
        <v>78.44499999999999</v>
      </c>
      <c r="Z8" s="18" t="n">
        <v>0.164</v>
      </c>
      <c r="AA8" s="18" t="n">
        <v>0.3098079752787983</v>
      </c>
      <c r="AB8" s="11">
        <f>IF(AND(N8="",O8=""),"DATI MANCANTI",IF(AND(N(N8)&gt;=PARAMETRI!$B$4,N(O8)&gt;=PARAMETRI!$B$4),"OK","NO"))</f>
        <v/>
      </c>
      <c r="AC8" s="11">
        <f>IF(K8="","N/D",IF(K8&lt;PARAMETRI!$B$6,"OTTIMO",IF(K8&lt;PARAMETRI!$B$5,"OK","NO")))</f>
        <v/>
      </c>
      <c r="AD8" s="11">
        <f>IF(OR(AB8="DATI MANCANTI",AC8="N/D"),"DA COMPLETARE",IF(AND(AB8="OK",AC8="OTTIMO"),"PASSA FORTE",IF(AND(AB8="OK",AC8="OK"),"PASSA","SCARTA")))</f>
        <v/>
      </c>
      <c r="AE8" s="10" t="inlineStr">
        <is>
          <t>2026-08-04</t>
        </is>
      </c>
      <c r="AF8" s="10" t="inlineStr">
        <is>
          <t>yahoo</t>
        </is>
      </c>
      <c r="AG8" s="21" t="inlineStr"/>
    </row>
    <row r="9">
      <c r="A9" s="10" t="n">
        <v>8</v>
      </c>
      <c r="B9" s="10" t="inlineStr">
        <is>
          <t>Applied Materials</t>
        </is>
      </c>
      <c r="C9" s="10" t="inlineStr">
        <is>
          <t>AMAT</t>
        </is>
      </c>
      <c r="D9" s="10" t="inlineStr">
        <is>
          <t>Apparecchiature semicond.</t>
        </is>
      </c>
      <c r="E9" s="11" t="inlineStr">
        <is>
          <t>Tecnologia</t>
        </is>
      </c>
      <c r="F9" s="12" t="n">
        <v>518.21</v>
      </c>
      <c r="G9" s="13" t="inlineStr">
        <is>
          <t>USD</t>
        </is>
      </c>
      <c r="H9" s="14" t="n">
        <v>411437.7</v>
      </c>
      <c r="I9" s="12" t="n">
        <v>10.61</v>
      </c>
      <c r="J9" s="12" t="n">
        <v>17.00044</v>
      </c>
      <c r="K9" s="15">
        <f>IF(OR(F9="",I9="",I9&lt;=0),"",F9/I9)</f>
        <v/>
      </c>
      <c r="L9" s="16" t="n">
        <v>17.208275</v>
      </c>
      <c r="M9" s="17">
        <f>IF(OR(L9="",K9="",K9&lt;=0),"",L9/K9)</f>
        <v/>
      </c>
      <c r="N9" s="18" t="n">
        <v>0.39692003</v>
      </c>
      <c r="O9" s="18" t="n">
        <v>0.4187390558280515</v>
      </c>
      <c r="P9" s="18" t="n">
        <v>0.07244233633790677</v>
      </c>
      <c r="Q9" s="19" t="n">
        <v>4</v>
      </c>
      <c r="R9" s="18" t="n"/>
      <c r="S9" s="18" t="n">
        <v>0.3427871662992897</v>
      </c>
      <c r="T9" s="18" t="n">
        <v>0.377716962265144</v>
      </c>
      <c r="U9" s="18" t="n">
        <v>0.4193528656186923</v>
      </c>
      <c r="V9" s="18" t="n">
        <v>0.5350992291290799</v>
      </c>
      <c r="W9" s="12" t="n">
        <v>2.12</v>
      </c>
      <c r="X9" s="17">
        <f>IF(OR(W9="",F9="",F9=0),"",W9/F9)</f>
        <v/>
      </c>
      <c r="Y9" s="20" t="n">
        <v>30.399</v>
      </c>
      <c r="Z9" s="18" t="n">
        <v>0.114</v>
      </c>
      <c r="AA9" s="18" t="n">
        <v>0.2999154066553864</v>
      </c>
      <c r="AB9" s="11">
        <f>IF(AND(N9="",O9=""),"DATI MANCANTI",IF(AND(N(N9)&gt;=PARAMETRI!$B$4,N(O9)&gt;=PARAMETRI!$B$4),"OK","NO"))</f>
        <v/>
      </c>
      <c r="AC9" s="11">
        <f>IF(K9="","N/D",IF(K9&lt;PARAMETRI!$B$6,"OTTIMO",IF(K9&lt;PARAMETRI!$B$5,"OK","NO")))</f>
        <v/>
      </c>
      <c r="AD9" s="11">
        <f>IF(OR(AB9="DATI MANCANTI",AC9="N/D"),"DA COMPLETARE",IF(AND(AB9="OK",AC9="OTTIMO"),"PASSA FORTE",IF(AND(AB9="OK",AC9="OK"),"PASSA","SCARTA")))</f>
        <v/>
      </c>
      <c r="AE9" s="10" t="inlineStr">
        <is>
          <t>2026-08-04</t>
        </is>
      </c>
      <c r="AF9" s="10" t="inlineStr">
        <is>
          <t>yahoo</t>
        </is>
      </c>
      <c r="AG9" s="21" t="inlineStr"/>
    </row>
    <row r="10">
      <c r="A10" s="10" t="n">
        <v>9</v>
      </c>
      <c r="B10" s="10" t="inlineStr">
        <is>
          <t>Arista Networks</t>
        </is>
      </c>
      <c r="C10" s="10" t="inlineStr">
        <is>
          <t>ANET</t>
        </is>
      </c>
      <c r="D10" s="10" t="inlineStr">
        <is>
          <t>Reti</t>
        </is>
      </c>
      <c r="E10" s="11" t="inlineStr">
        <is>
          <t>Tecnologia</t>
        </is>
      </c>
      <c r="F10" s="12" t="n">
        <v>184.89</v>
      </c>
      <c r="G10" s="13" t="inlineStr">
        <is>
          <t>USD</t>
        </is>
      </c>
      <c r="H10" s="14" t="n">
        <v>232807.8</v>
      </c>
      <c r="I10" s="12" t="n">
        <v>2.9</v>
      </c>
      <c r="J10" s="12" t="n">
        <v>4.46749</v>
      </c>
      <c r="K10" s="15">
        <f>IF(OR(F10="",I10="",I10&lt;=0),"",F10/I10)</f>
        <v/>
      </c>
      <c r="L10" s="16" t="n">
        <v>17.261692</v>
      </c>
      <c r="M10" s="17">
        <f>IF(OR(L10="",K10="",K10&lt;=0),"",L10/K10)</f>
        <v/>
      </c>
      <c r="N10" s="18" t="n">
        <v>0.31520998</v>
      </c>
      <c r="O10" s="18" t="n">
        <v>0.283789737682183</v>
      </c>
      <c r="P10" s="18" t="n">
        <v>0.00446577937764146</v>
      </c>
      <c r="Q10" s="19" t="n">
        <v>4</v>
      </c>
      <c r="R10" s="18" t="n"/>
      <c r="S10" s="18" t="n">
        <v>0.2838527141182652</v>
      </c>
      <c r="T10" s="18" t="n">
        <v>0.2853583863609077</v>
      </c>
      <c r="U10" s="18" t="n">
        <v>0.2891374069667529</v>
      </c>
      <c r="V10" s="18" t="n">
        <v>0.2768104432828062</v>
      </c>
      <c r="W10" s="12" t="n"/>
      <c r="X10" s="17">
        <f>IF(OR(W10="",F10="",F10=0),"",W10/F10)</f>
        <v/>
      </c>
      <c r="Y10" s="20" t="n"/>
      <c r="Z10" s="18" t="n">
        <v>0.351</v>
      </c>
      <c r="AA10" s="18" t="n">
        <v>0.4131272380825477</v>
      </c>
      <c r="AB10" s="11">
        <f>IF(AND(N10="",O10=""),"DATI MANCANTI",IF(AND(N(N10)&gt;=PARAMETRI!$B$4,N(O10)&gt;=PARAMETRI!$B$4),"OK","NO"))</f>
        <v/>
      </c>
      <c r="AC10" s="11">
        <f>IF(K10="","N/D",IF(K10&lt;PARAMETRI!$B$6,"OTTIMO",IF(K10&lt;PARAMETRI!$B$5,"OK","NO")))</f>
        <v/>
      </c>
      <c r="AD10" s="11">
        <f>IF(OR(AB10="DATI MANCANTI",AC10="N/D"),"DA COMPLETARE",IF(AND(AB10="OK",AC10="OTTIMO"),"PASSA FORTE",IF(AND(AB10="OK",AC10="OK"),"PASSA","SCARTA")))</f>
        <v/>
      </c>
      <c r="AE10" s="10" t="inlineStr">
        <is>
          <t>2026-08-04</t>
        </is>
      </c>
      <c r="AF10" s="10" t="inlineStr">
        <is>
          <t>yahoo</t>
        </is>
      </c>
      <c r="AG10" s="21" t="inlineStr"/>
    </row>
    <row r="11">
      <c r="A11" s="10" t="n">
        <v>10</v>
      </c>
      <c r="B11" s="10" t="inlineStr">
        <is>
          <t>Broadcom</t>
        </is>
      </c>
      <c r="C11" s="10" t="inlineStr">
        <is>
          <t>AVGO</t>
        </is>
      </c>
      <c r="D11" s="10" t="inlineStr">
        <is>
          <t>Semiconduttori</t>
        </is>
      </c>
      <c r="E11" s="11" t="inlineStr">
        <is>
          <t>Tecnologia</t>
        </is>
      </c>
      <c r="F11" s="12" t="n">
        <v>392.23</v>
      </c>
      <c r="G11" s="13" t="inlineStr">
        <is>
          <t>USD</t>
        </is>
      </c>
      <c r="H11" s="14" t="n">
        <v>1866065.8</v>
      </c>
      <c r="I11" s="12" t="n">
        <v>5.99</v>
      </c>
      <c r="J11" s="12" t="n">
        <v>19.49196</v>
      </c>
      <c r="K11" s="15">
        <f>IF(OR(F11="",I11="",I11&lt;=0),"",F11/I11)</f>
        <v/>
      </c>
      <c r="L11" s="16" t="n">
        <v>21.282148</v>
      </c>
      <c r="M11" s="17">
        <f>IF(OR(L11="",K11="",K11&lt;=0),"",L11/K11)</f>
        <v/>
      </c>
      <c r="N11" s="18" t="n">
        <v>0.37280998</v>
      </c>
      <c r="O11" s="18" t="n">
        <v>0.3662036929009307</v>
      </c>
      <c r="P11" s="18" t="n">
        <v>0.1955383898306939</v>
      </c>
      <c r="Q11" s="19" t="n">
        <v>4</v>
      </c>
      <c r="R11" s="18" t="n"/>
      <c r="S11" s="18" t="n">
        <v>0.2844806377011268</v>
      </c>
      <c r="T11" s="18" t="n">
        <v>0.08710363781435622</v>
      </c>
      <c r="U11" s="18" t="n">
        <v>0.5870435217608805</v>
      </c>
      <c r="V11" s="18" t="n">
        <v>0.5061869743273592</v>
      </c>
      <c r="W11" s="12" t="n">
        <v>2.6</v>
      </c>
      <c r="X11" s="17">
        <f>IF(OR(W11="",F11="",F11=0),"",W11/F11)</f>
        <v/>
      </c>
      <c r="Y11" s="20" t="n">
        <v>74.018</v>
      </c>
      <c r="Z11" s="18" t="n">
        <v>0.479</v>
      </c>
      <c r="AA11" s="18" t="n">
        <v>0.4588883367195204</v>
      </c>
      <c r="AB11" s="11">
        <f>IF(AND(N11="",O11=""),"DATI MANCANTI",IF(AND(N(N11)&gt;=PARAMETRI!$B$4,N(O11)&gt;=PARAMETRI!$B$4),"OK","NO"))</f>
        <v/>
      </c>
      <c r="AC11" s="11">
        <f>IF(K11="","N/D",IF(K11&lt;PARAMETRI!$B$6,"OTTIMO",IF(K11&lt;PARAMETRI!$B$5,"OK","NO")))</f>
        <v/>
      </c>
      <c r="AD11" s="11">
        <f>IF(OR(AB11="DATI MANCANTI",AC11="N/D"),"DA COMPLETARE",IF(AND(AB11="OK",AC11="OTTIMO"),"PASSA FORTE",IF(AND(AB11="OK",AC11="OK"),"PASSA","SCARTA")))</f>
        <v/>
      </c>
      <c r="AE11" s="10" t="inlineStr">
        <is>
          <t>2026-08-04</t>
        </is>
      </c>
      <c r="AF11" s="10" t="inlineStr">
        <is>
          <t>yahoo</t>
        </is>
      </c>
      <c r="AG11" s="21" t="inlineStr"/>
    </row>
    <row r="12">
      <c r="A12" s="10" t="n">
        <v>11</v>
      </c>
      <c r="B12" s="10" t="inlineStr">
        <is>
          <t>Cadence Design</t>
        </is>
      </c>
      <c r="C12" s="10" t="inlineStr">
        <is>
          <t>CDNS</t>
        </is>
      </c>
      <c r="D12" s="10" t="inlineStr">
        <is>
          <t>Software EDA</t>
        </is>
      </c>
      <c r="E12" s="11" t="inlineStr">
        <is>
          <t>Tecnologia</t>
        </is>
      </c>
      <c r="F12" s="12" t="n">
        <v>336.15</v>
      </c>
      <c r="G12" s="13" t="inlineStr">
        <is>
          <t>USD</t>
        </is>
      </c>
      <c r="H12" s="14" t="n">
        <v>92715.5</v>
      </c>
      <c r="I12" s="12" t="n">
        <v>5.03</v>
      </c>
      <c r="J12" s="12" t="n">
        <v>9.53711</v>
      </c>
      <c r="K12" s="15">
        <f>IF(OR(F12="",I12="",I12&lt;=0),"",F12/I12)</f>
        <v/>
      </c>
      <c r="L12" s="16" t="n">
        <v>13.498916</v>
      </c>
      <c r="M12" s="17">
        <f>IF(OR(L12="",K12="",K12&lt;=0),"",L12/K12)</f>
        <v/>
      </c>
      <c r="N12" s="18" t="n">
        <v>0.23229</v>
      </c>
      <c r="O12" s="18" t="n">
        <v>0.2608754092791846</v>
      </c>
      <c r="P12" s="18" t="n">
        <v>0.04740689685132777</v>
      </c>
      <c r="Q12" s="19" t="n">
        <v>4</v>
      </c>
      <c r="R12" s="18" t="n"/>
      <c r="S12" s="18" t="n">
        <v>0.2025669227963051</v>
      </c>
      <c r="T12" s="18" t="n">
        <v>0.2258406728206954</v>
      </c>
      <c r="U12" s="18" t="n">
        <v>0.3058346412491837</v>
      </c>
      <c r="V12" s="18" t="n">
        <v>0.3092594002505544</v>
      </c>
      <c r="W12" s="12" t="n"/>
      <c r="X12" s="17">
        <f>IF(OR(W12="",F12="",F12=0),"",W12/F12)</f>
        <v/>
      </c>
      <c r="Y12" s="20" t="n">
        <v>38.661</v>
      </c>
      <c r="Z12" s="18" t="n">
        <v>0.242</v>
      </c>
      <c r="AA12" s="18" t="n">
        <v>0.2601579539488204</v>
      </c>
      <c r="AB12" s="11">
        <f>IF(AND(N12="",O12=""),"DATI MANCANTI",IF(AND(N(N12)&gt;=PARAMETRI!$B$4,N(O12)&gt;=PARAMETRI!$B$4),"OK","NO"))</f>
        <v/>
      </c>
      <c r="AC12" s="11">
        <f>IF(K12="","N/D",IF(K12&lt;PARAMETRI!$B$6,"OTTIMO",IF(K12&lt;PARAMETRI!$B$5,"OK","NO")))</f>
        <v/>
      </c>
      <c r="AD12" s="11">
        <f>IF(OR(AB12="DATI MANCANTI",AC12="N/D"),"DA COMPLETARE",IF(AND(AB12="OK",AC12="OTTIMO"),"PASSA FORTE",IF(AND(AB12="OK",AC12="OK"),"PASSA","SCARTA")))</f>
        <v/>
      </c>
      <c r="AE12" s="10" t="inlineStr">
        <is>
          <t>2026-08-04</t>
        </is>
      </c>
      <c r="AF12" s="10" t="inlineStr">
        <is>
          <t>yahoo</t>
        </is>
      </c>
      <c r="AG12" s="21" t="inlineStr"/>
    </row>
    <row r="13">
      <c r="A13" s="10" t="n">
        <v>12</v>
      </c>
      <c r="B13" s="10" t="inlineStr">
        <is>
          <t>Cisco Systems</t>
        </is>
      </c>
      <c r="C13" s="10" t="inlineStr">
        <is>
          <t>CSCO</t>
        </is>
      </c>
      <c r="D13" s="10" t="inlineStr">
        <is>
          <t>Reti</t>
        </is>
      </c>
      <c r="E13" s="11" t="inlineStr">
        <is>
          <t>Tecnologia</t>
        </is>
      </c>
      <c r="F13" s="12" t="n">
        <v>115.86</v>
      </c>
      <c r="G13" s="13" t="inlineStr">
        <is>
          <t>USD</t>
        </is>
      </c>
      <c r="H13" s="14" t="n">
        <v>456654.6</v>
      </c>
      <c r="I13" s="12" t="n">
        <v>3</v>
      </c>
      <c r="J13" s="12" t="n">
        <v>4.79081</v>
      </c>
      <c r="K13" s="15">
        <f>IF(OR(F13="",I13="",I13&lt;=0),"",F13/I13)</f>
        <v/>
      </c>
      <c r="L13" s="16" t="n">
        <v>9.342795000000001</v>
      </c>
      <c r="M13" s="17">
        <f>IF(OR(L13="",K13="",K13&lt;=0),"",L13/K13)</f>
        <v/>
      </c>
      <c r="N13" s="18" t="n">
        <v>0.25229</v>
      </c>
      <c r="O13" s="18" t="n">
        <v>0.2564281077841425</v>
      </c>
      <c r="P13" s="18" t="n">
        <v>0.03471224998412185</v>
      </c>
      <c r="Q13" s="19" t="n">
        <v>4</v>
      </c>
      <c r="R13" s="18" t="n"/>
      <c r="S13" s="18" t="n">
        <v>0.2173216916081378</v>
      </c>
      <c r="T13" s="18" t="n">
        <v>0.2270277405020129</v>
      </c>
      <c r="U13" s="18" t="n">
        <v>0.2843776069262507</v>
      </c>
      <c r="V13" s="18" t="n">
        <v>0.2969853921001684</v>
      </c>
      <c r="W13" s="12" t="n">
        <v>1.68</v>
      </c>
      <c r="X13" s="17">
        <f>IF(OR(W13="",F13="",F13=0),"",W13/F13)</f>
        <v/>
      </c>
      <c r="Y13" s="20" t="n">
        <v>67.541</v>
      </c>
      <c r="Z13" s="18" t="n">
        <v>0.12</v>
      </c>
      <c r="AA13" s="18" t="n">
        <v>0.211070703145409</v>
      </c>
      <c r="AB13" s="11">
        <f>IF(AND(N13="",O13=""),"DATI MANCANTI",IF(AND(N(N13)&gt;=PARAMETRI!$B$4,N(O13)&gt;=PARAMETRI!$B$4),"OK","NO"))</f>
        <v/>
      </c>
      <c r="AC13" s="11">
        <f>IF(K13="","N/D",IF(K13&lt;PARAMETRI!$B$6,"OTTIMO",IF(K13&lt;PARAMETRI!$B$5,"OK","NO")))</f>
        <v/>
      </c>
      <c r="AD13" s="11">
        <f>IF(OR(AB13="DATI MANCANTI",AC13="N/D"),"DA COMPLETARE",IF(AND(AB13="OK",AC13="OTTIMO"),"PASSA FORTE",IF(AND(AB13="OK",AC13="OK"),"PASSA","SCARTA")))</f>
        <v/>
      </c>
      <c r="AE13" s="10" t="inlineStr">
        <is>
          <t>2026-08-04</t>
        </is>
      </c>
      <c r="AF13" s="10" t="inlineStr">
        <is>
          <t>yahoo</t>
        </is>
      </c>
      <c r="AG13" s="21" t="inlineStr"/>
    </row>
    <row r="14">
      <c r="A14" s="10" t="n">
        <v>13</v>
      </c>
      <c r="B14" s="10" t="inlineStr">
        <is>
          <t>CrowdStrike</t>
        </is>
      </c>
      <c r="C14" s="10" t="inlineStr">
        <is>
          <t>CRWD</t>
        </is>
      </c>
      <c r="D14" s="10" t="inlineStr">
        <is>
          <t>Cybersicurezza</t>
        </is>
      </c>
      <c r="E14" s="11" t="inlineStr">
        <is>
          <t>Tecnologia</t>
        </is>
      </c>
      <c r="F14" s="12" t="n">
        <v>202.54</v>
      </c>
      <c r="G14" s="13" t="inlineStr">
        <is>
          <t>USD</t>
        </is>
      </c>
      <c r="H14" s="14" t="n">
        <v>206238.2</v>
      </c>
      <c r="I14" s="12" t="n">
        <v>-0.04</v>
      </c>
      <c r="J14" s="12" t="n">
        <v>1.56266</v>
      </c>
      <c r="K14" s="15">
        <f>IF(OR(F14="",I14="",I14&lt;=0),"",F14/I14)</f>
        <v/>
      </c>
      <c r="L14" s="16" t="n">
        <v>44.5045</v>
      </c>
      <c r="M14" s="17">
        <f>IF(OR(L14="",K14="",K14&lt;=0),"",L14/K14)</f>
        <v/>
      </c>
      <c r="N14" s="18" t="n">
        <v>-0.0024899999</v>
      </c>
      <c r="O14" s="18" t="n">
        <v>-0.03380291957831719</v>
      </c>
      <c r="P14" s="18" t="n">
        <v>0.05799500312740814</v>
      </c>
      <c r="Q14" s="19" t="n">
        <v>4</v>
      </c>
      <c r="R14" s="18" t="n">
        <v>-0.0366955033319107</v>
      </c>
      <c r="S14" s="18" t="n">
        <v>-0.004647363282262447</v>
      </c>
      <c r="T14" s="18" t="n">
        <v>0.03132923891577508</v>
      </c>
      <c r="U14" s="18" t="n">
        <v>-0.1251980506148707</v>
      </c>
      <c r="V14" s="18" t="n"/>
      <c r="W14" s="12" t="n"/>
      <c r="X14" s="17">
        <f>IF(OR(W14="",F14="",F14=0),"",W14/F14)</f>
        <v/>
      </c>
      <c r="Y14" s="20" t="n">
        <v>17.568</v>
      </c>
      <c r="Z14" s="18" t="n">
        <v>0.256</v>
      </c>
      <c r="AA14" s="18" t="n">
        <v>-0.006330832989575032</v>
      </c>
      <c r="AB14" s="11">
        <f>IF(AND(N14="",O14=""),"DATI MANCANTI",IF(AND(N(N14)&gt;=PARAMETRI!$B$4,N(O14)&gt;=PARAMETRI!$B$4),"OK","NO"))</f>
        <v/>
      </c>
      <c r="AC14" s="11">
        <f>IF(K14="","N/D",IF(K14&lt;PARAMETRI!$B$6,"OTTIMO",IF(K14&lt;PARAMETRI!$B$5,"OK","NO")))</f>
        <v/>
      </c>
      <c r="AD14" s="11">
        <f>IF(OR(AB14="DATI MANCANTI",AC14="N/D"),"DA COMPLETARE",IF(AND(AB14="OK",AC14="OTTIMO"),"PASSA FORTE",IF(AND(AB14="OK",AC14="OK"),"PASSA","SCARTA")))</f>
        <v/>
      </c>
      <c r="AE14" s="10" t="inlineStr">
        <is>
          <t>2026-08-04</t>
        </is>
      </c>
      <c r="AF14" s="10" t="inlineStr">
        <is>
          <t>yahoo</t>
        </is>
      </c>
      <c r="AG14" s="21" t="inlineStr"/>
    </row>
    <row r="15">
      <c r="A15" s="10" t="n">
        <v>14</v>
      </c>
      <c r="B15" s="10" t="inlineStr">
        <is>
          <t>Dell Technologies</t>
        </is>
      </c>
      <c r="C15" s="10" t="inlineStr">
        <is>
          <t>DELL</t>
        </is>
      </c>
      <c r="D15" s="10" t="inlineStr">
        <is>
          <t>Hardware</t>
        </is>
      </c>
      <c r="E15" s="11" t="inlineStr">
        <is>
          <t>Tecnologia</t>
        </is>
      </c>
      <c r="F15" s="12" t="n">
        <v>429.02</v>
      </c>
      <c r="G15" s="13" t="inlineStr">
        <is>
          <t>USD</t>
        </is>
      </c>
      <c r="H15" s="14" t="n">
        <v>277208</v>
      </c>
      <c r="I15" s="12" t="n">
        <v>12.57</v>
      </c>
      <c r="J15" s="12" t="n">
        <v>21.85059</v>
      </c>
      <c r="K15" s="15">
        <f>IF(OR(F15="",I15="",I15&lt;=0),"",F15/I15)</f>
        <v/>
      </c>
      <c r="L15" s="16" t="n">
        <v>-198.34488</v>
      </c>
      <c r="M15" s="17">
        <f>IF(OR(L15="",K15="",K15&lt;=0),"",L15/K15)</f>
        <v/>
      </c>
      <c r="N15" s="18" t="n"/>
      <c r="O15" s="18" t="n"/>
      <c r="P15" s="18" t="n"/>
      <c r="Q15" s="19" t="n">
        <v>0</v>
      </c>
      <c r="R15" s="18" t="n"/>
      <c r="S15" s="18" t="n"/>
      <c r="T15" s="18" t="n"/>
      <c r="U15" s="18" t="n"/>
      <c r="V15" s="18" t="n"/>
      <c r="W15" s="12" t="n">
        <v>2.52</v>
      </c>
      <c r="X15" s="17">
        <f>IF(OR(W15="",F15="",F15=0),"",W15/F15)</f>
        <v/>
      </c>
      <c r="Y15" s="20" t="n"/>
      <c r="Z15" s="18" t="n">
        <v>0.875</v>
      </c>
      <c r="AA15" s="18" t="n">
        <v>0.07406330863675598</v>
      </c>
      <c r="AB15" s="11">
        <f>IF(AND(N15="",O15=""),"DATI MANCANTI",IF(AND(N(N15)&gt;=PARAMETRI!$B$4,N(O15)&gt;=PARAMETRI!$B$4),"OK","NO"))</f>
        <v/>
      </c>
      <c r="AC15" s="11">
        <f>IF(K15="","N/D",IF(K15&lt;PARAMETRI!$B$6,"OTTIMO",IF(K15&lt;PARAMETRI!$B$5,"OK","NO")))</f>
        <v/>
      </c>
      <c r="AD15" s="11">
        <f>IF(OR(AB15="DATI MANCANTI",AC15="N/D"),"DA COMPLETARE",IF(AND(AB15="OK",AC15="OTTIMO"),"PASSA FORTE",IF(AND(AB15="OK",AC15="OK"),"PASSA","SCARTA")))</f>
        <v/>
      </c>
      <c r="AE15" s="10" t="inlineStr">
        <is>
          <t>2026-08-04</t>
        </is>
      </c>
      <c r="AF15" s="10" t="inlineStr">
        <is>
          <t>yahoo</t>
        </is>
      </c>
      <c r="AG15" s="21" t="inlineStr"/>
    </row>
    <row r="16">
      <c r="A16" s="10" t="n">
        <v>15</v>
      </c>
      <c r="B16" s="10" t="inlineStr">
        <is>
          <t>IBM</t>
        </is>
      </c>
      <c r="C16" s="10" t="inlineStr">
        <is>
          <t>IBM</t>
        </is>
      </c>
      <c r="D16" s="10" t="inlineStr">
        <is>
          <t>Servizi IT</t>
        </is>
      </c>
      <c r="E16" s="11" t="inlineStr">
        <is>
          <t>Tecnologia</t>
        </is>
      </c>
      <c r="F16" s="12" t="n">
        <v>226.31</v>
      </c>
      <c r="G16" s="13" t="inlineStr">
        <is>
          <t>USD</t>
        </is>
      </c>
      <c r="H16" s="14" t="n">
        <v>213214.4</v>
      </c>
      <c r="I16" s="12" t="n">
        <v>11.25</v>
      </c>
      <c r="J16" s="12" t="n">
        <v>13.17491</v>
      </c>
      <c r="K16" s="15">
        <f>IF(OR(F16="",I16="",I16&lt;=0),"",F16/I16)</f>
        <v/>
      </c>
      <c r="L16" s="16" t="n">
        <v>6.188744</v>
      </c>
      <c r="M16" s="17">
        <f>IF(OR(L16="",K16="",K16&lt;=0),"",L16/K16)</f>
        <v/>
      </c>
      <c r="N16" s="18" t="n">
        <v>0.34460998</v>
      </c>
      <c r="O16" s="18" t="n">
        <v>0.23817417040765</v>
      </c>
      <c r="P16" s="18" t="n">
        <v>0.1042197094136844</v>
      </c>
      <c r="Q16" s="19" t="n">
        <v>4</v>
      </c>
      <c r="R16" s="18" t="n"/>
      <c r="S16" s="18" t="n">
        <v>0.3244609164420485</v>
      </c>
      <c r="T16" s="18" t="n">
        <v>0.2205661551983008</v>
      </c>
      <c r="U16" s="18" t="n">
        <v>0.3329339191408157</v>
      </c>
      <c r="V16" s="18" t="n">
        <v>0.07473569084943492</v>
      </c>
      <c r="W16" s="12" t="n">
        <v>6.76</v>
      </c>
      <c r="X16" s="17">
        <f>IF(OR(W16="",F16="",F16=0),"",W16/F16)</f>
        <v/>
      </c>
      <c r="Y16" s="20" t="n">
        <v>188.97</v>
      </c>
      <c r="Z16" s="18" t="n">
        <v>0.011</v>
      </c>
      <c r="AA16" s="18" t="n">
        <v>0.158508061596778</v>
      </c>
      <c r="AB16" s="11">
        <f>IF(AND(N16="",O16=""),"DATI MANCANTI",IF(AND(N(N16)&gt;=PARAMETRI!$B$4,N(O16)&gt;=PARAMETRI!$B$4),"OK","NO"))</f>
        <v/>
      </c>
      <c r="AC16" s="11">
        <f>IF(K16="","N/D",IF(K16&lt;PARAMETRI!$B$6,"OTTIMO",IF(K16&lt;PARAMETRI!$B$5,"OK","NO")))</f>
        <v/>
      </c>
      <c r="AD16" s="11">
        <f>IF(OR(AB16="DATI MANCANTI",AC16="N/D"),"DA COMPLETARE",IF(AND(AB16="OK",AC16="OTTIMO"),"PASSA FORTE",IF(AND(AB16="OK",AC16="OK"),"PASSA","SCARTA")))</f>
        <v/>
      </c>
      <c r="AE16" s="10" t="inlineStr">
        <is>
          <t>2026-08-04</t>
        </is>
      </c>
      <c r="AF16" s="10" t="inlineStr">
        <is>
          <t>yahoo</t>
        </is>
      </c>
      <c r="AG16" s="21" t="inlineStr"/>
    </row>
    <row r="17">
      <c r="A17" s="10" t="n">
        <v>16</v>
      </c>
      <c r="B17" s="10" t="inlineStr">
        <is>
          <t>Intel</t>
        </is>
      </c>
      <c r="C17" s="10" t="inlineStr">
        <is>
          <t>INTC</t>
        </is>
      </c>
      <c r="D17" s="10" t="inlineStr">
        <is>
          <t>Semiconduttori</t>
        </is>
      </c>
      <c r="E17" s="11" t="inlineStr">
        <is>
          <t>Tecnologia</t>
        </is>
      </c>
      <c r="F17" s="12" t="n">
        <v>91</v>
      </c>
      <c r="G17" s="13" t="inlineStr">
        <is>
          <t>USD</t>
        </is>
      </c>
      <c r="H17" s="14" t="n">
        <v>459004</v>
      </c>
      <c r="I17" s="12" t="n">
        <v>-2.09</v>
      </c>
      <c r="J17" s="12" t="n">
        <v>2.03736</v>
      </c>
      <c r="K17" s="15">
        <f>IF(OR(F17="",I17="",I17&lt;=0),"",F17/I17)</f>
        <v/>
      </c>
      <c r="L17" s="16" t="n">
        <v>5.2422376</v>
      </c>
      <c r="M17" s="17">
        <f>IF(OR(L17="",K17="",K17&lt;=0),"",L17/K17)</f>
        <v/>
      </c>
      <c r="N17" s="18" t="n">
        <v>-0.10715</v>
      </c>
      <c r="O17" s="18" t="n">
        <v>-0.02406604052723915</v>
      </c>
      <c r="P17" s="18" t="n">
        <v>0.09985756972463626</v>
      </c>
      <c r="Q17" s="19" t="n">
        <v>4</v>
      </c>
      <c r="R17" s="18" t="n"/>
      <c r="S17" s="18" t="n">
        <v>-0.002336346374287939</v>
      </c>
      <c r="T17" s="18" t="n">
        <v>-0.1889392565729828</v>
      </c>
      <c r="U17" s="18" t="n">
        <v>0.01599583293872526</v>
      </c>
      <c r="V17" s="18" t="n">
        <v>0.07901560789958885</v>
      </c>
      <c r="W17" s="12" t="n"/>
      <c r="X17" s="17">
        <f>IF(OR(W17="",F17="",F17=0),"",W17/F17)</f>
        <v/>
      </c>
      <c r="Y17" s="20" t="n">
        <v>48.997</v>
      </c>
      <c r="Z17" s="18" t="n">
        <v>0.254</v>
      </c>
      <c r="AA17" s="18" t="n">
        <v>-0.213592415492025</v>
      </c>
      <c r="AB17" s="11">
        <f>IF(AND(N17="",O17=""),"DATI MANCANTI",IF(AND(N(N17)&gt;=PARAMETRI!$B$4,N(O17)&gt;=PARAMETRI!$B$4),"OK","NO"))</f>
        <v/>
      </c>
      <c r="AC17" s="11">
        <f>IF(K17="","N/D",IF(K17&lt;PARAMETRI!$B$6,"OTTIMO",IF(K17&lt;PARAMETRI!$B$5,"OK","NO")))</f>
        <v/>
      </c>
      <c r="AD17" s="11">
        <f>IF(OR(AB17="DATI MANCANTI",AC17="N/D"),"DA COMPLETARE",IF(AND(AB17="OK",AC17="OTTIMO"),"PASSA FORTE",IF(AND(AB17="OK",AC17="OK"),"PASSA","SCARTA")))</f>
        <v/>
      </c>
      <c r="AE17" s="10" t="inlineStr">
        <is>
          <t>2026-08-04</t>
        </is>
      </c>
      <c r="AF17" s="10" t="inlineStr">
        <is>
          <t>yahoo</t>
        </is>
      </c>
      <c r="AG17" s="21" t="inlineStr"/>
    </row>
    <row r="18">
      <c r="A18" s="10" t="n">
        <v>17</v>
      </c>
      <c r="B18" s="10" t="inlineStr">
        <is>
          <t>Intuit</t>
        </is>
      </c>
      <c r="C18" s="10" t="inlineStr">
        <is>
          <t>INTU</t>
        </is>
      </c>
      <c r="D18" s="10" t="inlineStr">
        <is>
          <t>Software</t>
        </is>
      </c>
      <c r="E18" s="11" t="inlineStr">
        <is>
          <t>Tecnologia</t>
        </is>
      </c>
      <c r="F18" s="12" t="n">
        <v>318.39</v>
      </c>
      <c r="G18" s="13" t="inlineStr">
        <is>
          <t>USD</t>
        </is>
      </c>
      <c r="H18" s="14" t="n">
        <v>87091.39999999999</v>
      </c>
      <c r="I18" s="12" t="n">
        <v>16.4</v>
      </c>
      <c r="J18" s="12" t="n">
        <v>27.36035</v>
      </c>
      <c r="K18" s="15">
        <f>IF(OR(F18="",I18="",I18&lt;=0),"",F18/I18)</f>
        <v/>
      </c>
      <c r="L18" s="16" t="n">
        <v>4.2330656</v>
      </c>
      <c r="M18" s="17">
        <f>IF(OR(L18="",K18="",K18&lt;=0),"",L18/K18)</f>
        <v/>
      </c>
      <c r="N18" s="18" t="n">
        <v>0.22496</v>
      </c>
      <c r="O18" s="18" t="n">
        <v>0.1551816887709601</v>
      </c>
      <c r="P18" s="18" t="n">
        <v>0.02686062869345323</v>
      </c>
      <c r="Q18" s="19" t="n">
        <v>4</v>
      </c>
      <c r="R18" s="18" t="n"/>
      <c r="S18" s="18" t="n">
        <v>0.1962962962962963</v>
      </c>
      <c r="T18" s="18" t="n">
        <v>0.1607181601215014</v>
      </c>
      <c r="U18" s="18" t="n">
        <v>0.1380508425502345</v>
      </c>
      <c r="V18" s="18" t="n">
        <v>0.125661456115808</v>
      </c>
      <c r="W18" s="12" t="n">
        <v>4.8</v>
      </c>
      <c r="X18" s="17">
        <f>IF(OR(W18="",F18="",F18=0),"",W18/F18)</f>
        <v/>
      </c>
      <c r="Y18" s="20" t="n">
        <v>33.448</v>
      </c>
      <c r="Z18" s="18" t="n">
        <v>0.104</v>
      </c>
      <c r="AA18" s="18" t="n">
        <v>0.2434283893579736</v>
      </c>
      <c r="AB18" s="11">
        <f>IF(AND(N18="",O18=""),"DATI MANCANTI",IF(AND(N(N18)&gt;=PARAMETRI!$B$4,N(O18)&gt;=PARAMETRI!$B$4),"OK","NO"))</f>
        <v/>
      </c>
      <c r="AC18" s="11">
        <f>IF(K18="","N/D",IF(K18&lt;PARAMETRI!$B$6,"OTTIMO",IF(K18&lt;PARAMETRI!$B$5,"OK","NO")))</f>
        <v/>
      </c>
      <c r="AD18" s="11">
        <f>IF(OR(AB18="DATI MANCANTI",AC18="N/D"),"DA COMPLETARE",IF(AND(AB18="OK",AC18="OTTIMO"),"PASSA FORTE",IF(AND(AB18="OK",AC18="OK"),"PASSA","SCARTA")))</f>
        <v/>
      </c>
      <c r="AE18" s="10" t="inlineStr">
        <is>
          <t>2026-08-04</t>
        </is>
      </c>
      <c r="AF18" s="10" t="inlineStr">
        <is>
          <t>yahoo</t>
        </is>
      </c>
      <c r="AG18" s="21" t="inlineStr"/>
    </row>
    <row r="19">
      <c r="A19" s="10" t="n">
        <v>18</v>
      </c>
      <c r="B19" s="10" t="inlineStr">
        <is>
          <t>KLA Corporation</t>
        </is>
      </c>
      <c r="C19" s="10" t="inlineStr">
        <is>
          <t>KLAC</t>
        </is>
      </c>
      <c r="D19" s="10" t="inlineStr">
        <is>
          <t>Apparecchiature semicond.</t>
        </is>
      </c>
      <c r="E19" s="11" t="inlineStr">
        <is>
          <t>Tecnologia</t>
        </is>
      </c>
      <c r="F19" s="12" t="n">
        <v>182.75</v>
      </c>
      <c r="G19" s="13" t="inlineStr">
        <is>
          <t>USD</t>
        </is>
      </c>
      <c r="H19" s="14" t="n">
        <v>238721.8</v>
      </c>
      <c r="I19" s="12" t="n">
        <v>3.66</v>
      </c>
      <c r="J19" s="12" t="n">
        <v>6.54928</v>
      </c>
      <c r="K19" s="15">
        <f>IF(OR(F19="",I19="",I19&lt;=0),"",F19/I19)</f>
        <v/>
      </c>
      <c r="L19" s="16" t="n">
        <v>40.966152</v>
      </c>
      <c r="M19" s="17">
        <f>IF(OR(L19="",K19="",K19&lt;=0),"",L19/K19)</f>
        <v/>
      </c>
      <c r="N19" s="18" t="n">
        <v>0.87496</v>
      </c>
      <c r="O19" s="18" t="n">
        <v>1.304021523503468</v>
      </c>
      <c r="P19" s="18" t="n">
        <v>0.6293831742631367</v>
      </c>
      <c r="Q19" s="19" t="n">
        <v>4</v>
      </c>
      <c r="R19" s="18" t="n"/>
      <c r="S19" s="18" t="n">
        <v>0.8655692449130551</v>
      </c>
      <c r="T19" s="18" t="n">
        <v>0.8199605264095421</v>
      </c>
      <c r="U19" s="18" t="n">
        <v>1.160124503682332</v>
      </c>
      <c r="V19" s="18" t="n">
        <v>2.370431819008942</v>
      </c>
      <c r="W19" s="12" t="n">
        <v>0.92</v>
      </c>
      <c r="X19" s="17">
        <f>IF(OR(W19="",F19="",F19=0),"",W19/F19)</f>
        <v/>
      </c>
      <c r="Y19" s="20" t="n">
        <v>92.718</v>
      </c>
      <c r="Z19" s="18" t="n">
        <v>0.152</v>
      </c>
      <c r="AA19" s="18" t="n">
        <v>0.3973927955221393</v>
      </c>
      <c r="AB19" s="11">
        <f>IF(AND(N19="",O19=""),"DATI MANCANTI",IF(AND(N(N19)&gt;=PARAMETRI!$B$4,N(O19)&gt;=PARAMETRI!$B$4),"OK","NO"))</f>
        <v/>
      </c>
      <c r="AC19" s="11">
        <f>IF(K19="","N/D",IF(K19&lt;PARAMETRI!$B$6,"OTTIMO",IF(K19&lt;PARAMETRI!$B$5,"OK","NO")))</f>
        <v/>
      </c>
      <c r="AD19" s="11">
        <f>IF(OR(AB19="DATI MANCANTI",AC19="N/D"),"DA COMPLETARE",IF(AND(AB19="OK",AC19="OTTIMO"),"PASSA FORTE",IF(AND(AB19="OK",AC19="OK"),"PASSA","SCARTA")))</f>
        <v/>
      </c>
      <c r="AE19" s="10" t="inlineStr">
        <is>
          <t>2026-08-04</t>
        </is>
      </c>
      <c r="AF19" s="10" t="inlineStr">
        <is>
          <t>yahoo</t>
        </is>
      </c>
      <c r="AG19" s="21" t="inlineStr"/>
    </row>
    <row r="20">
      <c r="A20" s="10" t="n">
        <v>19</v>
      </c>
      <c r="B20" s="10" t="inlineStr">
        <is>
          <t>Lam Research</t>
        </is>
      </c>
      <c r="C20" s="10" t="inlineStr">
        <is>
          <t>LRCX</t>
        </is>
      </c>
      <c r="D20" s="10" t="inlineStr">
        <is>
          <t>Apparecchiature semicond.</t>
        </is>
      </c>
      <c r="E20" s="11" t="inlineStr">
        <is>
          <t>Tecnologia</t>
        </is>
      </c>
      <c r="F20" s="12" t="n">
        <v>294.61</v>
      </c>
      <c r="G20" s="13" t="inlineStr">
        <is>
          <t>USD</t>
        </is>
      </c>
      <c r="H20" s="14" t="n">
        <v>368639</v>
      </c>
      <c r="I20" s="12" t="n">
        <v>5.77</v>
      </c>
      <c r="J20" s="12" t="n">
        <v>11.52522</v>
      </c>
      <c r="K20" s="15">
        <f>IF(OR(F20="",I20="",I20&lt;=0),"",F20/I20)</f>
        <v/>
      </c>
      <c r="L20" s="16" t="n">
        <v>34.80742</v>
      </c>
      <c r="M20" s="17">
        <f>IF(OR(L20="",K20="",K20&lt;=0),"",L20/K20)</f>
        <v/>
      </c>
      <c r="N20" s="18" t="n">
        <v>0.65066004</v>
      </c>
      <c r="O20" s="18" t="n">
        <v>0.5686336609788991</v>
      </c>
      <c r="P20" s="18" t="n">
        <v>0.1033055583573132</v>
      </c>
      <c r="Q20" s="19" t="n">
        <v>4</v>
      </c>
      <c r="R20" s="18" t="n"/>
      <c r="S20" s="18" t="n">
        <v>0.5433405001754783</v>
      </c>
      <c r="T20" s="18" t="n">
        <v>0.4482455201468384</v>
      </c>
      <c r="U20" s="18" t="n">
        <v>0.5494319729233443</v>
      </c>
      <c r="V20" s="18" t="n">
        <v>0.7335166506699354</v>
      </c>
      <c r="W20" s="12" t="n">
        <v>1.04</v>
      </c>
      <c r="X20" s="17">
        <f>IF(OR(W20="",F20="",F20=0),"",W20/F20)</f>
        <v/>
      </c>
      <c r="Y20" s="20" t="n">
        <v>29.946</v>
      </c>
      <c r="Z20" s="18" t="n">
        <v>0.3</v>
      </c>
      <c r="AA20" s="18" t="n">
        <v>0.3940961927393594</v>
      </c>
      <c r="AB20" s="11">
        <f>IF(AND(N20="",O20=""),"DATI MANCANTI",IF(AND(N(N20)&gt;=PARAMETRI!$B$4,N(O20)&gt;=PARAMETRI!$B$4),"OK","NO"))</f>
        <v/>
      </c>
      <c r="AC20" s="11">
        <f>IF(K20="","N/D",IF(K20&lt;PARAMETRI!$B$6,"OTTIMO",IF(K20&lt;PARAMETRI!$B$5,"OK","NO")))</f>
        <v/>
      </c>
      <c r="AD20" s="11">
        <f>IF(OR(AB20="DATI MANCANTI",AC20="N/D"),"DA COMPLETARE",IF(AND(AB20="OK",AC20="OTTIMO"),"PASSA FORTE",IF(AND(AB20="OK",AC20="OK"),"PASSA","SCARTA")))</f>
        <v/>
      </c>
      <c r="AE20" s="10" t="inlineStr">
        <is>
          <t>2026-08-04</t>
        </is>
      </c>
      <c r="AF20" s="10" t="inlineStr">
        <is>
          <t>yahoo</t>
        </is>
      </c>
      <c r="AG20" s="21" t="inlineStr"/>
    </row>
    <row r="21">
      <c r="A21" s="10" t="n">
        <v>20</v>
      </c>
      <c r="B21" s="10" t="inlineStr">
        <is>
          <t>Marvell Technology</t>
        </is>
      </c>
      <c r="C21" s="10" t="inlineStr">
        <is>
          <t>MRVL</t>
        </is>
      </c>
      <c r="D21" s="10" t="inlineStr">
        <is>
          <t>Semiconduttori</t>
        </is>
      </c>
      <c r="E21" s="11" t="inlineStr">
        <is>
          <t>Tecnologia</t>
        </is>
      </c>
      <c r="F21" s="12" t="n">
        <v>193.775</v>
      </c>
      <c r="G21" s="13" t="inlineStr">
        <is>
          <t>USD</t>
        </is>
      </c>
      <c r="H21" s="14" t="n">
        <v>173921.7</v>
      </c>
      <c r="I21" s="12" t="n">
        <v>2.91</v>
      </c>
      <c r="J21" s="12" t="n">
        <v>6.24094</v>
      </c>
      <c r="K21" s="15">
        <f>IF(OR(F21="",I21="",I21&lt;=0),"",F21/I21)</f>
        <v/>
      </c>
      <c r="L21" s="16" t="n">
        <v>9.314314</v>
      </c>
      <c r="M21" s="17">
        <f>IF(OR(L21="",K21="",K21&lt;=0),"",L21/K21)</f>
        <v/>
      </c>
      <c r="N21" s="18" t="n">
        <v>0.16028</v>
      </c>
      <c r="O21" s="18" t="n">
        <v>0.01182720310676225</v>
      </c>
      <c r="P21" s="18" t="n">
        <v>0.1032937733974441</v>
      </c>
      <c r="Q21" s="19" t="n">
        <v>4</v>
      </c>
      <c r="R21" s="18" t="n">
        <v>0.1866106622683179</v>
      </c>
      <c r="S21" s="18" t="n">
        <v>-0.06591196842183659</v>
      </c>
      <c r="T21" s="18" t="n">
        <v>-0.06293404533624607</v>
      </c>
      <c r="U21" s="18" t="n">
        <v>-0.01045583608318625</v>
      </c>
      <c r="V21" s="18" t="n"/>
      <c r="W21" s="12" t="n">
        <v>0.24</v>
      </c>
      <c r="X21" s="17">
        <f>IF(OR(W21="",F21="",F21=0),"",W21/F21)</f>
        <v/>
      </c>
      <c r="Y21" s="20" t="n">
        <v>28.97</v>
      </c>
      <c r="Z21" s="18" t="n">
        <v>0.276</v>
      </c>
      <c r="AA21" s="18" t="n">
        <v>0.3083372015717668</v>
      </c>
      <c r="AB21" s="11">
        <f>IF(AND(N21="",O21=""),"DATI MANCANTI",IF(AND(N(N21)&gt;=PARAMETRI!$B$4,N(O21)&gt;=PARAMETRI!$B$4),"OK","NO"))</f>
        <v/>
      </c>
      <c r="AC21" s="11">
        <f>IF(K21="","N/D",IF(K21&lt;PARAMETRI!$B$6,"OTTIMO",IF(K21&lt;PARAMETRI!$B$5,"OK","NO")))</f>
        <v/>
      </c>
      <c r="AD21" s="11">
        <f>IF(OR(AB21="DATI MANCANTI",AC21="N/D"),"DA COMPLETARE",IF(AND(AB21="OK",AC21="OTTIMO"),"PASSA FORTE",IF(AND(AB21="OK",AC21="OK"),"PASSA","SCARTA")))</f>
        <v/>
      </c>
      <c r="AE21" s="10" t="inlineStr">
        <is>
          <t>2026-08-04</t>
        </is>
      </c>
      <c r="AF21" s="10" t="inlineStr">
        <is>
          <t>yahoo</t>
        </is>
      </c>
      <c r="AG21" s="21" t="inlineStr"/>
    </row>
    <row r="22">
      <c r="A22" s="10" t="n">
        <v>21</v>
      </c>
      <c r="B22" s="10" t="inlineStr">
        <is>
          <t>Meta Platforms</t>
        </is>
      </c>
      <c r="C22" s="10" t="inlineStr">
        <is>
          <t>META</t>
        </is>
      </c>
      <c r="D22" s="10" t="inlineStr">
        <is>
          <t>Internet / Pubblicita'</t>
        </is>
      </c>
      <c r="E22" s="11" t="inlineStr">
        <is>
          <t>Tecnologia</t>
        </is>
      </c>
      <c r="F22" s="12" t="n">
        <v>590.24</v>
      </c>
      <c r="G22" s="13" t="inlineStr">
        <is>
          <t>USD</t>
        </is>
      </c>
      <c r="H22" s="14" t="n">
        <v>1503640</v>
      </c>
      <c r="I22" s="12" t="n">
        <v>26.56</v>
      </c>
      <c r="J22" s="12" t="n">
        <v>34.89882</v>
      </c>
      <c r="K22" s="15">
        <f>IF(OR(F22="",I22="",I22&lt;=0),"",F22/I22)</f>
        <v/>
      </c>
      <c r="L22" s="16" t="n">
        <v>6.1475005</v>
      </c>
      <c r="M22" s="17">
        <f>IF(OR(L22="",K22="",K22&lt;=0),"",L22/K22)</f>
        <v/>
      </c>
      <c r="N22" s="18" t="n">
        <v>0.29848</v>
      </c>
      <c r="O22" s="18" t="n">
        <v>0.2648871265585463</v>
      </c>
      <c r="P22" s="18" t="n">
        <v>0.05609730945851681</v>
      </c>
      <c r="Q22" s="19" t="n">
        <v>4</v>
      </c>
      <c r="R22" s="18" t="n"/>
      <c r="S22" s="18" t="n">
        <v>0.2782966539773433</v>
      </c>
      <c r="T22" s="18" t="n">
        <v>0.3414423145364849</v>
      </c>
      <c r="U22" s="18" t="n">
        <v>0.2552621957589052</v>
      </c>
      <c r="V22" s="18" t="n">
        <v>0.1845473419614519</v>
      </c>
      <c r="W22" s="12" t="n">
        <v>2.1</v>
      </c>
      <c r="X22" s="17">
        <f>IF(OR(W22="",F22="",F22=0),"",W22/F22)</f>
        <v/>
      </c>
      <c r="Y22" s="20" t="n">
        <v>42.997</v>
      </c>
      <c r="Z22" s="18" t="n">
        <v>0.28</v>
      </c>
      <c r="AA22" s="18" t="n">
        <v>0.3388533326433327</v>
      </c>
      <c r="AB22" s="11">
        <f>IF(AND(N22="",O22=""),"DATI MANCANTI",IF(AND(N(N22)&gt;=PARAMETRI!$B$4,N(O22)&gt;=PARAMETRI!$B$4),"OK","NO"))</f>
        <v/>
      </c>
      <c r="AC22" s="11">
        <f>IF(K22="","N/D",IF(K22&lt;PARAMETRI!$B$6,"OTTIMO",IF(K22&lt;PARAMETRI!$B$5,"OK","NO")))</f>
        <v/>
      </c>
      <c r="AD22" s="11">
        <f>IF(OR(AB22="DATI MANCANTI",AC22="N/D"),"DA COMPLETARE",IF(AND(AB22="OK",AC22="OTTIMO"),"PASSA FORTE",IF(AND(AB22="OK",AC22="OK"),"PASSA","SCARTA")))</f>
        <v/>
      </c>
      <c r="AE22" s="10" t="inlineStr">
        <is>
          <t>2026-08-04</t>
        </is>
      </c>
      <c r="AF22" s="10" t="inlineStr">
        <is>
          <t>yahoo</t>
        </is>
      </c>
      <c r="AG22" s="21" t="inlineStr"/>
    </row>
    <row r="23">
      <c r="A23" s="10" t="n">
        <v>22</v>
      </c>
      <c r="B23" s="10" t="inlineStr">
        <is>
          <t>Micron Technology</t>
        </is>
      </c>
      <c r="C23" s="10" t="inlineStr">
        <is>
          <t>MU</t>
        </is>
      </c>
      <c r="D23" s="10" t="inlineStr">
        <is>
          <t>Semiconduttori / Memorie</t>
        </is>
      </c>
      <c r="E23" s="11" t="inlineStr">
        <is>
          <t>Tecnologia</t>
        </is>
      </c>
      <c r="F23" s="12" t="n">
        <v>829.5</v>
      </c>
      <c r="G23" s="13" t="inlineStr">
        <is>
          <t>USD</t>
        </is>
      </c>
      <c r="H23" s="14" t="n">
        <v>936831.6</v>
      </c>
      <c r="I23" s="12" t="n">
        <v>44.28</v>
      </c>
      <c r="J23" s="12" t="n">
        <v>155.56306</v>
      </c>
      <c r="K23" s="15">
        <f>IF(OR(F23="",I23="",I23&lt;=0),"",F23/I23)</f>
        <v/>
      </c>
      <c r="L23" s="16" t="n">
        <v>9.297764000000001</v>
      </c>
      <c r="M23" s="17">
        <f>IF(OR(L23="",K23="",K23&lt;=0),"",L23/K23)</f>
        <v/>
      </c>
      <c r="N23" s="18" t="n">
        <v>0.66638</v>
      </c>
      <c r="O23" s="18" t="n">
        <v>0.05418569393215231</v>
      </c>
      <c r="P23" s="18" t="n">
        <v>0.1236757150852483</v>
      </c>
      <c r="Q23" s="19" t="n">
        <v>4</v>
      </c>
      <c r="R23" s="18" t="n"/>
      <c r="S23" s="18" t="n">
        <v>0.1576479276285424</v>
      </c>
      <c r="T23" s="18" t="n">
        <v>0.0172387051029226</v>
      </c>
      <c r="U23" s="18" t="n">
        <v>-0.132207615593835</v>
      </c>
      <c r="V23" s="18" t="n">
        <v>0.1740637585909792</v>
      </c>
      <c r="W23" s="12" t="n">
        <v>0.53</v>
      </c>
      <c r="X23" s="17">
        <f>IF(OR(W23="",F23="",F23=0),"",W23/F23)</f>
        <v/>
      </c>
      <c r="Y23" s="20" t="n">
        <v>6.33</v>
      </c>
      <c r="Z23" s="18" t="n">
        <v>3.457</v>
      </c>
      <c r="AA23" s="18" t="n">
        <v>1.350232734977795</v>
      </c>
      <c r="AB23" s="11">
        <f>IF(AND(N23="",O23=""),"DATI MANCANTI",IF(AND(N(N23)&gt;=PARAMETRI!$B$4,N(O23)&gt;=PARAMETRI!$B$4),"OK","NO"))</f>
        <v/>
      </c>
      <c r="AC23" s="11">
        <f>IF(K23="","N/D",IF(K23&lt;PARAMETRI!$B$6,"OTTIMO",IF(K23&lt;PARAMETRI!$B$5,"OK","NO")))</f>
        <v/>
      </c>
      <c r="AD23" s="11">
        <f>IF(OR(AB23="DATI MANCANTI",AC23="N/D"),"DA COMPLETARE",IF(AND(AB23="OK",AC23="OTTIMO"),"PASSA FORTE",IF(AND(AB23="OK",AC23="OK"),"PASSA","SCARTA")))</f>
        <v/>
      </c>
      <c r="AE23" s="10" t="inlineStr">
        <is>
          <t>2026-08-04</t>
        </is>
      </c>
      <c r="AF23" s="10" t="inlineStr">
        <is>
          <t>yahoo</t>
        </is>
      </c>
      <c r="AG23" s="21" t="inlineStr"/>
    </row>
    <row r="24">
      <c r="A24" s="10" t="n">
        <v>23</v>
      </c>
      <c r="B24" s="10" t="inlineStr">
        <is>
          <t>Microsoft</t>
        </is>
      </c>
      <c r="C24" s="10" t="inlineStr">
        <is>
          <t>MSFT</t>
        </is>
      </c>
      <c r="D24" s="10" t="inlineStr">
        <is>
          <t>Software / Cloud</t>
        </is>
      </c>
      <c r="E24" s="11" t="inlineStr">
        <is>
          <t>Tecnologia</t>
        </is>
      </c>
      <c r="F24" s="12" t="n">
        <v>487.65</v>
      </c>
      <c r="G24" s="13" t="inlineStr">
        <is>
          <t>USD</t>
        </is>
      </c>
      <c r="H24" s="14" t="n">
        <v>3621067.4</v>
      </c>
      <c r="I24" s="12" t="n">
        <v>17.94</v>
      </c>
      <c r="J24" s="12" t="n">
        <v>23.46875</v>
      </c>
      <c r="K24" s="15">
        <f>IF(OR(F24="",I24="",I24&lt;=0),"",F24/I24)</f>
        <v/>
      </c>
      <c r="L24" s="16" t="n">
        <v>8.186854</v>
      </c>
      <c r="M24" s="17">
        <f>IF(OR(L24="",K24="",K24&lt;=0),"",L24/K24)</f>
        <v/>
      </c>
      <c r="N24" s="18" t="n">
        <v>0.34039003</v>
      </c>
      <c r="O24" s="18" t="n">
        <v>0.3194939082909419</v>
      </c>
      <c r="P24" s="18" t="n">
        <v>0.0217208688577156</v>
      </c>
      <c r="Q24" s="19" t="n">
        <v>4</v>
      </c>
      <c r="R24" s="18" t="n">
        <v>0.30233483352811</v>
      </c>
      <c r="S24" s="18" t="n">
        <v>0.2964722734140952</v>
      </c>
      <c r="T24" s="18" t="n">
        <v>0.3282813797829982</v>
      </c>
      <c r="U24" s="18" t="n">
        <v>0.3508871464385641</v>
      </c>
      <c r="V24" s="18" t="n"/>
      <c r="W24" s="12" t="n">
        <v>3.64</v>
      </c>
      <c r="X24" s="17">
        <f>IF(OR(W24="",F24="",F24=0),"",W24/F24)</f>
        <v/>
      </c>
      <c r="Y24" s="20" t="n">
        <v>29.118</v>
      </c>
      <c r="Z24" s="18" t="n">
        <v>0.177</v>
      </c>
      <c r="AA24" s="18" t="n">
        <v>0.403053884998448</v>
      </c>
      <c r="AB24" s="11">
        <f>IF(AND(N24="",O24=""),"DATI MANCANTI",IF(AND(N(N24)&gt;=PARAMETRI!$B$4,N(O24)&gt;=PARAMETRI!$B$4),"OK","NO"))</f>
        <v/>
      </c>
      <c r="AC24" s="11">
        <f>IF(K24="","N/D",IF(K24&lt;PARAMETRI!$B$6,"OTTIMO",IF(K24&lt;PARAMETRI!$B$5,"OK","NO")))</f>
        <v/>
      </c>
      <c r="AD24" s="11">
        <f>IF(OR(AB24="DATI MANCANTI",AC24="N/D"),"DA COMPLETARE",IF(AND(AB24="OK",AC24="OTTIMO"),"PASSA FORTE",IF(AND(AB24="OK",AC24="OK"),"PASSA","SCARTA")))</f>
        <v/>
      </c>
      <c r="AE24" s="10" t="inlineStr">
        <is>
          <t>2026-08-04</t>
        </is>
      </c>
      <c r="AF24" s="10" t="inlineStr">
        <is>
          <t>yahoo</t>
        </is>
      </c>
      <c r="AG24" s="21" t="inlineStr"/>
    </row>
    <row r="25">
      <c r="A25" s="10" t="n">
        <v>24</v>
      </c>
      <c r="B25" s="10" t="inlineStr">
        <is>
          <t>NVIDIA</t>
        </is>
      </c>
      <c r="C25" s="10" t="inlineStr">
        <is>
          <t>NVDA</t>
        </is>
      </c>
      <c r="D25" s="10" t="inlineStr">
        <is>
          <t>Semiconduttori</t>
        </is>
      </c>
      <c r="E25" s="11" t="inlineStr">
        <is>
          <t>Tecnologia</t>
        </is>
      </c>
      <c r="F25" s="12" t="n">
        <v>206.64</v>
      </c>
      <c r="G25" s="13" t="inlineStr">
        <is>
          <t>USD</t>
        </is>
      </c>
      <c r="H25" s="14" t="n">
        <v>5005027.3</v>
      </c>
      <c r="I25" s="12" t="n">
        <v>6.52</v>
      </c>
      <c r="J25" s="12" t="n">
        <v>12.89043</v>
      </c>
      <c r="K25" s="15">
        <f>IF(OR(F25="",I25="",I25&lt;=0),"",F25/I25)</f>
        <v/>
      </c>
      <c r="L25" s="16" t="n">
        <v>25.60595</v>
      </c>
      <c r="M25" s="17">
        <f>IF(OR(L25="",K25="",K25&lt;=0),"",L25/K25)</f>
        <v/>
      </c>
      <c r="N25" s="18" t="n">
        <v>1.14288</v>
      </c>
      <c r="O25" s="18" t="n">
        <v>0.6430369043825913</v>
      </c>
      <c r="P25" s="18" t="n">
        <v>0.2698604910859732</v>
      </c>
      <c r="Q25" s="19" t="n">
        <v>4</v>
      </c>
      <c r="R25" s="18" t="n">
        <v>0.7633333969089534</v>
      </c>
      <c r="S25" s="18" t="n">
        <v>0.9187288060811577</v>
      </c>
      <c r="T25" s="18" t="n">
        <v>0.6924472986178976</v>
      </c>
      <c r="U25" s="18" t="n">
        <v>0.1976381159223564</v>
      </c>
      <c r="V25" s="18" t="n"/>
      <c r="W25" s="12" t="n">
        <v>1</v>
      </c>
      <c r="X25" s="17">
        <f>IF(OR(W25="",F25="",F25=0),"",W25/F25)</f>
        <v/>
      </c>
      <c r="Y25" s="20" t="n">
        <v>6.555</v>
      </c>
      <c r="Z25" s="18" t="n">
        <v>0.852</v>
      </c>
      <c r="AA25" s="18" t="n">
        <v>0.7391612107919866</v>
      </c>
      <c r="AB25" s="11">
        <f>IF(AND(N25="",O25=""),"DATI MANCANTI",IF(AND(N(N25)&gt;=PARAMETRI!$B$4,N(O25)&gt;=PARAMETRI!$B$4),"OK","NO"))</f>
        <v/>
      </c>
      <c r="AC25" s="11">
        <f>IF(K25="","N/D",IF(K25&lt;PARAMETRI!$B$6,"OTTIMO",IF(K25&lt;PARAMETRI!$B$5,"OK","NO")))</f>
        <v/>
      </c>
      <c r="AD25" s="11">
        <f>IF(OR(AB25="DATI MANCANTI",AC25="N/D"),"DA COMPLETARE",IF(AND(AB25="OK",AC25="OTTIMO"),"PASSA FORTE",IF(AND(AB25="OK",AC25="OK"),"PASSA","SCARTA")))</f>
        <v/>
      </c>
      <c r="AE25" s="10" t="inlineStr">
        <is>
          <t>2026-08-04</t>
        </is>
      </c>
      <c r="AF25" s="10" t="inlineStr">
        <is>
          <t>yahoo</t>
        </is>
      </c>
      <c r="AG25" s="21" t="inlineStr"/>
    </row>
    <row r="26">
      <c r="A26" s="10" t="n">
        <v>25</v>
      </c>
      <c r="B26" s="10" t="inlineStr">
        <is>
          <t>Oracle</t>
        </is>
      </c>
      <c r="C26" s="10" t="inlineStr">
        <is>
          <t>ORCL</t>
        </is>
      </c>
      <c r="D26" s="10" t="inlineStr">
        <is>
          <t>Software / Cloud</t>
        </is>
      </c>
      <c r="E26" s="11" t="inlineStr">
        <is>
          <t>Tecnologia</t>
        </is>
      </c>
      <c r="F26" s="12" t="n">
        <v>141.85</v>
      </c>
      <c r="G26" s="13" t="inlineStr">
        <is>
          <t>USD</t>
        </is>
      </c>
      <c r="H26" s="14" t="n">
        <v>408594.8</v>
      </c>
      <c r="I26" s="12" t="n">
        <v>5.83</v>
      </c>
      <c r="J26" s="12" t="n">
        <v>10.89015</v>
      </c>
      <c r="K26" s="15">
        <f>IF(OR(F26="",I26="",I26&lt;=0),"",F26/I26)</f>
        <v/>
      </c>
      <c r="L26" s="16" t="n">
        <v>10.878068</v>
      </c>
      <c r="M26" s="17">
        <f>IF(OR(L26="",K26="",K26&lt;=0),"",L26/K26)</f>
        <v/>
      </c>
      <c r="N26" s="18" t="n">
        <v>0.53376</v>
      </c>
      <c r="O26" s="18" t="n">
        <v>2.534365642083217</v>
      </c>
      <c r="P26" s="18" t="n">
        <v>3.125849047166543</v>
      </c>
      <c r="Q26" s="19" t="n">
        <v>4</v>
      </c>
      <c r="R26" s="18" t="n">
        <v>0.4019713936200245</v>
      </c>
      <c r="S26" s="18" t="n">
        <v>0.6084299056280866</v>
      </c>
      <c r="T26" s="18" t="n">
        <v>1.202550551470588</v>
      </c>
      <c r="U26" s="18" t="n">
        <v>7.924510717614166</v>
      </c>
      <c r="V26" s="18" t="n"/>
      <c r="W26" s="12" t="n">
        <v>2</v>
      </c>
      <c r="X26" s="17">
        <f>IF(OR(W26="",F26="",F26=0),"",W26/F26)</f>
        <v/>
      </c>
      <c r="Y26" s="20" t="n">
        <v>388.87</v>
      </c>
      <c r="Z26" s="18" t="n">
        <v>0.206</v>
      </c>
      <c r="AA26" s="18" t="n">
        <v>0.2521490047359591</v>
      </c>
      <c r="AB26" s="11">
        <f>IF(AND(N26="",O26=""),"DATI MANCANTI",IF(AND(N(N26)&gt;=PARAMETRI!$B$4,N(O26)&gt;=PARAMETRI!$B$4),"OK","NO"))</f>
        <v/>
      </c>
      <c r="AC26" s="11">
        <f>IF(K26="","N/D",IF(K26&lt;PARAMETRI!$B$6,"OTTIMO",IF(K26&lt;PARAMETRI!$B$5,"OK","NO")))</f>
        <v/>
      </c>
      <c r="AD26" s="11">
        <f>IF(OR(AB26="DATI MANCANTI",AC26="N/D"),"DA COMPLETARE",IF(AND(AB26="OK",AC26="OTTIMO"),"PASSA FORTE",IF(AND(AB26="OK",AC26="OK"),"PASSA","SCARTA")))</f>
        <v/>
      </c>
      <c r="AE26" s="10" t="inlineStr">
        <is>
          <t>2026-08-04</t>
        </is>
      </c>
      <c r="AF26" s="10" t="inlineStr">
        <is>
          <t>yahoo</t>
        </is>
      </c>
      <c r="AG26" s="21" t="inlineStr"/>
    </row>
    <row r="27">
      <c r="A27" s="10" t="n">
        <v>26</v>
      </c>
      <c r="B27" s="10" t="inlineStr">
        <is>
          <t>Palantir</t>
        </is>
      </c>
      <c r="C27" s="10" t="inlineStr">
        <is>
          <t>PLTR</t>
        </is>
      </c>
      <c r="D27" s="10" t="inlineStr">
        <is>
          <t>Software / Dati</t>
        </is>
      </c>
      <c r="E27" s="11" t="inlineStr">
        <is>
          <t>Tecnologia</t>
        </is>
      </c>
      <c r="F27" s="12" t="n">
        <v>125.65</v>
      </c>
      <c r="G27" s="13" t="inlineStr">
        <is>
          <t>USD</t>
        </is>
      </c>
      <c r="H27" s="14" t="n">
        <v>301222.3</v>
      </c>
      <c r="I27" s="12" t="n">
        <v>0.89</v>
      </c>
      <c r="J27" s="12" t="n">
        <v>2.09448</v>
      </c>
      <c r="K27" s="15">
        <f>IF(OR(F27="",I27="",I27&lt;=0),"",F27/I27)</f>
        <v/>
      </c>
      <c r="L27" s="16" t="n">
        <v>35.64539</v>
      </c>
      <c r="M27" s="17">
        <f>IF(OR(L27="",K27="",K27&lt;=0),"",L27/K27)</f>
        <v/>
      </c>
      <c r="N27" s="18" t="n">
        <v>0.32587</v>
      </c>
      <c r="O27" s="18" t="n">
        <v>0.0567627833233541</v>
      </c>
      <c r="P27" s="18" t="n">
        <v>0.1312456864995072</v>
      </c>
      <c r="Q27" s="19" t="n">
        <v>4</v>
      </c>
      <c r="R27" s="18" t="n"/>
      <c r="S27" s="18" t="n">
        <v>0.2199775343198595</v>
      </c>
      <c r="T27" s="18" t="n">
        <v>0.09237749274225382</v>
      </c>
      <c r="U27" s="18" t="n">
        <v>0.06037154865070703</v>
      </c>
      <c r="V27" s="18" t="n">
        <v>-0.145675442419404</v>
      </c>
      <c r="W27" s="12" t="n"/>
      <c r="X27" s="17">
        <f>IF(OR(W27="",F27="",F27=0),"",W27/F27)</f>
        <v/>
      </c>
      <c r="Y27" s="20" t="n">
        <v>2.477</v>
      </c>
      <c r="Z27" s="18" t="n">
        <v>0.847</v>
      </c>
      <c r="AA27" s="18" t="n">
        <v>0.509788094415618</v>
      </c>
      <c r="AB27" s="11">
        <f>IF(AND(N27="",O27=""),"DATI MANCANTI",IF(AND(N(N27)&gt;=PARAMETRI!$B$4,N(O27)&gt;=PARAMETRI!$B$4),"OK","NO"))</f>
        <v/>
      </c>
      <c r="AC27" s="11">
        <f>IF(K27="","N/D",IF(K27&lt;PARAMETRI!$B$6,"OTTIMO",IF(K27&lt;PARAMETRI!$B$5,"OK","NO")))</f>
        <v/>
      </c>
      <c r="AD27" s="11">
        <f>IF(OR(AB27="DATI MANCANTI",AC27="N/D"),"DA COMPLETARE",IF(AND(AB27="OK",AC27="OTTIMO"),"PASSA FORTE",IF(AND(AB27="OK",AC27="OK"),"PASSA","SCARTA")))</f>
        <v/>
      </c>
      <c r="AE27" s="10" t="inlineStr">
        <is>
          <t>2026-08-04</t>
        </is>
      </c>
      <c r="AF27" s="10" t="inlineStr">
        <is>
          <t>yahoo</t>
        </is>
      </c>
      <c r="AG27" s="21" t="inlineStr"/>
    </row>
    <row r="28">
      <c r="A28" s="10" t="n">
        <v>27</v>
      </c>
      <c r="B28" s="10" t="inlineStr">
        <is>
          <t>Palo Alto Networks</t>
        </is>
      </c>
      <c r="C28" s="10" t="inlineStr">
        <is>
          <t>PANW</t>
        </is>
      </c>
      <c r="D28" s="10" t="inlineStr">
        <is>
          <t>Cybersicurezza</t>
        </is>
      </c>
      <c r="E28" s="11" t="inlineStr">
        <is>
          <t>Tecnologia</t>
        </is>
      </c>
      <c r="F28" s="12" t="n">
        <v>347.13</v>
      </c>
      <c r="G28" s="13" t="inlineStr">
        <is>
          <t>USD</t>
        </is>
      </c>
      <c r="H28" s="14" t="n">
        <v>282910.9</v>
      </c>
      <c r="I28" s="12" t="n">
        <v>1.16</v>
      </c>
      <c r="J28" s="12" t="n">
        <v>4.12498</v>
      </c>
      <c r="K28" s="15">
        <f>IF(OR(F28="",I28="",I28&lt;=0),"",F28/I28)</f>
        <v/>
      </c>
      <c r="L28" s="16" t="n">
        <v>10.200106</v>
      </c>
      <c r="M28" s="17">
        <f>IF(OR(L28="",K28="",K28&lt;=0),"",L28/K28)</f>
        <v/>
      </c>
      <c r="N28" s="18" t="n">
        <v>0.048309997</v>
      </c>
      <c r="O28" s="18" t="n">
        <v>-0.09410635994787687</v>
      </c>
      <c r="P28" s="18" t="n">
        <v>0.6917284975029041</v>
      </c>
      <c r="Q28" s="19" t="n">
        <v>4</v>
      </c>
      <c r="R28" s="18" t="n"/>
      <c r="S28" s="18" t="n">
        <v>0.1449184602014212</v>
      </c>
      <c r="T28" s="18" t="n">
        <v>0.4985975975395091</v>
      </c>
      <c r="U28" s="18" t="n">
        <v>0.2514870738961336</v>
      </c>
      <c r="V28" s="18" t="n">
        <v>-1.271428571428571</v>
      </c>
      <c r="W28" s="12" t="n"/>
      <c r="X28" s="17">
        <f>IF(OR(W28="",F28="",F28=0),"",W28/F28)</f>
        <v/>
      </c>
      <c r="Y28" s="20" t="n">
        <v>7.698</v>
      </c>
      <c r="Z28" s="18" t="n">
        <v>0.311</v>
      </c>
      <c r="AA28" s="18" t="n">
        <v>0.09140595000813316</v>
      </c>
      <c r="AB28" s="11">
        <f>IF(AND(N28="",O28=""),"DATI MANCANTI",IF(AND(N(N28)&gt;=PARAMETRI!$B$4,N(O28)&gt;=PARAMETRI!$B$4),"OK","NO"))</f>
        <v/>
      </c>
      <c r="AC28" s="11">
        <f>IF(K28="","N/D",IF(K28&lt;PARAMETRI!$B$6,"OTTIMO",IF(K28&lt;PARAMETRI!$B$5,"OK","NO")))</f>
        <v/>
      </c>
      <c r="AD28" s="11">
        <f>IF(OR(AB28="DATI MANCANTI",AC28="N/D"),"DA COMPLETARE",IF(AND(AB28="OK",AC28="OTTIMO"),"PASSA FORTE",IF(AND(AB28="OK",AC28="OK"),"PASSA","SCARTA")))</f>
        <v/>
      </c>
      <c r="AE28" s="10" t="inlineStr">
        <is>
          <t>2026-08-04</t>
        </is>
      </c>
      <c r="AF28" s="10" t="inlineStr">
        <is>
          <t>yahoo</t>
        </is>
      </c>
      <c r="AG28" s="21" t="inlineStr"/>
    </row>
    <row r="29">
      <c r="A29" s="10" t="n">
        <v>28</v>
      </c>
      <c r="B29" s="10" t="inlineStr">
        <is>
          <t>Qualcomm</t>
        </is>
      </c>
      <c r="C29" s="10" t="inlineStr">
        <is>
          <t>QCOM</t>
        </is>
      </c>
      <c r="D29" s="10" t="inlineStr">
        <is>
          <t>Semiconduttori</t>
        </is>
      </c>
      <c r="E29" s="11" t="inlineStr">
        <is>
          <t>Tecnologia</t>
        </is>
      </c>
      <c r="F29" s="12" t="n">
        <v>151.57</v>
      </c>
      <c r="G29" s="13" t="inlineStr">
        <is>
          <t>USD</t>
        </is>
      </c>
      <c r="H29" s="14" t="n">
        <v>159148.5</v>
      </c>
      <c r="I29" s="12" t="n">
        <v>8.75</v>
      </c>
      <c r="J29" s="12" t="n">
        <v>10.29606</v>
      </c>
      <c r="K29" s="15">
        <f>IF(OR(F29="",I29="",I29&lt;=0),"",F29/I29)</f>
        <v/>
      </c>
      <c r="L29" s="16" t="n">
        <v>5.884386</v>
      </c>
      <c r="M29" s="17">
        <f>IF(OR(L29="",K29="",K29&lt;=0),"",L29/K29)</f>
        <v/>
      </c>
      <c r="N29" s="18" t="n">
        <v>0.33754003</v>
      </c>
      <c r="O29" s="18" t="n">
        <v>0.4251401367558992</v>
      </c>
      <c r="P29" s="18" t="n">
        <v>0.1748827626991776</v>
      </c>
      <c r="Q29" s="19" t="n">
        <v>4</v>
      </c>
      <c r="R29" s="18" t="n"/>
      <c r="S29" s="18" t="n">
        <v>0.2612939734037537</v>
      </c>
      <c r="T29" s="18" t="n">
        <v>0.386008982263835</v>
      </c>
      <c r="U29" s="18" t="n">
        <v>0.3351095871368333</v>
      </c>
      <c r="V29" s="18" t="n">
        <v>0.718148004219175</v>
      </c>
      <c r="W29" s="12" t="n">
        <v>3.68</v>
      </c>
      <c r="X29" s="17">
        <f>IF(OR(W29="",F29="",F29=0),"",W29/F29)</f>
        <v/>
      </c>
      <c r="Y29" s="20" t="n">
        <v>55.21</v>
      </c>
      <c r="Z29" s="18" t="n">
        <v>-0.04</v>
      </c>
      <c r="AA29" s="18" t="n">
        <v>0.2091048743564267</v>
      </c>
      <c r="AB29" s="11">
        <f>IF(AND(N29="",O29=""),"DATI MANCANTI",IF(AND(N(N29)&gt;=PARAMETRI!$B$4,N(O29)&gt;=PARAMETRI!$B$4),"OK","NO"))</f>
        <v/>
      </c>
      <c r="AC29" s="11">
        <f>IF(K29="","N/D",IF(K29&lt;PARAMETRI!$B$6,"OTTIMO",IF(K29&lt;PARAMETRI!$B$5,"OK","NO")))</f>
        <v/>
      </c>
      <c r="AD29" s="11">
        <f>IF(OR(AB29="DATI MANCANTI",AC29="N/D"),"DA COMPLETARE",IF(AND(AB29="OK",AC29="OTTIMO"),"PASSA FORTE",IF(AND(AB29="OK",AC29="OK"),"PASSA","SCARTA")))</f>
        <v/>
      </c>
      <c r="AE29" s="10" t="inlineStr">
        <is>
          <t>2026-08-04</t>
        </is>
      </c>
      <c r="AF29" s="10" t="inlineStr">
        <is>
          <t>yahoo</t>
        </is>
      </c>
      <c r="AG29" s="21" t="inlineStr"/>
    </row>
    <row r="30">
      <c r="A30" s="10" t="n">
        <v>29</v>
      </c>
      <c r="B30" s="10" t="inlineStr">
        <is>
          <t>Salesforce</t>
        </is>
      </c>
      <c r="C30" s="10" t="inlineStr">
        <is>
          <t>CRM</t>
        </is>
      </c>
      <c r="D30" s="10" t="inlineStr">
        <is>
          <t>Software</t>
        </is>
      </c>
      <c r="E30" s="11" t="inlineStr">
        <is>
          <t>Tecnologia</t>
        </is>
      </c>
      <c r="F30" s="12" t="n">
        <v>185.95</v>
      </c>
      <c r="G30" s="13" t="inlineStr">
        <is>
          <t>USD</t>
        </is>
      </c>
      <c r="H30" s="14" t="n">
        <v>152293</v>
      </c>
      <c r="I30" s="12" t="n">
        <v>8.630000000000001</v>
      </c>
      <c r="J30" s="12" t="n">
        <v>15.51229</v>
      </c>
      <c r="K30" s="15">
        <f>IF(OR(F30="",I30="",I30&lt;=0),"",F30/I30)</f>
        <v/>
      </c>
      <c r="L30" s="16" t="n">
        <v>4.448458</v>
      </c>
      <c r="M30" s="17">
        <f>IF(OR(L30="",K30="",K30&lt;=0),"",L30/K30)</f>
        <v/>
      </c>
      <c r="N30" s="18" t="n">
        <v>0.16908</v>
      </c>
      <c r="O30" s="18" t="n">
        <v>0.07507395766191549</v>
      </c>
      <c r="P30" s="18" t="n">
        <v>0.04592582275632811</v>
      </c>
      <c r="Q30" s="19" t="n">
        <v>4</v>
      </c>
      <c r="R30" s="18" t="n">
        <v>0.1260863684014744</v>
      </c>
      <c r="S30" s="18" t="n">
        <v>0.1013028623739231</v>
      </c>
      <c r="T30" s="18" t="n">
        <v>0.06934245381081715</v>
      </c>
      <c r="U30" s="18" t="n">
        <v>0.003564146061447249</v>
      </c>
      <c r="V30" s="18" t="n"/>
      <c r="W30" s="12" t="n">
        <v>1.76</v>
      </c>
      <c r="X30" s="17">
        <f>IF(OR(W30="",F30="",F30=0),"",W30/F30)</f>
        <v/>
      </c>
      <c r="Y30" s="20" t="n">
        <v>124.282</v>
      </c>
      <c r="Z30" s="18" t="n">
        <v>0.133</v>
      </c>
      <c r="AA30" s="18" t="n">
        <v>0.1932089118362432</v>
      </c>
      <c r="AB30" s="11">
        <f>IF(AND(N30="",O30=""),"DATI MANCANTI",IF(AND(N(N30)&gt;=PARAMETRI!$B$4,N(O30)&gt;=PARAMETRI!$B$4),"OK","NO"))</f>
        <v/>
      </c>
      <c r="AC30" s="11">
        <f>IF(K30="","N/D",IF(K30&lt;PARAMETRI!$B$6,"OTTIMO",IF(K30&lt;PARAMETRI!$B$5,"OK","NO")))</f>
        <v/>
      </c>
      <c r="AD30" s="11">
        <f>IF(OR(AB30="DATI MANCANTI",AC30="N/D"),"DA COMPLETARE",IF(AND(AB30="OK",AC30="OTTIMO"),"PASSA FORTE",IF(AND(AB30="OK",AC30="OK"),"PASSA","SCARTA")))</f>
        <v/>
      </c>
      <c r="AE30" s="10" t="inlineStr">
        <is>
          <t>2026-08-04</t>
        </is>
      </c>
      <c r="AF30" s="10" t="inlineStr">
        <is>
          <t>yahoo</t>
        </is>
      </c>
      <c r="AG30" s="21" t="inlineStr"/>
    </row>
    <row r="31">
      <c r="A31" s="10" t="n">
        <v>30</v>
      </c>
      <c r="B31" s="10" t="inlineStr">
        <is>
          <t>ServiceNow</t>
        </is>
      </c>
      <c r="C31" s="10" t="inlineStr">
        <is>
          <t>NOW</t>
        </is>
      </c>
      <c r="D31" s="10" t="inlineStr">
        <is>
          <t>Software</t>
        </is>
      </c>
      <c r="E31" s="11" t="inlineStr">
        <is>
          <t>Tecnologia</t>
        </is>
      </c>
      <c r="F31" s="12" t="n">
        <v>114.19</v>
      </c>
      <c r="G31" s="13" t="inlineStr">
        <is>
          <t>USD</t>
        </is>
      </c>
      <c r="H31" s="14" t="n">
        <v>118056.7</v>
      </c>
      <c r="I31" s="12" t="n">
        <v>1.6</v>
      </c>
      <c r="J31" s="12" t="n">
        <v>5.00619</v>
      </c>
      <c r="K31" s="15">
        <f>IF(OR(F31="",I31="",I31&lt;=0),"",F31/I31)</f>
        <v/>
      </c>
      <c r="L31" s="16" t="n">
        <v>9.432513</v>
      </c>
      <c r="M31" s="17">
        <f>IF(OR(L31="",K31="",K31&lt;=0),"",L31/K31)</f>
        <v/>
      </c>
      <c r="N31" s="18" t="n">
        <v>0.14244</v>
      </c>
      <c r="O31" s="18" t="n">
        <v>0.1436617884474269</v>
      </c>
      <c r="P31" s="18" t="n">
        <v>0.05763116433316788</v>
      </c>
      <c r="Q31" s="19" t="n">
        <v>4</v>
      </c>
      <c r="R31" s="18" t="n"/>
      <c r="S31" s="18" t="n">
        <v>0.134834927491515</v>
      </c>
      <c r="T31" s="18" t="n">
        <v>0.1482984701842023</v>
      </c>
      <c r="U31" s="18" t="n">
        <v>0.2269271106449921</v>
      </c>
      <c r="V31" s="18" t="n">
        <v>0.06458664546899841</v>
      </c>
      <c r="W31" s="12" t="n"/>
      <c r="X31" s="17">
        <f>IF(OR(W31="",F31="",F31=0),"",W31/F31)</f>
        <v/>
      </c>
      <c r="Y31" s="20" t="n">
        <v>67.538</v>
      </c>
      <c r="Z31" s="18" t="n">
        <v>0.24</v>
      </c>
      <c r="AA31" s="18" t="n">
        <v>0.125771953607471</v>
      </c>
      <c r="AB31" s="11">
        <f>IF(AND(N31="",O31=""),"DATI MANCANTI",IF(AND(N(N31)&gt;=PARAMETRI!$B$4,N(O31)&gt;=PARAMETRI!$B$4),"OK","NO"))</f>
        <v/>
      </c>
      <c r="AC31" s="11">
        <f>IF(K31="","N/D",IF(K31&lt;PARAMETRI!$B$6,"OTTIMO",IF(K31&lt;PARAMETRI!$B$5,"OK","NO")))</f>
        <v/>
      </c>
      <c r="AD31" s="11">
        <f>IF(OR(AB31="DATI MANCANTI",AC31="N/D"),"DA COMPLETARE",IF(AND(AB31="OK",AC31="OTTIMO"),"PASSA FORTE",IF(AND(AB31="OK",AC31="OK"),"PASSA","SCARTA")))</f>
        <v/>
      </c>
      <c r="AE31" s="10" t="inlineStr">
        <is>
          <t>2026-08-04</t>
        </is>
      </c>
      <c r="AF31" s="10" t="inlineStr">
        <is>
          <t>yahoo</t>
        </is>
      </c>
      <c r="AG31" s="21" t="inlineStr"/>
    </row>
    <row r="32">
      <c r="A32" s="10" t="n">
        <v>31</v>
      </c>
      <c r="B32" s="10" t="inlineStr">
        <is>
          <t>Synopsys</t>
        </is>
      </c>
      <c r="C32" s="10" t="inlineStr">
        <is>
          <t>SNPS</t>
        </is>
      </c>
      <c r="D32" s="10" t="inlineStr">
        <is>
          <t>Software EDA</t>
        </is>
      </c>
      <c r="E32" s="11" t="inlineStr">
        <is>
          <t>Tecnologia</t>
        </is>
      </c>
      <c r="F32" s="12" t="n">
        <v>392.07</v>
      </c>
      <c r="G32" s="13" t="inlineStr">
        <is>
          <t>USD</t>
        </is>
      </c>
      <c r="H32" s="14" t="n">
        <v>75073.3</v>
      </c>
      <c r="I32" s="12" t="n">
        <v>4.35</v>
      </c>
      <c r="J32" s="12" t="n">
        <v>17.28051</v>
      </c>
      <c r="K32" s="15">
        <f>IF(OR(F32="",I32="",I32&lt;=0),"",F32/I32)</f>
        <v/>
      </c>
      <c r="L32" s="16" t="n">
        <v>2.4627357</v>
      </c>
      <c r="M32" s="17">
        <f>IF(OR(L32="",K32="",K32&lt;=0),"",L32/K32)</f>
        <v/>
      </c>
      <c r="N32" s="18" t="n">
        <v>0.03824</v>
      </c>
      <c r="O32" s="18" t="n">
        <v>0.1693379698100742</v>
      </c>
      <c r="P32" s="18" t="n">
        <v>0.07546384101190132</v>
      </c>
      <c r="Q32" s="19" t="n">
        <v>4</v>
      </c>
      <c r="R32" s="18" t="n"/>
      <c r="S32" s="18" t="n">
        <v>0.04702904255714974</v>
      </c>
      <c r="T32" s="18" t="n">
        <v>0.2517467490302759</v>
      </c>
      <c r="U32" s="18" t="n">
        <v>0.2000693636954582</v>
      </c>
      <c r="V32" s="18" t="n">
        <v>0.1785067239574127</v>
      </c>
      <c r="W32" s="12" t="n"/>
      <c r="X32" s="17">
        <f>IF(OR(W32="",F32="",F32=0),"",W32/F32)</f>
        <v/>
      </c>
      <c r="Y32" s="20" t="n">
        <v>35.574</v>
      </c>
      <c r="Z32" s="18" t="n">
        <v>0.419</v>
      </c>
      <c r="AA32" s="18" t="n">
        <v>0.1096184371871535</v>
      </c>
      <c r="AB32" s="11">
        <f>IF(AND(N32="",O32=""),"DATI MANCANTI",IF(AND(N(N32)&gt;=PARAMETRI!$B$4,N(O32)&gt;=PARAMETRI!$B$4),"OK","NO"))</f>
        <v/>
      </c>
      <c r="AC32" s="11">
        <f>IF(K32="","N/D",IF(K32&lt;PARAMETRI!$B$6,"OTTIMO",IF(K32&lt;PARAMETRI!$B$5,"OK","NO")))</f>
        <v/>
      </c>
      <c r="AD32" s="11">
        <f>IF(OR(AB32="DATI MANCANTI",AC32="N/D"),"DA COMPLETARE",IF(AND(AB32="OK",AC32="OTTIMO"),"PASSA FORTE",IF(AND(AB32="OK",AC32="OK"),"PASSA","SCARTA")))</f>
        <v/>
      </c>
      <c r="AE32" s="10" t="inlineStr">
        <is>
          <t>2026-08-04</t>
        </is>
      </c>
      <c r="AF32" s="10" t="inlineStr">
        <is>
          <t>yahoo</t>
        </is>
      </c>
      <c r="AG32" s="21" t="inlineStr"/>
    </row>
    <row r="33">
      <c r="A33" s="10" t="n">
        <v>32</v>
      </c>
      <c r="B33" s="10" t="inlineStr">
        <is>
          <t>Texas Instruments</t>
        </is>
      </c>
      <c r="C33" s="10" t="inlineStr">
        <is>
          <t>TXN</t>
        </is>
      </c>
      <c r="D33" s="10" t="inlineStr">
        <is>
          <t>Semiconduttori</t>
        </is>
      </c>
      <c r="E33" s="11" t="inlineStr">
        <is>
          <t>Tecnologia</t>
        </is>
      </c>
      <c r="F33" s="12" t="n">
        <v>269.04</v>
      </c>
      <c r="G33" s="13" t="inlineStr">
        <is>
          <t>USD</t>
        </is>
      </c>
      <c r="H33" s="14" t="n">
        <v>245700.2</v>
      </c>
      <c r="I33" s="12" t="n">
        <v>6.59</v>
      </c>
      <c r="J33" s="12" t="n">
        <v>10.40485</v>
      </c>
      <c r="K33" s="15">
        <f>IF(OR(F33="",I33="",I33&lt;=0),"",F33/I33)</f>
        <v/>
      </c>
      <c r="L33" s="16" t="n">
        <v>13.640927</v>
      </c>
      <c r="M33" s="17">
        <f>IF(OR(L33="",K33="",K33&lt;=0),"",L33/K33)</f>
        <v/>
      </c>
      <c r="N33" s="18" t="n">
        <v>0.35176</v>
      </c>
      <c r="O33" s="18" t="n">
        <v>0.3941751364874861</v>
      </c>
      <c r="P33" s="18" t="n">
        <v>0.124723387337169</v>
      </c>
      <c r="Q33" s="19" t="n">
        <v>4</v>
      </c>
      <c r="R33" s="18" t="n"/>
      <c r="S33" s="18" t="n">
        <v>0.3073188717507528</v>
      </c>
      <c r="T33" s="18" t="n">
        <v>0.2839140980890966</v>
      </c>
      <c r="U33" s="18" t="n">
        <v>0.3852754926910102</v>
      </c>
      <c r="V33" s="18" t="n">
        <v>0.6001920834190848</v>
      </c>
      <c r="W33" s="12" t="n">
        <v>5.68</v>
      </c>
      <c r="X33" s="17">
        <f>IF(OR(W33="",F33="",F33=0),"",W33/F33)</f>
        <v/>
      </c>
      <c r="Y33" s="20" t="n">
        <v>78.036</v>
      </c>
      <c r="Z33" s="18" t="n">
        <v>0.228</v>
      </c>
      <c r="AA33" s="18" t="n">
        <v>0.3402895563850243</v>
      </c>
      <c r="AB33" s="11">
        <f>IF(AND(N33="",O33=""),"DATI MANCANTI",IF(AND(N(N33)&gt;=PARAMETRI!$B$4,N(O33)&gt;=PARAMETRI!$B$4),"OK","NO"))</f>
        <v/>
      </c>
      <c r="AC33" s="11">
        <f>IF(K33="","N/D",IF(K33&lt;PARAMETRI!$B$6,"OTTIMO",IF(K33&lt;PARAMETRI!$B$5,"OK","NO")))</f>
        <v/>
      </c>
      <c r="AD33" s="11">
        <f>IF(OR(AB33="DATI MANCANTI",AC33="N/D"),"DA COMPLETARE",IF(AND(AB33="OK",AC33="OTTIMO"),"PASSA FORTE",IF(AND(AB33="OK",AC33="OK"),"PASSA","SCARTA")))</f>
        <v/>
      </c>
      <c r="AE33" s="10" t="inlineStr">
        <is>
          <t>2026-08-04</t>
        </is>
      </c>
      <c r="AF33" s="10" t="inlineStr">
        <is>
          <t>yahoo</t>
        </is>
      </c>
      <c r="AG33" s="21" t="inlineStr"/>
    </row>
    <row r="34">
      <c r="A34" s="10" t="n">
        <v>33</v>
      </c>
      <c r="B34" s="10" t="inlineStr">
        <is>
          <t>Uber Technologies</t>
        </is>
      </c>
      <c r="C34" s="10" t="inlineStr">
        <is>
          <t>UBER</t>
        </is>
      </c>
      <c r="D34" s="10" t="inlineStr">
        <is>
          <t>Piattaforme</t>
        </is>
      </c>
      <c r="E34" s="11" t="inlineStr">
        <is>
          <t>Tecnologia</t>
        </is>
      </c>
      <c r="F34" s="12" t="n">
        <v>71.61</v>
      </c>
      <c r="G34" s="13" t="inlineStr">
        <is>
          <t>USD</t>
        </is>
      </c>
      <c r="H34" s="14" t="n">
        <v>145769.3</v>
      </c>
      <c r="I34" s="12" t="n">
        <v>4.03</v>
      </c>
      <c r="J34" s="12" t="n">
        <v>4.45408</v>
      </c>
      <c r="K34" s="15">
        <f>IF(OR(F34="",I34="",I34&lt;=0),"",F34/I34)</f>
        <v/>
      </c>
      <c r="L34" s="16" t="n">
        <v>5.891887</v>
      </c>
      <c r="M34" s="17">
        <f>IF(OR(L34="",K34="",K34&lt;=0),"",L34/K34)</f>
        <v/>
      </c>
      <c r="N34" s="18" t="n">
        <v>0.3531</v>
      </c>
      <c r="O34" s="18" t="n">
        <v>-0.06216638498507329</v>
      </c>
      <c r="P34" s="18" t="n">
        <v>0.6911679096695134</v>
      </c>
      <c r="Q34" s="19" t="n">
        <v>4</v>
      </c>
      <c r="R34" s="18" t="n"/>
      <c r="S34" s="18" t="n">
        <v>0.3717687955327096</v>
      </c>
      <c r="T34" s="18" t="n">
        <v>0.4571852676500603</v>
      </c>
      <c r="U34" s="18" t="n">
        <v>0.1677482442883812</v>
      </c>
      <c r="V34" s="18" t="n">
        <v>-1.245367847411444</v>
      </c>
      <c r="W34" s="12" t="n"/>
      <c r="X34" s="17">
        <f>IF(OR(W34="",F34="",F34=0),"",W34/F34)</f>
        <v/>
      </c>
      <c r="Y34" s="20" t="n">
        <v>48.113</v>
      </c>
      <c r="Z34" s="18" t="n">
        <v>0.145</v>
      </c>
      <c r="AA34" s="18" t="n">
        <v>0.1641771008708691</v>
      </c>
      <c r="AB34" s="11">
        <f>IF(AND(N34="",O34=""),"DATI MANCANTI",IF(AND(N(N34)&gt;=PARAMETRI!$B$4,N(O34)&gt;=PARAMETRI!$B$4),"OK","NO"))</f>
        <v/>
      </c>
      <c r="AC34" s="11">
        <f>IF(K34="","N/D",IF(K34&lt;PARAMETRI!$B$6,"OTTIMO",IF(K34&lt;PARAMETRI!$B$5,"OK","NO")))</f>
        <v/>
      </c>
      <c r="AD34" s="11">
        <f>IF(OR(AB34="DATI MANCANTI",AC34="N/D"),"DA COMPLETARE",IF(AND(AB34="OK",AC34="OTTIMO"),"PASSA FORTE",IF(AND(AB34="OK",AC34="OK"),"PASSA","SCARTA")))</f>
        <v/>
      </c>
      <c r="AE34" s="10" t="inlineStr">
        <is>
          <t>2026-08-04</t>
        </is>
      </c>
      <c r="AF34" s="10" t="inlineStr">
        <is>
          <t>yahoo</t>
        </is>
      </c>
      <c r="AG34" s="21" t="inlineStr"/>
    </row>
    <row r="35">
      <c r="A35" s="10" t="n">
        <v>34</v>
      </c>
      <c r="B35" s="10" t="inlineStr">
        <is>
          <t>Abbott Laboratories</t>
        </is>
      </c>
      <c r="C35" s="10" t="inlineStr">
        <is>
          <t>ABT</t>
        </is>
      </c>
      <c r="D35" s="10" t="inlineStr">
        <is>
          <t>Dispositivi medicali</t>
        </is>
      </c>
      <c r="E35" s="11" t="inlineStr">
        <is>
          <t>Salute</t>
        </is>
      </c>
      <c r="F35" s="12" t="n">
        <v>107.12</v>
      </c>
      <c r="G35" s="13" t="inlineStr">
        <is>
          <t>USD</t>
        </is>
      </c>
      <c r="H35" s="14" t="n">
        <v>186583</v>
      </c>
      <c r="I35" s="12" t="n">
        <v>3.09</v>
      </c>
      <c r="J35" s="12" t="n">
        <v>6.06253</v>
      </c>
      <c r="K35" s="15">
        <f>IF(OR(F35="",I35="",I35&lt;=0),"",F35/I35)</f>
        <v/>
      </c>
      <c r="L35" s="16" t="n">
        <v>3.6266377</v>
      </c>
      <c r="M35" s="17">
        <f>IF(OR(L35="",K35="",K35&lt;=0),"",L35/K35)</f>
        <v/>
      </c>
      <c r="N35" s="18" t="n">
        <v>0.10576</v>
      </c>
      <c r="O35" s="18" t="n">
        <v>0.1858900339052967</v>
      </c>
      <c r="P35" s="18" t="n">
        <v>0.05957173353356353</v>
      </c>
      <c r="Q35" s="19" t="n">
        <v>4</v>
      </c>
      <c r="R35" s="18" t="n"/>
      <c r="S35" s="18" t="n">
        <v>0.1251486667945521</v>
      </c>
      <c r="T35" s="18" t="n">
        <v>0.2811765693185633</v>
      </c>
      <c r="U35" s="18" t="n">
        <v>0.1482527264720359</v>
      </c>
      <c r="V35" s="18" t="n">
        <v>0.1889821730360355</v>
      </c>
      <c r="W35" s="12" t="n">
        <v>2.52</v>
      </c>
      <c r="X35" s="17">
        <f>IF(OR(W35="",F35="",F35=0),"",W35/F35)</f>
        <v/>
      </c>
      <c r="Y35" s="20" t="n">
        <v>63.212</v>
      </c>
      <c r="Z35" s="18" t="n">
        <v>0.13</v>
      </c>
      <c r="AA35" s="18" t="n">
        <v>0.1218417238765566</v>
      </c>
      <c r="AB35" s="11">
        <f>IF(AND(N35="",O35=""),"DATI MANCANTI",IF(AND(N(N35)&gt;=PARAMETRI!$B$4,N(O35)&gt;=PARAMETRI!$B$4),"OK","NO"))</f>
        <v/>
      </c>
      <c r="AC35" s="11">
        <f>IF(K35="","N/D",IF(K35&lt;PARAMETRI!$B$6,"OTTIMO",IF(K35&lt;PARAMETRI!$B$5,"OK","NO")))</f>
        <v/>
      </c>
      <c r="AD35" s="11">
        <f>IF(OR(AB35="DATI MANCANTI",AC35="N/D"),"DA COMPLETARE",IF(AND(AB35="OK",AC35="OTTIMO"),"PASSA FORTE",IF(AND(AB35="OK",AC35="OK"),"PASSA","SCARTA")))</f>
        <v/>
      </c>
      <c r="AE35" s="10" t="inlineStr">
        <is>
          <t>2026-08-04</t>
        </is>
      </c>
      <c r="AF35" s="10" t="inlineStr">
        <is>
          <t>yahoo</t>
        </is>
      </c>
      <c r="AG35" s="21" t="inlineStr"/>
    </row>
    <row r="36">
      <c r="A36" s="10" t="n">
        <v>35</v>
      </c>
      <c r="B36" s="10" t="inlineStr">
        <is>
          <t>AbbVie</t>
        </is>
      </c>
      <c r="C36" s="10" t="inlineStr">
        <is>
          <t>ABBV</t>
        </is>
      </c>
      <c r="D36" s="10" t="inlineStr">
        <is>
          <t>Farmaceutica</t>
        </is>
      </c>
      <c r="E36" s="11" t="inlineStr">
        <is>
          <t>Salute</t>
        </is>
      </c>
      <c r="F36" s="12" t="n">
        <v>245.1</v>
      </c>
      <c r="G36" s="13" t="inlineStr">
        <is>
          <t>USD</t>
        </is>
      </c>
      <c r="H36" s="14" t="n">
        <v>433120.5</v>
      </c>
      <c r="I36" s="12" t="n">
        <v>3.54</v>
      </c>
      <c r="J36" s="12" t="n">
        <v>16.334</v>
      </c>
      <c r="K36" s="15">
        <f>IF(OR(F36="",I36="",I36&lt;=0),"",F36/I36)</f>
        <v/>
      </c>
      <c r="L36" s="16" t="n">
        <v>-65.06504</v>
      </c>
      <c r="M36" s="17">
        <f>IF(OR(L36="",K36="",K36&lt;=0),"",L36/K36)</f>
        <v/>
      </c>
      <c r="N36" s="18" t="n">
        <v>1.286616541353383</v>
      </c>
      <c r="O36" s="18" t="n">
        <v>0.8140013147022048</v>
      </c>
      <c r="P36" s="18" t="n">
        <v>0.3456887382306248</v>
      </c>
      <c r="Q36" s="19" t="n">
        <v>3</v>
      </c>
      <c r="R36" s="18" t="n"/>
      <c r="S36" s="18" t="n"/>
      <c r="T36" s="18" t="n">
        <v>1.286616541353383</v>
      </c>
      <c r="U36" s="18" t="n">
        <v>0.4694015444015444</v>
      </c>
      <c r="V36" s="18" t="n">
        <v>0.6859858583516866</v>
      </c>
      <c r="W36" s="12" t="n">
        <v>6.92</v>
      </c>
      <c r="X36" s="17">
        <f>IF(OR(W36="",F36="",F36=0),"",W36/F36)</f>
        <v/>
      </c>
      <c r="Y36" s="20" t="n"/>
      <c r="Z36" s="18" t="n">
        <v>0.102</v>
      </c>
      <c r="AA36" s="18" t="n">
        <v>0.1025179877043819</v>
      </c>
      <c r="AB36" s="11">
        <f>IF(AND(N36="",O36=""),"DATI MANCANTI",IF(AND(N(N36)&gt;=PARAMETRI!$B$4,N(O36)&gt;=PARAMETRI!$B$4),"OK","NO"))</f>
        <v/>
      </c>
      <c r="AC36" s="11">
        <f>IF(K36="","N/D",IF(K36&lt;PARAMETRI!$B$6,"OTTIMO",IF(K36&lt;PARAMETRI!$B$5,"OK","NO")))</f>
        <v/>
      </c>
      <c r="AD36" s="11">
        <f>IF(OR(AB36="DATI MANCANTI",AC36="N/D"),"DA COMPLETARE",IF(AND(AB36="OK",AC36="OTTIMO"),"PASSA FORTE",IF(AND(AB36="OK",AC36="OK"),"PASSA","SCARTA")))</f>
        <v/>
      </c>
      <c r="AE36" s="10" t="inlineStr">
        <is>
          <t>2026-08-04</t>
        </is>
      </c>
      <c r="AF36" s="10" t="inlineStr">
        <is>
          <t>yahoo</t>
        </is>
      </c>
      <c r="AG36" s="21" t="inlineStr"/>
    </row>
    <row r="37">
      <c r="A37" s="10" t="n">
        <v>36</v>
      </c>
      <c r="B37" s="10" t="inlineStr">
        <is>
          <t>Amgen</t>
        </is>
      </c>
      <c r="C37" s="10" t="inlineStr">
        <is>
          <t>AMGN</t>
        </is>
      </c>
      <c r="D37" s="10" t="inlineStr">
        <is>
          <t>Biotecnologie</t>
        </is>
      </c>
      <c r="E37" s="11" t="inlineStr">
        <is>
          <t>Salute</t>
        </is>
      </c>
      <c r="F37" s="12" t="n">
        <v>378.87</v>
      </c>
      <c r="G37" s="13" t="inlineStr">
        <is>
          <t>USD</t>
        </is>
      </c>
      <c r="H37" s="14" t="n">
        <v>204479.3</v>
      </c>
      <c r="I37" s="12" t="n">
        <v>14.37</v>
      </c>
      <c r="J37" s="12" t="n">
        <v>23.43866</v>
      </c>
      <c r="K37" s="15">
        <f>IF(OR(F37="",I37="",I37&lt;=0),"",F37/I37)</f>
        <v/>
      </c>
      <c r="L37" s="16" t="n">
        <v>22.249825</v>
      </c>
      <c r="M37" s="17">
        <f>IF(OR(L37="",K37="",K37&lt;=0),"",L37/K37)</f>
        <v/>
      </c>
      <c r="N37" s="18" t="n">
        <v>1.01318</v>
      </c>
      <c r="O37" s="18" t="n">
        <v>1.113513443906775</v>
      </c>
      <c r="P37" s="18" t="n">
        <v>0.4130744959321571</v>
      </c>
      <c r="Q37" s="19" t="n">
        <v>4</v>
      </c>
      <c r="R37" s="18" t="n"/>
      <c r="S37" s="18" t="n">
        <v>0.8906213906213907</v>
      </c>
      <c r="T37" s="18" t="n">
        <v>0.6959332993023651</v>
      </c>
      <c r="U37" s="18" t="n">
        <v>1.077824133504493</v>
      </c>
      <c r="V37" s="18" t="n">
        <v>1.789674952198853</v>
      </c>
      <c r="W37" s="12" t="n">
        <v>10.08</v>
      </c>
      <c r="X37" s="17">
        <f>IF(OR(W37="",F37="",F37=0),"",W37/F37)</f>
        <v/>
      </c>
      <c r="Y37" s="20" t="n">
        <v>623.754</v>
      </c>
      <c r="Z37" s="18" t="n">
        <v>0.058</v>
      </c>
      <c r="AA37" s="18" t="n">
        <v>0.2122391227449593</v>
      </c>
      <c r="AB37" s="11">
        <f>IF(AND(N37="",O37=""),"DATI MANCANTI",IF(AND(N(N37)&gt;=PARAMETRI!$B$4,N(O37)&gt;=PARAMETRI!$B$4),"OK","NO"))</f>
        <v/>
      </c>
      <c r="AC37" s="11">
        <f>IF(K37="","N/D",IF(K37&lt;PARAMETRI!$B$6,"OTTIMO",IF(K37&lt;PARAMETRI!$B$5,"OK","NO")))</f>
        <v/>
      </c>
      <c r="AD37" s="11">
        <f>IF(OR(AB37="DATI MANCANTI",AC37="N/D"),"DA COMPLETARE",IF(AND(AB37="OK",AC37="OTTIMO"),"PASSA FORTE",IF(AND(AB37="OK",AC37="OK"),"PASSA","SCARTA")))</f>
        <v/>
      </c>
      <c r="AE37" s="10" t="inlineStr">
        <is>
          <t>2026-08-04</t>
        </is>
      </c>
      <c r="AF37" s="10" t="inlineStr">
        <is>
          <t>yahoo</t>
        </is>
      </c>
      <c r="AG37" s="21" t="inlineStr"/>
    </row>
    <row r="38">
      <c r="A38" s="10" t="n">
        <v>37</v>
      </c>
      <c r="B38" s="10" t="inlineStr">
        <is>
          <t>Biogen</t>
        </is>
      </c>
      <c r="C38" s="10" t="inlineStr">
        <is>
          <t>BIIB</t>
        </is>
      </c>
      <c r="D38" s="10" t="inlineStr">
        <is>
          <t>Biotecnologie / CNS</t>
        </is>
      </c>
      <c r="E38" s="11" t="inlineStr">
        <is>
          <t>Salute</t>
        </is>
      </c>
      <c r="F38" s="12" t="n">
        <v>201.82</v>
      </c>
      <c r="G38" s="13" t="inlineStr">
        <is>
          <t>USD</t>
        </is>
      </c>
      <c r="H38" s="14" t="n">
        <v>29819.7</v>
      </c>
      <c r="I38" s="12" t="n">
        <v>5.62</v>
      </c>
      <c r="J38" s="12" t="n">
        <v>16.5904</v>
      </c>
      <c r="K38" s="15">
        <f>IF(OR(F38="",I38="",I38&lt;=0),"",F38/I38)</f>
        <v/>
      </c>
      <c r="L38" s="16" t="n">
        <v>1.5815376</v>
      </c>
      <c r="M38" s="17">
        <f>IF(OR(L38="",K38="",K38&lt;=0),"",L38/K38)</f>
        <v/>
      </c>
      <c r="N38" s="18" t="n">
        <v>0.04575</v>
      </c>
      <c r="O38" s="18" t="n">
        <v>0.1185831364623125</v>
      </c>
      <c r="P38" s="18" t="n">
        <v>0.06359027321197776</v>
      </c>
      <c r="Q38" s="19" t="n">
        <v>4</v>
      </c>
      <c r="R38" s="18" t="n"/>
      <c r="S38" s="18" t="n">
        <v>0.0708174488409798</v>
      </c>
      <c r="T38" s="18" t="n">
        <v>0.09764297678870543</v>
      </c>
      <c r="U38" s="18" t="n">
        <v>0.07845588334662217</v>
      </c>
      <c r="V38" s="18" t="n">
        <v>0.2274162368729428</v>
      </c>
      <c r="W38" s="12" t="n"/>
      <c r="X38" s="17">
        <f>IF(OR(W38="",F38="",F38=0),"",W38/F38)</f>
        <v/>
      </c>
      <c r="Y38" s="20" t="n">
        <v>44.329</v>
      </c>
      <c r="Z38" s="18" t="n">
        <v>0.034</v>
      </c>
      <c r="AA38" s="18" t="n">
        <v>0.08438315167937234</v>
      </c>
      <c r="AB38" s="11">
        <f>IF(AND(N38="",O38=""),"DATI MANCANTI",IF(AND(N(N38)&gt;=PARAMETRI!$B$4,N(O38)&gt;=PARAMETRI!$B$4),"OK","NO"))</f>
        <v/>
      </c>
      <c r="AC38" s="11">
        <f>IF(K38="","N/D",IF(K38&lt;PARAMETRI!$B$6,"OTTIMO",IF(K38&lt;PARAMETRI!$B$5,"OK","NO")))</f>
        <v/>
      </c>
      <c r="AD38" s="11">
        <f>IF(OR(AB38="DATI MANCANTI",AC38="N/D"),"DA COMPLETARE",IF(AND(AB38="OK",AC38="OTTIMO"),"PASSA FORTE",IF(AND(AB38="OK",AC38="OK"),"PASSA","SCARTA")))</f>
        <v/>
      </c>
      <c r="AE38" s="10" t="inlineStr">
        <is>
          <t>2026-08-04</t>
        </is>
      </c>
      <c r="AF38" s="10" t="inlineStr">
        <is>
          <t>yahoo</t>
        </is>
      </c>
      <c r="AG38" s="21" t="inlineStr"/>
    </row>
    <row r="39">
      <c r="A39" s="10" t="n">
        <v>38</v>
      </c>
      <c r="B39" s="10" t="inlineStr">
        <is>
          <t>Boston Scientific</t>
        </is>
      </c>
      <c r="C39" s="10" t="inlineStr">
        <is>
          <t>BSX</t>
        </is>
      </c>
      <c r="D39" s="10" t="inlineStr">
        <is>
          <t>Dispositivi medicali</t>
        </is>
      </c>
      <c r="E39" s="11" t="inlineStr">
        <is>
          <t>Salute</t>
        </is>
      </c>
      <c r="F39" s="12" t="n">
        <v>48.43</v>
      </c>
      <c r="G39" s="13" t="inlineStr">
        <is>
          <t>USD</t>
        </is>
      </c>
      <c r="H39" s="14" t="n">
        <v>70186.2</v>
      </c>
      <c r="I39" s="12" t="n">
        <v>2.47</v>
      </c>
      <c r="J39" s="12" t="n">
        <v>3.43852</v>
      </c>
      <c r="K39" s="15">
        <f>IF(OR(F39="",I39="",I39&lt;=0),"",F39/I39)</f>
        <v/>
      </c>
      <c r="L39" s="16" t="n">
        <v>2.7830133</v>
      </c>
      <c r="M39" s="17">
        <f>IF(OR(L39="",K39="",K39&lt;=0),"",L39/K39)</f>
        <v/>
      </c>
      <c r="N39" s="18" t="n">
        <v>0.1195939253879168</v>
      </c>
      <c r="O39" s="18" t="n">
        <v>0.08177373868964678</v>
      </c>
      <c r="P39" s="18" t="n">
        <v>0.02833405857448824</v>
      </c>
      <c r="Q39" s="19" t="n">
        <v>4</v>
      </c>
      <c r="R39" s="18" t="n"/>
      <c r="S39" s="18" t="n">
        <v>0.1195939253879168</v>
      </c>
      <c r="T39" s="18" t="n">
        <v>0.08516306844281121</v>
      </c>
      <c r="U39" s="18" t="n">
        <v>0.08262019604792283</v>
      </c>
      <c r="V39" s="18" t="n">
        <v>0.03971776487993627</v>
      </c>
      <c r="W39" s="12" t="n"/>
      <c r="X39" s="17">
        <f>IF(OR(W39="",F39="",F39=0),"",W39/F39)</f>
        <v/>
      </c>
      <c r="Y39" s="20" t="n">
        <v>42.25</v>
      </c>
      <c r="Z39" s="18" t="n">
        <v>0.075</v>
      </c>
      <c r="AA39" s="18" t="n">
        <v>0.183022809205938</v>
      </c>
      <c r="AB39" s="11">
        <f>IF(AND(N39="",O39=""),"DATI MANCANTI",IF(AND(N(N39)&gt;=PARAMETRI!$B$4,N(O39)&gt;=PARAMETRI!$B$4),"OK","NO"))</f>
        <v/>
      </c>
      <c r="AC39" s="11">
        <f>IF(K39="","N/D",IF(K39&lt;PARAMETRI!$B$6,"OTTIMO",IF(K39&lt;PARAMETRI!$B$5,"OK","NO")))</f>
        <v/>
      </c>
      <c r="AD39" s="11">
        <f>IF(OR(AB39="DATI MANCANTI",AC39="N/D"),"DA COMPLETARE",IF(AND(AB39="OK",AC39="OTTIMO"),"PASSA FORTE",IF(AND(AB39="OK",AC39="OK"),"PASSA","SCARTA")))</f>
        <v/>
      </c>
      <c r="AE39" s="10" t="inlineStr">
        <is>
          <t>2026-08-04</t>
        </is>
      </c>
      <c r="AF39" s="10" t="inlineStr">
        <is>
          <t>yahoo</t>
        </is>
      </c>
      <c r="AG39" s="21" t="inlineStr"/>
    </row>
    <row r="40">
      <c r="A40" s="10" t="n">
        <v>39</v>
      </c>
      <c r="B40" s="10" t="inlineStr">
        <is>
          <t>Bristol-Myers Squibb</t>
        </is>
      </c>
      <c r="C40" s="10" t="inlineStr">
        <is>
          <t>BMY</t>
        </is>
      </c>
      <c r="D40" s="10" t="inlineStr">
        <is>
          <t>Farmaceutica</t>
        </is>
      </c>
      <c r="E40" s="11" t="inlineStr">
        <is>
          <t>Salute</t>
        </is>
      </c>
      <c r="F40" s="12" t="n">
        <v>65.47</v>
      </c>
      <c r="G40" s="13" t="inlineStr">
        <is>
          <t>USD</t>
        </is>
      </c>
      <c r="H40" s="14" t="n">
        <v>133736.5</v>
      </c>
      <c r="I40" s="12" t="n">
        <v>4.54</v>
      </c>
      <c r="J40" s="12" t="n">
        <v>6.52497</v>
      </c>
      <c r="K40" s="15">
        <f>IF(OR(F40="",I40="",I40&lt;=0),"",F40/I40)</f>
        <v/>
      </c>
      <c r="L40" s="16" t="n">
        <v>5.992677</v>
      </c>
      <c r="M40" s="17">
        <f>IF(OR(L40="",K40="",K40&lt;=0),"",L40/K40)</f>
        <v/>
      </c>
      <c r="N40" s="18" t="n">
        <v>0.46598998</v>
      </c>
      <c r="O40" s="18" t="n">
        <v>0.07761266271412175</v>
      </c>
      <c r="P40" s="18" t="n">
        <v>0.3666158804610691</v>
      </c>
      <c r="Q40" s="19" t="n">
        <v>4</v>
      </c>
      <c r="R40" s="18" t="n"/>
      <c r="S40" s="18" t="n">
        <v>0.3818545986033671</v>
      </c>
      <c r="T40" s="18" t="n">
        <v>-0.5477808386899296</v>
      </c>
      <c r="U40" s="18" t="n">
        <v>0.2726809378185525</v>
      </c>
      <c r="V40" s="18" t="n">
        <v>0.203695953124497</v>
      </c>
      <c r="W40" s="12" t="n">
        <v>2.52</v>
      </c>
      <c r="X40" s="17">
        <f>IF(OR(W40="",F40="",F40=0),"",W40/F40)</f>
        <v/>
      </c>
      <c r="Y40" s="20" t="n">
        <v>201.859</v>
      </c>
      <c r="Z40" s="18" t="n">
        <v>0.057</v>
      </c>
      <c r="AA40" s="18" t="n">
        <v>0.1925925899367154</v>
      </c>
      <c r="AB40" s="11">
        <f>IF(AND(N40="",O40=""),"DATI MANCANTI",IF(AND(N(N40)&gt;=PARAMETRI!$B$4,N(O40)&gt;=PARAMETRI!$B$4),"OK","NO"))</f>
        <v/>
      </c>
      <c r="AC40" s="11">
        <f>IF(K40="","N/D",IF(K40&lt;PARAMETRI!$B$6,"OTTIMO",IF(K40&lt;PARAMETRI!$B$5,"OK","NO")))</f>
        <v/>
      </c>
      <c r="AD40" s="11">
        <f>IF(OR(AB40="DATI MANCANTI",AC40="N/D"),"DA COMPLETARE",IF(AND(AB40="OK",AC40="OTTIMO"),"PASSA FORTE",IF(AND(AB40="OK",AC40="OK"),"PASSA","SCARTA")))</f>
        <v/>
      </c>
      <c r="AE40" s="10" t="inlineStr">
        <is>
          <t>2026-08-04</t>
        </is>
      </c>
      <c r="AF40" s="10" t="inlineStr">
        <is>
          <t>yahoo</t>
        </is>
      </c>
      <c r="AG40" s="21" t="inlineStr"/>
    </row>
    <row r="41">
      <c r="A41" s="10" t="n">
        <v>40</v>
      </c>
      <c r="B41" s="10" t="inlineStr">
        <is>
          <t>Cigna Group</t>
        </is>
      </c>
      <c r="C41" s="10" t="inlineStr">
        <is>
          <t>CI</t>
        </is>
      </c>
      <c r="D41" s="10" t="inlineStr">
        <is>
          <t>Assicurazione sanitaria</t>
        </is>
      </c>
      <c r="E41" s="11" t="inlineStr">
        <is>
          <t>Salute</t>
        </is>
      </c>
      <c r="F41" s="12" t="n">
        <v>282.06</v>
      </c>
      <c r="G41" s="13" t="inlineStr">
        <is>
          <t>USD</t>
        </is>
      </c>
      <c r="H41" s="14" t="n">
        <v>74531.7</v>
      </c>
      <c r="I41" s="12" t="n">
        <v>24.19</v>
      </c>
      <c r="J41" s="12" t="n">
        <v>33.49243</v>
      </c>
      <c r="K41" s="15">
        <f>IF(OR(F41="",I41="",I41&lt;=0),"",F41/I41)</f>
        <v/>
      </c>
      <c r="L41" s="16" t="n">
        <v>1.7681352</v>
      </c>
      <c r="M41" s="17">
        <f>IF(OR(L41="",K41="",K41&lt;=0),"",L41/K41)</f>
        <v/>
      </c>
      <c r="N41" s="18" t="n">
        <v>0.16758</v>
      </c>
      <c r="O41" s="18" t="n">
        <v>0.1220696910352129</v>
      </c>
      <c r="P41" s="18" t="n">
        <v>0.02642867866442709</v>
      </c>
      <c r="Q41" s="19" t="n">
        <v>4</v>
      </c>
      <c r="R41" s="18" t="n"/>
      <c r="S41" s="18" t="n">
        <v>0.1428091961738547</v>
      </c>
      <c r="T41" s="18" t="n">
        <v>0.0836887383325616</v>
      </c>
      <c r="U41" s="18" t="n">
        <v>0.1117192739545248</v>
      </c>
      <c r="V41" s="18" t="n">
        <v>0.1500615556799105</v>
      </c>
      <c r="W41" s="12" t="n">
        <v>6.24</v>
      </c>
      <c r="X41" s="17">
        <f>IF(OR(W41="",F41="",F41=0),"",W41/F41)</f>
        <v/>
      </c>
      <c r="Y41" s="20" t="n">
        <v>74.29000000000001</v>
      </c>
      <c r="Z41" s="18" t="n">
        <v>0.067</v>
      </c>
      <c r="AA41" s="18" t="n">
        <v>0.02342854221592527</v>
      </c>
      <c r="AB41" s="11">
        <f>IF(AND(N41="",O41=""),"DATI MANCANTI",IF(AND(N(N41)&gt;=PARAMETRI!$B$4,N(O41)&gt;=PARAMETRI!$B$4),"OK","NO"))</f>
        <v/>
      </c>
      <c r="AC41" s="11">
        <f>IF(K41="","N/D",IF(K41&lt;PARAMETRI!$B$6,"OTTIMO",IF(K41&lt;PARAMETRI!$B$5,"OK","NO")))</f>
        <v/>
      </c>
      <c r="AD41" s="11">
        <f>IF(OR(AB41="DATI MANCANTI",AC41="N/D"),"DA COMPLETARE",IF(AND(AB41="OK",AC41="OTTIMO"),"PASSA FORTE",IF(AND(AB41="OK",AC41="OK"),"PASSA","SCARTA")))</f>
        <v/>
      </c>
      <c r="AE41" s="10" t="inlineStr">
        <is>
          <t>2026-08-04</t>
        </is>
      </c>
      <c r="AF41" s="10" t="inlineStr">
        <is>
          <t>yahoo</t>
        </is>
      </c>
      <c r="AG41" s="21" t="inlineStr"/>
    </row>
    <row r="42">
      <c r="A42" s="10" t="n">
        <v>41</v>
      </c>
      <c r="B42" s="10" t="inlineStr">
        <is>
          <t>CVS Health</t>
        </is>
      </c>
      <c r="C42" s="10" t="inlineStr">
        <is>
          <t>CVS</t>
        </is>
      </c>
      <c r="D42" s="10" t="inlineStr">
        <is>
          <t>Distribuzione farmaceutica</t>
        </is>
      </c>
      <c r="E42" s="11" t="inlineStr">
        <is>
          <t>Salute</t>
        </is>
      </c>
      <c r="F42" s="12" t="n">
        <v>105.37</v>
      </c>
      <c r="G42" s="13" t="inlineStr">
        <is>
          <t>USD</t>
        </is>
      </c>
      <c r="H42" s="14" t="n">
        <v>134444.5</v>
      </c>
      <c r="I42" s="12" t="n">
        <v>2.28</v>
      </c>
      <c r="J42" s="12" t="n">
        <v>8.42042</v>
      </c>
      <c r="K42" s="15">
        <f>IF(OR(F42="",I42="",I42&lt;=0),"",F42/I42)</f>
        <v/>
      </c>
      <c r="L42" s="16" t="n">
        <v>1.7317774</v>
      </c>
      <c r="M42" s="17">
        <f>IF(OR(L42="",K42="",K42&lt;=0),"",L42/K42)</f>
        <v/>
      </c>
      <c r="N42" s="18" t="n">
        <v>0.037520003</v>
      </c>
      <c r="O42" s="18" t="n">
        <v>0.06350442630364242</v>
      </c>
      <c r="P42" s="18" t="n">
        <v>0.03040319688724718</v>
      </c>
      <c r="Q42" s="19" t="n">
        <v>4</v>
      </c>
      <c r="R42" s="18" t="n"/>
      <c r="S42" s="18" t="n">
        <v>0.02350626213204988</v>
      </c>
      <c r="T42" s="18" t="n">
        <v>0.06106405505558497</v>
      </c>
      <c r="U42" s="18" t="n">
        <v>0.1091275290671061</v>
      </c>
      <c r="V42" s="18" t="n">
        <v>0.06031985895982873</v>
      </c>
      <c r="W42" s="12" t="n">
        <v>2.66</v>
      </c>
      <c r="X42" s="17">
        <f>IF(OR(W42="",F42="",F42=0),"",W42/F42)</f>
        <v/>
      </c>
      <c r="Y42" s="20" t="n">
        <v>100.912</v>
      </c>
      <c r="Z42" s="18" t="n">
        <v>0.061</v>
      </c>
      <c r="AA42" s="18" t="n">
        <v>0.007292316952149766</v>
      </c>
      <c r="AB42" s="11">
        <f>IF(AND(N42="",O42=""),"DATI MANCANTI",IF(AND(N(N42)&gt;=PARAMETRI!$B$4,N(O42)&gt;=PARAMETRI!$B$4),"OK","NO"))</f>
        <v/>
      </c>
      <c r="AC42" s="11">
        <f>IF(K42="","N/D",IF(K42&lt;PARAMETRI!$B$6,"OTTIMO",IF(K42&lt;PARAMETRI!$B$5,"OK","NO")))</f>
        <v/>
      </c>
      <c r="AD42" s="11">
        <f>IF(OR(AB42="DATI MANCANTI",AC42="N/D"),"DA COMPLETARE",IF(AND(AB42="OK",AC42="OTTIMO"),"PASSA FORTE",IF(AND(AB42="OK",AC42="OK"),"PASSA","SCARTA")))</f>
        <v/>
      </c>
      <c r="AE42" s="10" t="inlineStr">
        <is>
          <t>2026-08-04</t>
        </is>
      </c>
      <c r="AF42" s="10" t="inlineStr">
        <is>
          <t>yahoo</t>
        </is>
      </c>
      <c r="AG42" s="21" t="inlineStr"/>
    </row>
    <row r="43">
      <c r="A43" s="10" t="n">
        <v>42</v>
      </c>
      <c r="B43" s="10" t="inlineStr">
        <is>
          <t>Danaher</t>
        </is>
      </c>
      <c r="C43" s="10" t="inlineStr">
        <is>
          <t>DHR</t>
        </is>
      </c>
      <c r="D43" s="10" t="inlineStr">
        <is>
          <t>Strumentazione life science</t>
        </is>
      </c>
      <c r="E43" s="11" t="inlineStr">
        <is>
          <t>Salute</t>
        </is>
      </c>
      <c r="F43" s="12" t="n">
        <v>197.5</v>
      </c>
      <c r="G43" s="13" t="inlineStr">
        <is>
          <t>USD</t>
        </is>
      </c>
      <c r="H43" s="14" t="n">
        <v>138839.7</v>
      </c>
      <c r="I43" s="12" t="n">
        <v>5.62</v>
      </c>
      <c r="J43" s="12" t="n">
        <v>9.298780000000001</v>
      </c>
      <c r="K43" s="15">
        <f>IF(OR(F43="",I43="",I43&lt;=0),"",F43/I43)</f>
        <v/>
      </c>
      <c r="L43" s="16" t="n">
        <v>2.6401625</v>
      </c>
      <c r="M43" s="17">
        <f>IF(OR(L43="",K43="",K43&lt;=0),"",L43/K43)</f>
        <v/>
      </c>
      <c r="N43" s="18" t="n">
        <v>0.07605000000000001</v>
      </c>
      <c r="O43" s="18" t="n">
        <v>0.09512670597719992</v>
      </c>
      <c r="P43" s="18" t="n">
        <v>0.02908220905236598</v>
      </c>
      <c r="Q43" s="19" t="n">
        <v>4</v>
      </c>
      <c r="R43" s="18" t="n"/>
      <c r="S43" s="18" t="n">
        <v>0.06879354322914684</v>
      </c>
      <c r="T43" s="18" t="n">
        <v>0.07869931170902045</v>
      </c>
      <c r="U43" s="18" t="n">
        <v>0.08907003701903302</v>
      </c>
      <c r="V43" s="18" t="n">
        <v>0.1439439319515994</v>
      </c>
      <c r="W43" s="12" t="n">
        <v>1.6</v>
      </c>
      <c r="X43" s="17">
        <f>IF(OR(W43="",F43="",F43=0),"",W43/F43)</f>
        <v/>
      </c>
      <c r="Y43" s="20" t="n">
        <v>52.97</v>
      </c>
      <c r="Z43" s="18" t="n">
        <v>0.055</v>
      </c>
      <c r="AA43" s="18" t="n">
        <v>0.1624063874959297</v>
      </c>
      <c r="AB43" s="11">
        <f>IF(AND(N43="",O43=""),"DATI MANCANTI",IF(AND(N(N43)&gt;=PARAMETRI!$B$4,N(O43)&gt;=PARAMETRI!$B$4),"OK","NO"))</f>
        <v/>
      </c>
      <c r="AC43" s="11">
        <f>IF(K43="","N/D",IF(K43&lt;PARAMETRI!$B$6,"OTTIMO",IF(K43&lt;PARAMETRI!$B$5,"OK","NO")))</f>
        <v/>
      </c>
      <c r="AD43" s="11">
        <f>IF(OR(AB43="DATI MANCANTI",AC43="N/D"),"DA COMPLETARE",IF(AND(AB43="OK",AC43="OTTIMO"),"PASSA FORTE",IF(AND(AB43="OK",AC43="OK"),"PASSA","SCARTA")))</f>
        <v/>
      </c>
      <c r="AE43" s="10" t="inlineStr">
        <is>
          <t>2026-08-04</t>
        </is>
      </c>
      <c r="AF43" s="10" t="inlineStr">
        <is>
          <t>yahoo</t>
        </is>
      </c>
      <c r="AG43" s="21" t="inlineStr"/>
    </row>
    <row r="44">
      <c r="A44" s="10" t="n">
        <v>43</v>
      </c>
      <c r="B44" s="10" t="inlineStr">
        <is>
          <t>Elevance Health</t>
        </is>
      </c>
      <c r="C44" s="10" t="inlineStr">
        <is>
          <t>ELV</t>
        </is>
      </c>
      <c r="D44" s="10" t="inlineStr">
        <is>
          <t>Assicurazione sanitaria</t>
        </is>
      </c>
      <c r="E44" s="11" t="inlineStr">
        <is>
          <t>Salute</t>
        </is>
      </c>
      <c r="F44" s="12" t="n">
        <v>382.77</v>
      </c>
      <c r="G44" s="13" t="inlineStr">
        <is>
          <t>USD</t>
        </is>
      </c>
      <c r="H44" s="14" t="n">
        <v>83011.10000000001</v>
      </c>
      <c r="I44" s="12" t="n">
        <v>22.63</v>
      </c>
      <c r="J44" s="12" t="n">
        <v>29.63423</v>
      </c>
      <c r="K44" s="15">
        <f>IF(OR(F44="",I44="",I44&lt;=0),"",F44/I44)</f>
        <v/>
      </c>
      <c r="L44" s="16" t="n">
        <v>1.8492556</v>
      </c>
      <c r="M44" s="17">
        <f>IF(OR(L44="",K44="",K44&lt;=0),"",L44/K44)</f>
        <v/>
      </c>
      <c r="N44" s="18" t="n">
        <v>0.11133</v>
      </c>
      <c r="O44" s="18" t="n">
        <v>0.1471779214463593</v>
      </c>
      <c r="P44" s="18" t="n">
        <v>0.01225127753653764</v>
      </c>
      <c r="Q44" s="19" t="n">
        <v>4</v>
      </c>
      <c r="R44" s="18" t="n"/>
      <c r="S44" s="18" t="n">
        <v>0.1290278474089604</v>
      </c>
      <c r="T44" s="18" t="n">
        <v>0.1447416192666102</v>
      </c>
      <c r="U44" s="18" t="n">
        <v>0.1523177123085534</v>
      </c>
      <c r="V44" s="18" t="n">
        <v>0.1626245068013134</v>
      </c>
      <c r="W44" s="12" t="n">
        <v>6.88</v>
      </c>
      <c r="X44" s="17">
        <f>IF(OR(W44="",F44="",F44=0),"",W44/F44)</f>
        <v/>
      </c>
      <c r="Y44" s="20" t="n">
        <v>68.953</v>
      </c>
      <c r="Z44" s="18" t="n">
        <v>0.014</v>
      </c>
      <c r="AA44" s="18" t="n">
        <v>0.02492404172253609</v>
      </c>
      <c r="AB44" s="11">
        <f>IF(AND(N44="",O44=""),"DATI MANCANTI",IF(AND(N(N44)&gt;=PARAMETRI!$B$4,N(O44)&gt;=PARAMETRI!$B$4),"OK","NO"))</f>
        <v/>
      </c>
      <c r="AC44" s="11">
        <f>IF(K44="","N/D",IF(K44&lt;PARAMETRI!$B$6,"OTTIMO",IF(K44&lt;PARAMETRI!$B$5,"OK","NO")))</f>
        <v/>
      </c>
      <c r="AD44" s="11">
        <f>IF(OR(AB44="DATI MANCANTI",AC44="N/D"),"DA COMPLETARE",IF(AND(AB44="OK",AC44="OTTIMO"),"PASSA FORTE",IF(AND(AB44="OK",AC44="OK"),"PASSA","SCARTA")))</f>
        <v/>
      </c>
      <c r="AE44" s="10" t="inlineStr">
        <is>
          <t>2026-08-04</t>
        </is>
      </c>
      <c r="AF44" s="10" t="inlineStr">
        <is>
          <t>yahoo</t>
        </is>
      </c>
      <c r="AG44" s="21" t="inlineStr"/>
    </row>
    <row r="45">
      <c r="A45" s="10" t="n">
        <v>44</v>
      </c>
      <c r="B45" s="10" t="inlineStr">
        <is>
          <t>Eli Lilly</t>
        </is>
      </c>
      <c r="C45" s="10" t="inlineStr">
        <is>
          <t>LLY</t>
        </is>
      </c>
      <c r="D45" s="10" t="inlineStr">
        <is>
          <t>Farmaceutica</t>
        </is>
      </c>
      <c r="E45" s="11" t="inlineStr">
        <is>
          <t>Salute</t>
        </is>
      </c>
      <c r="F45" s="12" t="n">
        <v>1121.36</v>
      </c>
      <c r="G45" s="13" t="inlineStr">
        <is>
          <t>USD</t>
        </is>
      </c>
      <c r="H45" s="14" t="n">
        <v>999963.1</v>
      </c>
      <c r="I45" s="12" t="n">
        <v>28.15</v>
      </c>
      <c r="J45" s="12" t="n">
        <v>45.08017</v>
      </c>
      <c r="K45" s="15">
        <f>IF(OR(F45="",I45="",I45&lt;=0),"",F45/I45)</f>
        <v/>
      </c>
      <c r="L45" s="16" t="n">
        <v>32.115017</v>
      </c>
      <c r="M45" s="17">
        <f>IF(OR(L45="",K45="",K45&lt;=0),"",L45/K45)</f>
        <v/>
      </c>
      <c r="N45" s="18" t="n">
        <v>1.07459</v>
      </c>
      <c r="O45" s="18" t="n">
        <v>0.6481702467386419</v>
      </c>
      <c r="P45" s="18" t="n">
        <v>0.1178900700269788</v>
      </c>
      <c r="Q45" s="19" t="n">
        <v>4</v>
      </c>
      <c r="R45" s="18" t="n"/>
      <c r="S45" s="18" t="n">
        <v>0.7778405879027699</v>
      </c>
      <c r="T45" s="18" t="n">
        <v>0.7420123318385651</v>
      </c>
      <c r="U45" s="18" t="n">
        <v>0.4864508582515619</v>
      </c>
      <c r="V45" s="18" t="n">
        <v>0.5863772089616707</v>
      </c>
      <c r="W45" s="12" t="n">
        <v>6.92</v>
      </c>
      <c r="X45" s="17">
        <f>IF(OR(W45="",F45="",F45=0),"",W45/F45)</f>
        <v/>
      </c>
      <c r="Y45" s="20" t="n">
        <v>139.015</v>
      </c>
      <c r="Z45" s="18" t="n">
        <v>0.555</v>
      </c>
      <c r="AA45" s="18" t="n">
        <v>0.3878089519630556</v>
      </c>
      <c r="AB45" s="11">
        <f>IF(AND(N45="",O45=""),"DATI MANCANTI",IF(AND(N(N45)&gt;=PARAMETRI!$B$4,N(O45)&gt;=PARAMETRI!$B$4),"OK","NO"))</f>
        <v/>
      </c>
      <c r="AC45" s="11">
        <f>IF(K45="","N/D",IF(K45&lt;PARAMETRI!$B$6,"OTTIMO",IF(K45&lt;PARAMETRI!$B$5,"OK","NO")))</f>
        <v/>
      </c>
      <c r="AD45" s="11">
        <f>IF(OR(AB45="DATI MANCANTI",AC45="N/D"),"DA COMPLETARE",IF(AND(AB45="OK",AC45="OTTIMO"),"PASSA FORTE",IF(AND(AB45="OK",AC45="OK"),"PASSA","SCARTA")))</f>
        <v/>
      </c>
      <c r="AE45" s="10" t="inlineStr">
        <is>
          <t>2026-08-04</t>
        </is>
      </c>
      <c r="AF45" s="10" t="inlineStr">
        <is>
          <t>yahoo</t>
        </is>
      </c>
      <c r="AG45" s="21" t="inlineStr"/>
    </row>
    <row r="46">
      <c r="A46" s="10" t="n">
        <v>45</v>
      </c>
      <c r="B46" s="10" t="inlineStr">
        <is>
          <t>Gilead Sciences</t>
        </is>
      </c>
      <c r="C46" s="10" t="inlineStr">
        <is>
          <t>GILD</t>
        </is>
      </c>
      <c r="D46" s="10" t="inlineStr">
        <is>
          <t>Biotecnologie</t>
        </is>
      </c>
      <c r="E46" s="11" t="inlineStr">
        <is>
          <t>Salute</t>
        </is>
      </c>
      <c r="F46" s="12" t="n">
        <v>131.15</v>
      </c>
      <c r="G46" s="13" t="inlineStr">
        <is>
          <t>USD</t>
        </is>
      </c>
      <c r="H46" s="14" t="n">
        <v>162831.9</v>
      </c>
      <c r="I46" s="12" t="n">
        <v>7.34</v>
      </c>
      <c r="J46" s="12" t="n">
        <v>9.61847</v>
      </c>
      <c r="K46" s="15">
        <f>IF(OR(F46="",I46="",I46&lt;=0),"",F46/I46)</f>
        <v/>
      </c>
      <c r="L46" s="16" t="n">
        <v>6.927058</v>
      </c>
      <c r="M46" s="17">
        <f>IF(OR(L46="",K46="",K46&lt;=0),"",L46/K46)</f>
        <v/>
      </c>
      <c r="N46" s="18" t="n">
        <v>0.4336</v>
      </c>
      <c r="O46" s="18" t="n">
        <v>0.2159975942519622</v>
      </c>
      <c r="P46" s="18" t="n">
        <v>0.1253111848721516</v>
      </c>
      <c r="Q46" s="19" t="n">
        <v>4</v>
      </c>
      <c r="R46" s="18" t="n"/>
      <c r="S46" s="18" t="n">
        <v>0.3748568408069773</v>
      </c>
      <c r="T46" s="18" t="n">
        <v>0.02483186756337299</v>
      </c>
      <c r="U46" s="18" t="n">
        <v>0.2481058117636754</v>
      </c>
      <c r="V46" s="18" t="n">
        <v>0.216195856873823</v>
      </c>
      <c r="W46" s="12" t="n">
        <v>3.28</v>
      </c>
      <c r="X46" s="17">
        <f>IF(OR(W46="",F46="",F46=0),"",W46/F46)</f>
        <v/>
      </c>
      <c r="Y46" s="20" t="n">
        <v>94.63500000000001</v>
      </c>
      <c r="Z46" s="18" t="n">
        <v>0.044</v>
      </c>
      <c r="AA46" s="18" t="n">
        <v>0.3130222131648665</v>
      </c>
      <c r="AB46" s="11">
        <f>IF(AND(N46="",O46=""),"DATI MANCANTI",IF(AND(N(N46)&gt;=PARAMETRI!$B$4,N(O46)&gt;=PARAMETRI!$B$4),"OK","NO"))</f>
        <v/>
      </c>
      <c r="AC46" s="11">
        <f>IF(K46="","N/D",IF(K46&lt;PARAMETRI!$B$6,"OTTIMO",IF(K46&lt;PARAMETRI!$B$5,"OK","NO")))</f>
        <v/>
      </c>
      <c r="AD46" s="11">
        <f>IF(OR(AB46="DATI MANCANTI",AC46="N/D"),"DA COMPLETARE",IF(AND(AB46="OK",AC46="OTTIMO"),"PASSA FORTE",IF(AND(AB46="OK",AC46="OK"),"PASSA","SCARTA")))</f>
        <v/>
      </c>
      <c r="AE46" s="10" t="inlineStr">
        <is>
          <t>2026-08-04</t>
        </is>
      </c>
      <c r="AF46" s="10" t="inlineStr">
        <is>
          <t>yahoo</t>
        </is>
      </c>
      <c r="AG46" s="21" t="inlineStr"/>
    </row>
    <row r="47">
      <c r="A47" s="10" t="n">
        <v>46</v>
      </c>
      <c r="B47" s="10" t="inlineStr">
        <is>
          <t>Intuitive Surgical</t>
        </is>
      </c>
      <c r="C47" s="10" t="inlineStr">
        <is>
          <t>ISRG</t>
        </is>
      </c>
      <c r="D47" s="10" t="inlineStr">
        <is>
          <t>Dispositivi medicali</t>
        </is>
      </c>
      <c r="E47" s="11" t="inlineStr">
        <is>
          <t>Salute</t>
        </is>
      </c>
      <c r="F47" s="12" t="n">
        <v>375.41</v>
      </c>
      <c r="G47" s="13" t="inlineStr">
        <is>
          <t>USD</t>
        </is>
      </c>
      <c r="H47" s="14" t="n">
        <v>134501.2</v>
      </c>
      <c r="I47" s="12" t="n">
        <v>8.73</v>
      </c>
      <c r="J47" s="12" t="n">
        <v>12.07083</v>
      </c>
      <c r="K47" s="15">
        <f>IF(OR(F47="",I47="",I47&lt;=0),"",F47/I47)</f>
        <v/>
      </c>
      <c r="L47" s="16" t="n">
        <v>7.312517</v>
      </c>
      <c r="M47" s="17">
        <f>IF(OR(L47="",K47="",K47&lt;=0),"",L47/K47)</f>
        <v/>
      </c>
      <c r="N47" s="18" t="n">
        <v>0.17423001</v>
      </c>
      <c r="O47" s="18" t="n">
        <v>0.1391071575445574</v>
      </c>
      <c r="P47" s="18" t="n">
        <v>0.01450708906843886</v>
      </c>
      <c r="Q47" s="19" t="n">
        <v>4</v>
      </c>
      <c r="R47" s="18" t="n"/>
      <c r="S47" s="18" t="n">
        <v>0.1602333931777379</v>
      </c>
      <c r="T47" s="18" t="n">
        <v>0.1413315321564833</v>
      </c>
      <c r="U47" s="18" t="n">
        <v>0.135110763774084</v>
      </c>
      <c r="V47" s="18" t="n">
        <v>0.1197529410699246</v>
      </c>
      <c r="W47" s="12" t="n"/>
      <c r="X47" s="17">
        <f>IF(OR(W47="",F47="",F47=0),"",W47/F47)</f>
        <v/>
      </c>
      <c r="Y47" s="20" t="n"/>
      <c r="Z47" s="18" t="n">
        <v>0.185</v>
      </c>
      <c r="AA47" s="18" t="n">
        <v>0.3118622639522291</v>
      </c>
      <c r="AB47" s="11">
        <f>IF(AND(N47="",O47=""),"DATI MANCANTI",IF(AND(N(N47)&gt;=PARAMETRI!$B$4,N(O47)&gt;=PARAMETRI!$B$4),"OK","NO"))</f>
        <v/>
      </c>
      <c r="AC47" s="11">
        <f>IF(K47="","N/D",IF(K47&lt;PARAMETRI!$B$6,"OTTIMO",IF(K47&lt;PARAMETRI!$B$5,"OK","NO")))</f>
        <v/>
      </c>
      <c r="AD47" s="11">
        <f>IF(OR(AB47="DATI MANCANTI",AC47="N/D"),"DA COMPLETARE",IF(AND(AB47="OK",AC47="OTTIMO"),"PASSA FORTE",IF(AND(AB47="OK",AC47="OK"),"PASSA","SCARTA")))</f>
        <v/>
      </c>
      <c r="AE47" s="10" t="inlineStr">
        <is>
          <t>2026-08-04</t>
        </is>
      </c>
      <c r="AF47" s="10" t="inlineStr">
        <is>
          <t>yahoo</t>
        </is>
      </c>
      <c r="AG47" s="21" t="inlineStr"/>
    </row>
    <row r="48">
      <c r="A48" s="10" t="n">
        <v>47</v>
      </c>
      <c r="B48" s="10" t="inlineStr">
        <is>
          <t>Johnson &amp; Johnson</t>
        </is>
      </c>
      <c r="C48" s="10" t="inlineStr">
        <is>
          <t>JNJ</t>
        </is>
      </c>
      <c r="D48" s="10" t="inlineStr">
        <is>
          <t>Farmaceutica</t>
        </is>
      </c>
      <c r="E48" s="11" t="inlineStr">
        <is>
          <t>Salute</t>
        </is>
      </c>
      <c r="F48" s="12" t="n">
        <v>254.41</v>
      </c>
      <c r="G48" s="13" t="inlineStr">
        <is>
          <t>USD</t>
        </is>
      </c>
      <c r="H48" s="14" t="n">
        <v>613102.3</v>
      </c>
      <c r="I48" s="12" t="n">
        <v>8.609999999999999</v>
      </c>
      <c r="J48" s="12" t="n">
        <v>12.77305</v>
      </c>
      <c r="K48" s="15">
        <f>IF(OR(F48="",I48="",I48&lt;=0),"",F48/I48)</f>
        <v/>
      </c>
      <c r="L48" s="16" t="n">
        <v>7.2103505</v>
      </c>
      <c r="M48" s="17">
        <f>IF(OR(L48="",K48="",K48&lt;=0),"",L48/K48)</f>
        <v/>
      </c>
      <c r="N48" s="18" t="n">
        <v>0.25742</v>
      </c>
      <c r="O48" s="18" t="n">
        <v>0.3175483250119345</v>
      </c>
      <c r="P48" s="18" t="n">
        <v>0.1216970967224712</v>
      </c>
      <c r="Q48" s="19" t="n">
        <v>4</v>
      </c>
      <c r="R48" s="18" t="n"/>
      <c r="S48" s="18" t="n">
        <v>0.3287059746885117</v>
      </c>
      <c r="T48" s="18" t="n">
        <v>0.1967547908798433</v>
      </c>
      <c r="U48" s="18" t="n">
        <v>0.5111379300316981</v>
      </c>
      <c r="V48" s="18" t="n">
        <v>0.233594604447685</v>
      </c>
      <c r="W48" s="12" t="n">
        <v>5.36</v>
      </c>
      <c r="X48" s="17">
        <f>IF(OR(W48="",F48="",F48=0),"",W48/F48)</f>
        <v/>
      </c>
      <c r="Y48" s="20" t="n">
        <v>57.709</v>
      </c>
      <c r="Z48" s="18" t="n">
        <v>0.066</v>
      </c>
      <c r="AA48" s="18" t="n">
        <v>0.2233393214357755</v>
      </c>
      <c r="AB48" s="11">
        <f>IF(AND(N48="",O48=""),"DATI MANCANTI",IF(AND(N(N48)&gt;=PARAMETRI!$B$4,N(O48)&gt;=PARAMETRI!$B$4),"OK","NO"))</f>
        <v/>
      </c>
      <c r="AC48" s="11">
        <f>IF(K48="","N/D",IF(K48&lt;PARAMETRI!$B$6,"OTTIMO",IF(K48&lt;PARAMETRI!$B$5,"OK","NO")))</f>
        <v/>
      </c>
      <c r="AD48" s="11">
        <f>IF(OR(AB48="DATI MANCANTI",AC48="N/D"),"DA COMPLETARE",IF(AND(AB48="OK",AC48="OTTIMO"),"PASSA FORTE",IF(AND(AB48="OK",AC48="OK"),"PASSA","SCARTA")))</f>
        <v/>
      </c>
      <c r="AE48" s="10" t="inlineStr">
        <is>
          <t>2026-08-04</t>
        </is>
      </c>
      <c r="AF48" s="10" t="inlineStr">
        <is>
          <t>yahoo</t>
        </is>
      </c>
      <c r="AG48" s="21" t="inlineStr"/>
    </row>
    <row r="49">
      <c r="A49" s="10" t="n">
        <v>48</v>
      </c>
      <c r="B49" s="10" t="inlineStr">
        <is>
          <t>McKesson</t>
        </is>
      </c>
      <c r="C49" s="10" t="inlineStr">
        <is>
          <t>MCK</t>
        </is>
      </c>
      <c r="D49" s="10" t="inlineStr">
        <is>
          <t>Distribuzione farmaceutica</t>
        </is>
      </c>
      <c r="E49" s="11" t="inlineStr">
        <is>
          <t>Salute</t>
        </is>
      </c>
      <c r="F49" s="12" t="n">
        <v>827.14</v>
      </c>
      <c r="G49" s="13" t="inlineStr">
        <is>
          <t>USD</t>
        </is>
      </c>
      <c r="H49" s="14" t="n">
        <v>96839.7</v>
      </c>
      <c r="I49" s="12" t="n">
        <v>38.36</v>
      </c>
      <c r="J49" s="12" t="n">
        <v>50.37593</v>
      </c>
      <c r="K49" s="15">
        <f>IF(OR(F49="",I49="",I49&lt;=0),"",F49/I49)</f>
        <v/>
      </c>
      <c r="L49" s="16" t="n">
        <v>-45.69834</v>
      </c>
      <c r="M49" s="17">
        <f>IF(OR(L49="",K49="",K49&lt;=0),"",L49/K49)</f>
        <v/>
      </c>
      <c r="N49" s="18" t="n"/>
      <c r="O49" s="18" t="n"/>
      <c r="P49" s="18" t="n"/>
      <c r="Q49" s="19" t="n">
        <v>0</v>
      </c>
      <c r="R49" s="18" t="n"/>
      <c r="S49" s="18" t="n"/>
      <c r="T49" s="18" t="n"/>
      <c r="U49" s="18" t="n"/>
      <c r="V49" s="18" t="n"/>
      <c r="W49" s="12" t="n">
        <v>3.76</v>
      </c>
      <c r="X49" s="17">
        <f>IF(OR(W49="",F49="",F49=0),"",W49/F49)</f>
        <v/>
      </c>
      <c r="Y49" s="20" t="n"/>
      <c r="Z49" s="18" t="n">
        <v>0.06</v>
      </c>
      <c r="AA49" s="18" t="n">
        <v>0.01180378224723</v>
      </c>
      <c r="AB49" s="11">
        <f>IF(AND(N49="",O49=""),"DATI MANCANTI",IF(AND(N(N49)&gt;=PARAMETRI!$B$4,N(O49)&gt;=PARAMETRI!$B$4),"OK","NO"))</f>
        <v/>
      </c>
      <c r="AC49" s="11">
        <f>IF(K49="","N/D",IF(K49&lt;PARAMETRI!$B$6,"OTTIMO",IF(K49&lt;PARAMETRI!$B$5,"OK","NO")))</f>
        <v/>
      </c>
      <c r="AD49" s="11">
        <f>IF(OR(AB49="DATI MANCANTI",AC49="N/D"),"DA COMPLETARE",IF(AND(AB49="OK",AC49="OTTIMO"),"PASSA FORTE",IF(AND(AB49="OK",AC49="OK"),"PASSA","SCARTA")))</f>
        <v/>
      </c>
      <c r="AE49" s="10" t="inlineStr">
        <is>
          <t>2026-08-04</t>
        </is>
      </c>
      <c r="AF49" s="10" t="inlineStr">
        <is>
          <t>yahoo</t>
        </is>
      </c>
      <c r="AG49" s="21" t="inlineStr"/>
    </row>
    <row r="50">
      <c r="A50" s="10" t="n">
        <v>49</v>
      </c>
      <c r="B50" s="10" t="inlineStr">
        <is>
          <t>Medtronic</t>
        </is>
      </c>
      <c r="C50" s="10" t="inlineStr">
        <is>
          <t>MDT</t>
        </is>
      </c>
      <c r="D50" s="10" t="inlineStr">
        <is>
          <t>Dispositivi medicali</t>
        </is>
      </c>
      <c r="E50" s="11" t="inlineStr">
        <is>
          <t>Salute</t>
        </is>
      </c>
      <c r="F50" s="12" t="n">
        <v>86.68000000000001</v>
      </c>
      <c r="G50" s="13" t="inlineStr">
        <is>
          <t>USD</t>
        </is>
      </c>
      <c r="H50" s="14" t="n">
        <v>110954.3</v>
      </c>
      <c r="I50" s="12" t="n">
        <v>3.73</v>
      </c>
      <c r="J50" s="12" t="n">
        <v>6.41248</v>
      </c>
      <c r="K50" s="15">
        <f>IF(OR(F50="",I50="",I50&lt;=0),"",F50/I50)</f>
        <v/>
      </c>
      <c r="L50" s="16" t="n">
        <v>2.2433872</v>
      </c>
      <c r="M50" s="17">
        <f>IF(OR(L50="",K50="",K50&lt;=0),"",L50/K50)</f>
        <v/>
      </c>
      <c r="N50" s="18" t="n">
        <v>0.098409995</v>
      </c>
      <c r="O50" s="18" t="n">
        <v>0.08508513928303943</v>
      </c>
      <c r="P50" s="18" t="n">
        <v>0.01198455172386248</v>
      </c>
      <c r="Q50" s="19" t="n">
        <v>4</v>
      </c>
      <c r="R50" s="18" t="n">
        <v>0.09706245072074075</v>
      </c>
      <c r="S50" s="18" t="n">
        <v>0.09707646176911544</v>
      </c>
      <c r="T50" s="18" t="n">
        <v>0.07320667542916318</v>
      </c>
      <c r="U50" s="18" t="n">
        <v>0.07299496921313832</v>
      </c>
      <c r="V50" s="18" t="n"/>
      <c r="W50" s="12" t="n">
        <v>2.88</v>
      </c>
      <c r="X50" s="17">
        <f>IF(OR(W50="",F50="",F50=0),"",W50/F50)</f>
        <v/>
      </c>
      <c r="Y50" s="20" t="n">
        <v>58.214</v>
      </c>
      <c r="Z50" s="18" t="n">
        <v>0.099</v>
      </c>
      <c r="AA50" s="18" t="n">
        <v>0.1320261779782202</v>
      </c>
      <c r="AB50" s="11">
        <f>IF(AND(N50="",O50=""),"DATI MANCANTI",IF(AND(N(N50)&gt;=PARAMETRI!$B$4,N(O50)&gt;=PARAMETRI!$B$4),"OK","NO"))</f>
        <v/>
      </c>
      <c r="AC50" s="11">
        <f>IF(K50="","N/D",IF(K50&lt;PARAMETRI!$B$6,"OTTIMO",IF(K50&lt;PARAMETRI!$B$5,"OK","NO")))</f>
        <v/>
      </c>
      <c r="AD50" s="11">
        <f>IF(OR(AB50="DATI MANCANTI",AC50="N/D"),"DA COMPLETARE",IF(AND(AB50="OK",AC50="OTTIMO"),"PASSA FORTE",IF(AND(AB50="OK",AC50="OK"),"PASSA","SCARTA")))</f>
        <v/>
      </c>
      <c r="AE50" s="10" t="inlineStr">
        <is>
          <t>2026-08-04</t>
        </is>
      </c>
      <c r="AF50" s="10" t="inlineStr">
        <is>
          <t>yahoo</t>
        </is>
      </c>
      <c r="AG50" s="21" t="inlineStr"/>
    </row>
    <row r="51">
      <c r="A51" s="10" t="n">
        <v>50</v>
      </c>
      <c r="B51" s="10" t="inlineStr">
        <is>
          <t>Merck &amp; Co.</t>
        </is>
      </c>
      <c r="C51" s="10" t="inlineStr">
        <is>
          <t>MRK</t>
        </is>
      </c>
      <c r="D51" s="10" t="inlineStr">
        <is>
          <t>Farmaceutica</t>
        </is>
      </c>
      <c r="E51" s="11" t="inlineStr">
        <is>
          <t>Salute</t>
        </is>
      </c>
      <c r="F51" s="12" t="n">
        <v>127.77</v>
      </c>
      <c r="G51" s="13" t="inlineStr">
        <is>
          <t>USD</t>
        </is>
      </c>
      <c r="H51" s="14" t="n">
        <v>315569.5</v>
      </c>
      <c r="I51" s="12" t="n">
        <v>3.55</v>
      </c>
      <c r="J51" s="12" t="n">
        <v>9.64568</v>
      </c>
      <c r="K51" s="15">
        <f>IF(OR(F51="",I51="",I51&lt;=0),"",F51/I51)</f>
        <v/>
      </c>
      <c r="L51" s="16" t="n">
        <v>6.8782296</v>
      </c>
      <c r="M51" s="17">
        <f>IF(OR(L51="",K51="",K51&lt;=0),"",L51/K51)</f>
        <v/>
      </c>
      <c r="N51" s="18" t="n">
        <v>0.18944</v>
      </c>
      <c r="O51" s="18" t="n">
        <v>0.2604982613071798</v>
      </c>
      <c r="P51" s="18" t="n">
        <v>0.1460508583775003</v>
      </c>
      <c r="Q51" s="19" t="n">
        <v>4</v>
      </c>
      <c r="R51" s="18" t="n"/>
      <c r="S51" s="18" t="n">
        <v>0.3469946393947458</v>
      </c>
      <c r="T51" s="18" t="n">
        <v>0.3695938505387256</v>
      </c>
      <c r="U51" s="18" t="n">
        <v>0.009712354647295175</v>
      </c>
      <c r="V51" s="18" t="n">
        <v>0.3156922006479528</v>
      </c>
      <c r="W51" s="12" t="n">
        <v>3.4</v>
      </c>
      <c r="X51" s="17">
        <f>IF(OR(W51="",F51="",F51=0),"",W51/F51)</f>
        <v/>
      </c>
      <c r="Y51" s="20" t="n">
        <v>106.936</v>
      </c>
      <c r="Z51" s="18" t="n">
        <v>0.049</v>
      </c>
      <c r="AA51" s="18" t="n">
        <v>0.137438280660196</v>
      </c>
      <c r="AB51" s="11">
        <f>IF(AND(N51="",O51=""),"DATI MANCANTI",IF(AND(N(N51)&gt;=PARAMETRI!$B$4,N(O51)&gt;=PARAMETRI!$B$4),"OK","NO"))</f>
        <v/>
      </c>
      <c r="AC51" s="11">
        <f>IF(K51="","N/D",IF(K51&lt;PARAMETRI!$B$6,"OTTIMO",IF(K51&lt;PARAMETRI!$B$5,"OK","NO")))</f>
        <v/>
      </c>
      <c r="AD51" s="11">
        <f>IF(OR(AB51="DATI MANCANTI",AC51="N/D"),"DA COMPLETARE",IF(AND(AB51="OK",AC51="OTTIMO"),"PASSA FORTE",IF(AND(AB51="OK",AC51="OK"),"PASSA","SCARTA")))</f>
        <v/>
      </c>
      <c r="AE51" s="10" t="inlineStr">
        <is>
          <t>2026-08-04</t>
        </is>
      </c>
      <c r="AF51" s="10" t="inlineStr">
        <is>
          <t>yahoo</t>
        </is>
      </c>
      <c r="AG51" s="21" t="inlineStr"/>
    </row>
    <row r="52">
      <c r="A52" s="10" t="n">
        <v>51</v>
      </c>
      <c r="B52" s="10" t="inlineStr">
        <is>
          <t>Moderna</t>
        </is>
      </c>
      <c r="C52" s="10" t="inlineStr">
        <is>
          <t>MRNA</t>
        </is>
      </c>
      <c r="D52" s="10" t="inlineStr">
        <is>
          <t>Biotecnologie</t>
        </is>
      </c>
      <c r="E52" s="11" t="inlineStr">
        <is>
          <t>Salute</t>
        </is>
      </c>
      <c r="F52" s="12" t="n">
        <v>55.14</v>
      </c>
      <c r="G52" s="13" t="inlineStr">
        <is>
          <t>USD</t>
        </is>
      </c>
      <c r="H52" s="14" t="n">
        <v>22013.9</v>
      </c>
      <c r="I52" s="12" t="n">
        <v>-7.98</v>
      </c>
      <c r="J52" s="12" t="n">
        <v>-4.87622</v>
      </c>
      <c r="K52" s="15">
        <f>IF(OR(F52="",I52="",I52&lt;=0),"",F52/I52)</f>
        <v/>
      </c>
      <c r="L52" s="16" t="n">
        <v>2.954984</v>
      </c>
      <c r="M52" s="17">
        <f>IF(OR(L52="",K52="",K52&lt;=0),"",L52/K52)</f>
        <v/>
      </c>
      <c r="N52" s="18" t="n">
        <v>-0.38998002</v>
      </c>
      <c r="O52" s="18" t="n">
        <v>-0.1389745766449837</v>
      </c>
      <c r="P52" s="18" t="n">
        <v>0.3327453363096257</v>
      </c>
      <c r="Q52" s="19" t="n">
        <v>4</v>
      </c>
      <c r="R52" s="18" t="n"/>
      <c r="S52" s="18" t="n">
        <v>-0.326242774566474</v>
      </c>
      <c r="T52" s="18" t="n">
        <v>-0.3266672782313549</v>
      </c>
      <c r="U52" s="18" t="n">
        <v>-0.3402627400028873</v>
      </c>
      <c r="V52" s="18" t="n">
        <v>0.4372744862207812</v>
      </c>
      <c r="W52" s="12" t="n"/>
      <c r="X52" s="17">
        <f>IF(OR(W52="",F52="",F52=0),"",W52/F52)</f>
        <v/>
      </c>
      <c r="Y52" s="20" t="n">
        <v>19.036</v>
      </c>
      <c r="Z52" s="18" t="n">
        <v>0.021</v>
      </c>
      <c r="AA52" s="18" t="n">
        <v>-1.639438118626431</v>
      </c>
      <c r="AB52" s="11">
        <f>IF(AND(N52="",O52=""),"DATI MANCANTI",IF(AND(N(N52)&gt;=PARAMETRI!$B$4,N(O52)&gt;=PARAMETRI!$B$4),"OK","NO"))</f>
        <v/>
      </c>
      <c r="AC52" s="11">
        <f>IF(K52="","N/D",IF(K52&lt;PARAMETRI!$B$6,"OTTIMO",IF(K52&lt;PARAMETRI!$B$5,"OK","NO")))</f>
        <v/>
      </c>
      <c r="AD52" s="11">
        <f>IF(OR(AB52="DATI MANCANTI",AC52="N/D"),"DA COMPLETARE",IF(AND(AB52="OK",AC52="OTTIMO"),"PASSA FORTE",IF(AND(AB52="OK",AC52="OK"),"PASSA","SCARTA")))</f>
        <v/>
      </c>
      <c r="AE52" s="10" t="inlineStr">
        <is>
          <t>2026-08-04</t>
        </is>
      </c>
      <c r="AF52" s="10" t="inlineStr">
        <is>
          <t>yahoo</t>
        </is>
      </c>
      <c r="AG52" s="21" t="inlineStr"/>
    </row>
    <row r="53">
      <c r="A53" s="10" t="n">
        <v>52</v>
      </c>
      <c r="B53" s="10" t="inlineStr">
        <is>
          <t>Pfizer</t>
        </is>
      </c>
      <c r="C53" s="10" t="inlineStr">
        <is>
          <t>PFE</t>
        </is>
      </c>
      <c r="D53" s="10" t="inlineStr">
        <is>
          <t>Farmaceutica</t>
        </is>
      </c>
      <c r="E53" s="11" t="inlineStr">
        <is>
          <t>Salute</t>
        </is>
      </c>
      <c r="F53" s="12" t="n">
        <v>25.03</v>
      </c>
      <c r="G53" s="13" t="inlineStr">
        <is>
          <t>USD</t>
        </is>
      </c>
      <c r="H53" s="14" t="n">
        <v>142657.1</v>
      </c>
      <c r="I53" s="12" t="n">
        <v>1.31</v>
      </c>
      <c r="J53" s="12" t="n">
        <v>2.82662</v>
      </c>
      <c r="K53" s="15">
        <f>IF(OR(F53="",I53="",I53&lt;=0),"",F53/I53)</f>
        <v/>
      </c>
      <c r="L53" s="16" t="n">
        <v>1.5831752</v>
      </c>
      <c r="M53" s="17">
        <f>IF(OR(L53="",K53="",K53&lt;=0),"",L53/K53)</f>
        <v/>
      </c>
      <c r="N53" s="18" t="n">
        <v>0.083100006</v>
      </c>
      <c r="O53" s="18" t="n">
        <v>0.1331673478714483</v>
      </c>
      <c r="P53" s="18" t="n">
        <v>0.1157035743013489</v>
      </c>
      <c r="Q53" s="19" t="n">
        <v>4</v>
      </c>
      <c r="R53" s="18" t="n"/>
      <c r="S53" s="18" t="n">
        <v>0.08986308339886211</v>
      </c>
      <c r="T53" s="18" t="n">
        <v>0.09105132478487127</v>
      </c>
      <c r="U53" s="18" t="n">
        <v>0.02380524411890264</v>
      </c>
      <c r="V53" s="18" t="n">
        <v>0.3279497391831572</v>
      </c>
      <c r="W53" s="12" t="n">
        <v>1.72</v>
      </c>
      <c r="X53" s="17">
        <f>IF(OR(W53="",F53="",F53=0),"",W53/F53)</f>
        <v/>
      </c>
      <c r="Y53" s="20" t="n">
        <v>71.602</v>
      </c>
      <c r="Z53" s="18" t="n">
        <v>0.054</v>
      </c>
      <c r="AA53" s="18" t="n">
        <v>0.1195129366720465</v>
      </c>
      <c r="AB53" s="11">
        <f>IF(AND(N53="",O53=""),"DATI MANCANTI",IF(AND(N(N53)&gt;=PARAMETRI!$B$4,N(O53)&gt;=PARAMETRI!$B$4),"OK","NO"))</f>
        <v/>
      </c>
      <c r="AC53" s="11">
        <f>IF(K53="","N/D",IF(K53&lt;PARAMETRI!$B$6,"OTTIMO",IF(K53&lt;PARAMETRI!$B$5,"OK","NO")))</f>
        <v/>
      </c>
      <c r="AD53" s="11">
        <f>IF(OR(AB53="DATI MANCANTI",AC53="N/D"),"DA COMPLETARE",IF(AND(AB53="OK",AC53="OTTIMO"),"PASSA FORTE",IF(AND(AB53="OK",AC53="OK"),"PASSA","SCARTA")))</f>
        <v/>
      </c>
      <c r="AE53" s="10" t="inlineStr">
        <is>
          <t>2026-08-04</t>
        </is>
      </c>
      <c r="AF53" s="10" t="inlineStr">
        <is>
          <t>yahoo</t>
        </is>
      </c>
      <c r="AG53" s="21" t="inlineStr"/>
    </row>
    <row r="54">
      <c r="A54" s="10" t="n">
        <v>53</v>
      </c>
      <c r="B54" s="10" t="inlineStr">
        <is>
          <t>Regeneron</t>
        </is>
      </c>
      <c r="C54" s="10" t="inlineStr">
        <is>
          <t>REGN</t>
        </is>
      </c>
      <c r="D54" s="10" t="inlineStr">
        <is>
          <t>Biotecnologie</t>
        </is>
      </c>
      <c r="E54" s="11" t="inlineStr">
        <is>
          <t>Salute</t>
        </is>
      </c>
      <c r="F54" s="12" t="n">
        <v>759.24</v>
      </c>
      <c r="G54" s="13" t="inlineStr">
        <is>
          <t>USD</t>
        </is>
      </c>
      <c r="H54" s="14" t="n">
        <v>78167.5</v>
      </c>
      <c r="I54" s="12" t="n">
        <v>40.42</v>
      </c>
      <c r="J54" s="12" t="n">
        <v>59.6714</v>
      </c>
      <c r="K54" s="15">
        <f>IF(OR(F54="",I54="",I54&lt;=0),"",F54/I54)</f>
        <v/>
      </c>
      <c r="L54" s="16" t="n">
        <v>2.4018145</v>
      </c>
      <c r="M54" s="17">
        <f>IF(OR(L54="",K54="",K54&lt;=0),"",L54/K54)</f>
        <v/>
      </c>
      <c r="N54" s="18" t="n">
        <v>0.14043</v>
      </c>
      <c r="O54" s="18" t="n">
        <v>0.1595230520456649</v>
      </c>
      <c r="P54" s="18" t="n">
        <v>0.01865889297829353</v>
      </c>
      <c r="Q54" s="19" t="n">
        <v>4</v>
      </c>
      <c r="R54" s="18" t="n"/>
      <c r="S54" s="18" t="n">
        <v>0.1441249772050331</v>
      </c>
      <c r="T54" s="18" t="n">
        <v>0.1503256840728224</v>
      </c>
      <c r="U54" s="18" t="n">
        <v>0.1522190266082986</v>
      </c>
      <c r="V54" s="18" t="n">
        <v>0.1914225202965055</v>
      </c>
      <c r="W54" s="12" t="n">
        <v>3.76</v>
      </c>
      <c r="X54" s="17">
        <f>IF(OR(W54="",F54="",F54=0),"",W54/F54)</f>
        <v/>
      </c>
      <c r="Y54" s="20" t="n">
        <v>8.535</v>
      </c>
      <c r="Z54" s="18" t="n">
        <v>0.167</v>
      </c>
      <c r="AA54" s="18" t="n">
        <v>0.301800884339987</v>
      </c>
      <c r="AB54" s="11">
        <f>IF(AND(N54="",O54=""),"DATI MANCANTI",IF(AND(N(N54)&gt;=PARAMETRI!$B$4,N(O54)&gt;=PARAMETRI!$B$4),"OK","NO"))</f>
        <v/>
      </c>
      <c r="AC54" s="11">
        <f>IF(K54="","N/D",IF(K54&lt;PARAMETRI!$B$6,"OTTIMO",IF(K54&lt;PARAMETRI!$B$5,"OK","NO")))</f>
        <v/>
      </c>
      <c r="AD54" s="11">
        <f>IF(OR(AB54="DATI MANCANTI",AC54="N/D"),"DA COMPLETARE",IF(AND(AB54="OK",AC54="OTTIMO"),"PASSA FORTE",IF(AND(AB54="OK",AC54="OK"),"PASSA","SCARTA")))</f>
        <v/>
      </c>
      <c r="AE54" s="10" t="inlineStr">
        <is>
          <t>2026-08-04</t>
        </is>
      </c>
      <c r="AF54" s="10" t="inlineStr">
        <is>
          <t>yahoo</t>
        </is>
      </c>
      <c r="AG54" s="21" t="inlineStr"/>
    </row>
    <row r="55">
      <c r="A55" s="10" t="n">
        <v>54</v>
      </c>
      <c r="B55" s="10" t="inlineStr">
        <is>
          <t>Stryker</t>
        </is>
      </c>
      <c r="C55" s="10" t="inlineStr">
        <is>
          <t>SYK</t>
        </is>
      </c>
      <c r="D55" s="10" t="inlineStr">
        <is>
          <t>Dispositivi medicali</t>
        </is>
      </c>
      <c r="E55" s="11" t="inlineStr">
        <is>
          <t>Salute</t>
        </is>
      </c>
      <c r="F55" s="12" t="n">
        <v>341.2</v>
      </c>
      <c r="G55" s="13" t="inlineStr">
        <is>
          <t>USD</t>
        </is>
      </c>
      <c r="H55" s="14" t="n">
        <v>130875.1</v>
      </c>
      <c r="I55" s="12" t="n">
        <v>8.630000000000001</v>
      </c>
      <c r="J55" s="12" t="n">
        <v>16.75815</v>
      </c>
      <c r="K55" s="15">
        <f>IF(OR(F55="",I55="",I55&lt;=0),"",F55/I55)</f>
        <v/>
      </c>
      <c r="L55" s="16" t="n">
        <v>5.692264</v>
      </c>
      <c r="M55" s="17">
        <f>IF(OR(L55="",K55="",K55&lt;=0),"",L55/K55)</f>
        <v/>
      </c>
      <c r="N55" s="18" t="n">
        <v>0.16508</v>
      </c>
      <c r="O55" s="18" t="n">
        <v>0.150492516403552</v>
      </c>
      <c r="P55" s="18" t="n">
        <v>0.01145902874477022</v>
      </c>
      <c r="Q55" s="19" t="n">
        <v>4</v>
      </c>
      <c r="R55" s="18" t="n"/>
      <c r="S55" s="18" t="n">
        <v>0.1447814451382694</v>
      </c>
      <c r="T55" s="18" t="n">
        <v>0.1450518561597364</v>
      </c>
      <c r="U55" s="18" t="n">
        <v>0.1702253536277094</v>
      </c>
      <c r="V55" s="18" t="n">
        <v>0.141911410688493</v>
      </c>
      <c r="W55" s="12" t="n">
        <v>3.52</v>
      </c>
      <c r="X55" s="17">
        <f>IF(OR(W55="",F55="",F55=0),"",W55/F55)</f>
        <v/>
      </c>
      <c r="Y55" s="20" t="n">
        <v>64.39100000000001</v>
      </c>
      <c r="Z55" s="18" t="n">
        <v>0.094</v>
      </c>
      <c r="AA55" s="18" t="n">
        <v>0.1484710915750916</v>
      </c>
      <c r="AB55" s="11">
        <f>IF(AND(N55="",O55=""),"DATI MANCANTI",IF(AND(N(N55)&gt;=PARAMETRI!$B$4,N(O55)&gt;=PARAMETRI!$B$4),"OK","NO"))</f>
        <v/>
      </c>
      <c r="AC55" s="11">
        <f>IF(K55="","N/D",IF(K55&lt;PARAMETRI!$B$6,"OTTIMO",IF(K55&lt;PARAMETRI!$B$5,"OK","NO")))</f>
        <v/>
      </c>
      <c r="AD55" s="11">
        <f>IF(OR(AB55="DATI MANCANTI",AC55="N/D"),"DA COMPLETARE",IF(AND(AB55="OK",AC55="OTTIMO"),"PASSA FORTE",IF(AND(AB55="OK",AC55="OK"),"PASSA","SCARTA")))</f>
        <v/>
      </c>
      <c r="AE55" s="10" t="inlineStr">
        <is>
          <t>2026-08-04</t>
        </is>
      </c>
      <c r="AF55" s="10" t="inlineStr">
        <is>
          <t>yahoo</t>
        </is>
      </c>
      <c r="AG55" s="21" t="inlineStr"/>
    </row>
    <row r="56">
      <c r="A56" s="10" t="n">
        <v>55</v>
      </c>
      <c r="B56" s="10" t="inlineStr">
        <is>
          <t>Thermo Fisher</t>
        </is>
      </c>
      <c r="C56" s="10" t="inlineStr">
        <is>
          <t>TMO</t>
        </is>
      </c>
      <c r="D56" s="10" t="inlineStr">
        <is>
          <t>Strumentazione life science</t>
        </is>
      </c>
      <c r="E56" s="11" t="inlineStr">
        <is>
          <t>Salute</t>
        </is>
      </c>
      <c r="F56" s="12" t="n">
        <v>574.03</v>
      </c>
      <c r="G56" s="13" t="inlineStr">
        <is>
          <t>USD</t>
        </is>
      </c>
      <c r="H56" s="14" t="n">
        <v>212246.1</v>
      </c>
      <c r="I56" s="12" t="n">
        <v>18.61</v>
      </c>
      <c r="J56" s="12" t="n">
        <v>27.51077</v>
      </c>
      <c r="K56" s="15">
        <f>IF(OR(F56="",I56="",I56&lt;=0),"",F56/I56)</f>
        <v/>
      </c>
      <c r="L56" s="16" t="n">
        <v>4.107549</v>
      </c>
      <c r="M56" s="17">
        <f>IF(OR(L56="",K56="",K56&lt;=0),"",L56/K56)</f>
        <v/>
      </c>
      <c r="N56" s="18" t="n">
        <v>0.13515</v>
      </c>
      <c r="O56" s="18" t="n">
        <v>0.1348992605873013</v>
      </c>
      <c r="P56" s="18" t="n">
        <v>0.0133965212757604</v>
      </c>
      <c r="Q56" s="19" t="n">
        <v>4</v>
      </c>
      <c r="R56" s="18" t="n"/>
      <c r="S56" s="18" t="n">
        <v>0.1255266163611512</v>
      </c>
      <c r="T56" s="18" t="n">
        <v>0.1277604114147424</v>
      </c>
      <c r="U56" s="18" t="n">
        <v>0.1282764523376485</v>
      </c>
      <c r="V56" s="18" t="n">
        <v>0.1580335622356633</v>
      </c>
      <c r="W56" s="12" t="n">
        <v>1.88</v>
      </c>
      <c r="X56" s="17">
        <f>IF(OR(W56="",F56="",F56=0),"",W56/F56)</f>
        <v/>
      </c>
      <c r="Y56" s="20" t="n">
        <v>80.575</v>
      </c>
      <c r="Z56" s="18" t="n">
        <v>0.105</v>
      </c>
      <c r="AA56" s="18" t="n">
        <v>0.1563615159009808</v>
      </c>
      <c r="AB56" s="11">
        <f>IF(AND(N56="",O56=""),"DATI MANCANTI",IF(AND(N(N56)&gt;=PARAMETRI!$B$4,N(O56)&gt;=PARAMETRI!$B$4),"OK","NO"))</f>
        <v/>
      </c>
      <c r="AC56" s="11">
        <f>IF(K56="","N/D",IF(K56&lt;PARAMETRI!$B$6,"OTTIMO",IF(K56&lt;PARAMETRI!$B$5,"OK","NO")))</f>
        <v/>
      </c>
      <c r="AD56" s="11">
        <f>IF(OR(AB56="DATI MANCANTI",AC56="N/D"),"DA COMPLETARE",IF(AND(AB56="OK",AC56="OTTIMO"),"PASSA FORTE",IF(AND(AB56="OK",AC56="OK"),"PASSA","SCARTA")))</f>
        <v/>
      </c>
      <c r="AE56" s="10" t="inlineStr">
        <is>
          <t>2026-08-04</t>
        </is>
      </c>
      <c r="AF56" s="10" t="inlineStr">
        <is>
          <t>yahoo</t>
        </is>
      </c>
      <c r="AG56" s="21" t="inlineStr"/>
    </row>
    <row r="57">
      <c r="A57" s="10" t="n">
        <v>56</v>
      </c>
      <c r="B57" s="10" t="inlineStr">
        <is>
          <t>UnitedHealth Group</t>
        </is>
      </c>
      <c r="C57" s="10" t="inlineStr">
        <is>
          <t>UNH</t>
        </is>
      </c>
      <c r="D57" s="10" t="inlineStr">
        <is>
          <t>Assicurazione sanitaria</t>
        </is>
      </c>
      <c r="E57" s="11" t="inlineStr">
        <is>
          <t>Salute</t>
        </is>
      </c>
      <c r="F57" s="12" t="n">
        <v>415.36</v>
      </c>
      <c r="G57" s="13" t="inlineStr">
        <is>
          <t>USD</t>
        </is>
      </c>
      <c r="H57" s="14" t="n">
        <v>377206.8</v>
      </c>
      <c r="I57" s="12" t="n">
        <v>13.26</v>
      </c>
      <c r="J57" s="12" t="n">
        <v>22.43544</v>
      </c>
      <c r="K57" s="15">
        <f>IF(OR(F57="",I57="",I57&lt;=0),"",F57/I57)</f>
        <v/>
      </c>
      <c r="L57" s="16" t="n">
        <v>3.6006482</v>
      </c>
      <c r="M57" s="17">
        <f>IF(OR(L57="",K57="",K57&lt;=0),"",L57/K57)</f>
        <v/>
      </c>
      <c r="N57" s="18" t="n">
        <v>0.14152999</v>
      </c>
      <c r="O57" s="18" t="n">
        <v>0.1986094387672269</v>
      </c>
      <c r="P57" s="18" t="n">
        <v>0.05768840645771321</v>
      </c>
      <c r="Q57" s="19" t="n">
        <v>4</v>
      </c>
      <c r="R57" s="18" t="n"/>
      <c r="S57" s="18" t="n">
        <v>0.1281054085644459</v>
      </c>
      <c r="T57" s="18" t="n">
        <v>0.1554641801031751</v>
      </c>
      <c r="U57" s="18" t="n">
        <v>0.2521632340348822</v>
      </c>
      <c r="V57" s="18" t="n">
        <v>0.2587049323664043</v>
      </c>
      <c r="W57" s="12" t="n">
        <v>9.279999999999999</v>
      </c>
      <c r="X57" s="17">
        <f>IF(OR(W57="",F57="",F57=0),"",W57/F57)</f>
        <v/>
      </c>
      <c r="Y57" s="20" t="n">
        <v>69.211</v>
      </c>
      <c r="Z57" s="18" t="n">
        <v>0.004</v>
      </c>
      <c r="AA57" s="18" t="n">
        <v>0.03155281864838114</v>
      </c>
      <c r="AB57" s="11">
        <f>IF(AND(N57="",O57=""),"DATI MANCANTI",IF(AND(N(N57)&gt;=PARAMETRI!$B$4,N(O57)&gt;=PARAMETRI!$B$4),"OK","NO"))</f>
        <v/>
      </c>
      <c r="AC57" s="11">
        <f>IF(K57="","N/D",IF(K57&lt;PARAMETRI!$B$6,"OTTIMO",IF(K57&lt;PARAMETRI!$B$5,"OK","NO")))</f>
        <v/>
      </c>
      <c r="AD57" s="11">
        <f>IF(OR(AB57="DATI MANCANTI",AC57="N/D"),"DA COMPLETARE",IF(AND(AB57="OK",AC57="OTTIMO"),"PASSA FORTE",IF(AND(AB57="OK",AC57="OK"),"PASSA","SCARTA")))</f>
        <v/>
      </c>
      <c r="AE57" s="10" t="inlineStr">
        <is>
          <t>2026-08-04</t>
        </is>
      </c>
      <c r="AF57" s="10" t="inlineStr">
        <is>
          <t>yahoo</t>
        </is>
      </c>
      <c r="AG57" s="21" t="inlineStr"/>
    </row>
    <row r="58">
      <c r="A58" s="10" t="n">
        <v>57</v>
      </c>
      <c r="B58" s="10" t="inlineStr">
        <is>
          <t>Vertex Pharmaceuticals</t>
        </is>
      </c>
      <c r="C58" s="10" t="inlineStr">
        <is>
          <t>VRTX</t>
        </is>
      </c>
      <c r="D58" s="10" t="inlineStr">
        <is>
          <t>Biotecnologie</t>
        </is>
      </c>
      <c r="E58" s="11" t="inlineStr">
        <is>
          <t>Salute</t>
        </is>
      </c>
      <c r="F58" s="12" t="n">
        <v>470.72</v>
      </c>
      <c r="G58" s="13" t="inlineStr">
        <is>
          <t>USD</t>
        </is>
      </c>
      <c r="H58" s="14" t="n">
        <v>119471.3</v>
      </c>
      <c r="I58" s="12" t="n">
        <v>16.84</v>
      </c>
      <c r="J58" s="12" t="n">
        <v>21.33995</v>
      </c>
      <c r="K58" s="15">
        <f>IF(OR(F58="",I58="",I58&lt;=0),"",F58/I58)</f>
        <v/>
      </c>
      <c r="L58" s="16" t="n">
        <v>6.1791306</v>
      </c>
      <c r="M58" s="17">
        <f>IF(OR(L58="",K58="",K58&lt;=0),"",L58/K58)</f>
        <v/>
      </c>
      <c r="N58" s="18" t="n">
        <v>0.24197</v>
      </c>
      <c r="O58" s="18" t="n">
        <v>0.1559529985811414</v>
      </c>
      <c r="P58" s="18" t="n">
        <v>0.1095874808620584</v>
      </c>
      <c r="Q58" s="19" t="n">
        <v>4</v>
      </c>
      <c r="R58" s="18" t="n"/>
      <c r="S58" s="18" t="n">
        <v>0.2117884044616357</v>
      </c>
      <c r="T58" s="18" t="n">
        <v>-0.03263943057722309</v>
      </c>
      <c r="U58" s="18" t="n">
        <v>0.2058883756911105</v>
      </c>
      <c r="V58" s="18" t="n">
        <v>0.2387746447490423</v>
      </c>
      <c r="W58" s="12" t="n"/>
      <c r="X58" s="17">
        <f>IF(OR(W58="",F58="",F58=0),"",W58/F58)</f>
        <v/>
      </c>
      <c r="Y58" s="20" t="n">
        <v>10.26</v>
      </c>
      <c r="Z58" s="18" t="n">
        <v>0.078</v>
      </c>
      <c r="AA58" s="18" t="n">
        <v>0.3614858310349712</v>
      </c>
      <c r="AB58" s="11">
        <f>IF(AND(N58="",O58=""),"DATI MANCANTI",IF(AND(N(N58)&gt;=PARAMETRI!$B$4,N(O58)&gt;=PARAMETRI!$B$4),"OK","NO"))</f>
        <v/>
      </c>
      <c r="AC58" s="11">
        <f>IF(K58="","N/D",IF(K58&lt;PARAMETRI!$B$6,"OTTIMO",IF(K58&lt;PARAMETRI!$B$5,"OK","NO")))</f>
        <v/>
      </c>
      <c r="AD58" s="11">
        <f>IF(OR(AB58="DATI MANCANTI",AC58="N/D"),"DA COMPLETARE",IF(AND(AB58="OK",AC58="OTTIMO"),"PASSA FORTE",IF(AND(AB58="OK",AC58="OK"),"PASSA","SCARTA")))</f>
        <v/>
      </c>
      <c r="AE58" s="10" t="inlineStr">
        <is>
          <t>2026-08-04</t>
        </is>
      </c>
      <c r="AF58" s="10" t="inlineStr">
        <is>
          <t>yahoo</t>
        </is>
      </c>
      <c r="AG58" s="21" t="inlineStr"/>
    </row>
    <row r="59">
      <c r="A59" s="10" t="n">
        <v>58</v>
      </c>
      <c r="B59" s="10" t="inlineStr">
        <is>
          <t>Zoetis</t>
        </is>
      </c>
      <c r="C59" s="10" t="inlineStr">
        <is>
          <t>ZTS</t>
        </is>
      </c>
      <c r="D59" s="10" t="inlineStr">
        <is>
          <t>Salute animale</t>
        </is>
      </c>
      <c r="E59" s="11" t="inlineStr">
        <is>
          <t>Salute</t>
        </is>
      </c>
      <c r="F59" s="12" t="n">
        <v>77.09999999999999</v>
      </c>
      <c r="G59" s="13" t="inlineStr">
        <is>
          <t>USD</t>
        </is>
      </c>
      <c r="H59" s="14" t="n">
        <v>32322.5</v>
      </c>
      <c r="I59" s="12" t="n">
        <v>6.1</v>
      </c>
      <c r="J59" s="12" t="n">
        <v>7.39019</v>
      </c>
      <c r="K59" s="15">
        <f>IF(OR(F59="",I59="",I59&lt;=0),"",F59/I59)</f>
        <v/>
      </c>
      <c r="L59" s="16" t="n">
        <v>9.835438</v>
      </c>
      <c r="M59" s="17">
        <f>IF(OR(L59="",K59="",K59&lt;=0),"",L59/K59)</f>
        <v/>
      </c>
      <c r="N59" s="18" t="n">
        <v>0.67748</v>
      </c>
      <c r="O59" s="18" t="n">
        <v>0.5681565925915136</v>
      </c>
      <c r="P59" s="18" t="n">
        <v>0.1366654174339068</v>
      </c>
      <c r="Q59" s="19" t="n">
        <v>4</v>
      </c>
      <c r="R59" s="18" t="n"/>
      <c r="S59" s="18" t="n">
        <v>0.8024617232062444</v>
      </c>
      <c r="T59" s="18" t="n">
        <v>0.5211740041928721</v>
      </c>
      <c r="U59" s="18" t="n">
        <v>0.4690814488693216</v>
      </c>
      <c r="V59" s="18" t="n">
        <v>0.4799091940976163</v>
      </c>
      <c r="W59" s="12" t="n">
        <v>2.12</v>
      </c>
      <c r="X59" s="17">
        <f>IF(OR(W59="",F59="",F59=0),"",W59/F59)</f>
        <v/>
      </c>
      <c r="Y59" s="20" t="n">
        <v>286.236</v>
      </c>
      <c r="Z59" s="18" t="n">
        <v>0.029</v>
      </c>
      <c r="AA59" s="18" t="n">
        <v>0.2822435829724306</v>
      </c>
      <c r="AB59" s="11">
        <f>IF(AND(N59="",O59=""),"DATI MANCANTI",IF(AND(N(N59)&gt;=PARAMETRI!$B$4,N(O59)&gt;=PARAMETRI!$B$4),"OK","NO"))</f>
        <v/>
      </c>
      <c r="AC59" s="11">
        <f>IF(K59="","N/D",IF(K59&lt;PARAMETRI!$B$6,"OTTIMO",IF(K59&lt;PARAMETRI!$B$5,"OK","NO")))</f>
        <v/>
      </c>
      <c r="AD59" s="11">
        <f>IF(OR(AB59="DATI MANCANTI",AC59="N/D"),"DA COMPLETARE",IF(AND(AB59="OK",AC59="OTTIMO"),"PASSA FORTE",IF(AND(AB59="OK",AC59="OK"),"PASSA","SCARTA")))</f>
        <v/>
      </c>
      <c r="AE59" s="10" t="inlineStr">
        <is>
          <t>2026-08-04</t>
        </is>
      </c>
      <c r="AF59" s="10" t="inlineStr">
        <is>
          <t>yahoo</t>
        </is>
      </c>
      <c r="AG59" s="21" t="inlineStr"/>
    </row>
    <row r="60">
      <c r="A60" s="10" t="n">
        <v>59</v>
      </c>
      <c r="B60" s="10" t="inlineStr">
        <is>
          <t>American Express</t>
        </is>
      </c>
      <c r="C60" s="10" t="inlineStr">
        <is>
          <t>AXP</t>
        </is>
      </c>
      <c r="D60" s="10" t="inlineStr">
        <is>
          <t>Pagamenti / Credito</t>
        </is>
      </c>
      <c r="E60" s="11" t="inlineStr">
        <is>
          <t>Finanziario</t>
        </is>
      </c>
      <c r="F60" s="12" t="n">
        <v>344.72</v>
      </c>
      <c r="G60" s="13" t="inlineStr">
        <is>
          <t>USD</t>
        </is>
      </c>
      <c r="H60" s="14" t="n">
        <v>232792.8</v>
      </c>
      <c r="I60" s="12" t="n">
        <v>16.48</v>
      </c>
      <c r="J60" s="12" t="n">
        <v>20.11417</v>
      </c>
      <c r="K60" s="15">
        <f>IF(OR(F60="",I60="",I60&lt;=0),"",F60/I60)</f>
        <v/>
      </c>
      <c r="L60" s="16" t="n">
        <v>6.7878313</v>
      </c>
      <c r="M60" s="17">
        <f>IF(OR(L60="",K60="",K60&lt;=0),"",L60/K60)</f>
        <v/>
      </c>
      <c r="N60" s="18" t="n">
        <v>0.34377</v>
      </c>
      <c r="O60" s="18" t="n">
        <v>0.3152128333482085</v>
      </c>
      <c r="P60" s="18" t="n">
        <v>0.01461690524528727</v>
      </c>
      <c r="Q60" s="19" t="n">
        <v>4</v>
      </c>
      <c r="R60" s="18" t="n"/>
      <c r="S60" s="18" t="n">
        <v>0.3236243054310808</v>
      </c>
      <c r="T60" s="18" t="n">
        <v>0.3346880782447793</v>
      </c>
      <c r="U60" s="18" t="n">
        <v>0.2984638414655879</v>
      </c>
      <c r="V60" s="18" t="n">
        <v>0.304075108251386</v>
      </c>
      <c r="W60" s="12" t="n">
        <v>3.8</v>
      </c>
      <c r="X60" s="17">
        <f>IF(OR(W60="",F60="",F60=0),"",W60/F60)</f>
        <v/>
      </c>
      <c r="Y60" s="20" t="n">
        <v>172.38</v>
      </c>
      <c r="Z60" s="18" t="n">
        <v>0.128</v>
      </c>
      <c r="AA60" s="18" t="n">
        <v>0.1565969756610827</v>
      </c>
      <c r="AB60" s="11">
        <f>IF(AND(N60="",O60=""),"DATI MANCANTI",IF(AND(N(N60)&gt;=PARAMETRI!$B$4,N(O60)&gt;=PARAMETRI!$B$4),"OK","NO"))</f>
        <v/>
      </c>
      <c r="AC60" s="11">
        <f>IF(K60="","N/D",IF(K60&lt;PARAMETRI!$B$6,"OTTIMO",IF(K60&lt;PARAMETRI!$B$5,"OK","NO")))</f>
        <v/>
      </c>
      <c r="AD60" s="11">
        <f>IF(OR(AB60="DATI MANCANTI",AC60="N/D"),"DA COMPLETARE",IF(AND(AB60="OK",AC60="OTTIMO"),"PASSA FORTE",IF(AND(AB60="OK",AC60="OK"),"PASSA","SCARTA")))</f>
        <v/>
      </c>
      <c r="AE60" s="10" t="inlineStr">
        <is>
          <t>2026-08-04</t>
        </is>
      </c>
      <c r="AF60" s="10" t="inlineStr">
        <is>
          <t>yahoo</t>
        </is>
      </c>
      <c r="AG60" s="21" t="inlineStr"/>
    </row>
    <row r="61">
      <c r="A61" s="10" t="n">
        <v>60</v>
      </c>
      <c r="B61" s="10" t="inlineStr">
        <is>
          <t>American International Group</t>
        </is>
      </c>
      <c r="C61" s="10" t="inlineStr">
        <is>
          <t>AIG</t>
        </is>
      </c>
      <c r="D61" s="10" t="inlineStr">
        <is>
          <t>Assicurazione</t>
        </is>
      </c>
      <c r="E61" s="11" t="inlineStr">
        <is>
          <t>Finanziario</t>
        </is>
      </c>
      <c r="F61" s="12" t="n">
        <v>78.79000000000001</v>
      </c>
      <c r="G61" s="13" t="inlineStr">
        <is>
          <t>USD</t>
        </is>
      </c>
      <c r="H61" s="14" t="n">
        <v>41774.9</v>
      </c>
      <c r="I61" s="12" t="n">
        <v>5.68</v>
      </c>
      <c r="J61" s="12" t="n">
        <v>8.83737</v>
      </c>
      <c r="K61" s="15">
        <f>IF(OR(F61="",I61="",I61&lt;=0),"",F61/I61)</f>
        <v/>
      </c>
      <c r="L61" s="16" t="n">
        <v>1.0391717</v>
      </c>
      <c r="M61" s="17">
        <f>IF(OR(L61="",K61="",K61&lt;=0),"",L61/K61)</f>
        <v/>
      </c>
      <c r="N61" s="18" t="n">
        <v>0.07722999999999999</v>
      </c>
      <c r="O61" s="18" t="n">
        <v>0.09304718508131808</v>
      </c>
      <c r="P61" s="18" t="n">
        <v>0.1011020395574324</v>
      </c>
      <c r="Q61" s="19" t="n">
        <v>4</v>
      </c>
      <c r="R61" s="18" t="n"/>
      <c r="S61" s="18" t="n">
        <v>0.07525705534893896</v>
      </c>
      <c r="T61" s="18" t="n">
        <v>-0.0330189788575057</v>
      </c>
      <c r="U61" s="18" t="n">
        <v>0.08032898943793963</v>
      </c>
      <c r="V61" s="18" t="n">
        <v>0.2496216743958994</v>
      </c>
      <c r="W61" s="12" t="n">
        <v>2</v>
      </c>
      <c r="X61" s="17">
        <f>IF(OR(W61="",F61="",F61=0),"",W61/F61)</f>
        <v/>
      </c>
      <c r="Y61" s="20" t="n">
        <v>22.647</v>
      </c>
      <c r="Z61" s="18" t="n">
        <v>0.014</v>
      </c>
      <c r="AA61" s="18" t="n">
        <v>0.118062296855158</v>
      </c>
      <c r="AB61" s="11">
        <f>IF(AND(N61="",O61=""),"DATI MANCANTI",IF(AND(N(N61)&gt;=PARAMETRI!$B$4,N(O61)&gt;=PARAMETRI!$B$4),"OK","NO"))</f>
        <v/>
      </c>
      <c r="AC61" s="11">
        <f>IF(K61="","N/D",IF(K61&lt;PARAMETRI!$B$6,"OTTIMO",IF(K61&lt;PARAMETRI!$B$5,"OK","NO")))</f>
        <v/>
      </c>
      <c r="AD61" s="11">
        <f>IF(OR(AB61="DATI MANCANTI",AC61="N/D"),"DA COMPLETARE",IF(AND(AB61="OK",AC61="OTTIMO"),"PASSA FORTE",IF(AND(AB61="OK",AC61="OK"),"PASSA","SCARTA")))</f>
        <v/>
      </c>
      <c r="AE61" s="10" t="inlineStr">
        <is>
          <t>2026-08-04</t>
        </is>
      </c>
      <c r="AF61" s="10" t="inlineStr">
        <is>
          <t>yahoo</t>
        </is>
      </c>
      <c r="AG61" s="21" t="inlineStr"/>
    </row>
    <row r="62">
      <c r="A62" s="10" t="n">
        <v>61</v>
      </c>
      <c r="B62" s="10" t="inlineStr">
        <is>
          <t>Bank of America</t>
        </is>
      </c>
      <c r="C62" s="10" t="inlineStr">
        <is>
          <t>BAC</t>
        </is>
      </c>
      <c r="D62" s="10" t="inlineStr">
        <is>
          <t>Banca</t>
        </is>
      </c>
      <c r="E62" s="11" t="inlineStr">
        <is>
          <t>Finanziario</t>
        </is>
      </c>
      <c r="F62" s="12" t="n">
        <v>62.48</v>
      </c>
      <c r="G62" s="13" t="inlineStr">
        <is>
          <t>USD</t>
        </is>
      </c>
      <c r="H62" s="14" t="n">
        <v>436906.9</v>
      </c>
      <c r="I62" s="12" t="n">
        <v>4.33</v>
      </c>
      <c r="J62" s="12" t="n">
        <v>5.2883</v>
      </c>
      <c r="K62" s="15">
        <f>IF(OR(F62="",I62="",I62&lt;=0),"",F62/I62)</f>
        <v/>
      </c>
      <c r="L62" s="16" t="n">
        <v>1.5881246</v>
      </c>
      <c r="M62" s="17">
        <f>IF(OR(L62="",K62="",K62&lt;=0),"",L62/K62)</f>
        <v/>
      </c>
      <c r="N62" s="18" t="n">
        <v>0.111990005</v>
      </c>
      <c r="O62" s="18" t="n">
        <v>0.09583073596940467</v>
      </c>
      <c r="P62" s="18" t="n">
        <v>0.004886619979617854</v>
      </c>
      <c r="Q62" s="19" t="n">
        <v>4</v>
      </c>
      <c r="R62" s="18" t="n"/>
      <c r="S62" s="18" t="n">
        <v>0.1006090824850038</v>
      </c>
      <c r="T62" s="18" t="n">
        <v>0.09175644553906444</v>
      </c>
      <c r="U62" s="18" t="n">
        <v>0.0901949623859062</v>
      </c>
      <c r="V62" s="18" t="n">
        <v>0.1007624534676442</v>
      </c>
      <c r="W62" s="12" t="n">
        <v>1.28</v>
      </c>
      <c r="X62" s="17">
        <f>IF(OR(W62="",F62="",F62=0),"",W62/F62)</f>
        <v/>
      </c>
      <c r="Y62" s="20" t="n"/>
      <c r="Z62" s="18" t="n">
        <v>0.168</v>
      </c>
      <c r="AA62" s="18" t="n">
        <v>0.2840482035774601</v>
      </c>
      <c r="AB62" s="11">
        <f>IF(AND(N62="",O62=""),"DATI MANCANTI",IF(AND(N(N62)&gt;=PARAMETRI!$B$4,N(O62)&gt;=PARAMETRI!$B$4),"OK","NO"))</f>
        <v/>
      </c>
      <c r="AC62" s="11">
        <f>IF(K62="","N/D",IF(K62&lt;PARAMETRI!$B$6,"OTTIMO",IF(K62&lt;PARAMETRI!$B$5,"OK","NO")))</f>
        <v/>
      </c>
      <c r="AD62" s="11">
        <f>IF(OR(AB62="DATI MANCANTI",AC62="N/D"),"DA COMPLETARE",IF(AND(AB62="OK",AC62="OTTIMO"),"PASSA FORTE",IF(AND(AB62="OK",AC62="OK"),"PASSA","SCARTA")))</f>
        <v/>
      </c>
      <c r="AE62" s="10" t="inlineStr">
        <is>
          <t>2026-08-04</t>
        </is>
      </c>
      <c r="AF62" s="10" t="inlineStr">
        <is>
          <t>yahoo</t>
        </is>
      </c>
      <c r="AG62" s="21" t="inlineStr"/>
    </row>
    <row r="63">
      <c r="A63" s="10" t="n">
        <v>62</v>
      </c>
      <c r="B63" s="10" t="inlineStr">
        <is>
          <t>Berkshire Hathaway B</t>
        </is>
      </c>
      <c r="C63" s="10" t="inlineStr">
        <is>
          <t>BRK-B</t>
        </is>
      </c>
      <c r="D63" s="10" t="inlineStr">
        <is>
          <t>Conglomerata / Holding</t>
        </is>
      </c>
      <c r="E63" s="11" t="inlineStr">
        <is>
          <t>Finanziario</t>
        </is>
      </c>
      <c r="F63" s="12" t="n">
        <v>513.14</v>
      </c>
      <c r="G63" s="13" t="inlineStr">
        <is>
          <t>USD</t>
        </is>
      </c>
      <c r="H63" s="14" t="n">
        <v>1106767.9</v>
      </c>
      <c r="I63" s="12" t="n">
        <v>33.61</v>
      </c>
      <c r="J63" s="12" t="n">
        <v>21.57153</v>
      </c>
      <c r="K63" s="15">
        <f>IF(OR(F63="",I63="",I63&lt;=0),"",F63/I63)</f>
        <v/>
      </c>
      <c r="L63" s="16" t="n">
        <v>0.0010149945</v>
      </c>
      <c r="M63" s="17">
        <f>IF(OR(L63="",K63="",K63&lt;=0),"",L63/K63)</f>
        <v/>
      </c>
      <c r="N63" s="18" t="n">
        <v>0.10499</v>
      </c>
      <c r="O63" s="18" t="n">
        <v>0.08843956355337573</v>
      </c>
      <c r="P63" s="18" t="n">
        <v>0.08353327161790873</v>
      </c>
      <c r="Q63" s="19" t="n">
        <v>4</v>
      </c>
      <c r="R63" s="18" t="n"/>
      <c r="S63" s="18" t="n">
        <v>0.09334572962243821</v>
      </c>
      <c r="T63" s="18" t="n">
        <v>0.137048638060391</v>
      </c>
      <c r="U63" s="18" t="n">
        <v>0.1714370725119505</v>
      </c>
      <c r="V63" s="18" t="n">
        <v>-0.04807318598127683</v>
      </c>
      <c r="W63" s="12" t="n"/>
      <c r="X63" s="17">
        <f>IF(OR(W63="",F63="",F63=0),"",W63/F63)</f>
        <v/>
      </c>
      <c r="Y63" s="20" t="n">
        <v>17.669</v>
      </c>
      <c r="Z63" s="18" t="n">
        <v>0.044</v>
      </c>
      <c r="AA63" s="18" t="n">
        <v>0.1765337865839103</v>
      </c>
      <c r="AB63" s="11">
        <f>IF(AND(N63="",O63=""),"DATI MANCANTI",IF(AND(N(N63)&gt;=PARAMETRI!$B$4,N(O63)&gt;=PARAMETRI!$B$4),"OK","NO"))</f>
        <v/>
      </c>
      <c r="AC63" s="11">
        <f>IF(K63="","N/D",IF(K63&lt;PARAMETRI!$B$6,"OTTIMO",IF(K63&lt;PARAMETRI!$B$5,"OK","NO")))</f>
        <v/>
      </c>
      <c r="AD63" s="11">
        <f>IF(OR(AB63="DATI MANCANTI",AC63="N/D"),"DA COMPLETARE",IF(AND(AB63="OK",AC63="OTTIMO"),"PASSA FORTE",IF(AND(AB63="OK",AC63="OK"),"PASSA","SCARTA")))</f>
        <v/>
      </c>
      <c r="AE63" s="10" t="inlineStr">
        <is>
          <t>2026-08-04</t>
        </is>
      </c>
      <c r="AF63" s="10" t="inlineStr">
        <is>
          <t>yahoo</t>
        </is>
      </c>
      <c r="AG63" s="21" t="inlineStr"/>
    </row>
    <row r="64">
      <c r="A64" s="10" t="n">
        <v>63</v>
      </c>
      <c r="B64" s="10" t="inlineStr">
        <is>
          <t>BlackRock</t>
        </is>
      </c>
      <c r="C64" s="10" t="inlineStr">
        <is>
          <t>BLK</t>
        </is>
      </c>
      <c r="D64" s="10" t="inlineStr">
        <is>
          <t>Risparmio gestito</t>
        </is>
      </c>
      <c r="E64" s="11" t="inlineStr">
        <is>
          <t>Finanziario</t>
        </is>
      </c>
      <c r="F64" s="12" t="n">
        <v>1126.63</v>
      </c>
      <c r="G64" s="13" t="inlineStr">
        <is>
          <t>USD</t>
        </is>
      </c>
      <c r="H64" s="14" t="n">
        <v>183192.6</v>
      </c>
      <c r="I64" s="12" t="n">
        <v>41.76</v>
      </c>
      <c r="J64" s="12" t="n">
        <v>64.11224</v>
      </c>
      <c r="K64" s="15">
        <f>IF(OR(F64="",I64="",I64&lt;=0),"",F64/I64)</f>
        <v/>
      </c>
      <c r="L64" s="16" t="n">
        <v>3.0877573</v>
      </c>
      <c r="M64" s="17">
        <f>IF(OR(L64="",K64="",K64&lt;=0),"",L64/K64)</f>
        <v/>
      </c>
      <c r="N64" s="18" t="n">
        <v>0.09935943315201833</v>
      </c>
      <c r="O64" s="18" t="n">
        <v>0.1276194741974955</v>
      </c>
      <c r="P64" s="18" t="n">
        <v>0.01644167432772636</v>
      </c>
      <c r="Q64" s="19" t="n">
        <v>4</v>
      </c>
      <c r="R64" s="18" t="n"/>
      <c r="S64" s="18" t="n">
        <v>0.09935943315201833</v>
      </c>
      <c r="T64" s="18" t="n">
        <v>0.1340983261395936</v>
      </c>
      <c r="U64" s="18" t="n">
        <v>0.1398327699697563</v>
      </c>
      <c r="V64" s="18" t="n">
        <v>0.1371873675286138</v>
      </c>
      <c r="W64" s="12" t="n">
        <v>22.92</v>
      </c>
      <c r="X64" s="17">
        <f>IF(OR(W64="",F64="",F64=0),"",W64/F64)</f>
        <v/>
      </c>
      <c r="Y64" s="20" t="n">
        <v>23.635</v>
      </c>
      <c r="Z64" s="18" t="n">
        <v>0.306</v>
      </c>
      <c r="AA64" s="18" t="n">
        <v>0.2715559960356789</v>
      </c>
      <c r="AB64" s="11">
        <f>IF(AND(N64="",O64=""),"DATI MANCANTI",IF(AND(N(N64)&gt;=PARAMETRI!$B$4,N(O64)&gt;=PARAMETRI!$B$4),"OK","NO"))</f>
        <v/>
      </c>
      <c r="AC64" s="11">
        <f>IF(K64="","N/D",IF(K64&lt;PARAMETRI!$B$6,"OTTIMO",IF(K64&lt;PARAMETRI!$B$5,"OK","NO")))</f>
        <v/>
      </c>
      <c r="AD64" s="11">
        <f>IF(OR(AB64="DATI MANCANTI",AC64="N/D"),"DA COMPLETARE",IF(AND(AB64="OK",AC64="OTTIMO"),"PASSA FORTE",IF(AND(AB64="OK",AC64="OK"),"PASSA","SCARTA")))</f>
        <v/>
      </c>
      <c r="AE64" s="10" t="inlineStr">
        <is>
          <t>2026-08-04</t>
        </is>
      </c>
      <c r="AF64" s="10" t="inlineStr">
        <is>
          <t>yahoo</t>
        </is>
      </c>
      <c r="AG64" s="21" t="inlineStr"/>
    </row>
    <row r="65">
      <c r="A65" s="10" t="n">
        <v>64</v>
      </c>
      <c r="B65" s="10" t="inlineStr">
        <is>
          <t>Blackstone</t>
        </is>
      </c>
      <c r="C65" s="10" t="inlineStr">
        <is>
          <t>BX</t>
        </is>
      </c>
      <c r="D65" s="10" t="inlineStr">
        <is>
          <t>Private equity</t>
        </is>
      </c>
      <c r="E65" s="11" t="inlineStr">
        <is>
          <t>Finanziario</t>
        </is>
      </c>
      <c r="F65" s="12" t="n">
        <v>134.68</v>
      </c>
      <c r="G65" s="13" t="inlineStr">
        <is>
          <t>USD</t>
        </is>
      </c>
      <c r="H65" s="14" t="n">
        <v>167623.7</v>
      </c>
      <c r="I65" s="12" t="n">
        <v>4.47</v>
      </c>
      <c r="J65" s="12" t="n">
        <v>7.48803</v>
      </c>
      <c r="K65" s="15">
        <f>IF(OR(F65="",I65="",I65&lt;=0),"",F65/I65)</f>
        <v/>
      </c>
      <c r="L65" s="16" t="n">
        <v>11.95137</v>
      </c>
      <c r="M65" s="17">
        <f>IF(OR(L65="",K65="",K65&lt;=0),"",L65/K65)</f>
        <v/>
      </c>
      <c r="N65" s="18" t="n">
        <v>0.31374002</v>
      </c>
      <c r="O65" s="18" t="n">
        <v>0.2797041245748269</v>
      </c>
      <c r="P65" s="18" t="n">
        <v>0.06422837139830108</v>
      </c>
      <c r="Q65" s="19" t="n">
        <v>4</v>
      </c>
      <c r="R65" s="18" t="n"/>
      <c r="S65" s="18" t="n">
        <v>0.3484167031522379</v>
      </c>
      <c r="T65" s="18" t="n">
        <v>0.3380905349413399</v>
      </c>
      <c r="U65" s="18" t="n">
        <v>0.2040371447122241</v>
      </c>
      <c r="V65" s="18" t="n">
        <v>0.2282721154935056</v>
      </c>
      <c r="W65" s="12" t="n">
        <v>5.23</v>
      </c>
      <c r="X65" s="17">
        <f>IF(OR(W65="",F65="",F65=0),"",W65/F65)</f>
        <v/>
      </c>
      <c r="Y65" s="20" t="n">
        <v>62.529</v>
      </c>
      <c r="Z65" s="18" t="n">
        <v>0.286</v>
      </c>
      <c r="AA65" s="18" t="n">
        <v>0.2835642627903986</v>
      </c>
      <c r="AB65" s="11">
        <f>IF(AND(N65="",O65=""),"DATI MANCANTI",IF(AND(N(N65)&gt;=PARAMETRI!$B$4,N(O65)&gt;=PARAMETRI!$B$4),"OK","NO"))</f>
        <v/>
      </c>
      <c r="AC65" s="11">
        <f>IF(K65="","N/D",IF(K65&lt;PARAMETRI!$B$6,"OTTIMO",IF(K65&lt;PARAMETRI!$B$5,"OK","NO")))</f>
        <v/>
      </c>
      <c r="AD65" s="11">
        <f>IF(OR(AB65="DATI MANCANTI",AC65="N/D"),"DA COMPLETARE",IF(AND(AB65="OK",AC65="OTTIMO"),"PASSA FORTE",IF(AND(AB65="OK",AC65="OK"),"PASSA","SCARTA")))</f>
        <v/>
      </c>
      <c r="AE65" s="10" t="inlineStr">
        <is>
          <t>2026-08-04</t>
        </is>
      </c>
      <c r="AF65" s="10" t="inlineStr">
        <is>
          <t>yahoo</t>
        </is>
      </c>
      <c r="AG65" s="21" t="inlineStr"/>
    </row>
    <row r="66">
      <c r="A66" s="10" t="n">
        <v>65</v>
      </c>
      <c r="B66" s="10" t="inlineStr">
        <is>
          <t>Charles Schwab</t>
        </is>
      </c>
      <c r="C66" s="10" t="inlineStr">
        <is>
          <t>SCHW</t>
        </is>
      </c>
      <c r="D66" s="10" t="inlineStr">
        <is>
          <t>Intermediazione</t>
        </is>
      </c>
      <c r="E66" s="11" t="inlineStr">
        <is>
          <t>Finanziario</t>
        </is>
      </c>
      <c r="F66" s="12" t="n">
        <v>105.87</v>
      </c>
      <c r="G66" s="13" t="inlineStr">
        <is>
          <t>USD</t>
        </is>
      </c>
      <c r="H66" s="14" t="n">
        <v>184122.3</v>
      </c>
      <c r="I66" s="12" t="n">
        <v>5.49</v>
      </c>
      <c r="J66" s="12" t="n">
        <v>7.80276</v>
      </c>
      <c r="K66" s="15">
        <f>IF(OR(F66="",I66="",I66&lt;=0),"",F66/I66)</f>
        <v/>
      </c>
      <c r="L66" s="16" t="n">
        <v>3.6663668</v>
      </c>
      <c r="M66" s="17">
        <f>IF(OR(L66="",K66="",K66&lt;=0),"",L66/K66)</f>
        <v/>
      </c>
      <c r="N66" s="18" t="n">
        <v>0.20283002</v>
      </c>
      <c r="O66" s="18" t="n">
        <v>0.1554644312241724</v>
      </c>
      <c r="P66" s="18" t="n">
        <v>0.03275755535947185</v>
      </c>
      <c r="Q66" s="19" t="n">
        <v>4</v>
      </c>
      <c r="R66" s="18" t="n"/>
      <c r="S66" s="18" t="n">
        <v>0.179099645928174</v>
      </c>
      <c r="T66" s="18" t="n">
        <v>0.1228320413436692</v>
      </c>
      <c r="U66" s="18" t="n">
        <v>0.1237120953171542</v>
      </c>
      <c r="V66" s="18" t="n">
        <v>0.1962139423076923</v>
      </c>
      <c r="W66" s="12" t="n">
        <v>1.28</v>
      </c>
      <c r="X66" s="17">
        <f>IF(OR(W66="",F66="",F66=0),"",W66/F66)</f>
        <v/>
      </c>
      <c r="Y66" s="20" t="n">
        <v>74.05200000000001</v>
      </c>
      <c r="Z66" s="18" t="n">
        <v>0.209</v>
      </c>
      <c r="AA66" s="18" t="n">
        <v>0.4064420423895322</v>
      </c>
      <c r="AB66" s="11">
        <f>IF(AND(N66="",O66=""),"DATI MANCANTI",IF(AND(N(N66)&gt;=PARAMETRI!$B$4,N(O66)&gt;=PARAMETRI!$B$4),"OK","NO"))</f>
        <v/>
      </c>
      <c r="AC66" s="11">
        <f>IF(K66="","N/D",IF(K66&lt;PARAMETRI!$B$6,"OTTIMO",IF(K66&lt;PARAMETRI!$B$5,"OK","NO")))</f>
        <v/>
      </c>
      <c r="AD66" s="11">
        <f>IF(OR(AB66="DATI MANCANTI",AC66="N/D"),"DA COMPLETARE",IF(AND(AB66="OK",AC66="OTTIMO"),"PASSA FORTE",IF(AND(AB66="OK",AC66="OK"),"PASSA","SCARTA")))</f>
        <v/>
      </c>
      <c r="AE66" s="10" t="inlineStr">
        <is>
          <t>2026-08-04</t>
        </is>
      </c>
      <c r="AF66" s="10" t="inlineStr">
        <is>
          <t>yahoo</t>
        </is>
      </c>
      <c r="AG66" s="21" t="inlineStr"/>
    </row>
    <row r="67">
      <c r="A67" s="10" t="n">
        <v>66</v>
      </c>
      <c r="B67" s="10" t="inlineStr">
        <is>
          <t>Chubb</t>
        </is>
      </c>
      <c r="C67" s="10" t="inlineStr">
        <is>
          <t>CB</t>
        </is>
      </c>
      <c r="D67" s="10" t="inlineStr">
        <is>
          <t>Assicurazione</t>
        </is>
      </c>
      <c r="E67" s="11" t="inlineStr">
        <is>
          <t>Finanziario</t>
        </is>
      </c>
      <c r="F67" s="12" t="n">
        <v>348.23</v>
      </c>
      <c r="G67" s="13" t="inlineStr">
        <is>
          <t>USD</t>
        </is>
      </c>
      <c r="H67" s="14" t="n">
        <v>134347.1</v>
      </c>
      <c r="I67" s="12" t="n">
        <v>28.23</v>
      </c>
      <c r="J67" s="12" t="n">
        <v>29.14121</v>
      </c>
      <c r="K67" s="15">
        <f>IF(OR(F67="",I67="",I67&lt;=0),"",F67/I67)</f>
        <v/>
      </c>
      <c r="L67" s="16" t="n">
        <v>1.7816833</v>
      </c>
      <c r="M67" s="17">
        <f>IF(OR(L67="",K67="",K67&lt;=0),"",L67/K67)</f>
        <v/>
      </c>
      <c r="N67" s="18" t="n">
        <v>0.14822</v>
      </c>
      <c r="O67" s="18" t="n">
        <v>0.1350415459271134</v>
      </c>
      <c r="P67" s="18" t="n">
        <v>0.0185040460098504</v>
      </c>
      <c r="Q67" s="19" t="n">
        <v>4</v>
      </c>
      <c r="R67" s="18" t="n"/>
      <c r="S67" s="18" t="n">
        <v>0.1397833425979907</v>
      </c>
      <c r="T67" s="18" t="n">
        <v>0.1448274784836226</v>
      </c>
      <c r="U67" s="18" t="n">
        <v>0.1517132438200548</v>
      </c>
      <c r="V67" s="18" t="n">
        <v>0.1038421188067856</v>
      </c>
      <c r="W67" s="12" t="n">
        <v>4.08</v>
      </c>
      <c r="X67" s="17">
        <f>IF(OR(W67="",F67="",F67=0),"",W67/F67)</f>
        <v/>
      </c>
      <c r="Y67" s="20" t="n">
        <v>30.941</v>
      </c>
      <c r="Z67" s="18" t="n">
        <v>0.061</v>
      </c>
      <c r="AA67" s="18" t="n">
        <v>0.1870933283374872</v>
      </c>
      <c r="AB67" s="11">
        <f>IF(AND(N67="",O67=""),"DATI MANCANTI",IF(AND(N(N67)&gt;=PARAMETRI!$B$4,N(O67)&gt;=PARAMETRI!$B$4),"OK","NO"))</f>
        <v/>
      </c>
      <c r="AC67" s="11">
        <f>IF(K67="","N/D",IF(K67&lt;PARAMETRI!$B$6,"OTTIMO",IF(K67&lt;PARAMETRI!$B$5,"OK","NO")))</f>
        <v/>
      </c>
      <c r="AD67" s="11">
        <f>IF(OR(AB67="DATI MANCANTI",AC67="N/D"),"DA COMPLETARE",IF(AND(AB67="OK",AC67="OTTIMO"),"PASSA FORTE",IF(AND(AB67="OK",AC67="OK"),"PASSA","SCARTA")))</f>
        <v/>
      </c>
      <c r="AE67" s="10" t="inlineStr">
        <is>
          <t>2026-08-04</t>
        </is>
      </c>
      <c r="AF67" s="10" t="inlineStr">
        <is>
          <t>yahoo</t>
        </is>
      </c>
      <c r="AG67" s="21" t="inlineStr"/>
    </row>
    <row r="68">
      <c r="A68" s="10" t="n">
        <v>67</v>
      </c>
      <c r="B68" s="10" t="inlineStr">
        <is>
          <t>Citigroup</t>
        </is>
      </c>
      <c r="C68" s="10" t="inlineStr">
        <is>
          <t>C</t>
        </is>
      </c>
      <c r="D68" s="10" t="inlineStr">
        <is>
          <t>Banca</t>
        </is>
      </c>
      <c r="E68" s="11" t="inlineStr">
        <is>
          <t>Finanziario</t>
        </is>
      </c>
      <c r="F68" s="12" t="n">
        <v>133.57</v>
      </c>
      <c r="G68" s="13" t="inlineStr">
        <is>
          <t>USD</t>
        </is>
      </c>
      <c r="H68" s="14" t="n">
        <v>224050.3</v>
      </c>
      <c r="I68" s="12" t="n">
        <v>9.279999999999999</v>
      </c>
      <c r="J68" s="12" t="n">
        <v>12.88329</v>
      </c>
      <c r="K68" s="15">
        <f>IF(OR(F68="",I68="",I68&lt;=0),"",F68/I68)</f>
        <v/>
      </c>
      <c r="L68" s="16" t="n">
        <v>1.1641103</v>
      </c>
      <c r="M68" s="17">
        <f>IF(OR(L68="",K68="",K68&lt;=0),"",L68/K68)</f>
        <v/>
      </c>
      <c r="N68" s="18" t="n">
        <v>0.08529</v>
      </c>
      <c r="O68" s="18" t="n">
        <v>0.06172167956388333</v>
      </c>
      <c r="P68" s="18" t="n">
        <v>0.01073520173144264</v>
      </c>
      <c r="Q68" s="19" t="n">
        <v>4</v>
      </c>
      <c r="R68" s="18" t="n"/>
      <c r="S68" s="18" t="n">
        <v>0.06738863164241536</v>
      </c>
      <c r="T68" s="18" t="n">
        <v>0.06079636429879481</v>
      </c>
      <c r="U68" s="18" t="n">
        <v>0.04491538210685656</v>
      </c>
      <c r="V68" s="18" t="n">
        <v>0.07378634020746661</v>
      </c>
      <c r="W68" s="12" t="n">
        <v>2.68</v>
      </c>
      <c r="X68" s="17">
        <f>IF(OR(W68="",F68="",F68=0),"",W68/F68)</f>
        <v/>
      </c>
      <c r="Y68" s="20" t="n"/>
      <c r="Z68" s="18" t="n">
        <v>0.145</v>
      </c>
      <c r="AA68" s="18" t="n">
        <v>0.193163018037154</v>
      </c>
      <c r="AB68" s="11">
        <f>IF(AND(N68="",O68=""),"DATI MANCANTI",IF(AND(N(N68)&gt;=PARAMETRI!$B$4,N(O68)&gt;=PARAMETRI!$B$4),"OK","NO"))</f>
        <v/>
      </c>
      <c r="AC68" s="11">
        <f>IF(K68="","N/D",IF(K68&lt;PARAMETRI!$B$6,"OTTIMO",IF(K68&lt;PARAMETRI!$B$5,"OK","NO")))</f>
        <v/>
      </c>
      <c r="AD68" s="11">
        <f>IF(OR(AB68="DATI MANCANTI",AC68="N/D"),"DA COMPLETARE",IF(AND(AB68="OK",AC68="OTTIMO"),"PASSA FORTE",IF(AND(AB68="OK",AC68="OK"),"PASSA","SCARTA")))</f>
        <v/>
      </c>
      <c r="AE68" s="10" t="inlineStr">
        <is>
          <t>2026-08-04</t>
        </is>
      </c>
      <c r="AF68" s="10" t="inlineStr">
        <is>
          <t>yahoo</t>
        </is>
      </c>
      <c r="AG68" s="21" t="inlineStr"/>
    </row>
    <row r="69">
      <c r="A69" s="10" t="n">
        <v>68</v>
      </c>
      <c r="B69" s="10" t="inlineStr">
        <is>
          <t>Goldman Sachs</t>
        </is>
      </c>
      <c r="C69" s="10" t="inlineStr">
        <is>
          <t>GS</t>
        </is>
      </c>
      <c r="D69" s="10" t="inlineStr">
        <is>
          <t>Banca d'investimento</t>
        </is>
      </c>
      <c r="E69" s="11" t="inlineStr">
        <is>
          <t>Finanziario</t>
        </is>
      </c>
      <c r="F69" s="12" t="n">
        <v>1027.06</v>
      </c>
      <c r="G69" s="13" t="inlineStr">
        <is>
          <t>USD</t>
        </is>
      </c>
      <c r="H69" s="14" t="n">
        <v>302990.3</v>
      </c>
      <c r="I69" s="12" t="n">
        <v>64.77</v>
      </c>
      <c r="J69" s="12" t="n">
        <v>74.03243999999999</v>
      </c>
      <c r="K69" s="15">
        <f>IF(OR(F69="",I69="",I69&lt;=0),"",F69/I69)</f>
        <v/>
      </c>
      <c r="L69" s="16" t="n">
        <v>2.8027215</v>
      </c>
      <c r="M69" s="17">
        <f>IF(OR(L69="",K69="",K69&lt;=0),"",L69/K69)</f>
        <v/>
      </c>
      <c r="N69" s="18" t="n">
        <v>0.16951999</v>
      </c>
      <c r="O69" s="18" t="n">
        <v>0.1058492814900844</v>
      </c>
      <c r="P69" s="18" t="n">
        <v>0.02401629869746958</v>
      </c>
      <c r="Q69" s="19" t="n">
        <v>4</v>
      </c>
      <c r="R69" s="18" t="n"/>
      <c r="S69" s="18" t="n">
        <v>0.1374387862881285</v>
      </c>
      <c r="T69" s="18" t="n">
        <v>0.117020230171481</v>
      </c>
      <c r="U69" s="18" t="n">
        <v>0.07284547281981096</v>
      </c>
      <c r="V69" s="18" t="n">
        <v>0.09609263668091715</v>
      </c>
      <c r="W69" s="12" t="n">
        <v>20</v>
      </c>
      <c r="X69" s="17">
        <f>IF(OR(W69="",F69="",F69=0),"",W69/F69)</f>
        <v/>
      </c>
      <c r="Y69" s="20" t="n">
        <v>647.154</v>
      </c>
      <c r="Z69" s="18" t="n">
        <v>0.425</v>
      </c>
      <c r="AA69" s="18" t="n">
        <v>0.342981651871043</v>
      </c>
      <c r="AB69" s="11">
        <f>IF(AND(N69="",O69=""),"DATI MANCANTI",IF(AND(N(N69)&gt;=PARAMETRI!$B$4,N(O69)&gt;=PARAMETRI!$B$4),"OK","NO"))</f>
        <v/>
      </c>
      <c r="AC69" s="11">
        <f>IF(K69="","N/D",IF(K69&lt;PARAMETRI!$B$6,"OTTIMO",IF(K69&lt;PARAMETRI!$B$5,"OK","NO")))</f>
        <v/>
      </c>
      <c r="AD69" s="11">
        <f>IF(OR(AB69="DATI MANCANTI",AC69="N/D"),"DA COMPLETARE",IF(AND(AB69="OK",AC69="OTTIMO"),"PASSA FORTE",IF(AND(AB69="OK",AC69="OK"),"PASSA","SCARTA")))</f>
        <v/>
      </c>
      <c r="AE69" s="10" t="inlineStr">
        <is>
          <t>2026-08-04</t>
        </is>
      </c>
      <c r="AF69" s="10" t="inlineStr">
        <is>
          <t>yahoo</t>
        </is>
      </c>
      <c r="AG69" s="21" t="inlineStr"/>
    </row>
    <row r="70">
      <c r="A70" s="10" t="n">
        <v>69</v>
      </c>
      <c r="B70" s="10" t="inlineStr">
        <is>
          <t>JPMorgan Chase</t>
        </is>
      </c>
      <c r="C70" s="10" t="inlineStr">
        <is>
          <t>JPM</t>
        </is>
      </c>
      <c r="D70" s="10" t="inlineStr">
        <is>
          <t>Banca</t>
        </is>
      </c>
      <c r="E70" s="11" t="inlineStr">
        <is>
          <t>Finanziario</t>
        </is>
      </c>
      <c r="F70" s="12" t="n">
        <v>352.64</v>
      </c>
      <c r="G70" s="13" t="inlineStr">
        <is>
          <t>USD</t>
        </is>
      </c>
      <c r="H70" s="14" t="n">
        <v>937387.7</v>
      </c>
      <c r="I70" s="12" t="n">
        <v>23.32</v>
      </c>
      <c r="J70" s="12" t="n">
        <v>24.89449</v>
      </c>
      <c r="K70" s="15">
        <f>IF(OR(F70="",I70="",I70&lt;=0),"",F70/I70)</f>
        <v/>
      </c>
      <c r="L70" s="16" t="n">
        <v>2.651289</v>
      </c>
      <c r="M70" s="17">
        <f>IF(OR(L70="",K70="",K70&lt;=0),"",L70/K70)</f>
        <v/>
      </c>
      <c r="N70" s="18" t="n">
        <v>0.17789</v>
      </c>
      <c r="O70" s="18" t="n">
        <v>0.1517527710837262</v>
      </c>
      <c r="P70" s="18" t="n">
        <v>0.01478123957270239</v>
      </c>
      <c r="Q70" s="19" t="n">
        <v>4</v>
      </c>
      <c r="R70" s="18" t="n"/>
      <c r="S70" s="18" t="n">
        <v>0.1574007140531622</v>
      </c>
      <c r="T70" s="18" t="n">
        <v>0.1696001253052866</v>
      </c>
      <c r="U70" s="18" t="n">
        <v>0.1511293834902006</v>
      </c>
      <c r="V70" s="18" t="n">
        <v>0.1288808614862554</v>
      </c>
      <c r="W70" s="12" t="n">
        <v>6</v>
      </c>
      <c r="X70" s="17">
        <f>IF(OR(W70="",F70="",F70=0),"",W70/F70)</f>
        <v/>
      </c>
      <c r="Y70" s="20" t="n"/>
      <c r="Z70" s="18" t="n">
        <v>0.304</v>
      </c>
      <c r="AA70" s="18" t="n">
        <v>0.349931546409894</v>
      </c>
      <c r="AB70" s="11">
        <f>IF(AND(N70="",O70=""),"DATI MANCANTI",IF(AND(N(N70)&gt;=PARAMETRI!$B$4,N(O70)&gt;=PARAMETRI!$B$4),"OK","NO"))</f>
        <v/>
      </c>
      <c r="AC70" s="11">
        <f>IF(K70="","N/D",IF(K70&lt;PARAMETRI!$B$6,"OTTIMO",IF(K70&lt;PARAMETRI!$B$5,"OK","NO")))</f>
        <v/>
      </c>
      <c r="AD70" s="11">
        <f>IF(OR(AB70="DATI MANCANTI",AC70="N/D"),"DA COMPLETARE",IF(AND(AB70="OK",AC70="OTTIMO"),"PASSA FORTE",IF(AND(AB70="OK",AC70="OK"),"PASSA","SCARTA")))</f>
        <v/>
      </c>
      <c r="AE70" s="10" t="inlineStr">
        <is>
          <t>2026-08-04</t>
        </is>
      </c>
      <c r="AF70" s="10" t="inlineStr">
        <is>
          <t>yahoo</t>
        </is>
      </c>
      <c r="AG70" s="21" t="inlineStr"/>
    </row>
    <row r="71">
      <c r="A71" s="10" t="n">
        <v>70</v>
      </c>
      <c r="B71" s="10" t="inlineStr">
        <is>
          <t>KKR &amp; Co.</t>
        </is>
      </c>
      <c r="C71" s="10" t="inlineStr">
        <is>
          <t>KKR</t>
        </is>
      </c>
      <c r="D71" s="10" t="inlineStr">
        <is>
          <t>Private equity</t>
        </is>
      </c>
      <c r="E71" s="11" t="inlineStr">
        <is>
          <t>Finanziario</t>
        </is>
      </c>
      <c r="F71" s="12" t="n">
        <v>106.56</v>
      </c>
      <c r="G71" s="13" t="inlineStr">
        <is>
          <t>USD</t>
        </is>
      </c>
      <c r="H71" s="14" t="n">
        <v>99361</v>
      </c>
      <c r="I71" s="12" t="n">
        <v>2.94</v>
      </c>
      <c r="J71" s="12" t="n">
        <v>7.38864</v>
      </c>
      <c r="K71" s="15">
        <f>IF(OR(F71="",I71="",I71&lt;=0),"",F71/I71)</f>
        <v/>
      </c>
      <c r="L71" s="16" t="n">
        <v>3.390607</v>
      </c>
      <c r="M71" s="17">
        <f>IF(OR(L71="",K71="",K71&lt;=0),"",L71/K71)</f>
        <v/>
      </c>
      <c r="N71" s="18" t="n">
        <v>0.07670765539464512</v>
      </c>
      <c r="O71" s="18" t="n">
        <v>0.08557788220889605</v>
      </c>
      <c r="P71" s="18" t="n">
        <v>0.07234443895318442</v>
      </c>
      <c r="Q71" s="19" t="n">
        <v>4</v>
      </c>
      <c r="R71" s="18" t="n"/>
      <c r="S71" s="18" t="n">
        <v>0.07670765539464512</v>
      </c>
      <c r="T71" s="18" t="n">
        <v>0.130065161007507</v>
      </c>
      <c r="U71" s="18" t="n">
        <v>0.1632753384773426</v>
      </c>
      <c r="V71" s="18" t="n">
        <v>-0.02773662604391048</v>
      </c>
      <c r="W71" s="12" t="n">
        <v>0.75</v>
      </c>
      <c r="X71" s="17">
        <f>IF(OR(W71="",F71="",F71=0),"",W71/F71)</f>
        <v/>
      </c>
      <c r="Y71" s="20" t="n">
        <v>69.029</v>
      </c>
      <c r="Z71" s="18" t="n">
        <v>0.022</v>
      </c>
      <c r="AA71" s="18" t="n">
        <v>0.1549796792343675</v>
      </c>
      <c r="AB71" s="11">
        <f>IF(AND(N71="",O71=""),"DATI MANCANTI",IF(AND(N(N71)&gt;=PARAMETRI!$B$4,N(O71)&gt;=PARAMETRI!$B$4),"OK","NO"))</f>
        <v/>
      </c>
      <c r="AC71" s="11">
        <f>IF(K71="","N/D",IF(K71&lt;PARAMETRI!$B$6,"OTTIMO",IF(K71&lt;PARAMETRI!$B$5,"OK","NO")))</f>
        <v/>
      </c>
      <c r="AD71" s="11">
        <f>IF(OR(AB71="DATI MANCANTI",AC71="N/D"),"DA COMPLETARE",IF(AND(AB71="OK",AC71="OTTIMO"),"PASSA FORTE",IF(AND(AB71="OK",AC71="OK"),"PASSA","SCARTA")))</f>
        <v/>
      </c>
      <c r="AE71" s="10" t="inlineStr">
        <is>
          <t>2026-08-04</t>
        </is>
      </c>
      <c r="AF71" s="10" t="inlineStr">
        <is>
          <t>yahoo</t>
        </is>
      </c>
      <c r="AG71" s="21" t="inlineStr"/>
    </row>
    <row r="72">
      <c r="A72" s="10" t="n">
        <v>71</v>
      </c>
      <c r="B72" s="10" t="inlineStr">
        <is>
          <t>Mastercard</t>
        </is>
      </c>
      <c r="C72" s="10" t="inlineStr">
        <is>
          <t>MA</t>
        </is>
      </c>
      <c r="D72" s="10" t="inlineStr">
        <is>
          <t>Pagamenti</t>
        </is>
      </c>
      <c r="E72" s="11" t="inlineStr">
        <is>
          <t>Finanziario</t>
        </is>
      </c>
      <c r="F72" s="12" t="n">
        <v>570.97</v>
      </c>
      <c r="G72" s="13" t="inlineStr">
        <is>
          <t>USD</t>
        </is>
      </c>
      <c r="H72" s="14" t="n">
        <v>500175.4</v>
      </c>
      <c r="I72" s="12" t="n">
        <v>18.17</v>
      </c>
      <c r="J72" s="12" t="n">
        <v>22.97241</v>
      </c>
      <c r="K72" s="15">
        <f>IF(OR(F72="",I72="",I72&lt;=0),"",F72/I72)</f>
        <v/>
      </c>
      <c r="L72" s="16" t="n">
        <v>89.26985000000001</v>
      </c>
      <c r="M72" s="17">
        <f>IF(OR(L72="",K72="",K72&lt;=0),"",L72/K72)</f>
        <v/>
      </c>
      <c r="N72" s="18" t="n">
        <v>2.41202</v>
      </c>
      <c r="O72" s="18" t="n">
        <v>1.778040213012595</v>
      </c>
      <c r="P72" s="18" t="n">
        <v>0.1832547811414374</v>
      </c>
      <c r="Q72" s="19" t="n">
        <v>4</v>
      </c>
      <c r="R72" s="18" t="n"/>
      <c r="S72" s="18" t="n">
        <v>1.934599974150187</v>
      </c>
      <c r="T72" s="18" t="n">
        <v>1.985196607555898</v>
      </c>
      <c r="U72" s="18" t="n">
        <v>1.615673257324289</v>
      </c>
      <c r="V72" s="18" t="n">
        <v>1.576691013020006</v>
      </c>
      <c r="W72" s="12" t="n">
        <v>3.48</v>
      </c>
      <c r="X72" s="17">
        <f>IF(OR(W72="",F72="",F72=0),"",W72/F72)</f>
        <v/>
      </c>
      <c r="Y72" s="20" t="n">
        <v>439.583</v>
      </c>
      <c r="Z72" s="18" t="n">
        <v>0.141</v>
      </c>
      <c r="AA72" s="18" t="n">
        <v>0.4957762937391357</v>
      </c>
      <c r="AB72" s="11">
        <f>IF(AND(N72="",O72=""),"DATI MANCANTI",IF(AND(N(N72)&gt;=PARAMETRI!$B$4,N(O72)&gt;=PARAMETRI!$B$4),"OK","NO"))</f>
        <v/>
      </c>
      <c r="AC72" s="11">
        <f>IF(K72="","N/D",IF(K72&lt;PARAMETRI!$B$6,"OTTIMO",IF(K72&lt;PARAMETRI!$B$5,"OK","NO")))</f>
        <v/>
      </c>
      <c r="AD72" s="11">
        <f>IF(OR(AB72="DATI MANCANTI",AC72="N/D"),"DA COMPLETARE",IF(AND(AB72="OK",AC72="OTTIMO"),"PASSA FORTE",IF(AND(AB72="OK",AC72="OK"),"PASSA","SCARTA")))</f>
        <v/>
      </c>
      <c r="AE72" s="10" t="inlineStr">
        <is>
          <t>2026-08-04</t>
        </is>
      </c>
      <c r="AF72" s="10" t="inlineStr">
        <is>
          <t>yahoo</t>
        </is>
      </c>
      <c r="AG72" s="21" t="inlineStr"/>
    </row>
    <row r="73">
      <c r="A73" s="10" t="n">
        <v>72</v>
      </c>
      <c r="B73" s="10" t="inlineStr">
        <is>
          <t>MetLife</t>
        </is>
      </c>
      <c r="C73" s="10" t="inlineStr">
        <is>
          <t>MET</t>
        </is>
      </c>
      <c r="D73" s="10" t="inlineStr">
        <is>
          <t>Assicurazione vita</t>
        </is>
      </c>
      <c r="E73" s="11" t="inlineStr">
        <is>
          <t>Finanziario</t>
        </is>
      </c>
      <c r="F73" s="12" t="n">
        <v>96.31</v>
      </c>
      <c r="G73" s="13" t="inlineStr">
        <is>
          <t>USD</t>
        </is>
      </c>
      <c r="H73" s="14" t="n">
        <v>61969.4</v>
      </c>
      <c r="I73" s="12" t="n">
        <v>5.17</v>
      </c>
      <c r="J73" s="12" t="n">
        <v>10.98767</v>
      </c>
      <c r="K73" s="15">
        <f>IF(OR(F73="",I73="",I73&lt;=0),"",F73/I73)</f>
        <v/>
      </c>
      <c r="L73" s="16" t="n">
        <v>2.2770474</v>
      </c>
      <c r="M73" s="17">
        <f>IF(OR(L73="",K73="",K73&lt;=0),"",L73/K73)</f>
        <v/>
      </c>
      <c r="N73" s="18" t="n">
        <v>0.13014</v>
      </c>
      <c r="O73" s="18" t="n">
        <v>0.1274159335614763</v>
      </c>
      <c r="P73" s="18" t="n">
        <v>0.04811596554463902</v>
      </c>
      <c r="Q73" s="19" t="n">
        <v>4</v>
      </c>
      <c r="R73" s="18" t="n"/>
      <c r="S73" s="18" t="n">
        <v>0.1189872526234242</v>
      </c>
      <c r="T73" s="18" t="n">
        <v>0.1612679905265076</v>
      </c>
      <c r="U73" s="18" t="n">
        <v>0.05257371314342828</v>
      </c>
      <c r="V73" s="18" t="n">
        <v>0.1768347779525451</v>
      </c>
      <c r="W73" s="12" t="n">
        <v>2.37</v>
      </c>
      <c r="X73" s="17">
        <f>IF(OR(W73="",F73="",F73=0),"",W73/F73)</f>
        <v/>
      </c>
      <c r="Y73" s="20" t="n">
        <v>178.019</v>
      </c>
      <c r="Z73" s="18" t="n">
        <v>0.027</v>
      </c>
      <c r="AA73" s="18" t="n">
        <v>0.04539085668966611</v>
      </c>
      <c r="AB73" s="11">
        <f>IF(AND(N73="",O73=""),"DATI MANCANTI",IF(AND(N(N73)&gt;=PARAMETRI!$B$4,N(O73)&gt;=PARAMETRI!$B$4),"OK","NO"))</f>
        <v/>
      </c>
      <c r="AC73" s="11">
        <f>IF(K73="","N/D",IF(K73&lt;PARAMETRI!$B$6,"OTTIMO",IF(K73&lt;PARAMETRI!$B$5,"OK","NO")))</f>
        <v/>
      </c>
      <c r="AD73" s="11">
        <f>IF(OR(AB73="DATI MANCANTI",AC73="N/D"),"DA COMPLETARE",IF(AND(AB73="OK",AC73="OTTIMO"),"PASSA FORTE",IF(AND(AB73="OK",AC73="OK"),"PASSA","SCARTA")))</f>
        <v/>
      </c>
      <c r="AE73" s="10" t="inlineStr">
        <is>
          <t>2026-08-04</t>
        </is>
      </c>
      <c r="AF73" s="10" t="inlineStr">
        <is>
          <t>yahoo</t>
        </is>
      </c>
      <c r="AG73" s="21" t="inlineStr"/>
    </row>
    <row r="74">
      <c r="A74" s="10" t="n">
        <v>73</v>
      </c>
      <c r="B74" s="10" t="inlineStr">
        <is>
          <t>Moody's</t>
        </is>
      </c>
      <c r="C74" s="10" t="inlineStr">
        <is>
          <t>MCO</t>
        </is>
      </c>
      <c r="D74" s="10" t="inlineStr">
        <is>
          <t>Dati e rating</t>
        </is>
      </c>
      <c r="E74" s="11" t="inlineStr">
        <is>
          <t>Finanziario</t>
        </is>
      </c>
      <c r="F74" s="12" t="n">
        <v>483.36</v>
      </c>
      <c r="G74" s="13" t="inlineStr">
        <is>
          <t>USD</t>
        </is>
      </c>
      <c r="H74" s="14" t="n">
        <v>83708.8</v>
      </c>
      <c r="I74" s="12" t="n">
        <v>15.74</v>
      </c>
      <c r="J74" s="12" t="n">
        <v>18.90331</v>
      </c>
      <c r="K74" s="15">
        <f>IF(OR(F74="",I74="",I74&lt;=0),"",F74/I74)</f>
        <v/>
      </c>
      <c r="L74" s="16" t="n">
        <v>27.672754</v>
      </c>
      <c r="M74" s="17">
        <f>IF(OR(L74="",K74="",K74&lt;=0),"",L74/K74)</f>
        <v/>
      </c>
      <c r="N74" s="18" t="n">
        <v>0.76932</v>
      </c>
      <c r="O74" s="18" t="n">
        <v>0.5534057442590806</v>
      </c>
      <c r="P74" s="18" t="n">
        <v>0.04536086460562505</v>
      </c>
      <c r="Q74" s="19" t="n">
        <v>4</v>
      </c>
      <c r="R74" s="18" t="n"/>
      <c r="S74" s="18" t="n">
        <v>0.6065614208189443</v>
      </c>
      <c r="T74" s="18" t="n">
        <v>0.5772791023842917</v>
      </c>
      <c r="U74" s="18" t="n">
        <v>0.4843279083785413</v>
      </c>
      <c r="V74" s="18" t="n">
        <v>0.5454545454545454</v>
      </c>
      <c r="W74" s="12" t="n">
        <v>4.12</v>
      </c>
      <c r="X74" s="17">
        <f>IF(OR(W74="",F74="",F74=0),"",W74/F74)</f>
        <v/>
      </c>
      <c r="Y74" s="20" t="n">
        <v>240.682</v>
      </c>
      <c r="Z74" s="18" t="n">
        <v>0.151</v>
      </c>
      <c r="AA74" s="18" t="n">
        <v>0.3621404591863177</v>
      </c>
      <c r="AB74" s="11">
        <f>IF(AND(N74="",O74=""),"DATI MANCANTI",IF(AND(N(N74)&gt;=PARAMETRI!$B$4,N(O74)&gt;=PARAMETRI!$B$4),"OK","NO"))</f>
        <v/>
      </c>
      <c r="AC74" s="11">
        <f>IF(K74="","N/D",IF(K74&lt;PARAMETRI!$B$6,"OTTIMO",IF(K74&lt;PARAMETRI!$B$5,"OK","NO")))</f>
        <v/>
      </c>
      <c r="AD74" s="11">
        <f>IF(OR(AB74="DATI MANCANTI",AC74="N/D"),"DA COMPLETARE",IF(AND(AB74="OK",AC74="OTTIMO"),"PASSA FORTE",IF(AND(AB74="OK",AC74="OK"),"PASSA","SCARTA")))</f>
        <v/>
      </c>
      <c r="AE74" s="10" t="inlineStr">
        <is>
          <t>2026-08-04</t>
        </is>
      </c>
      <c r="AF74" s="10" t="inlineStr">
        <is>
          <t>yahoo</t>
        </is>
      </c>
      <c r="AG74" s="21" t="inlineStr"/>
    </row>
    <row r="75">
      <c r="A75" s="10" t="n">
        <v>74</v>
      </c>
      <c r="B75" s="10" t="inlineStr">
        <is>
          <t>Morgan Stanley</t>
        </is>
      </c>
      <c r="C75" s="10" t="inlineStr">
        <is>
          <t>MS</t>
        </is>
      </c>
      <c r="D75" s="10" t="inlineStr">
        <is>
          <t>Banca d'investimento</t>
        </is>
      </c>
      <c r="E75" s="11" t="inlineStr">
        <is>
          <t>Finanziario</t>
        </is>
      </c>
      <c r="F75" s="12" t="n">
        <v>211.23</v>
      </c>
      <c r="G75" s="13" t="inlineStr">
        <is>
          <t>USD</t>
        </is>
      </c>
      <c r="H75" s="14" t="n">
        <v>332053.5</v>
      </c>
      <c r="I75" s="12" t="n">
        <v>12.37</v>
      </c>
      <c r="J75" s="12" t="n">
        <v>13.6344</v>
      </c>
      <c r="K75" s="15">
        <f>IF(OR(F75="",I75="",I75&lt;=0),"",F75/I75)</f>
        <v/>
      </c>
      <c r="L75" s="16" t="n">
        <v>3.1918461</v>
      </c>
      <c r="M75" s="17">
        <f>IF(OR(L75="",K75="",K75&lt;=0),"",L75/K75)</f>
        <v/>
      </c>
      <c r="N75" s="18" t="n">
        <v>0.1510409201662606</v>
      </c>
      <c r="O75" s="18" t="n">
        <v>0.1202621939362582</v>
      </c>
      <c r="P75" s="18" t="n">
        <v>0.02193423207360017</v>
      </c>
      <c r="Q75" s="19" t="n">
        <v>4</v>
      </c>
      <c r="R75" s="18" t="n"/>
      <c r="S75" s="18" t="n">
        <v>0.1510409201662606</v>
      </c>
      <c r="T75" s="18" t="n">
        <v>0.1281204849250318</v>
      </c>
      <c r="U75" s="18" t="n">
        <v>0.09175266059492317</v>
      </c>
      <c r="V75" s="18" t="n">
        <v>0.1101347100588171</v>
      </c>
      <c r="W75" s="12" t="n">
        <v>4.6</v>
      </c>
      <c r="X75" s="17">
        <f>IF(OR(W75="",F75="",F75=0),"",W75/F75)</f>
        <v/>
      </c>
      <c r="Y75" s="20" t="n">
        <v>502.246</v>
      </c>
      <c r="Z75" s="18" t="n">
        <v>0.28</v>
      </c>
      <c r="AA75" s="18" t="n">
        <v>0.2963193286238365</v>
      </c>
      <c r="AB75" s="11">
        <f>IF(AND(N75="",O75=""),"DATI MANCANTI",IF(AND(N(N75)&gt;=PARAMETRI!$B$4,N(O75)&gt;=PARAMETRI!$B$4),"OK","NO"))</f>
        <v/>
      </c>
      <c r="AC75" s="11">
        <f>IF(K75="","N/D",IF(K75&lt;PARAMETRI!$B$6,"OTTIMO",IF(K75&lt;PARAMETRI!$B$5,"OK","NO")))</f>
        <v/>
      </c>
      <c r="AD75" s="11">
        <f>IF(OR(AB75="DATI MANCANTI",AC75="N/D"),"DA COMPLETARE",IF(AND(AB75="OK",AC75="OTTIMO"),"PASSA FORTE",IF(AND(AB75="OK",AC75="OK"),"PASSA","SCARTA")))</f>
        <v/>
      </c>
      <c r="AE75" s="10" t="inlineStr">
        <is>
          <t>2026-08-04</t>
        </is>
      </c>
      <c r="AF75" s="10" t="inlineStr">
        <is>
          <t>yahoo</t>
        </is>
      </c>
      <c r="AG75" s="21" t="inlineStr"/>
    </row>
    <row r="76">
      <c r="A76" s="10" t="n">
        <v>75</v>
      </c>
      <c r="B76" s="10" t="inlineStr">
        <is>
          <t>PayPal</t>
        </is>
      </c>
      <c r="C76" s="10" t="inlineStr">
        <is>
          <t>PYPL</t>
        </is>
      </c>
      <c r="D76" s="10" t="inlineStr">
        <is>
          <t>Pagamenti</t>
        </is>
      </c>
      <c r="E76" s="11" t="inlineStr">
        <is>
          <t>Finanziario</t>
        </is>
      </c>
      <c r="F76" s="12" t="n">
        <v>57.87</v>
      </c>
      <c r="G76" s="13" t="inlineStr">
        <is>
          <t>USD</t>
        </is>
      </c>
      <c r="H76" s="14" t="n">
        <v>49883.9</v>
      </c>
      <c r="I76" s="12" t="n">
        <v>5.29</v>
      </c>
      <c r="J76" s="12" t="n">
        <v>5.79152</v>
      </c>
      <c r="K76" s="15">
        <f>IF(OR(F76="",I76="",I76&lt;=0),"",F76/I76)</f>
        <v/>
      </c>
      <c r="L76" s="16" t="n">
        <v>2.5168529</v>
      </c>
      <c r="M76" s="17">
        <f>IF(OR(L76="",K76="",K76&lt;=0),"",L76/K76)</f>
        <v/>
      </c>
      <c r="N76" s="18" t="n">
        <v>0.24497</v>
      </c>
      <c r="O76" s="18" t="n">
        <v>0.1956185673090926</v>
      </c>
      <c r="P76" s="18" t="n">
        <v>0.04962294251893289</v>
      </c>
      <c r="Q76" s="19" t="n">
        <v>4</v>
      </c>
      <c r="R76" s="18" t="n"/>
      <c r="S76" s="18" t="n">
        <v>0.2583432069510269</v>
      </c>
      <c r="T76" s="18" t="n">
        <v>0.2031150511828378</v>
      </c>
      <c r="U76" s="18" t="n">
        <v>0.2017006317989644</v>
      </c>
      <c r="V76" s="18" t="n">
        <v>0.1193153793035415</v>
      </c>
      <c r="W76" s="12" t="n">
        <v>0.5600000000000001</v>
      </c>
      <c r="X76" s="17">
        <f>IF(OR(W76="",F76="",F76=0),"",W76/F76)</f>
        <v/>
      </c>
      <c r="Y76" s="20" t="n">
        <v>71.751</v>
      </c>
      <c r="Z76" s="18" t="n">
        <v>0.048</v>
      </c>
      <c r="AA76" s="18" t="n">
        <v>0.1477752359821536</v>
      </c>
      <c r="AB76" s="11">
        <f>IF(AND(N76="",O76=""),"DATI MANCANTI",IF(AND(N(N76)&gt;=PARAMETRI!$B$4,N(O76)&gt;=PARAMETRI!$B$4),"OK","NO"))</f>
        <v/>
      </c>
      <c r="AC76" s="11">
        <f>IF(K76="","N/D",IF(K76&lt;PARAMETRI!$B$6,"OTTIMO",IF(K76&lt;PARAMETRI!$B$5,"OK","NO")))</f>
        <v/>
      </c>
      <c r="AD76" s="11">
        <f>IF(OR(AB76="DATI MANCANTI",AC76="N/D"),"DA COMPLETARE",IF(AND(AB76="OK",AC76="OTTIMO"),"PASSA FORTE",IF(AND(AB76="OK",AC76="OK"),"PASSA","SCARTA")))</f>
        <v/>
      </c>
      <c r="AE76" s="10" t="inlineStr">
        <is>
          <t>2026-08-04</t>
        </is>
      </c>
      <c r="AF76" s="10" t="inlineStr">
        <is>
          <t>yahoo</t>
        </is>
      </c>
      <c r="AG76" s="21" t="inlineStr"/>
    </row>
    <row r="77">
      <c r="A77" s="10" t="n">
        <v>76</v>
      </c>
      <c r="B77" s="10" t="inlineStr">
        <is>
          <t>Progressive</t>
        </is>
      </c>
      <c r="C77" s="10" t="inlineStr">
        <is>
          <t>PGR</t>
        </is>
      </c>
      <c r="D77" s="10" t="inlineStr">
        <is>
          <t>Assicurazione</t>
        </is>
      </c>
      <c r="E77" s="11" t="inlineStr">
        <is>
          <t>Finanziario</t>
        </is>
      </c>
      <c r="F77" s="12" t="n">
        <v>210.46</v>
      </c>
      <c r="G77" s="13" t="inlineStr">
        <is>
          <t>USD</t>
        </is>
      </c>
      <c r="H77" s="14" t="n">
        <v>122355.5</v>
      </c>
      <c r="I77" s="12" t="n">
        <v>19.94</v>
      </c>
      <c r="J77" s="12" t="n">
        <v>16.29031</v>
      </c>
      <c r="K77" s="15">
        <f>IF(OR(F77="",I77="",I77&lt;=0),"",F77/I77)</f>
        <v/>
      </c>
      <c r="L77" s="16" t="n">
        <v>3.5639777</v>
      </c>
      <c r="M77" s="17">
        <f>IF(OR(L77="",K77="",K77&lt;=0),"",L77/K77)</f>
        <v/>
      </c>
      <c r="N77" s="18" t="n">
        <v>0.34943</v>
      </c>
      <c r="O77" s="18" t="n">
        <v>0.2355508402188087</v>
      </c>
      <c r="P77" s="18" t="n">
        <v>0.128500392044818</v>
      </c>
      <c r="Q77" s="19" t="n">
        <v>4</v>
      </c>
      <c r="R77" s="18" t="n"/>
      <c r="S77" s="18" t="n">
        <v>0.3729182468753092</v>
      </c>
      <c r="T77" s="18" t="n">
        <v>0.3313664960337619</v>
      </c>
      <c r="U77" s="18" t="n">
        <v>0.1924840952803669</v>
      </c>
      <c r="V77" s="18" t="n">
        <v>0.04543452268579699</v>
      </c>
      <c r="W77" s="12" t="n">
        <v>13.9</v>
      </c>
      <c r="X77" s="17">
        <f>IF(OR(W77="",F77="",F77=0),"",W77/F77)</f>
        <v/>
      </c>
      <c r="Y77" s="20" t="n">
        <v>24.428</v>
      </c>
      <c r="Z77" s="18" t="n">
        <v>0.073</v>
      </c>
      <c r="AA77" s="18" t="n">
        <v>0.1334481959902781</v>
      </c>
      <c r="AB77" s="11">
        <f>IF(AND(N77="",O77=""),"DATI MANCANTI",IF(AND(N(N77)&gt;=PARAMETRI!$B$4,N(O77)&gt;=PARAMETRI!$B$4),"OK","NO"))</f>
        <v/>
      </c>
      <c r="AC77" s="11">
        <f>IF(K77="","N/D",IF(K77&lt;PARAMETRI!$B$6,"OTTIMO",IF(K77&lt;PARAMETRI!$B$5,"OK","NO")))</f>
        <v/>
      </c>
      <c r="AD77" s="11">
        <f>IF(OR(AB77="DATI MANCANTI",AC77="N/D"),"DA COMPLETARE",IF(AND(AB77="OK",AC77="OTTIMO"),"PASSA FORTE",IF(AND(AB77="OK",AC77="OK"),"PASSA","SCARTA")))</f>
        <v/>
      </c>
      <c r="AE77" s="10" t="inlineStr">
        <is>
          <t>2026-08-04</t>
        </is>
      </c>
      <c r="AF77" s="10" t="inlineStr">
        <is>
          <t>yahoo</t>
        </is>
      </c>
      <c r="AG77" s="21" t="inlineStr"/>
    </row>
    <row r="78">
      <c r="A78" s="10" t="n">
        <v>77</v>
      </c>
      <c r="B78" s="10" t="inlineStr">
        <is>
          <t>S&amp;P Global</t>
        </is>
      </c>
      <c r="C78" s="10" t="inlineStr">
        <is>
          <t>SPGI</t>
        </is>
      </c>
      <c r="D78" s="10" t="inlineStr">
        <is>
          <t>Dati e rating</t>
        </is>
      </c>
      <c r="E78" s="11" t="inlineStr">
        <is>
          <t>Finanziario</t>
        </is>
      </c>
      <c r="F78" s="12" t="n">
        <v>416.25</v>
      </c>
      <c r="G78" s="13" t="inlineStr">
        <is>
          <t>USD</t>
        </is>
      </c>
      <c r="H78" s="14" t="n">
        <v>122710.5</v>
      </c>
      <c r="I78" s="12" t="n">
        <v>16.44</v>
      </c>
      <c r="J78" s="12" t="n">
        <v>20.21965</v>
      </c>
      <c r="K78" s="15">
        <f>IF(OR(F78="",I78="",I78&lt;=0),"",F78/I78)</f>
        <v/>
      </c>
      <c r="L78" s="16" t="n">
        <v>3.8954656</v>
      </c>
      <c r="M78" s="17">
        <f>IF(OR(L78="",K78="",K78&lt;=0),"",L78/K78)</f>
        <v/>
      </c>
      <c r="N78" s="18" t="n">
        <v>0.14255</v>
      </c>
      <c r="O78" s="18" t="n">
        <v>0.1064621835887914</v>
      </c>
      <c r="P78" s="18" t="n">
        <v>0.02575321793401057</v>
      </c>
      <c r="Q78" s="19" t="n">
        <v>4</v>
      </c>
      <c r="R78" s="18" t="n"/>
      <c r="S78" s="18" t="n">
        <v>0.1436373566357182</v>
      </c>
      <c r="T78" s="18" t="n">
        <v>0.1161675563195513</v>
      </c>
      <c r="U78" s="18" t="n">
        <v>0.07678362573099415</v>
      </c>
      <c r="V78" s="18" t="n">
        <v>0.08926019566890184</v>
      </c>
      <c r="W78" s="12" t="n">
        <v>3.88</v>
      </c>
      <c r="X78" s="17">
        <f>IF(OR(W78="",F78="",F78=0),"",W78/F78)</f>
        <v/>
      </c>
      <c r="Y78" s="20" t="n">
        <v>42.98</v>
      </c>
      <c r="Z78" s="18" t="n">
        <v>0.104</v>
      </c>
      <c r="AA78" s="18" t="n">
        <v>0.3210093771517997</v>
      </c>
      <c r="AB78" s="11">
        <f>IF(AND(N78="",O78=""),"DATI MANCANTI",IF(AND(N(N78)&gt;=PARAMETRI!$B$4,N(O78)&gt;=PARAMETRI!$B$4),"OK","NO"))</f>
        <v/>
      </c>
      <c r="AC78" s="11">
        <f>IF(K78="","N/D",IF(K78&lt;PARAMETRI!$B$6,"OTTIMO",IF(K78&lt;PARAMETRI!$B$5,"OK","NO")))</f>
        <v/>
      </c>
      <c r="AD78" s="11">
        <f>IF(OR(AB78="DATI MANCANTI",AC78="N/D"),"DA COMPLETARE",IF(AND(AB78="OK",AC78="OTTIMO"),"PASSA FORTE",IF(AND(AB78="OK",AC78="OK"),"PASSA","SCARTA")))</f>
        <v/>
      </c>
      <c r="AE78" s="10" t="inlineStr">
        <is>
          <t>2026-08-04</t>
        </is>
      </c>
      <c r="AF78" s="10" t="inlineStr">
        <is>
          <t>yahoo</t>
        </is>
      </c>
      <c r="AG78" s="21" t="inlineStr"/>
    </row>
    <row r="79">
      <c r="A79" s="10" t="n">
        <v>78</v>
      </c>
      <c r="B79" s="10" t="inlineStr">
        <is>
          <t>Travelers</t>
        </is>
      </c>
      <c r="C79" s="10" t="inlineStr">
        <is>
          <t>TRV</t>
        </is>
      </c>
      <c r="D79" s="10" t="inlineStr">
        <is>
          <t>Assicurazione</t>
        </is>
      </c>
      <c r="E79" s="11" t="inlineStr">
        <is>
          <t>Finanziario</t>
        </is>
      </c>
      <c r="F79" s="12" t="n">
        <v>373.82</v>
      </c>
      <c r="G79" s="13" t="inlineStr">
        <is>
          <t>USD</t>
        </is>
      </c>
      <c r="H79" s="14" t="n">
        <v>77969.5</v>
      </c>
      <c r="I79" s="12" t="n">
        <v>37.21</v>
      </c>
      <c r="J79" s="12" t="n">
        <v>30.16087</v>
      </c>
      <c r="K79" s="15">
        <f>IF(OR(F79="",I79="",I79&lt;=0),"",F79/I79)</f>
        <v/>
      </c>
      <c r="L79" s="16" t="n">
        <v>2.3543565</v>
      </c>
      <c r="M79" s="17">
        <f>IF(OR(L79="",K79="",K79&lt;=0),"",L79/K79)</f>
        <v/>
      </c>
      <c r="N79" s="18" t="n">
        <v>0.26511</v>
      </c>
      <c r="O79" s="18" t="n">
        <v>0.1556010112383756</v>
      </c>
      <c r="P79" s="18" t="n">
        <v>0.03026061633724604</v>
      </c>
      <c r="Q79" s="19" t="n">
        <v>4</v>
      </c>
      <c r="R79" s="18" t="n"/>
      <c r="S79" s="18" t="n">
        <v>0.1911594819723962</v>
      </c>
      <c r="T79" s="18" t="n">
        <v>0.1794071202985932</v>
      </c>
      <c r="U79" s="18" t="n">
        <v>0.1200192608643313</v>
      </c>
      <c r="V79" s="18" t="n">
        <v>0.1318181818181818</v>
      </c>
      <c r="W79" s="12" t="n">
        <v>5</v>
      </c>
      <c r="X79" s="17">
        <f>IF(OR(W79="",F79="",F79=0),"",W79/F79)</f>
        <v/>
      </c>
      <c r="Y79" s="20" t="n">
        <v>27.378</v>
      </c>
      <c r="Z79" s="18" t="n">
        <v>0.003</v>
      </c>
      <c r="AA79" s="18" t="n">
        <v>0.1688170682395347</v>
      </c>
      <c r="AB79" s="11">
        <f>IF(AND(N79="",O79=""),"DATI MANCANTI",IF(AND(N(N79)&gt;=PARAMETRI!$B$4,N(O79)&gt;=PARAMETRI!$B$4),"OK","NO"))</f>
        <v/>
      </c>
      <c r="AC79" s="11">
        <f>IF(K79="","N/D",IF(K79&lt;PARAMETRI!$B$6,"OTTIMO",IF(K79&lt;PARAMETRI!$B$5,"OK","NO")))</f>
        <v/>
      </c>
      <c r="AD79" s="11">
        <f>IF(OR(AB79="DATI MANCANTI",AC79="N/D"),"DA COMPLETARE",IF(AND(AB79="OK",AC79="OTTIMO"),"PASSA FORTE",IF(AND(AB79="OK",AC79="OK"),"PASSA","SCARTA")))</f>
        <v/>
      </c>
      <c r="AE79" s="10" t="inlineStr">
        <is>
          <t>2026-08-04</t>
        </is>
      </c>
      <c r="AF79" s="10" t="inlineStr">
        <is>
          <t>yahoo</t>
        </is>
      </c>
      <c r="AG79" s="21" t="inlineStr"/>
    </row>
    <row r="80">
      <c r="A80" s="10" t="n">
        <v>79</v>
      </c>
      <c r="B80" s="10" t="inlineStr">
        <is>
          <t>Visa</t>
        </is>
      </c>
      <c r="C80" s="10" t="inlineStr">
        <is>
          <t>V</t>
        </is>
      </c>
      <c r="D80" s="10" t="inlineStr">
        <is>
          <t>Pagamenti</t>
        </is>
      </c>
      <c r="E80" s="11" t="inlineStr">
        <is>
          <t>Finanziario</t>
        </is>
      </c>
      <c r="F80" s="12" t="n">
        <v>365.67</v>
      </c>
      <c r="G80" s="13" t="inlineStr">
        <is>
          <t>USD</t>
        </is>
      </c>
      <c r="H80" s="14" t="n">
        <v>682723.2</v>
      </c>
      <c r="I80" s="12" t="n">
        <v>11.75</v>
      </c>
      <c r="J80" s="12" t="n">
        <v>14.95217</v>
      </c>
      <c r="K80" s="15">
        <f>IF(OR(F80="",I80="",I80&lt;=0),"",F80/I80)</f>
        <v/>
      </c>
      <c r="L80" s="16" t="n">
        <v>19.378378</v>
      </c>
      <c r="M80" s="17">
        <f>IF(OR(L80="",K80="",K80&lt;=0),"",L80/K80)</f>
        <v/>
      </c>
      <c r="N80" s="18" t="n">
        <v>0.6119</v>
      </c>
      <c r="O80" s="18" t="n">
        <v>0.4749707904577081</v>
      </c>
      <c r="P80" s="18" t="n">
        <v>0.0436591756067068</v>
      </c>
      <c r="Q80" s="19" t="n">
        <v>4</v>
      </c>
      <c r="R80" s="18" t="n"/>
      <c r="S80" s="18" t="n">
        <v>0.5291091825160252</v>
      </c>
      <c r="T80" s="18" t="n">
        <v>0.504458696374275</v>
      </c>
      <c r="U80" s="18" t="n">
        <v>0.445950481501562</v>
      </c>
      <c r="V80" s="18" t="n">
        <v>0.4203648014389703</v>
      </c>
      <c r="W80" s="12" t="n">
        <v>2.68</v>
      </c>
      <c r="X80" s="17">
        <f>IF(OR(W80="",F80="",F80=0),"",W80/F80)</f>
        <v/>
      </c>
      <c r="Y80" s="20" t="n">
        <v>67.821</v>
      </c>
      <c r="Z80" s="18" t="n">
        <v>0.144</v>
      </c>
      <c r="AA80" s="18" t="n">
        <v>0.5599499776</v>
      </c>
      <c r="AB80" s="11">
        <f>IF(AND(N80="",O80=""),"DATI MANCANTI",IF(AND(N(N80)&gt;=PARAMETRI!$B$4,N(O80)&gt;=PARAMETRI!$B$4),"OK","NO"))</f>
        <v/>
      </c>
      <c r="AC80" s="11">
        <f>IF(K80="","N/D",IF(K80&lt;PARAMETRI!$B$6,"OTTIMO",IF(K80&lt;PARAMETRI!$B$5,"OK","NO")))</f>
        <v/>
      </c>
      <c r="AD80" s="11">
        <f>IF(OR(AB80="DATI MANCANTI",AC80="N/D"),"DA COMPLETARE",IF(AND(AB80="OK",AC80="OTTIMO"),"PASSA FORTE",IF(AND(AB80="OK",AC80="OK"),"PASSA","SCARTA")))</f>
        <v/>
      </c>
      <c r="AE80" s="10" t="inlineStr">
        <is>
          <t>2026-08-04</t>
        </is>
      </c>
      <c r="AF80" s="10" t="inlineStr">
        <is>
          <t>yahoo</t>
        </is>
      </c>
      <c r="AG80" s="21" t="inlineStr"/>
    </row>
    <row r="81">
      <c r="A81" s="10" t="n">
        <v>80</v>
      </c>
      <c r="B81" s="10" t="inlineStr">
        <is>
          <t>Wells Fargo</t>
        </is>
      </c>
      <c r="C81" s="10" t="inlineStr">
        <is>
          <t>WFC</t>
        </is>
      </c>
      <c r="D81" s="10" t="inlineStr">
        <is>
          <t>Banca</t>
        </is>
      </c>
      <c r="E81" s="11" t="inlineStr">
        <is>
          <t>Finanziario</t>
        </is>
      </c>
      <c r="F81" s="12" t="n">
        <v>87.89</v>
      </c>
      <c r="G81" s="13" t="inlineStr">
        <is>
          <t>USD</t>
        </is>
      </c>
      <c r="H81" s="14" t="n">
        <v>265779.3</v>
      </c>
      <c r="I81" s="12" t="n">
        <v>6.88</v>
      </c>
      <c r="J81" s="12" t="n">
        <v>7.88119</v>
      </c>
      <c r="K81" s="15">
        <f>IF(OR(F81="",I81="",I81&lt;=0),"",F81/I81)</f>
        <v/>
      </c>
      <c r="L81" s="16" t="n">
        <v>1.652254</v>
      </c>
      <c r="M81" s="17">
        <f>IF(OR(L81="",K81="",K81&lt;=0),"",L81/K81)</f>
        <v/>
      </c>
      <c r="N81" s="18" t="n">
        <v>0.12575</v>
      </c>
      <c r="O81" s="18" t="n">
        <v>0.1017166869476873</v>
      </c>
      <c r="P81" s="18" t="n">
        <v>0.01579883207450957</v>
      </c>
      <c r="Q81" s="19" t="n">
        <v>4</v>
      </c>
      <c r="R81" s="18" t="n"/>
      <c r="S81" s="18" t="n">
        <v>0.1178133471733741</v>
      </c>
      <c r="T81" s="18" t="n">
        <v>0.1101049575703439</v>
      </c>
      <c r="U81" s="18" t="n">
        <v>0.1030608124478424</v>
      </c>
      <c r="V81" s="18" t="n">
        <v>0.07588763059918881</v>
      </c>
      <c r="W81" s="12" t="n">
        <v>2</v>
      </c>
      <c r="X81" s="17">
        <f>IF(OR(W81="",F81="",F81=0),"",W81/F81)</f>
        <v/>
      </c>
      <c r="Y81" s="20" t="n"/>
      <c r="Z81" s="18" t="n">
        <v>0.095</v>
      </c>
      <c r="AA81" s="18" t="n">
        <v>0.2582468076321103</v>
      </c>
      <c r="AB81" s="11">
        <f>IF(AND(N81="",O81=""),"DATI MANCANTI",IF(AND(N(N81)&gt;=PARAMETRI!$B$4,N(O81)&gt;=PARAMETRI!$B$4),"OK","NO"))</f>
        <v/>
      </c>
      <c r="AC81" s="11">
        <f>IF(K81="","N/D",IF(K81&lt;PARAMETRI!$B$6,"OTTIMO",IF(K81&lt;PARAMETRI!$B$5,"OK","NO")))</f>
        <v/>
      </c>
      <c r="AD81" s="11">
        <f>IF(OR(AB81="DATI MANCANTI",AC81="N/D"),"DA COMPLETARE",IF(AND(AB81="OK",AC81="OTTIMO"),"PASSA FORTE",IF(AND(AB81="OK",AC81="OK"),"PASSA","SCARTA")))</f>
        <v/>
      </c>
      <c r="AE81" s="10" t="inlineStr">
        <is>
          <t>2026-08-04</t>
        </is>
      </c>
      <c r="AF81" s="10" t="inlineStr">
        <is>
          <t>yahoo</t>
        </is>
      </c>
      <c r="AG81" s="21" t="inlineStr"/>
    </row>
    <row r="82">
      <c r="A82" s="10" t="n">
        <v>81</v>
      </c>
      <c r="B82" s="10" t="inlineStr">
        <is>
          <t>3M</t>
        </is>
      </c>
      <c r="C82" s="10" t="inlineStr">
        <is>
          <t>MMM</t>
        </is>
      </c>
      <c r="D82" s="10" t="inlineStr">
        <is>
          <t>Conglomerata industriale</t>
        </is>
      </c>
      <c r="E82" s="11" t="inlineStr">
        <is>
          <t>Industriale</t>
        </is>
      </c>
      <c r="F82" s="12" t="n">
        <v>177.23</v>
      </c>
      <c r="G82" s="13" t="inlineStr">
        <is>
          <t>USD</t>
        </is>
      </c>
      <c r="H82" s="14" t="n">
        <v>91401.5</v>
      </c>
      <c r="I82" s="12" t="n">
        <v>5.62</v>
      </c>
      <c r="J82" s="12" t="n">
        <v>9.69641</v>
      </c>
      <c r="K82" s="15">
        <f>IF(OR(F82="",I82="",I82&lt;=0),"",F82/I82)</f>
        <v/>
      </c>
      <c r="L82" s="16" t="n">
        <v>28.329603</v>
      </c>
      <c r="M82" s="17">
        <f>IF(OR(L82="",K82="",K82&lt;=0),"",L82/K82)</f>
        <v/>
      </c>
      <c r="N82" s="18" t="n">
        <v>0.81891996</v>
      </c>
      <c r="O82" s="18" t="n">
        <v>0.1786461650131368</v>
      </c>
      <c r="P82" s="18" t="n">
        <v>0.9748490004280096</v>
      </c>
      <c r="Q82" s="19" t="n">
        <v>4</v>
      </c>
      <c r="R82" s="18" t="n"/>
      <c r="S82" s="18" t="n">
        <v>0.6911952360697575</v>
      </c>
      <c r="T82" s="18" t="n">
        <v>1.086153045288912</v>
      </c>
      <c r="U82" s="18" t="n">
        <v>-1.455169544414396</v>
      </c>
      <c r="V82" s="18" t="n">
        <v>0.3924059231082733</v>
      </c>
      <c r="W82" s="12" t="n">
        <v>3.12</v>
      </c>
      <c r="X82" s="17">
        <f>IF(OR(W82="",F82="",F82=0),"",W82/F82)</f>
        <v/>
      </c>
      <c r="Y82" s="20" t="n">
        <v>437.937</v>
      </c>
      <c r="Z82" s="18" t="n">
        <v>0.025</v>
      </c>
      <c r="AA82" s="18" t="n">
        <v>0.1201298675645342</v>
      </c>
      <c r="AB82" s="11">
        <f>IF(AND(N82="",O82=""),"DATI MANCANTI",IF(AND(N(N82)&gt;=PARAMETRI!$B$4,N(O82)&gt;=PARAMETRI!$B$4),"OK","NO"))</f>
        <v/>
      </c>
      <c r="AC82" s="11">
        <f>IF(K82="","N/D",IF(K82&lt;PARAMETRI!$B$6,"OTTIMO",IF(K82&lt;PARAMETRI!$B$5,"OK","NO")))</f>
        <v/>
      </c>
      <c r="AD82" s="11">
        <f>IF(OR(AB82="DATI MANCANTI",AC82="N/D"),"DA COMPLETARE",IF(AND(AB82="OK",AC82="OTTIMO"),"PASSA FORTE",IF(AND(AB82="OK",AC82="OK"),"PASSA","SCARTA")))</f>
        <v/>
      </c>
      <c r="AE82" s="10" t="inlineStr">
        <is>
          <t>2026-08-04</t>
        </is>
      </c>
      <c r="AF82" s="10" t="inlineStr">
        <is>
          <t>yahoo</t>
        </is>
      </c>
      <c r="AG82" s="21" t="inlineStr"/>
    </row>
    <row r="83">
      <c r="A83" s="10" t="n">
        <v>82</v>
      </c>
      <c r="B83" s="10" t="inlineStr">
        <is>
          <t>Boeing</t>
        </is>
      </c>
      <c r="C83" s="10" t="inlineStr">
        <is>
          <t>BA</t>
        </is>
      </c>
      <c r="D83" s="10" t="inlineStr">
        <is>
          <t>Aerospazio</t>
        </is>
      </c>
      <c r="E83" s="11" t="inlineStr">
        <is>
          <t>Industriale</t>
        </is>
      </c>
      <c r="F83" s="12" t="n">
        <v>233.49</v>
      </c>
      <c r="G83" s="13" t="inlineStr">
        <is>
          <t>USD</t>
        </is>
      </c>
      <c r="H83" s="14" t="n">
        <v>184408.7</v>
      </c>
      <c r="I83" s="12" t="n">
        <v>2.79</v>
      </c>
      <c r="J83" s="12" t="n">
        <v>4.20416</v>
      </c>
      <c r="K83" s="15">
        <f>IF(OR(F83="",I83="",I83&lt;=0),"",F83/I83)</f>
        <v/>
      </c>
      <c r="L83" s="16" t="n">
        <v>30.260498</v>
      </c>
      <c r="M83" s="17">
        <f>IF(OR(L83="",K83="",K83&lt;=0),"",L83/K83)</f>
        <v/>
      </c>
      <c r="N83" s="18" t="n">
        <v>1.73537</v>
      </c>
      <c r="O83" s="18" t="n">
        <v>0.4097909790979098</v>
      </c>
      <c r="P83" s="18" t="n"/>
      <c r="Q83" s="19" t="n">
        <v>1</v>
      </c>
      <c r="R83" s="18" t="n"/>
      <c r="S83" s="18" t="n">
        <v>0.4097909790979098</v>
      </c>
      <c r="T83" s="18" t="n"/>
      <c r="U83" s="18" t="n"/>
      <c r="V83" s="18" t="n"/>
      <c r="W83" s="12" t="n"/>
      <c r="X83" s="17">
        <f>IF(OR(W83="",F83="",F83=0),"",W83/F83)</f>
        <v/>
      </c>
      <c r="Y83" s="20" t="n">
        <v>790.875</v>
      </c>
      <c r="Z83" s="18" t="n">
        <v>0.08</v>
      </c>
      <c r="AA83" s="18" t="n">
        <v>0.02335043466013883</v>
      </c>
      <c r="AB83" s="11">
        <f>IF(AND(N83="",O83=""),"DATI MANCANTI",IF(AND(N(N83)&gt;=PARAMETRI!$B$4,N(O83)&gt;=PARAMETRI!$B$4),"OK","NO"))</f>
        <v/>
      </c>
      <c r="AC83" s="11">
        <f>IF(K83="","N/D",IF(K83&lt;PARAMETRI!$B$6,"OTTIMO",IF(K83&lt;PARAMETRI!$B$5,"OK","NO")))</f>
        <v/>
      </c>
      <c r="AD83" s="11">
        <f>IF(OR(AB83="DATI MANCANTI",AC83="N/D"),"DA COMPLETARE",IF(AND(AB83="OK",AC83="OTTIMO"),"PASSA FORTE",IF(AND(AB83="OK",AC83="OK"),"PASSA","SCARTA")))</f>
        <v/>
      </c>
      <c r="AE83" s="10" t="inlineStr">
        <is>
          <t>2026-08-04</t>
        </is>
      </c>
      <c r="AF83" s="10" t="inlineStr">
        <is>
          <t>yahoo</t>
        </is>
      </c>
      <c r="AG83" s="21" t="inlineStr"/>
    </row>
    <row r="84">
      <c r="A84" s="10" t="n">
        <v>83</v>
      </c>
      <c r="B84" s="10" t="inlineStr">
        <is>
          <t>Caterpillar</t>
        </is>
      </c>
      <c r="C84" s="10" t="inlineStr">
        <is>
          <t>CAT</t>
        </is>
      </c>
      <c r="D84" s="10" t="inlineStr">
        <is>
          <t>Macchine movimento terra</t>
        </is>
      </c>
      <c r="E84" s="11" t="inlineStr">
        <is>
          <t>Industriale</t>
        </is>
      </c>
      <c r="F84" s="12" t="n">
        <v>830.03</v>
      </c>
      <c r="G84" s="13" t="inlineStr">
        <is>
          <t>USD</t>
        </is>
      </c>
      <c r="H84" s="14" t="n">
        <v>382305.2</v>
      </c>
      <c r="I84" s="12" t="n">
        <v>20.04</v>
      </c>
      <c r="J84" s="12" t="n">
        <v>30.45142</v>
      </c>
      <c r="K84" s="15">
        <f>IF(OR(F84="",I84="",I84&lt;=0),"",F84/I84)</f>
        <v/>
      </c>
      <c r="L84" s="16" t="n">
        <v>20.489002</v>
      </c>
      <c r="M84" s="17">
        <f>IF(OR(L84="",K84="",K84&lt;=0),"",L84/K84)</f>
        <v/>
      </c>
      <c r="N84" s="18" t="n">
        <v>0.51331</v>
      </c>
      <c r="O84" s="18" t="n">
        <v>0.4807783755577582</v>
      </c>
      <c r="P84" s="18" t="n">
        <v>0.06174601377681064</v>
      </c>
      <c r="Q84" s="19" t="n">
        <v>4</v>
      </c>
      <c r="R84" s="18" t="n"/>
      <c r="S84" s="18" t="n">
        <v>0.4167370297401257</v>
      </c>
      <c r="T84" s="18" t="n">
        <v>0.5536914473346672</v>
      </c>
      <c r="U84" s="18" t="n">
        <v>0.5301631271160357</v>
      </c>
      <c r="V84" s="18" t="n">
        <v>0.4225218980402042</v>
      </c>
      <c r="W84" s="12" t="n">
        <v>6.52</v>
      </c>
      <c r="X84" s="17">
        <f>IF(OR(W84="",F84="",F84=0),"",W84/F84)</f>
        <v/>
      </c>
      <c r="Y84" s="20" t="n">
        <v>230.793</v>
      </c>
      <c r="Z84" s="18" t="n">
        <v>0.222</v>
      </c>
      <c r="AA84" s="18" t="n">
        <v>0.1395197386556984</v>
      </c>
      <c r="AB84" s="11">
        <f>IF(AND(N84="",O84=""),"DATI MANCANTI",IF(AND(N(N84)&gt;=PARAMETRI!$B$4,N(O84)&gt;=PARAMETRI!$B$4),"OK","NO"))</f>
        <v/>
      </c>
      <c r="AC84" s="11">
        <f>IF(K84="","N/D",IF(K84&lt;PARAMETRI!$B$6,"OTTIMO",IF(K84&lt;PARAMETRI!$B$5,"OK","NO")))</f>
        <v/>
      </c>
      <c r="AD84" s="11">
        <f>IF(OR(AB84="DATI MANCANTI",AC84="N/D"),"DA COMPLETARE",IF(AND(AB84="OK",AC84="OTTIMO"),"PASSA FORTE",IF(AND(AB84="OK",AC84="OK"),"PASSA","SCARTA")))</f>
        <v/>
      </c>
      <c r="AE84" s="10" t="inlineStr">
        <is>
          <t>2026-08-04</t>
        </is>
      </c>
      <c r="AF84" s="10" t="inlineStr">
        <is>
          <t>yahoo</t>
        </is>
      </c>
      <c r="AG84" s="21" t="inlineStr"/>
    </row>
    <row r="85">
      <c r="A85" s="10" t="n">
        <v>84</v>
      </c>
      <c r="B85" s="10" t="inlineStr">
        <is>
          <t>CSX Corporation</t>
        </is>
      </c>
      <c r="C85" s="10" t="inlineStr">
        <is>
          <t>CSX</t>
        </is>
      </c>
      <c r="D85" s="10" t="inlineStr">
        <is>
          <t>Ferrovie</t>
        </is>
      </c>
      <c r="E85" s="11" t="inlineStr">
        <is>
          <t>Industriale</t>
        </is>
      </c>
      <c r="F85" s="12" t="n">
        <v>49.83</v>
      </c>
      <c r="G85" s="13" t="inlineStr">
        <is>
          <t>USD</t>
        </is>
      </c>
      <c r="H85" s="14" t="n">
        <v>92308.8</v>
      </c>
      <c r="I85" s="12" t="n">
        <v>1.72</v>
      </c>
      <c r="J85" s="12" t="n">
        <v>2.26751</v>
      </c>
      <c r="K85" s="15">
        <f>IF(OR(F85="",I85="",I85&lt;=0),"",F85/I85)</f>
        <v/>
      </c>
      <c r="L85" s="16" t="n">
        <v>6.554854</v>
      </c>
      <c r="M85" s="17">
        <f>IF(OR(L85="",K85="",K85&lt;=0),"",L85/K85)</f>
        <v/>
      </c>
      <c r="N85" s="18" t="n">
        <v>0.24357</v>
      </c>
      <c r="O85" s="18" t="n">
        <v>0.2823661415471586</v>
      </c>
      <c r="P85" s="18" t="n">
        <v>0.04013263354129347</v>
      </c>
      <c r="Q85" s="19" t="n">
        <v>4</v>
      </c>
      <c r="R85" s="18" t="n"/>
      <c r="S85" s="18" t="n">
        <v>0.219612314709236</v>
      </c>
      <c r="T85" s="18" t="n">
        <v>0.2775555911054231</v>
      </c>
      <c r="U85" s="18" t="n">
        <v>0.3061769616026711</v>
      </c>
      <c r="V85" s="18" t="n">
        <v>0.326119698771304</v>
      </c>
      <c r="W85" s="12" t="n">
        <v>0.5600000000000001</v>
      </c>
      <c r="X85" s="17">
        <f>IF(OR(W85="",F85="",F85=0),"",W85/F85)</f>
        <v/>
      </c>
      <c r="Y85" s="20" t="n">
        <v>138.068</v>
      </c>
      <c r="Z85" s="18" t="n">
        <v>0.101</v>
      </c>
      <c r="AA85" s="18" t="n">
        <v>0.2287113301163781</v>
      </c>
      <c r="AB85" s="11">
        <f>IF(AND(N85="",O85=""),"DATI MANCANTI",IF(AND(N(N85)&gt;=PARAMETRI!$B$4,N(O85)&gt;=PARAMETRI!$B$4),"OK","NO"))</f>
        <v/>
      </c>
      <c r="AC85" s="11">
        <f>IF(K85="","N/D",IF(K85&lt;PARAMETRI!$B$6,"OTTIMO",IF(K85&lt;PARAMETRI!$B$5,"OK","NO")))</f>
        <v/>
      </c>
      <c r="AD85" s="11">
        <f>IF(OR(AB85="DATI MANCANTI",AC85="N/D"),"DA COMPLETARE",IF(AND(AB85="OK",AC85="OTTIMO"),"PASSA FORTE",IF(AND(AB85="OK",AC85="OK"),"PASSA","SCARTA")))</f>
        <v/>
      </c>
      <c r="AE85" s="10" t="inlineStr">
        <is>
          <t>2026-08-04</t>
        </is>
      </c>
      <c r="AF85" s="10" t="inlineStr">
        <is>
          <t>yahoo</t>
        </is>
      </c>
      <c r="AG85" s="21" t="inlineStr"/>
    </row>
    <row r="86">
      <c r="A86" s="10" t="n">
        <v>85</v>
      </c>
      <c r="B86" s="10" t="inlineStr">
        <is>
          <t>Cummins</t>
        </is>
      </c>
      <c r="C86" s="10" t="inlineStr">
        <is>
          <t>CMI</t>
        </is>
      </c>
      <c r="D86" s="10" t="inlineStr">
        <is>
          <t>Motori</t>
        </is>
      </c>
      <c r="E86" s="11" t="inlineStr">
        <is>
          <t>Industriale</t>
        </is>
      </c>
      <c r="F86" s="12" t="n">
        <v>648.85</v>
      </c>
      <c r="G86" s="13" t="inlineStr">
        <is>
          <t>USD</t>
        </is>
      </c>
      <c r="H86" s="14" t="n">
        <v>89534.2</v>
      </c>
      <c r="I86" s="12" t="n">
        <v>19.28</v>
      </c>
      <c r="J86" s="12" t="n">
        <v>34.12466</v>
      </c>
      <c r="K86" s="15">
        <f>IF(OR(F86="",I86="",I86&lt;=0),"",F86/I86)</f>
        <v/>
      </c>
      <c r="L86" s="16" t="n">
        <v>7.249153</v>
      </c>
      <c r="M86" s="17">
        <f>IF(OR(L86="",K86="",K86&lt;=0),"",L86/K86)</f>
        <v/>
      </c>
      <c r="N86" s="18" t="n">
        <v>0.21993999</v>
      </c>
      <c r="O86" s="18" t="n">
        <v>0.2342815370053821</v>
      </c>
      <c r="P86" s="18" t="n">
        <v>0.106522642649389</v>
      </c>
      <c r="Q86" s="19" t="n">
        <v>4</v>
      </c>
      <c r="R86" s="18" t="n"/>
      <c r="S86" s="18" t="n">
        <v>0.2302210705320269</v>
      </c>
      <c r="T86" s="18" t="n">
        <v>0.3841884918703145</v>
      </c>
      <c r="U86" s="18" t="n">
        <v>0.08305084745762711</v>
      </c>
      <c r="V86" s="18" t="n">
        <v>0.2396657381615599</v>
      </c>
      <c r="W86" s="12" t="n">
        <v>8.800000000000001</v>
      </c>
      <c r="X86" s="17">
        <f>IF(OR(W86="",F86="",F86=0),"",W86/F86)</f>
        <v/>
      </c>
      <c r="Y86" s="20" t="n">
        <v>61.621</v>
      </c>
      <c r="Z86" s="18" t="n">
        <v>0.027</v>
      </c>
      <c r="AA86" s="18" t="n">
        <v>0.07938817748737749</v>
      </c>
      <c r="AB86" s="11">
        <f>IF(AND(N86="",O86=""),"DATI MANCANTI",IF(AND(N(N86)&gt;=PARAMETRI!$B$4,N(O86)&gt;=PARAMETRI!$B$4),"OK","NO"))</f>
        <v/>
      </c>
      <c r="AC86" s="11">
        <f>IF(K86="","N/D",IF(K86&lt;PARAMETRI!$B$6,"OTTIMO",IF(K86&lt;PARAMETRI!$B$5,"OK","NO")))</f>
        <v/>
      </c>
      <c r="AD86" s="11">
        <f>IF(OR(AB86="DATI MANCANTI",AC86="N/D"),"DA COMPLETARE",IF(AND(AB86="OK",AC86="OTTIMO"),"PASSA FORTE",IF(AND(AB86="OK",AC86="OK"),"PASSA","SCARTA")))</f>
        <v/>
      </c>
      <c r="AE86" s="10" t="inlineStr">
        <is>
          <t>2026-08-04</t>
        </is>
      </c>
      <c r="AF86" s="10" t="inlineStr">
        <is>
          <t>yahoo</t>
        </is>
      </c>
      <c r="AG86" s="21" t="inlineStr"/>
    </row>
    <row r="87">
      <c r="A87" s="10" t="n">
        <v>86</v>
      </c>
      <c r="B87" s="10" t="inlineStr">
        <is>
          <t>Deere &amp; Company</t>
        </is>
      </c>
      <c r="C87" s="10" t="inlineStr">
        <is>
          <t>DE</t>
        </is>
      </c>
      <c r="D87" s="10" t="inlineStr">
        <is>
          <t>Macchine agricole</t>
        </is>
      </c>
      <c r="E87" s="11" t="inlineStr">
        <is>
          <t>Industriale</t>
        </is>
      </c>
      <c r="F87" s="12" t="n">
        <v>605.0599999999999</v>
      </c>
      <c r="G87" s="13" t="inlineStr">
        <is>
          <t>USD</t>
        </is>
      </c>
      <c r="H87" s="14" t="n">
        <v>163431.1</v>
      </c>
      <c r="I87" s="12" t="n">
        <v>17.66</v>
      </c>
      <c r="J87" s="12" t="n">
        <v>22.73272</v>
      </c>
      <c r="K87" s="15">
        <f>IF(OR(F87="",I87="",I87&lt;=0),"",F87/I87)</f>
        <v/>
      </c>
      <c r="L87" s="16" t="n">
        <v>5.959597</v>
      </c>
      <c r="M87" s="17">
        <f>IF(OR(L87="",K87="",K87&lt;=0),"",L87/K87)</f>
        <v/>
      </c>
      <c r="N87" s="18" t="n">
        <v>0.18349001</v>
      </c>
      <c r="O87" s="18" t="n">
        <v>0.3308055602273648</v>
      </c>
      <c r="P87" s="18" t="n">
        <v>0.09758236298151571</v>
      </c>
      <c r="Q87" s="19" t="n">
        <v>4</v>
      </c>
      <c r="R87" s="18" t="n"/>
      <c r="S87" s="18" t="n">
        <v>0.193718689788054</v>
      </c>
      <c r="T87" s="18" t="n">
        <v>0.3109125941495884</v>
      </c>
      <c r="U87" s="18" t="n">
        <v>0.4666513656185449</v>
      </c>
      <c r="V87" s="18" t="n">
        <v>0.3519395913532721</v>
      </c>
      <c r="W87" s="12" t="n">
        <v>6.48</v>
      </c>
      <c r="X87" s="17">
        <f>IF(OR(W87="",F87="",F87=0),"",W87/F87)</f>
        <v/>
      </c>
      <c r="Y87" s="20" t="n">
        <v>376.022</v>
      </c>
      <c r="Z87" s="18" t="n">
        <v>-0.111</v>
      </c>
      <c r="AA87" s="18" t="n">
        <v>0.1070860867345796</v>
      </c>
      <c r="AB87" s="11">
        <f>IF(AND(N87="",O87=""),"DATI MANCANTI",IF(AND(N(N87)&gt;=PARAMETRI!$B$4,N(O87)&gt;=PARAMETRI!$B$4),"OK","NO"))</f>
        <v/>
      </c>
      <c r="AC87" s="11">
        <f>IF(K87="","N/D",IF(K87&lt;PARAMETRI!$B$6,"OTTIMO",IF(K87&lt;PARAMETRI!$B$5,"OK","NO")))</f>
        <v/>
      </c>
      <c r="AD87" s="11">
        <f>IF(OR(AB87="DATI MANCANTI",AC87="N/D"),"DA COMPLETARE",IF(AND(AB87="OK",AC87="OTTIMO"),"PASSA FORTE",IF(AND(AB87="OK",AC87="OK"),"PASSA","SCARTA")))</f>
        <v/>
      </c>
      <c r="AE87" s="10" t="inlineStr">
        <is>
          <t>2026-08-04</t>
        </is>
      </c>
      <c r="AF87" s="10" t="inlineStr">
        <is>
          <t>yahoo</t>
        </is>
      </c>
      <c r="AG87" s="21" t="inlineStr"/>
    </row>
    <row r="88">
      <c r="A88" s="10" t="n">
        <v>87</v>
      </c>
      <c r="B88" s="10" t="inlineStr">
        <is>
          <t>Eaton</t>
        </is>
      </c>
      <c r="C88" s="10" t="inlineStr">
        <is>
          <t>ETN</t>
        </is>
      </c>
      <c r="D88" s="10" t="inlineStr">
        <is>
          <t>Elettrificazione</t>
        </is>
      </c>
      <c r="E88" s="11" t="inlineStr">
        <is>
          <t>Industriale</t>
        </is>
      </c>
      <c r="F88" s="12" t="n">
        <v>438.23</v>
      </c>
      <c r="G88" s="13" t="inlineStr">
        <is>
          <t>USD</t>
        </is>
      </c>
      <c r="H88" s="14" t="n">
        <v>170164.7</v>
      </c>
      <c r="I88" s="12" t="n">
        <v>10.21</v>
      </c>
      <c r="J88" s="12" t="n">
        <v>15.95409</v>
      </c>
      <c r="K88" s="15">
        <f>IF(OR(F88="",I88="",I88&lt;=0),"",F88/I88)</f>
        <v/>
      </c>
      <c r="L88" s="16" t="n">
        <v>8.628613</v>
      </c>
      <c r="M88" s="17">
        <f>IF(OR(L88="",K88="",K88&lt;=0),"",L88/K88)</f>
        <v/>
      </c>
      <c r="N88" s="18" t="n">
        <v>0.19684</v>
      </c>
      <c r="O88" s="18" t="n">
        <v>0.182290452743209</v>
      </c>
      <c r="P88" s="18" t="n">
        <v>0.02701399831554398</v>
      </c>
      <c r="Q88" s="19" t="n">
        <v>4</v>
      </c>
      <c r="R88" s="18" t="n"/>
      <c r="S88" s="18" t="n">
        <v>0.2103989703989704</v>
      </c>
      <c r="T88" s="18" t="n">
        <v>0.2052141929900476</v>
      </c>
      <c r="U88" s="18" t="n">
        <v>0.1690481193528052</v>
      </c>
      <c r="V88" s="18" t="n">
        <v>0.144500528231013</v>
      </c>
      <c r="W88" s="12" t="n">
        <v>4.4</v>
      </c>
      <c r="X88" s="17">
        <f>IF(OR(W88="",F88="",F88=0),"",W88/F88)</f>
        <v/>
      </c>
      <c r="Y88" s="20" t="n">
        <v>105.059</v>
      </c>
      <c r="Z88" s="18" t="n">
        <v>0.214</v>
      </c>
      <c r="AA88" s="18" t="n">
        <v>0.1395001433984261</v>
      </c>
      <c r="AB88" s="11">
        <f>IF(AND(N88="",O88=""),"DATI MANCANTI",IF(AND(N(N88)&gt;=PARAMETRI!$B$4,N(O88)&gt;=PARAMETRI!$B$4),"OK","NO"))</f>
        <v/>
      </c>
      <c r="AC88" s="11">
        <f>IF(K88="","N/D",IF(K88&lt;PARAMETRI!$B$6,"OTTIMO",IF(K88&lt;PARAMETRI!$B$5,"OK","NO")))</f>
        <v/>
      </c>
      <c r="AD88" s="11">
        <f>IF(OR(AB88="DATI MANCANTI",AC88="N/D"),"DA COMPLETARE",IF(AND(AB88="OK",AC88="OTTIMO"),"PASSA FORTE",IF(AND(AB88="OK",AC88="OK"),"PASSA","SCARTA")))</f>
        <v/>
      </c>
      <c r="AE88" s="10" t="inlineStr">
        <is>
          <t>2026-08-04</t>
        </is>
      </c>
      <c r="AF88" s="10" t="inlineStr">
        <is>
          <t>yahoo</t>
        </is>
      </c>
      <c r="AG88" s="21" t="inlineStr"/>
    </row>
    <row r="89">
      <c r="A89" s="10" t="n">
        <v>88</v>
      </c>
      <c r="B89" s="10" t="inlineStr">
        <is>
          <t>Emerson Electric</t>
        </is>
      </c>
      <c r="C89" s="10" t="inlineStr">
        <is>
          <t>EMR</t>
        </is>
      </c>
      <c r="D89" s="10" t="inlineStr">
        <is>
          <t>Automazione</t>
        </is>
      </c>
      <c r="E89" s="11" t="inlineStr">
        <is>
          <t>Industriale</t>
        </is>
      </c>
      <c r="F89" s="12" t="n">
        <v>154.85</v>
      </c>
      <c r="G89" s="13" t="inlineStr">
        <is>
          <t>USD</t>
        </is>
      </c>
      <c r="H89" s="14" t="n">
        <v>86731.5</v>
      </c>
      <c r="I89" s="12" t="n">
        <v>4.31</v>
      </c>
      <c r="J89" s="12" t="n">
        <v>7.16841</v>
      </c>
      <c r="K89" s="15">
        <f>IF(OR(F89="",I89="",I89&lt;=0),"",F89/I89)</f>
        <v/>
      </c>
      <c r="L89" s="16" t="n">
        <v>4.271842</v>
      </c>
      <c r="M89" s="17">
        <f>IF(OR(L89="",K89="",K89&lt;=0),"",L89/K89)</f>
        <v/>
      </c>
      <c r="N89" s="18" t="n">
        <v>0.12328</v>
      </c>
      <c r="O89" s="18" t="n">
        <v>0.2886765522946696</v>
      </c>
      <c r="P89" s="18" t="n">
        <v>0.2197445121017647</v>
      </c>
      <c r="Q89" s="19" t="n">
        <v>4</v>
      </c>
      <c r="R89" s="18" t="n"/>
      <c r="S89" s="18" t="n">
        <v>0.1130559116457943</v>
      </c>
      <c r="T89" s="18" t="n">
        <v>0.09095951192457016</v>
      </c>
      <c r="U89" s="18" t="n">
        <v>0.6389385663879357</v>
      </c>
      <c r="V89" s="18" t="n">
        <v>0.3117522192203782</v>
      </c>
      <c r="W89" s="12" t="n">
        <v>2.22</v>
      </c>
      <c r="X89" s="17">
        <f>IF(OR(W89="",F89="",F89=0),"",W89/F89)</f>
        <v/>
      </c>
      <c r="Y89" s="20" t="n">
        <v>69.182</v>
      </c>
      <c r="Z89" s="18" t="n">
        <v>0.029</v>
      </c>
      <c r="AA89" s="18" t="n">
        <v>0.135324163410302</v>
      </c>
      <c r="AB89" s="11">
        <f>IF(AND(N89="",O89=""),"DATI MANCANTI",IF(AND(N(N89)&gt;=PARAMETRI!$B$4,N(O89)&gt;=PARAMETRI!$B$4),"OK","NO"))</f>
        <v/>
      </c>
      <c r="AC89" s="11">
        <f>IF(K89="","N/D",IF(K89&lt;PARAMETRI!$B$6,"OTTIMO",IF(K89&lt;PARAMETRI!$B$5,"OK","NO")))</f>
        <v/>
      </c>
      <c r="AD89" s="11">
        <f>IF(OR(AB89="DATI MANCANTI",AC89="N/D"),"DA COMPLETARE",IF(AND(AB89="OK",AC89="OTTIMO"),"PASSA FORTE",IF(AND(AB89="OK",AC89="OK"),"PASSA","SCARTA")))</f>
        <v/>
      </c>
      <c r="AE89" s="10" t="inlineStr">
        <is>
          <t>2026-08-04</t>
        </is>
      </c>
      <c r="AF89" s="10" t="inlineStr">
        <is>
          <t>yahoo</t>
        </is>
      </c>
      <c r="AG89" s="21" t="inlineStr"/>
    </row>
    <row r="90">
      <c r="A90" s="10" t="n">
        <v>89</v>
      </c>
      <c r="B90" s="10" t="inlineStr">
        <is>
          <t>FedEx</t>
        </is>
      </c>
      <c r="C90" s="10" t="inlineStr">
        <is>
          <t>FDX</t>
        </is>
      </c>
      <c r="D90" s="10" t="inlineStr">
        <is>
          <t>Logistica</t>
        </is>
      </c>
      <c r="E90" s="11" t="inlineStr">
        <is>
          <t>Industriale</t>
        </is>
      </c>
      <c r="F90" s="12" t="n">
        <v>309.24</v>
      </c>
      <c r="G90" s="13" t="inlineStr">
        <is>
          <t>USD</t>
        </is>
      </c>
      <c r="H90" s="14" t="n">
        <v>73160.39999999999</v>
      </c>
      <c r="I90" s="12" t="n">
        <v>18.54</v>
      </c>
      <c r="J90" s="12" t="n">
        <v>20.49786</v>
      </c>
      <c r="K90" s="15">
        <f>IF(OR(F90="",I90="",I90&lt;=0),"",F90/I90)</f>
        <v/>
      </c>
      <c r="L90" s="16" t="n">
        <v>2.345161</v>
      </c>
      <c r="M90" s="17">
        <f>IF(OR(L90="",K90="",K90&lt;=0),"",L90/K90)</f>
        <v/>
      </c>
      <c r="N90" s="18" t="n">
        <v>0.14846</v>
      </c>
      <c r="O90" s="18" t="n">
        <v>0.1487776787174603</v>
      </c>
      <c r="P90" s="18" t="n">
        <v>0.006420595404348427</v>
      </c>
      <c r="Q90" s="19" t="n">
        <v>4</v>
      </c>
      <c r="R90" s="18" t="n">
        <v>0.1400764685436218</v>
      </c>
      <c r="S90" s="18" t="n">
        <v>0.1457576405214789</v>
      </c>
      <c r="T90" s="18" t="n">
        <v>0.1570226959611341</v>
      </c>
      <c r="U90" s="18" t="n">
        <v>0.1522539098436063</v>
      </c>
      <c r="V90" s="18" t="n"/>
      <c r="W90" s="12" t="n">
        <v>4.88</v>
      </c>
      <c r="X90" s="17">
        <f>IF(OR(W90="",F90="",F90=0),"",W90/F90)</f>
        <v/>
      </c>
      <c r="Y90" s="20" t="n">
        <v>135.697</v>
      </c>
      <c r="Z90" s="18" t="n">
        <v>0.125</v>
      </c>
      <c r="AA90" s="18" t="n">
        <v>0.0467271945945946</v>
      </c>
      <c r="AB90" s="11">
        <f>IF(AND(N90="",O90=""),"DATI MANCANTI",IF(AND(N(N90)&gt;=PARAMETRI!$B$4,N(O90)&gt;=PARAMETRI!$B$4),"OK","NO"))</f>
        <v/>
      </c>
      <c r="AC90" s="11">
        <f>IF(K90="","N/D",IF(K90&lt;PARAMETRI!$B$6,"OTTIMO",IF(K90&lt;PARAMETRI!$B$5,"OK","NO")))</f>
        <v/>
      </c>
      <c r="AD90" s="11">
        <f>IF(OR(AB90="DATI MANCANTI",AC90="N/D"),"DA COMPLETARE",IF(AND(AB90="OK",AC90="OTTIMO"),"PASSA FORTE",IF(AND(AB90="OK",AC90="OK"),"PASSA","SCARTA")))</f>
        <v/>
      </c>
      <c r="AE90" s="10" t="inlineStr">
        <is>
          <t>2026-08-04</t>
        </is>
      </c>
      <c r="AF90" s="10" t="inlineStr">
        <is>
          <t>yahoo</t>
        </is>
      </c>
      <c r="AG90" s="21" t="inlineStr"/>
    </row>
    <row r="91">
      <c r="A91" s="10" t="n">
        <v>90</v>
      </c>
      <c r="B91" s="10" t="inlineStr">
        <is>
          <t>GE Aerospace</t>
        </is>
      </c>
      <c r="C91" s="10" t="inlineStr">
        <is>
          <t>GE</t>
        </is>
      </c>
      <c r="D91" s="10" t="inlineStr">
        <is>
          <t>Aerospazio</t>
        </is>
      </c>
      <c r="E91" s="11" t="inlineStr">
        <is>
          <t>Industriale</t>
        </is>
      </c>
      <c r="F91" s="12" t="n">
        <v>368.93</v>
      </c>
      <c r="G91" s="13" t="inlineStr">
        <is>
          <t>USD</t>
        </is>
      </c>
      <c r="H91" s="14" t="n">
        <v>382787.9</v>
      </c>
      <c r="I91" s="12" t="n">
        <v>8.5</v>
      </c>
      <c r="J91" s="12" t="n">
        <v>9.07511</v>
      </c>
      <c r="K91" s="15">
        <f>IF(OR(F91="",I91="",I91&lt;=0),"",F91/I91)</f>
        <v/>
      </c>
      <c r="L91" s="16" t="n">
        <v>21.700489</v>
      </c>
      <c r="M91" s="17">
        <f>IF(OR(L91="",K91="",K91&lt;=0),"",L91/K91)</f>
        <v/>
      </c>
      <c r="N91" s="18" t="n">
        <v>0.48231998</v>
      </c>
      <c r="O91" s="18" t="n">
        <v>0.290242814454953</v>
      </c>
      <c r="P91" s="18" t="n">
        <v>0.1695110836679429</v>
      </c>
      <c r="Q91" s="19" t="n">
        <v>4</v>
      </c>
      <c r="R91" s="18" t="n"/>
      <c r="S91" s="18" t="n">
        <v>0.4660277346468919</v>
      </c>
      <c r="T91" s="18" t="n">
        <v>0.3389515044979837</v>
      </c>
      <c r="U91" s="18" t="n">
        <v>0.3460205087034267</v>
      </c>
      <c r="V91" s="18" t="n">
        <v>0.009971509971509971</v>
      </c>
      <c r="W91" s="12" t="n">
        <v>1.88</v>
      </c>
      <c r="X91" s="17">
        <f>IF(OR(W91="",F91="",F91=0),"",W91/F91)</f>
        <v/>
      </c>
      <c r="Y91" s="20" t="n">
        <v>113.225</v>
      </c>
      <c r="Z91" s="18" t="n">
        <v>0.211</v>
      </c>
      <c r="AA91" s="18" t="n">
        <v>0.1954857647802857</v>
      </c>
      <c r="AB91" s="11">
        <f>IF(AND(N91="",O91=""),"DATI MANCANTI",IF(AND(N(N91)&gt;=PARAMETRI!$B$4,N(O91)&gt;=PARAMETRI!$B$4),"OK","NO"))</f>
        <v/>
      </c>
      <c r="AC91" s="11">
        <f>IF(K91="","N/D",IF(K91&lt;PARAMETRI!$B$6,"OTTIMO",IF(K91&lt;PARAMETRI!$B$5,"OK","NO")))</f>
        <v/>
      </c>
      <c r="AD91" s="11">
        <f>IF(OR(AB91="DATI MANCANTI",AC91="N/D"),"DA COMPLETARE",IF(AND(AB91="OK",AC91="OTTIMO"),"PASSA FORTE",IF(AND(AB91="OK",AC91="OK"),"PASSA","SCARTA")))</f>
        <v/>
      </c>
      <c r="AE91" s="10" t="inlineStr">
        <is>
          <t>2026-08-04</t>
        </is>
      </c>
      <c r="AF91" s="10" t="inlineStr">
        <is>
          <t>yahoo</t>
        </is>
      </c>
      <c r="AG91" s="21" t="inlineStr"/>
    </row>
    <row r="92">
      <c r="A92" s="10" t="n">
        <v>91</v>
      </c>
      <c r="B92" s="10" t="inlineStr">
        <is>
          <t>GE Vernova</t>
        </is>
      </c>
      <c r="C92" s="10" t="inlineStr">
        <is>
          <t>GEV</t>
        </is>
      </c>
      <c r="D92" s="10" t="inlineStr">
        <is>
          <t>Elettrificazione / Energia</t>
        </is>
      </c>
      <c r="E92" s="11" t="inlineStr">
        <is>
          <t>Industriale</t>
        </is>
      </c>
      <c r="F92" s="12" t="n">
        <v>1006.76</v>
      </c>
      <c r="G92" s="13" t="inlineStr">
        <is>
          <t>USD</t>
        </is>
      </c>
      <c r="H92" s="14" t="n">
        <v>268134</v>
      </c>
      <c r="I92" s="12" t="n">
        <v>34.86</v>
      </c>
      <c r="J92" s="12" t="n">
        <v>24.88533</v>
      </c>
      <c r="K92" s="15">
        <f>IF(OR(F92="",I92="",I92&lt;=0),"",F92/I92)</f>
        <v/>
      </c>
      <c r="L92" s="16" t="n">
        <v>22.424768</v>
      </c>
      <c r="M92" s="17">
        <f>IF(OR(L92="",K92="",K92&lt;=0),"",L92/K92)</f>
        <v/>
      </c>
      <c r="N92" s="18" t="n">
        <v>0.82577</v>
      </c>
      <c r="O92" s="18" t="n">
        <v>0.07088699300491282</v>
      </c>
      <c r="P92" s="18" t="n">
        <v>0.2582280581877227</v>
      </c>
      <c r="Q92" s="19" t="n">
        <v>4</v>
      </c>
      <c r="R92" s="18" t="n"/>
      <c r="S92" s="18" t="n">
        <v>0.4369296833064949</v>
      </c>
      <c r="T92" s="18" t="n">
        <v>0.1625811858369998</v>
      </c>
      <c r="U92" s="18" t="n">
        <v>-0.05906148867313916</v>
      </c>
      <c r="V92" s="18" t="n">
        <v>-0.2569014084507042</v>
      </c>
      <c r="W92" s="12" t="n">
        <v>2</v>
      </c>
      <c r="X92" s="17">
        <f>IF(OR(W92="",F92="",F92=0),"",W92/F92)</f>
        <v/>
      </c>
      <c r="Y92" s="20" t="n">
        <v>28.364</v>
      </c>
      <c r="Z92" s="18" t="n">
        <v>0.219</v>
      </c>
      <c r="AA92" s="18" t="n">
        <v>0.250315223704949</v>
      </c>
      <c r="AB92" s="11">
        <f>IF(AND(N92="",O92=""),"DATI MANCANTI",IF(AND(N(N92)&gt;=PARAMETRI!$B$4,N(O92)&gt;=PARAMETRI!$B$4),"OK","NO"))</f>
        <v/>
      </c>
      <c r="AC92" s="11">
        <f>IF(K92="","N/D",IF(K92&lt;PARAMETRI!$B$6,"OTTIMO",IF(K92&lt;PARAMETRI!$B$5,"OK","NO")))</f>
        <v/>
      </c>
      <c r="AD92" s="11">
        <f>IF(OR(AB92="DATI MANCANTI",AC92="N/D"),"DA COMPLETARE",IF(AND(AB92="OK",AC92="OTTIMO"),"PASSA FORTE",IF(AND(AB92="OK",AC92="OK"),"PASSA","SCARTA")))</f>
        <v/>
      </c>
      <c r="AE92" s="10" t="inlineStr">
        <is>
          <t>2026-08-04</t>
        </is>
      </c>
      <c r="AF92" s="10" t="inlineStr">
        <is>
          <t>yahoo</t>
        </is>
      </c>
      <c r="AG92" s="21" t="inlineStr"/>
    </row>
    <row r="93">
      <c r="A93" s="10" t="n">
        <v>92</v>
      </c>
      <c r="B93" s="10" t="inlineStr">
        <is>
          <t>General Dynamics</t>
        </is>
      </c>
      <c r="C93" s="10" t="inlineStr">
        <is>
          <t>GD</t>
        </is>
      </c>
      <c r="D93" s="10" t="inlineStr">
        <is>
          <t>Difesa</t>
        </is>
      </c>
      <c r="E93" s="11" t="inlineStr">
        <is>
          <t>Industriale</t>
        </is>
      </c>
      <c r="F93" s="12" t="n">
        <v>382.43</v>
      </c>
      <c r="G93" s="13" t="inlineStr">
        <is>
          <t>USD</t>
        </is>
      </c>
      <c r="H93" s="14" t="n">
        <v>103469.2</v>
      </c>
      <c r="I93" s="12" t="n">
        <v>16.41</v>
      </c>
      <c r="J93" s="12" t="n">
        <v>18.49277</v>
      </c>
      <c r="K93" s="15">
        <f>IF(OR(F93="",I93="",I93&lt;=0),"",F93/I93)</f>
        <v/>
      </c>
      <c r="L93" s="16" t="n">
        <v>3.8512585</v>
      </c>
      <c r="M93" s="17">
        <f>IF(OR(L93="",K93="",K93&lt;=0),"",L93/K93)</f>
        <v/>
      </c>
      <c r="N93" s="18" t="n">
        <v>0.17803</v>
      </c>
      <c r="O93" s="18" t="n">
        <v>0.1684858520025267</v>
      </c>
      <c r="P93" s="18" t="n">
        <v>0.009867017273558338</v>
      </c>
      <c r="Q93" s="19" t="n">
        <v>4</v>
      </c>
      <c r="R93" s="18" t="n"/>
      <c r="S93" s="18" t="n">
        <v>0.1643119194442276</v>
      </c>
      <c r="T93" s="18" t="n">
        <v>0.1714182114852921</v>
      </c>
      <c r="U93" s="18" t="n">
        <v>0.1556411099112635</v>
      </c>
      <c r="V93" s="18" t="n">
        <v>0.1825721671693236</v>
      </c>
      <c r="W93" s="12" t="n">
        <v>6.36</v>
      </c>
      <c r="X93" s="17">
        <f>IF(OR(W93="",F93="",F93=0),"",W93/F93)</f>
        <v/>
      </c>
      <c r="Y93" s="20" t="n">
        <v>35.335</v>
      </c>
      <c r="Z93" s="18" t="n">
        <v>0.081</v>
      </c>
      <c r="AA93" s="18" t="n">
        <v>0.08538534850618458</v>
      </c>
      <c r="AB93" s="11">
        <f>IF(AND(N93="",O93=""),"DATI MANCANTI",IF(AND(N(N93)&gt;=PARAMETRI!$B$4,N(O93)&gt;=PARAMETRI!$B$4),"OK","NO"))</f>
        <v/>
      </c>
      <c r="AC93" s="11">
        <f>IF(K93="","N/D",IF(K93&lt;PARAMETRI!$B$6,"OTTIMO",IF(K93&lt;PARAMETRI!$B$5,"OK","NO")))</f>
        <v/>
      </c>
      <c r="AD93" s="11">
        <f>IF(OR(AB93="DATI MANCANTI",AC93="N/D"),"DA COMPLETARE",IF(AND(AB93="OK",AC93="OTTIMO"),"PASSA FORTE",IF(AND(AB93="OK",AC93="OK"),"PASSA","SCARTA")))</f>
        <v/>
      </c>
      <c r="AE93" s="10" t="inlineStr">
        <is>
          <t>2026-08-04</t>
        </is>
      </c>
      <c r="AF93" s="10" t="inlineStr">
        <is>
          <t>yahoo</t>
        </is>
      </c>
      <c r="AG93" s="21" t="inlineStr"/>
    </row>
    <row r="94">
      <c r="A94" s="10" t="n">
        <v>93</v>
      </c>
      <c r="B94" s="10" t="inlineStr">
        <is>
          <t>Honeywell</t>
        </is>
      </c>
      <c r="C94" s="10" t="inlineStr">
        <is>
          <t>HON</t>
        </is>
      </c>
      <c r="D94" s="10" t="inlineStr">
        <is>
          <t>Conglomerata industriale</t>
        </is>
      </c>
      <c r="E94" s="11" t="inlineStr">
        <is>
          <t>Industriale</t>
        </is>
      </c>
      <c r="F94" s="12" t="n">
        <v>246.77</v>
      </c>
      <c r="G94" s="13" t="inlineStr">
        <is>
          <t>USD</t>
        </is>
      </c>
      <c r="H94" s="14" t="n">
        <v>78211.3</v>
      </c>
      <c r="I94" s="12" t="n">
        <v>26.01</v>
      </c>
      <c r="J94" s="12" t="n">
        <v>10.01358</v>
      </c>
      <c r="K94" s="15">
        <f>IF(OR(F94="",I94="",I94&lt;=0),"",F94/I94)</f>
        <v/>
      </c>
      <c r="L94" s="16" t="n">
        <v>4.2192283</v>
      </c>
      <c r="M94" s="17">
        <f>IF(OR(L94="",K94="",K94&lt;=0),"",L94/K94)</f>
        <v/>
      </c>
      <c r="N94" s="18" t="n">
        <v>0.46577</v>
      </c>
      <c r="O94" s="18" t="n">
        <v>0.3251951529160505</v>
      </c>
      <c r="P94" s="18" t="n">
        <v>0.02423002500425542</v>
      </c>
      <c r="Q94" s="19" t="n">
        <v>4</v>
      </c>
      <c r="R94" s="18" t="n"/>
      <c r="S94" s="18" t="n">
        <v>0.3401179516685846</v>
      </c>
      <c r="T94" s="18" t="n">
        <v>0.3064074332670927</v>
      </c>
      <c r="U94" s="18" t="n">
        <v>0.3568365287588295</v>
      </c>
      <c r="V94" s="18" t="n">
        <v>0.2974186979696952</v>
      </c>
      <c r="W94" s="12" t="n">
        <v>2.8</v>
      </c>
      <c r="X94" s="17">
        <f>IF(OR(W94="",F94="",F94=0),"",W94/F94)</f>
        <v/>
      </c>
      <c r="Y94" s="20" t="n">
        <v>185.369</v>
      </c>
      <c r="Z94" s="18" t="n">
        <v>0.043</v>
      </c>
      <c r="AA94" s="18" t="n">
        <v>0.2207681179424176</v>
      </c>
      <c r="AB94" s="11">
        <f>IF(AND(N94="",O94=""),"DATI MANCANTI",IF(AND(N(N94)&gt;=PARAMETRI!$B$4,N(O94)&gt;=PARAMETRI!$B$4),"OK","NO"))</f>
        <v/>
      </c>
      <c r="AC94" s="11">
        <f>IF(K94="","N/D",IF(K94&lt;PARAMETRI!$B$6,"OTTIMO",IF(K94&lt;PARAMETRI!$B$5,"OK","NO")))</f>
        <v/>
      </c>
      <c r="AD94" s="11">
        <f>IF(OR(AB94="DATI MANCANTI",AC94="N/D"),"DA COMPLETARE",IF(AND(AB94="OK",AC94="OTTIMO"),"PASSA FORTE",IF(AND(AB94="OK",AC94="OK"),"PASSA","SCARTA")))</f>
        <v/>
      </c>
      <c r="AE94" s="10" t="inlineStr">
        <is>
          <t>2026-08-04</t>
        </is>
      </c>
      <c r="AF94" s="10" t="inlineStr">
        <is>
          <t>yahoo</t>
        </is>
      </c>
      <c r="AG94" s="21" t="inlineStr"/>
    </row>
    <row r="95">
      <c r="A95" s="10" t="n">
        <v>94</v>
      </c>
      <c r="B95" s="10" t="inlineStr">
        <is>
          <t>Illinois Tool Works</t>
        </is>
      </c>
      <c r="C95" s="10" t="inlineStr">
        <is>
          <t>ITW</t>
        </is>
      </c>
      <c r="D95" s="10" t="inlineStr">
        <is>
          <t>Componenti industriali</t>
        </is>
      </c>
      <c r="E95" s="11" t="inlineStr">
        <is>
          <t>Industriale</t>
        </is>
      </c>
      <c r="F95" s="12" t="n">
        <v>288.49</v>
      </c>
      <c r="G95" s="13" t="inlineStr">
        <is>
          <t>USD</t>
        </is>
      </c>
      <c r="H95" s="14" t="n">
        <v>82998.60000000001</v>
      </c>
      <c r="I95" s="12" t="n">
        <v>11.05</v>
      </c>
      <c r="J95" s="12" t="n">
        <v>12.3322</v>
      </c>
      <c r="K95" s="15">
        <f>IF(OR(F95="",I95="",I95&lt;=0),"",F95/I95)</f>
        <v/>
      </c>
      <c r="L95" s="16" t="n">
        <v>25.815659</v>
      </c>
      <c r="M95" s="17">
        <f>IF(OR(L95="",K95="",K95&lt;=0),"",L95/K95)</f>
        <v/>
      </c>
      <c r="N95" s="18" t="n">
        <v>1.04618</v>
      </c>
      <c r="O95" s="18" t="n">
        <v>0.9917050145447759</v>
      </c>
      <c r="P95" s="18" t="n">
        <v>0.03703105237820289</v>
      </c>
      <c r="Q95" s="19" t="n">
        <v>4</v>
      </c>
      <c r="R95" s="18" t="n"/>
      <c r="S95" s="18" t="n">
        <v>0.9506976744186046</v>
      </c>
      <c r="T95" s="18" t="n">
        <v>1.051869722557298</v>
      </c>
      <c r="U95" s="18" t="n">
        <v>0.9817397078353254</v>
      </c>
      <c r="V95" s="18" t="n">
        <v>0.9825129533678757</v>
      </c>
      <c r="W95" s="12" t="n">
        <v>6.44</v>
      </c>
      <c r="X95" s="17">
        <f>IF(OR(W95="",F95="",F95=0),"",W95/F95)</f>
        <v/>
      </c>
      <c r="Y95" s="20" t="n">
        <v>334.853</v>
      </c>
      <c r="Z95" s="18" t="n">
        <v>0.061</v>
      </c>
      <c r="AA95" s="18" t="n">
        <v>0.1990775287958115</v>
      </c>
      <c r="AB95" s="11">
        <f>IF(AND(N95="",O95=""),"DATI MANCANTI",IF(AND(N(N95)&gt;=PARAMETRI!$B$4,N(O95)&gt;=PARAMETRI!$B$4),"OK","NO"))</f>
        <v/>
      </c>
      <c r="AC95" s="11">
        <f>IF(K95="","N/D",IF(K95&lt;PARAMETRI!$B$6,"OTTIMO",IF(K95&lt;PARAMETRI!$B$5,"OK","NO")))</f>
        <v/>
      </c>
      <c r="AD95" s="11">
        <f>IF(OR(AB95="DATI MANCANTI",AC95="N/D"),"DA COMPLETARE",IF(AND(AB95="OK",AC95="OTTIMO"),"PASSA FORTE",IF(AND(AB95="OK",AC95="OK"),"PASSA","SCARTA")))</f>
        <v/>
      </c>
      <c r="AE95" s="10" t="inlineStr">
        <is>
          <t>2026-08-04</t>
        </is>
      </c>
      <c r="AF95" s="10" t="inlineStr">
        <is>
          <t>yahoo</t>
        </is>
      </c>
      <c r="AG95" s="21" t="inlineStr"/>
    </row>
    <row r="96">
      <c r="A96" s="10" t="n">
        <v>95</v>
      </c>
      <c r="B96" s="10" t="inlineStr">
        <is>
          <t>Lockheed Martin</t>
        </is>
      </c>
      <c r="C96" s="10" t="inlineStr">
        <is>
          <t>LMT</t>
        </is>
      </c>
      <c r="D96" s="10" t="inlineStr">
        <is>
          <t>Difesa</t>
        </is>
      </c>
      <c r="E96" s="11" t="inlineStr">
        <is>
          <t>Industriale</t>
        </is>
      </c>
      <c r="F96" s="12" t="n">
        <v>586.29</v>
      </c>
      <c r="G96" s="13" t="inlineStr">
        <is>
          <t>USD</t>
        </is>
      </c>
      <c r="H96" s="14" t="n">
        <v>135310.3</v>
      </c>
      <c r="I96" s="12" t="n">
        <v>27.1</v>
      </c>
      <c r="J96" s="12" t="n">
        <v>32.71283</v>
      </c>
      <c r="K96" s="15">
        <f>IF(OR(F96="",I96="",I96&lt;=0),"",F96/I96)</f>
        <v/>
      </c>
      <c r="L96" s="16" t="n">
        <v>15.379308</v>
      </c>
      <c r="M96" s="17">
        <f>IF(OR(L96="",K96="",K96&lt;=0),"",L96/K96)</f>
        <v/>
      </c>
      <c r="N96" s="18" t="n">
        <v>0.8916500000000001</v>
      </c>
      <c r="O96" s="18" t="n">
        <v>0.8050196518940778</v>
      </c>
      <c r="P96" s="18" t="n">
        <v>0.1437100287177017</v>
      </c>
      <c r="Q96" s="19" t="n">
        <v>4</v>
      </c>
      <c r="R96" s="18" t="n"/>
      <c r="S96" s="18" t="n">
        <v>0.746466299657789</v>
      </c>
      <c r="T96" s="18" t="n">
        <v>0.8425706616137691</v>
      </c>
      <c r="U96" s="18" t="n">
        <v>1.012435991221653</v>
      </c>
      <c r="V96" s="18" t="n">
        <v>0.6186056550830995</v>
      </c>
      <c r="W96" s="12" t="n">
        <v>13.8</v>
      </c>
      <c r="X96" s="17">
        <f>IF(OR(W96="",F96="",F96=0),"",W96/F96)</f>
        <v/>
      </c>
      <c r="Y96" s="20" t="n">
        <v>234.238</v>
      </c>
      <c r="Z96" s="18" t="n">
        <v>0.105</v>
      </c>
      <c r="AA96" s="18" t="n">
        <v>0.08377305276622961</v>
      </c>
      <c r="AB96" s="11">
        <f>IF(AND(N96="",O96=""),"DATI MANCANTI",IF(AND(N(N96)&gt;=PARAMETRI!$B$4,N(O96)&gt;=PARAMETRI!$B$4),"OK","NO"))</f>
        <v/>
      </c>
      <c r="AC96" s="11">
        <f>IF(K96="","N/D",IF(K96&lt;PARAMETRI!$B$6,"OTTIMO",IF(K96&lt;PARAMETRI!$B$5,"OK","NO")))</f>
        <v/>
      </c>
      <c r="AD96" s="11">
        <f>IF(OR(AB96="DATI MANCANTI",AC96="N/D"),"DA COMPLETARE",IF(AND(AB96="OK",AC96="OTTIMO"),"PASSA FORTE",IF(AND(AB96="OK",AC96="OK"),"PASSA","SCARTA")))</f>
        <v/>
      </c>
      <c r="AE96" s="10" t="inlineStr">
        <is>
          <t>2026-08-04</t>
        </is>
      </c>
      <c r="AF96" s="10" t="inlineStr">
        <is>
          <t>yahoo</t>
        </is>
      </c>
      <c r="AG96" s="21" t="inlineStr"/>
    </row>
    <row r="97">
      <c r="A97" s="10" t="n">
        <v>96</v>
      </c>
      <c r="B97" s="10" t="inlineStr">
        <is>
          <t>Norfolk Southern</t>
        </is>
      </c>
      <c r="C97" s="10" t="inlineStr">
        <is>
          <t>NSC</t>
        </is>
      </c>
      <c r="D97" s="10" t="inlineStr">
        <is>
          <t>Ferrovie</t>
        </is>
      </c>
      <c r="E97" s="11" t="inlineStr">
        <is>
          <t>Industriale</t>
        </is>
      </c>
      <c r="F97" s="12" t="n">
        <v>336.65</v>
      </c>
      <c r="G97" s="13" t="inlineStr">
        <is>
          <t>USD</t>
        </is>
      </c>
      <c r="H97" s="14" t="n">
        <v>75614.39999999999</v>
      </c>
      <c r="I97" s="12" t="n">
        <v>11.71</v>
      </c>
      <c r="J97" s="12" t="n">
        <v>14.26433</v>
      </c>
      <c r="K97" s="15">
        <f>IF(OR(F97="",I97="",I97&lt;=0),"",F97/I97)</f>
        <v/>
      </c>
      <c r="L97" s="16" t="n">
        <v>4.6523037</v>
      </c>
      <c r="M97" s="17">
        <f>IF(OR(L97="",K97="",K97&lt;=0),"",L97/K97)</f>
        <v/>
      </c>
      <c r="N97" s="18" t="n">
        <v>0.16985</v>
      </c>
      <c r="O97" s="18" t="n">
        <v>0.1919584509394721</v>
      </c>
      <c r="P97" s="18" t="n">
        <v>0.04103328172323672</v>
      </c>
      <c r="Q97" s="19" t="n">
        <v>4</v>
      </c>
      <c r="R97" s="18" t="n"/>
      <c r="S97" s="18" t="n">
        <v>0.1847944941146202</v>
      </c>
      <c r="T97" s="18" t="n">
        <v>0.1832797427652733</v>
      </c>
      <c r="U97" s="18" t="n">
        <v>0.1429465613019326</v>
      </c>
      <c r="V97" s="18" t="n">
        <v>0.2568130055760622</v>
      </c>
      <c r="W97" s="12" t="n">
        <v>5.4</v>
      </c>
      <c r="X97" s="17">
        <f>IF(OR(W97="",F97="",F97=0),"",W97/F97)</f>
        <v/>
      </c>
      <c r="Y97" s="20" t="n">
        <v>105.519</v>
      </c>
      <c r="Z97" s="18" t="n">
        <v>0.114</v>
      </c>
      <c r="AA97" s="18" t="n">
        <v>0.2161740505747126</v>
      </c>
      <c r="AB97" s="11">
        <f>IF(AND(N97="",O97=""),"DATI MANCANTI",IF(AND(N(N97)&gt;=PARAMETRI!$B$4,N(O97)&gt;=PARAMETRI!$B$4),"OK","NO"))</f>
        <v/>
      </c>
      <c r="AC97" s="11">
        <f>IF(K97="","N/D",IF(K97&lt;PARAMETRI!$B$6,"OTTIMO",IF(K97&lt;PARAMETRI!$B$5,"OK","NO")))</f>
        <v/>
      </c>
      <c r="AD97" s="11">
        <f>IF(OR(AB97="DATI MANCANTI",AC97="N/D"),"DA COMPLETARE",IF(AND(AB97="OK",AC97="OTTIMO"),"PASSA FORTE",IF(AND(AB97="OK",AC97="OK"),"PASSA","SCARTA")))</f>
        <v/>
      </c>
      <c r="AE97" s="10" t="inlineStr">
        <is>
          <t>2026-08-04</t>
        </is>
      </c>
      <c r="AF97" s="10" t="inlineStr">
        <is>
          <t>yahoo</t>
        </is>
      </c>
      <c r="AG97" s="21" t="inlineStr"/>
    </row>
    <row r="98">
      <c r="A98" s="10" t="n">
        <v>97</v>
      </c>
      <c r="B98" s="10" t="inlineStr">
        <is>
          <t>Northrop Grumman</t>
        </is>
      </c>
      <c r="C98" s="10" t="inlineStr">
        <is>
          <t>NOC</t>
        </is>
      </c>
      <c r="D98" s="10" t="inlineStr">
        <is>
          <t>Difesa</t>
        </is>
      </c>
      <c r="E98" s="11" t="inlineStr">
        <is>
          <t>Industriale</t>
        </is>
      </c>
      <c r="F98" s="12" t="n">
        <v>548.47</v>
      </c>
      <c r="G98" s="13" t="inlineStr">
        <is>
          <t>USD</t>
        </is>
      </c>
      <c r="H98" s="14" t="n">
        <v>77917.3</v>
      </c>
      <c r="I98" s="12" t="n">
        <v>31.46</v>
      </c>
      <c r="J98" s="12" t="n">
        <v>30.36815</v>
      </c>
      <c r="K98" s="15">
        <f>IF(OR(F98="",I98="",I98&lt;=0),"",F98/I98)</f>
        <v/>
      </c>
      <c r="L98" s="16" t="n">
        <v>4.356809</v>
      </c>
      <c r="M98" s="17">
        <f>IF(OR(L98="",K98="",K98&lt;=0),"",L98/K98)</f>
        <v/>
      </c>
      <c r="N98" s="18" t="n">
        <v>0.26958</v>
      </c>
      <c r="O98" s="18" t="n">
        <v>0.2456284021316426</v>
      </c>
      <c r="P98" s="18" t="n">
        <v>0.06641956155607608</v>
      </c>
      <c r="Q98" s="19" t="n">
        <v>4</v>
      </c>
      <c r="R98" s="18" t="n"/>
      <c r="S98" s="18" t="n">
        <v>0.250809643756747</v>
      </c>
      <c r="T98" s="18" t="n">
        <v>0.2729888816219752</v>
      </c>
      <c r="U98" s="18" t="n">
        <v>0.1389658668469077</v>
      </c>
      <c r="V98" s="18" t="n">
        <v>0.3197492163009404</v>
      </c>
      <c r="W98" s="12" t="n">
        <v>9.4</v>
      </c>
      <c r="X98" s="17">
        <f>IF(OR(W98="",F98="",F98=0),"",W98/F98)</f>
        <v/>
      </c>
      <c r="Y98" s="20" t="n">
        <v>95.348</v>
      </c>
      <c r="Z98" s="18" t="n">
        <v>0.051</v>
      </c>
      <c r="AA98" s="18" t="n">
        <v>0.1071649902273919</v>
      </c>
      <c r="AB98" s="11">
        <f>IF(AND(N98="",O98=""),"DATI MANCANTI",IF(AND(N(N98)&gt;=PARAMETRI!$B$4,N(O98)&gt;=PARAMETRI!$B$4),"OK","NO"))</f>
        <v/>
      </c>
      <c r="AC98" s="11">
        <f>IF(K98="","N/D",IF(K98&lt;PARAMETRI!$B$6,"OTTIMO",IF(K98&lt;PARAMETRI!$B$5,"OK","NO")))</f>
        <v/>
      </c>
      <c r="AD98" s="11">
        <f>IF(OR(AB98="DATI MANCANTI",AC98="N/D"),"DA COMPLETARE",IF(AND(AB98="OK",AC98="OTTIMO"),"PASSA FORTE",IF(AND(AB98="OK",AC98="OK"),"PASSA","SCARTA")))</f>
        <v/>
      </c>
      <c r="AE98" s="10" t="inlineStr">
        <is>
          <t>2026-08-04</t>
        </is>
      </c>
      <c r="AF98" s="10" t="inlineStr">
        <is>
          <t>yahoo</t>
        </is>
      </c>
      <c r="AG98" s="21" t="inlineStr"/>
    </row>
    <row r="99">
      <c r="A99" s="10" t="n">
        <v>98</v>
      </c>
      <c r="B99" s="10" t="inlineStr">
        <is>
          <t>PACCAR</t>
        </is>
      </c>
      <c r="C99" s="10" t="inlineStr">
        <is>
          <t>PCAR</t>
        </is>
      </c>
      <c r="D99" s="10" t="inlineStr">
        <is>
          <t>Veicoli industriali</t>
        </is>
      </c>
      <c r="E99" s="11" t="inlineStr">
        <is>
          <t>Industriale</t>
        </is>
      </c>
      <c r="F99" s="12" t="n">
        <v>132.06</v>
      </c>
      <c r="G99" s="13" t="inlineStr">
        <is>
          <t>USD</t>
        </is>
      </c>
      <c r="H99" s="14" t="n">
        <v>69511.8</v>
      </c>
      <c r="I99" s="12" t="n">
        <v>4.75</v>
      </c>
      <c r="J99" s="12" t="n">
        <v>7.15127</v>
      </c>
      <c r="K99" s="15">
        <f>IF(OR(F99="",I99="",I99&lt;=0),"",F99/I99)</f>
        <v/>
      </c>
      <c r="L99" s="16" t="n">
        <v>3.5176601</v>
      </c>
      <c r="M99" s="17">
        <f>IF(OR(L99="",K99="",K99&lt;=0),"",L99/K99)</f>
        <v/>
      </c>
      <c r="N99" s="18" t="n">
        <v>0.12755999</v>
      </c>
      <c r="O99" s="18" t="n">
        <v>0.2198824319294773</v>
      </c>
      <c r="P99" s="18" t="n">
        <v>0.06041575921139673</v>
      </c>
      <c r="Q99" s="19" t="n">
        <v>4</v>
      </c>
      <c r="R99" s="18" t="n"/>
      <c r="S99" s="18" t="n">
        <v>0.123328488372093</v>
      </c>
      <c r="T99" s="18" t="n">
        <v>0.2377348359789569</v>
      </c>
      <c r="U99" s="18" t="n">
        <v>0.2897448169886893</v>
      </c>
      <c r="V99" s="18" t="n">
        <v>0.2287215863781698</v>
      </c>
      <c r="W99" s="12" t="n">
        <v>1.4</v>
      </c>
      <c r="X99" s="17">
        <f>IF(OR(W99="",F99="",F99=0),"",W99/F99)</f>
        <v/>
      </c>
      <c r="Y99" s="20" t="n">
        <v>72.91</v>
      </c>
      <c r="Z99" s="18" t="n">
        <v>0.005</v>
      </c>
      <c r="AA99" s="18" t="n">
        <v>0.08803717853526831</v>
      </c>
      <c r="AB99" s="11">
        <f>IF(AND(N99="",O99=""),"DATI MANCANTI",IF(AND(N(N99)&gt;=PARAMETRI!$B$4,N(O99)&gt;=PARAMETRI!$B$4),"OK","NO"))</f>
        <v/>
      </c>
      <c r="AC99" s="11">
        <f>IF(K99="","N/D",IF(K99&lt;PARAMETRI!$B$6,"OTTIMO",IF(K99&lt;PARAMETRI!$B$5,"OK","NO")))</f>
        <v/>
      </c>
      <c r="AD99" s="11">
        <f>IF(OR(AB99="DATI MANCANTI",AC99="N/D"),"DA COMPLETARE",IF(AND(AB99="OK",AC99="OTTIMO"),"PASSA FORTE",IF(AND(AB99="OK",AC99="OK"),"PASSA","SCARTA")))</f>
        <v/>
      </c>
      <c r="AE99" s="10" t="inlineStr">
        <is>
          <t>2026-08-04</t>
        </is>
      </c>
      <c r="AF99" s="10" t="inlineStr">
        <is>
          <t>yahoo</t>
        </is>
      </c>
      <c r="AG99" s="21" t="inlineStr"/>
    </row>
    <row r="100">
      <c r="A100" s="10" t="n">
        <v>99</v>
      </c>
      <c r="B100" s="10" t="inlineStr">
        <is>
          <t>Parker Hannifin</t>
        </is>
      </c>
      <c r="C100" s="10" t="inlineStr">
        <is>
          <t>PH</t>
        </is>
      </c>
      <c r="D100" s="10" t="inlineStr">
        <is>
          <t>Componenti industriali</t>
        </is>
      </c>
      <c r="E100" s="11" t="inlineStr">
        <is>
          <t>Industriale</t>
        </is>
      </c>
      <c r="F100" s="12" t="n">
        <v>997.52</v>
      </c>
      <c r="G100" s="13" t="inlineStr">
        <is>
          <t>USD</t>
        </is>
      </c>
      <c r="H100" s="14" t="n">
        <v>125773.7</v>
      </c>
      <c r="I100" s="12" t="n">
        <v>27.15</v>
      </c>
      <c r="J100" s="12" t="n">
        <v>34.11247</v>
      </c>
      <c r="K100" s="15">
        <f>IF(OR(F100="",I100="",I100&lt;=0),"",F100/I100)</f>
        <v/>
      </c>
      <c r="L100" s="16" t="n">
        <v>8.60933</v>
      </c>
      <c r="M100" s="17">
        <f>IF(OR(L100="",K100="",K100&lt;=0),"",L100/K100)</f>
        <v/>
      </c>
      <c r="N100" s="18" t="n">
        <v>0.24841999</v>
      </c>
      <c r="O100" s="18" t="n">
        <v>0.2110175513958517</v>
      </c>
      <c r="P100" s="18" t="n">
        <v>0.04120270220805216</v>
      </c>
      <c r="Q100" s="19" t="n">
        <v>4</v>
      </c>
      <c r="R100" s="18" t="n"/>
      <c r="S100" s="18" t="n">
        <v>0.2580763046338255</v>
      </c>
      <c r="T100" s="18" t="n">
        <v>0.2356042909211398</v>
      </c>
      <c r="U100" s="18" t="n">
        <v>0.2017002605237899</v>
      </c>
      <c r="V100" s="18" t="n">
        <v>0.1486893495046514</v>
      </c>
      <c r="W100" s="12" t="n">
        <v>8</v>
      </c>
      <c r="X100" s="17">
        <f>IF(OR(W100="",F100="",F100=0),"",W100/F100)</f>
        <v/>
      </c>
      <c r="Y100" s="20" t="n">
        <v>65.554</v>
      </c>
      <c r="Z100" s="18" t="n">
        <v>0.106</v>
      </c>
      <c r="AA100" s="18" t="n">
        <v>0.1753148614609572</v>
      </c>
      <c r="AB100" s="11">
        <f>IF(AND(N100="",O100=""),"DATI MANCANTI",IF(AND(N(N100)&gt;=PARAMETRI!$B$4,N(O100)&gt;=PARAMETRI!$B$4),"OK","NO"))</f>
        <v/>
      </c>
      <c r="AC100" s="11">
        <f>IF(K100="","N/D",IF(K100&lt;PARAMETRI!$B$6,"OTTIMO",IF(K100&lt;PARAMETRI!$B$5,"OK","NO")))</f>
        <v/>
      </c>
      <c r="AD100" s="11">
        <f>IF(OR(AB100="DATI MANCANTI",AC100="N/D"),"DA COMPLETARE",IF(AND(AB100="OK",AC100="OTTIMO"),"PASSA FORTE",IF(AND(AB100="OK",AC100="OK"),"PASSA","SCARTA")))</f>
        <v/>
      </c>
      <c r="AE100" s="10" t="inlineStr">
        <is>
          <t>2026-08-04</t>
        </is>
      </c>
      <c r="AF100" s="10" t="inlineStr">
        <is>
          <t>yahoo</t>
        </is>
      </c>
      <c r="AG100" s="21" t="inlineStr"/>
    </row>
    <row r="101">
      <c r="A101" s="10" t="n">
        <v>100</v>
      </c>
      <c r="B101" s="10" t="inlineStr">
        <is>
          <t>RTX Corporation</t>
        </is>
      </c>
      <c r="C101" s="10" t="inlineStr">
        <is>
          <t>RTX</t>
        </is>
      </c>
      <c r="D101" s="10" t="inlineStr">
        <is>
          <t>Difesa / Aerospazio</t>
        </is>
      </c>
      <c r="E101" s="11" t="inlineStr">
        <is>
          <t>Industriale</t>
        </is>
      </c>
      <c r="F101" s="12" t="n">
        <v>216.65</v>
      </c>
      <c r="G101" s="13" t="inlineStr">
        <is>
          <t>USD</t>
        </is>
      </c>
      <c r="H101" s="14" t="n">
        <v>291991.8</v>
      </c>
      <c r="I101" s="12" t="n">
        <v>5.68</v>
      </c>
      <c r="J101" s="12" t="n">
        <v>7.82607</v>
      </c>
      <c r="K101" s="15">
        <f>IF(OR(F101="",I101="",I101&lt;=0),"",F101/I101)</f>
        <v/>
      </c>
      <c r="L101" s="16" t="n">
        <v>4.401934</v>
      </c>
      <c r="M101" s="17">
        <f>IF(OR(L101="",K101="",K101&lt;=0),"",L101/K101)</f>
        <v/>
      </c>
      <c r="N101" s="18" t="n">
        <v>0.12274</v>
      </c>
      <c r="O101" s="18" t="n">
        <v>0.07688075362298834</v>
      </c>
      <c r="P101" s="18" t="n">
        <v>0.01786161675583029</v>
      </c>
      <c r="Q101" s="19" t="n">
        <v>4</v>
      </c>
      <c r="R101" s="18" t="n"/>
      <c r="S101" s="18" t="n">
        <v>0.1031803203310599</v>
      </c>
      <c r="T101" s="18" t="n">
        <v>0.07936032980916284</v>
      </c>
      <c r="U101" s="18" t="n">
        <v>0.05342988059801331</v>
      </c>
      <c r="V101" s="18" t="n">
        <v>0.07155248375371737</v>
      </c>
      <c r="W101" s="12" t="n">
        <v>2.92</v>
      </c>
      <c r="X101" s="17">
        <f>IF(OR(W101="",F101="",F101=0),"",W101/F101)</f>
        <v/>
      </c>
      <c r="Y101" s="20" t="n">
        <v>57.02</v>
      </c>
      <c r="Z101" s="18" t="n">
        <v>0.145</v>
      </c>
      <c r="AA101" s="18" t="n">
        <v>0.08733338455808494</v>
      </c>
      <c r="AB101" s="11">
        <f>IF(AND(N101="",O101=""),"DATI MANCANTI",IF(AND(N(N101)&gt;=PARAMETRI!$B$4,N(O101)&gt;=PARAMETRI!$B$4),"OK","NO"))</f>
        <v/>
      </c>
      <c r="AC101" s="11">
        <f>IF(K101="","N/D",IF(K101&lt;PARAMETRI!$B$6,"OTTIMO",IF(K101&lt;PARAMETRI!$B$5,"OK","NO")))</f>
        <v/>
      </c>
      <c r="AD101" s="11">
        <f>IF(OR(AB101="DATI MANCANTI",AC101="N/D"),"DA COMPLETARE",IF(AND(AB101="OK",AC101="OTTIMO"),"PASSA FORTE",IF(AND(AB101="OK",AC101="OK"),"PASSA","SCARTA")))</f>
        <v/>
      </c>
      <c r="AE101" s="10" t="inlineStr">
        <is>
          <t>2026-08-04</t>
        </is>
      </c>
      <c r="AF101" s="10" t="inlineStr">
        <is>
          <t>yahoo</t>
        </is>
      </c>
      <c r="AG101" s="21" t="inlineStr"/>
    </row>
    <row r="102">
      <c r="A102" s="10" t="n">
        <v>101</v>
      </c>
      <c r="B102" s="10" t="inlineStr">
        <is>
          <t>Union Pacific</t>
        </is>
      </c>
      <c r="C102" s="10" t="inlineStr">
        <is>
          <t>UNP</t>
        </is>
      </c>
      <c r="D102" s="10" t="inlineStr">
        <is>
          <t>Ferrovie</t>
        </is>
      </c>
      <c r="E102" s="11" t="inlineStr">
        <is>
          <t>Industriale</t>
        </is>
      </c>
      <c r="F102" s="12" t="n">
        <v>291.23</v>
      </c>
      <c r="G102" s="13" t="inlineStr">
        <is>
          <t>USD</t>
        </is>
      </c>
      <c r="H102" s="14" t="n">
        <v>173012.6</v>
      </c>
      <c r="I102" s="12" t="n">
        <v>12.36</v>
      </c>
      <c r="J102" s="12" t="n">
        <v>14.11641</v>
      </c>
      <c r="K102" s="15">
        <f>IF(OR(F102="",I102="",I102&lt;=0),"",F102/I102)</f>
        <v/>
      </c>
      <c r="L102" s="16" t="n">
        <v>8.903938</v>
      </c>
      <c r="M102" s="17">
        <f>IF(OR(L102="",K102="",K102&lt;=0),"",L102/K102)</f>
        <v/>
      </c>
      <c r="N102" s="18" t="n">
        <v>0.39696</v>
      </c>
      <c r="O102" s="18" t="n">
        <v>0.4481773006556505</v>
      </c>
      <c r="P102" s="18" t="n">
        <v>0.07521532837259973</v>
      </c>
      <c r="Q102" s="19" t="n">
        <v>4</v>
      </c>
      <c r="R102" s="18" t="n"/>
      <c r="S102" s="18" t="n">
        <v>0.3865273190014621</v>
      </c>
      <c r="T102" s="18" t="n">
        <v>0.3994671403197158</v>
      </c>
      <c r="U102" s="18" t="n">
        <v>0.4313632675142007</v>
      </c>
      <c r="V102" s="18" t="n">
        <v>0.5753514757872236</v>
      </c>
      <c r="W102" s="12" t="n">
        <v>5.68</v>
      </c>
      <c r="X102" s="17">
        <f>IF(OR(W102="",F102="",F102=0),"",W102/F102)</f>
        <v/>
      </c>
      <c r="Y102" s="20" t="n">
        <v>150.772</v>
      </c>
      <c r="Z102" s="18" t="n">
        <v>0.115</v>
      </c>
      <c r="AA102" s="18" t="n">
        <v>0.2990616022847817</v>
      </c>
      <c r="AB102" s="11">
        <f>IF(AND(N102="",O102=""),"DATI MANCANTI",IF(AND(N(N102)&gt;=PARAMETRI!$B$4,N(O102)&gt;=PARAMETRI!$B$4),"OK","NO"))</f>
        <v/>
      </c>
      <c r="AC102" s="11">
        <f>IF(K102="","N/D",IF(K102&lt;PARAMETRI!$B$6,"OTTIMO",IF(K102&lt;PARAMETRI!$B$5,"OK","NO")))</f>
        <v/>
      </c>
      <c r="AD102" s="11">
        <f>IF(OR(AB102="DATI MANCANTI",AC102="N/D"),"DA COMPLETARE",IF(AND(AB102="OK",AC102="OTTIMO"),"PASSA FORTE",IF(AND(AB102="OK",AC102="OK"),"PASSA","SCARTA")))</f>
        <v/>
      </c>
      <c r="AE102" s="10" t="inlineStr">
        <is>
          <t>2026-08-04</t>
        </is>
      </c>
      <c r="AF102" s="10" t="inlineStr">
        <is>
          <t>yahoo</t>
        </is>
      </c>
      <c r="AG102" s="21" t="inlineStr"/>
    </row>
    <row r="103">
      <c r="A103" s="10" t="n">
        <v>102</v>
      </c>
      <c r="B103" s="10" t="inlineStr">
        <is>
          <t>United Parcel Service</t>
        </is>
      </c>
      <c r="C103" s="10" t="inlineStr">
        <is>
          <t>UPS</t>
        </is>
      </c>
      <c r="D103" s="10" t="inlineStr">
        <is>
          <t>Logistica</t>
        </is>
      </c>
      <c r="E103" s="11" t="inlineStr">
        <is>
          <t>Industriale</t>
        </is>
      </c>
      <c r="F103" s="12" t="n">
        <v>106.87</v>
      </c>
      <c r="G103" s="13" t="inlineStr">
        <is>
          <t>USD</t>
        </is>
      </c>
      <c r="H103" s="14" t="n">
        <v>90840.2</v>
      </c>
      <c r="I103" s="12" t="n">
        <v>5.38</v>
      </c>
      <c r="J103" s="12" t="n">
        <v>8.073600000000001</v>
      </c>
      <c r="K103" s="15">
        <f>IF(OR(F103="",I103="",I103&lt;=0),"",F103/I103)</f>
        <v/>
      </c>
      <c r="L103" s="16" t="n">
        <v>6.036148</v>
      </c>
      <c r="M103" s="17">
        <f>IF(OR(L103="",K103="",K103&lt;=0),"",L103/K103)</f>
        <v/>
      </c>
      <c r="N103" s="18" t="n">
        <v>0.29602</v>
      </c>
      <c r="O103" s="18" t="n">
        <v>0.4151223305037616</v>
      </c>
      <c r="P103" s="18" t="n">
        <v>0.09887106435484694</v>
      </c>
      <c r="Q103" s="19" t="n">
        <v>4</v>
      </c>
      <c r="R103" s="18" t="n"/>
      <c r="S103" s="18" t="n">
        <v>0.3433783200838109</v>
      </c>
      <c r="T103" s="18" t="n">
        <v>0.3458547673166646</v>
      </c>
      <c r="U103" s="18" t="n">
        <v>0.3876112330983474</v>
      </c>
      <c r="V103" s="18" t="n">
        <v>0.5836450015162236</v>
      </c>
      <c r="W103" s="12" t="n">
        <v>6.56</v>
      </c>
      <c r="X103" s="17">
        <f>IF(OR(W103="",F103="",F103=0),"",W103/F103)</f>
        <v/>
      </c>
      <c r="Y103" s="20" t="n">
        <v>189.9</v>
      </c>
      <c r="Z103" s="18" t="n">
        <v>0.076</v>
      </c>
      <c r="AA103" s="18" t="n">
        <v>0.05154464614655824</v>
      </c>
      <c r="AB103" s="11">
        <f>IF(AND(N103="",O103=""),"DATI MANCANTI",IF(AND(N(N103)&gt;=PARAMETRI!$B$4,N(O103)&gt;=PARAMETRI!$B$4),"OK","NO"))</f>
        <v/>
      </c>
      <c r="AC103" s="11">
        <f>IF(K103="","N/D",IF(K103&lt;PARAMETRI!$B$6,"OTTIMO",IF(K103&lt;PARAMETRI!$B$5,"OK","NO")))</f>
        <v/>
      </c>
      <c r="AD103" s="11">
        <f>IF(OR(AB103="DATI MANCANTI",AC103="N/D"),"DA COMPLETARE",IF(AND(AB103="OK",AC103="OTTIMO"),"PASSA FORTE",IF(AND(AB103="OK",AC103="OK"),"PASSA","SCARTA")))</f>
        <v/>
      </c>
      <c r="AE103" s="10" t="inlineStr">
        <is>
          <t>2026-08-04</t>
        </is>
      </c>
      <c r="AF103" s="10" t="inlineStr">
        <is>
          <t>yahoo</t>
        </is>
      </c>
      <c r="AG103" s="21" t="inlineStr"/>
    </row>
    <row r="104">
      <c r="A104" s="10" t="n">
        <v>103</v>
      </c>
      <c r="B104" s="10" t="inlineStr">
        <is>
          <t>United Rentals</t>
        </is>
      </c>
      <c r="C104" s="10" t="inlineStr">
        <is>
          <t>URI</t>
        </is>
      </c>
      <c r="D104" s="10" t="inlineStr">
        <is>
          <t>Noleggio attrezzature</t>
        </is>
      </c>
      <c r="E104" s="11" t="inlineStr">
        <is>
          <t>Industriale</t>
        </is>
      </c>
      <c r="F104" s="12" t="n">
        <v>1115.92</v>
      </c>
      <c r="G104" s="13" t="inlineStr">
        <is>
          <t>USD</t>
        </is>
      </c>
      <c r="H104" s="14" t="n">
        <v>69457.60000000001</v>
      </c>
      <c r="I104" s="12" t="n">
        <v>41.55</v>
      </c>
      <c r="J104" s="12" t="n">
        <v>56.41793</v>
      </c>
      <c r="K104" s="15">
        <f>IF(OR(F104="",I104="",I104&lt;=0),"",F104/I104)</f>
        <v/>
      </c>
      <c r="L104" s="16" t="n">
        <v>7.5416307</v>
      </c>
      <c r="M104" s="17">
        <f>IF(OR(L104="",K104="",K104&lt;=0),"",L104/K104)</f>
        <v/>
      </c>
      <c r="N104" s="18" t="n">
        <v>0.28895</v>
      </c>
      <c r="O104" s="18" t="n">
        <v>0.2932459241968061</v>
      </c>
      <c r="P104" s="18" t="n">
        <v>0.008747380113543703</v>
      </c>
      <c r="Q104" s="19" t="n">
        <v>4</v>
      </c>
      <c r="R104" s="18" t="n"/>
      <c r="S104" s="18" t="n">
        <v>0.278099910793934</v>
      </c>
      <c r="T104" s="18" t="n">
        <v>0.298654604500116</v>
      </c>
      <c r="U104" s="18" t="n">
        <v>0.2981549815498155</v>
      </c>
      <c r="V104" s="18" t="n">
        <v>0.2980741999433588</v>
      </c>
      <c r="W104" s="12" t="n">
        <v>7.88</v>
      </c>
      <c r="X104" s="17">
        <f>IF(OR(W104="",F104="",F104=0),"",W104/F104)</f>
        <v/>
      </c>
      <c r="Y104" s="20" t="n">
        <v>166.793</v>
      </c>
      <c r="Z104" s="18" t="n">
        <v>0.118</v>
      </c>
      <c r="AA104" s="18" t="n">
        <v>0.1638611173364805</v>
      </c>
      <c r="AB104" s="11">
        <f>IF(AND(N104="",O104=""),"DATI MANCANTI",IF(AND(N(N104)&gt;=PARAMETRI!$B$4,N(O104)&gt;=PARAMETRI!$B$4),"OK","NO"))</f>
        <v/>
      </c>
      <c r="AC104" s="11">
        <f>IF(K104="","N/D",IF(K104&lt;PARAMETRI!$B$6,"OTTIMO",IF(K104&lt;PARAMETRI!$B$5,"OK","NO")))</f>
        <v/>
      </c>
      <c r="AD104" s="11">
        <f>IF(OR(AB104="DATI MANCANTI",AC104="N/D"),"DA COMPLETARE",IF(AND(AB104="OK",AC104="OTTIMO"),"PASSA FORTE",IF(AND(AB104="OK",AC104="OK"),"PASSA","SCARTA")))</f>
        <v/>
      </c>
      <c r="AE104" s="10" t="inlineStr">
        <is>
          <t>2026-08-04</t>
        </is>
      </c>
      <c r="AF104" s="10" t="inlineStr">
        <is>
          <t>yahoo</t>
        </is>
      </c>
      <c r="AG104" s="21" t="inlineStr"/>
    </row>
    <row r="105">
      <c r="A105" s="10" t="n">
        <v>104</v>
      </c>
      <c r="B105" s="10" t="inlineStr">
        <is>
          <t>Vertiv Holdings</t>
        </is>
      </c>
      <c r="C105" s="10" t="inlineStr">
        <is>
          <t>VRT</t>
        </is>
      </c>
      <c r="D105" s="10" t="inlineStr">
        <is>
          <t>Infrastrutture data center</t>
        </is>
      </c>
      <c r="E105" s="11" t="inlineStr">
        <is>
          <t>Industriale</t>
        </is>
      </c>
      <c r="F105" s="12" t="n">
        <v>263.05</v>
      </c>
      <c r="G105" s="13" t="inlineStr">
        <is>
          <t>USD</t>
        </is>
      </c>
      <c r="H105" s="14" t="n">
        <v>101271.1</v>
      </c>
      <c r="I105" s="12" t="n">
        <v>4.42</v>
      </c>
      <c r="J105" s="12" t="n">
        <v>9.084989999999999</v>
      </c>
      <c r="K105" s="15">
        <f>IF(OR(F105="",I105="",I105&lt;=0),"",F105/I105)</f>
        <v/>
      </c>
      <c r="L105" s="16" t="n">
        <v>23.792511</v>
      </c>
      <c r="M105" s="17">
        <f>IF(OR(L105="",K105="",K105&lt;=0),"",L105/K105)</f>
        <v/>
      </c>
      <c r="N105" s="18" t="n">
        <v>0.43943</v>
      </c>
      <c r="O105" s="18" t="n">
        <v>0.2058394575908118</v>
      </c>
      <c r="P105" s="18" t="n">
        <v>0.1016672316552922</v>
      </c>
      <c r="Q105" s="19" t="n">
        <v>4</v>
      </c>
      <c r="R105" s="18" t="n"/>
      <c r="S105" s="18" t="n">
        <v>0.3381625352041205</v>
      </c>
      <c r="T105" s="18" t="n">
        <v>0.2036725136589574</v>
      </c>
      <c r="U105" s="18" t="n">
        <v>0.2283984316839545</v>
      </c>
      <c r="V105" s="18" t="n">
        <v>0.05312434981621472</v>
      </c>
      <c r="W105" s="12" t="n">
        <v>0.25</v>
      </c>
      <c r="X105" s="17">
        <f>IF(OR(W105="",F105="",F105=0),"",W105/F105)</f>
        <v/>
      </c>
      <c r="Y105" s="20" t="n">
        <v>70.166</v>
      </c>
      <c r="Z105" s="18" t="n">
        <v>0.241</v>
      </c>
      <c r="AA105" s="18" t="n">
        <v>0.1693076178652773</v>
      </c>
      <c r="AB105" s="11">
        <f>IF(AND(N105="",O105=""),"DATI MANCANTI",IF(AND(N(N105)&gt;=PARAMETRI!$B$4,N(O105)&gt;=PARAMETRI!$B$4),"OK","NO"))</f>
        <v/>
      </c>
      <c r="AC105" s="11">
        <f>IF(K105="","N/D",IF(K105&lt;PARAMETRI!$B$6,"OTTIMO",IF(K105&lt;PARAMETRI!$B$5,"OK","NO")))</f>
        <v/>
      </c>
      <c r="AD105" s="11">
        <f>IF(OR(AB105="DATI MANCANTI",AC105="N/D"),"DA COMPLETARE",IF(AND(AB105="OK",AC105="OTTIMO"),"PASSA FORTE",IF(AND(AB105="OK",AC105="OK"),"PASSA","SCARTA")))</f>
        <v/>
      </c>
      <c r="AE105" s="10" t="inlineStr">
        <is>
          <t>2026-08-04</t>
        </is>
      </c>
      <c r="AF105" s="10" t="inlineStr">
        <is>
          <t>yahoo</t>
        </is>
      </c>
      <c r="AG105" s="21" t="inlineStr"/>
    </row>
    <row r="106">
      <c r="A106" s="10" t="n">
        <v>105</v>
      </c>
      <c r="B106" s="10" t="inlineStr">
        <is>
          <t>Waste Management</t>
        </is>
      </c>
      <c r="C106" s="10" t="inlineStr">
        <is>
          <t>WM</t>
        </is>
      </c>
      <c r="D106" s="10" t="inlineStr">
        <is>
          <t>Servizi ambientali</t>
        </is>
      </c>
      <c r="E106" s="11" t="inlineStr">
        <is>
          <t>Industriale</t>
        </is>
      </c>
      <c r="F106" s="12" t="n">
        <v>226.43</v>
      </c>
      <c r="G106" s="13" t="inlineStr">
        <is>
          <t>USD</t>
        </is>
      </c>
      <c r="H106" s="14" t="n">
        <v>90507.5</v>
      </c>
      <c r="I106" s="12" t="n">
        <v>3.81</v>
      </c>
      <c r="J106" s="12" t="n">
        <v>9.14371</v>
      </c>
      <c r="K106" s="15">
        <f>IF(OR(F106="",I106="",I106&lt;=0),"",F106/I106)</f>
        <v/>
      </c>
      <c r="L106" s="16" t="n">
        <v>9.124722500000001</v>
      </c>
      <c r="M106" s="17">
        <f>IF(OR(L106="",K106="",K106&lt;=0),"",L106/K106)</f>
        <v/>
      </c>
      <c r="N106" s="18" t="n">
        <v>0.29841</v>
      </c>
      <c r="O106" s="18" t="n">
        <v>0.3160924607555183</v>
      </c>
      <c r="P106" s="18" t="n">
        <v>0.02613080609356336</v>
      </c>
      <c r="Q106" s="19" t="n">
        <v>4</v>
      </c>
      <c r="R106" s="18" t="n"/>
      <c r="S106" s="18" t="n">
        <v>0.2710710710710711</v>
      </c>
      <c r="T106" s="18" t="n">
        <v>0.3327678138633058</v>
      </c>
      <c r="U106" s="18" t="n">
        <v>0.333767926988266</v>
      </c>
      <c r="V106" s="18" t="n">
        <v>0.3267630310994306</v>
      </c>
      <c r="W106" s="12" t="n">
        <v>3.54</v>
      </c>
      <c r="X106" s="17">
        <f>IF(OR(W106="",F106="",F106=0),"",W106/F106)</f>
        <v/>
      </c>
      <c r="Y106" s="20" t="n">
        <v>235.301</v>
      </c>
      <c r="Z106" s="18" t="n">
        <v>0.04</v>
      </c>
      <c r="AA106" s="18" t="n">
        <v>0.1131963155054753</v>
      </c>
      <c r="AB106" s="11">
        <f>IF(AND(N106="",O106=""),"DATI MANCANTI",IF(AND(N(N106)&gt;=PARAMETRI!$B$4,N(O106)&gt;=PARAMETRI!$B$4),"OK","NO"))</f>
        <v/>
      </c>
      <c r="AC106" s="11">
        <f>IF(K106="","N/D",IF(K106&lt;PARAMETRI!$B$6,"OTTIMO",IF(K106&lt;PARAMETRI!$B$5,"OK","NO")))</f>
        <v/>
      </c>
      <c r="AD106" s="11">
        <f>IF(OR(AB106="DATI MANCANTI",AC106="N/D"),"DA COMPLETARE",IF(AND(AB106="OK",AC106="OTTIMO"),"PASSA FORTE",IF(AND(AB106="OK",AC106="OK"),"PASSA","SCARTA")))</f>
        <v/>
      </c>
      <c r="AE106" s="10" t="inlineStr">
        <is>
          <t>2026-08-04</t>
        </is>
      </c>
      <c r="AF106" s="10" t="inlineStr">
        <is>
          <t>yahoo</t>
        </is>
      </c>
      <c r="AG106" s="21" t="inlineStr"/>
    </row>
    <row r="107">
      <c r="A107" s="10" t="n">
        <v>106</v>
      </c>
      <c r="B107" s="10" t="inlineStr">
        <is>
          <t>Airbnb</t>
        </is>
      </c>
      <c r="C107" s="10" t="inlineStr">
        <is>
          <t>ABNB</t>
        </is>
      </c>
      <c r="D107" s="10" t="inlineStr">
        <is>
          <t>Viaggi / Piattaforme</t>
        </is>
      </c>
      <c r="E107" s="11" t="inlineStr">
        <is>
          <t>Consumi</t>
        </is>
      </c>
      <c r="F107" s="12" t="n">
        <v>150.64</v>
      </c>
      <c r="G107" s="13" t="inlineStr">
        <is>
          <t>USD</t>
        </is>
      </c>
      <c r="H107" s="14" t="n">
        <v>89405.60000000001</v>
      </c>
      <c r="I107" s="12" t="n">
        <v>4.05</v>
      </c>
      <c r="J107" s="12" t="n">
        <v>5.99539</v>
      </c>
      <c r="K107" s="15">
        <f>IF(OR(F107="",I107="",I107&lt;=0),"",F107/I107)</f>
        <v/>
      </c>
      <c r="L107" s="16" t="n">
        <v>11.737573</v>
      </c>
      <c r="M107" s="17">
        <f>IF(OR(L107="",K107="",K107&lt;=0),"",L107/K107)</f>
        <v/>
      </c>
      <c r="N107" s="18" t="n">
        <v>0.32325</v>
      </c>
      <c r="O107" s="18" t="n">
        <v>0.3871020421928419</v>
      </c>
      <c r="P107" s="18" t="n">
        <v>0.1160358943905926</v>
      </c>
      <c r="Q107" s="19" t="n">
        <v>4</v>
      </c>
      <c r="R107" s="18" t="n"/>
      <c r="S107" s="18" t="n">
        <v>0.3062568605927552</v>
      </c>
      <c r="T107" s="18" t="n">
        <v>0.3147883975273419</v>
      </c>
      <c r="U107" s="18" t="n">
        <v>0.5868952847519902</v>
      </c>
      <c r="V107" s="18" t="n">
        <v>0.3404676258992806</v>
      </c>
      <c r="W107" s="12" t="n"/>
      <c r="X107" s="17">
        <f>IF(OR(W107="",F107="",F107=0),"",W107/F107)</f>
        <v/>
      </c>
      <c r="Y107" s="20" t="n">
        <v>33.185</v>
      </c>
      <c r="Z107" s="18" t="n">
        <v>0.179</v>
      </c>
      <c r="AA107" s="18" t="n">
        <v>0.2056204506167797</v>
      </c>
      <c r="AB107" s="11">
        <f>IF(AND(N107="",O107=""),"DATI MANCANTI",IF(AND(N(N107)&gt;=PARAMETRI!$B$4,N(O107)&gt;=PARAMETRI!$B$4),"OK","NO"))</f>
        <v/>
      </c>
      <c r="AC107" s="11">
        <f>IF(K107="","N/D",IF(K107&lt;PARAMETRI!$B$6,"OTTIMO",IF(K107&lt;PARAMETRI!$B$5,"OK","NO")))</f>
        <v/>
      </c>
      <c r="AD107" s="11">
        <f>IF(OR(AB107="DATI MANCANTI",AC107="N/D"),"DA COMPLETARE",IF(AND(AB107="OK",AC107="OTTIMO"),"PASSA FORTE",IF(AND(AB107="OK",AC107="OK"),"PASSA","SCARTA")))</f>
        <v/>
      </c>
      <c r="AE107" s="10" t="inlineStr">
        <is>
          <t>2026-08-04</t>
        </is>
      </c>
      <c r="AF107" s="10" t="inlineStr">
        <is>
          <t>yahoo</t>
        </is>
      </c>
      <c r="AG107" s="21" t="inlineStr"/>
    </row>
    <row r="108">
      <c r="A108" s="10" t="n">
        <v>107</v>
      </c>
      <c r="B108" s="10" t="inlineStr">
        <is>
          <t>Altria Group</t>
        </is>
      </c>
      <c r="C108" s="10" t="inlineStr">
        <is>
          <t>MO</t>
        </is>
      </c>
      <c r="D108" s="10" t="inlineStr">
        <is>
          <t>Tabacco</t>
        </is>
      </c>
      <c r="E108" s="11" t="inlineStr">
        <is>
          <t>Consumi</t>
        </is>
      </c>
      <c r="F108" s="12" t="n">
        <v>68.26000000000001</v>
      </c>
      <c r="G108" s="13" t="inlineStr">
        <is>
          <t>USD</t>
        </is>
      </c>
      <c r="H108" s="14" t="n">
        <v>113976.7</v>
      </c>
      <c r="I108" s="12" t="n">
        <v>4.75</v>
      </c>
      <c r="J108" s="12" t="n">
        <v>5.86711</v>
      </c>
      <c r="K108" s="15">
        <f>IF(OR(F108="",I108="",I108&lt;=0),"",F108/I108)</f>
        <v/>
      </c>
      <c r="L108" s="16" t="n">
        <v>-35.515087</v>
      </c>
      <c r="M108" s="17">
        <f>IF(OR(L108="",K108="",K108&lt;=0),"",L108/K108)</f>
        <v/>
      </c>
      <c r="N108" s="18" t="n"/>
      <c r="O108" s="18" t="n"/>
      <c r="P108" s="18" t="n"/>
      <c r="Q108" s="19" t="n">
        <v>0</v>
      </c>
      <c r="R108" s="18" t="n"/>
      <c r="S108" s="18" t="n"/>
      <c r="T108" s="18" t="n"/>
      <c r="U108" s="18" t="n"/>
      <c r="V108" s="18" t="n"/>
      <c r="W108" s="12" t="n">
        <v>4.24</v>
      </c>
      <c r="X108" s="17">
        <f>IF(OR(W108="",F108="",F108=0),"",W108/F108)</f>
        <v/>
      </c>
      <c r="Y108" s="20" t="n"/>
      <c r="Z108" s="18" t="n">
        <v>0.012</v>
      </c>
      <c r="AA108" s="18" t="n">
        <v>0.3948557525199861</v>
      </c>
      <c r="AB108" s="11">
        <f>IF(AND(N108="",O108=""),"DATI MANCANTI",IF(AND(N(N108)&gt;=PARAMETRI!$B$4,N(O108)&gt;=PARAMETRI!$B$4),"OK","NO"))</f>
        <v/>
      </c>
      <c r="AC108" s="11">
        <f>IF(K108="","N/D",IF(K108&lt;PARAMETRI!$B$6,"OTTIMO",IF(K108&lt;PARAMETRI!$B$5,"OK","NO")))</f>
        <v/>
      </c>
      <c r="AD108" s="11">
        <f>IF(OR(AB108="DATI MANCANTI",AC108="N/D"),"DA COMPLETARE",IF(AND(AB108="OK",AC108="OTTIMO"),"PASSA FORTE",IF(AND(AB108="OK",AC108="OK"),"PASSA","SCARTA")))</f>
        <v/>
      </c>
      <c r="AE108" s="10" t="inlineStr">
        <is>
          <t>2026-08-04</t>
        </is>
      </c>
      <c r="AF108" s="10" t="inlineStr">
        <is>
          <t>yahoo</t>
        </is>
      </c>
      <c r="AG108" s="21" t="inlineStr"/>
    </row>
    <row r="109">
      <c r="A109" s="10" t="n">
        <v>108</v>
      </c>
      <c r="B109" s="10" t="inlineStr">
        <is>
          <t>Booking Holdings</t>
        </is>
      </c>
      <c r="C109" s="10" t="inlineStr">
        <is>
          <t>BKNG</t>
        </is>
      </c>
      <c r="D109" s="10" t="inlineStr">
        <is>
          <t>Viaggi</t>
        </is>
      </c>
      <c r="E109" s="11" t="inlineStr">
        <is>
          <t>Consumi</t>
        </is>
      </c>
      <c r="F109" s="12" t="n">
        <v>192.71</v>
      </c>
      <c r="G109" s="13" t="inlineStr">
        <is>
          <t>USD</t>
        </is>
      </c>
      <c r="H109" s="14" t="n">
        <v>149326.8</v>
      </c>
      <c r="I109" s="12" t="n">
        <v>7.58</v>
      </c>
      <c r="J109" s="12" t="n">
        <v>12.30196</v>
      </c>
      <c r="K109" s="15">
        <f>IF(OR(F109="",I109="",I109&lt;=0),"",F109/I109)</f>
        <v/>
      </c>
      <c r="L109" s="16" t="n">
        <v>-17.229324</v>
      </c>
      <c r="M109" s="17">
        <f>IF(OR(L109="",K109="",K109&lt;=0),"",L109/K109)</f>
        <v/>
      </c>
      <c r="N109" s="18" t="n">
        <v>1.09920920201294</v>
      </c>
      <c r="O109" s="18" t="n">
        <v>1.09920920201294</v>
      </c>
      <c r="P109" s="18" t="n"/>
      <c r="Q109" s="19" t="n">
        <v>1</v>
      </c>
      <c r="R109" s="18" t="n"/>
      <c r="S109" s="18" t="n"/>
      <c r="T109" s="18" t="n"/>
      <c r="U109" s="18" t="n"/>
      <c r="V109" s="18" t="n">
        <v>1.09920920201294</v>
      </c>
      <c r="W109" s="12" t="n">
        <v>1.61</v>
      </c>
      <c r="X109" s="17">
        <f>IF(OR(W109="",F109="",F109=0),"",W109/F109)</f>
        <v/>
      </c>
      <c r="Y109" s="20" t="n"/>
      <c r="Z109" s="18" t="n">
        <v>0.162</v>
      </c>
      <c r="AA109" s="18" t="n">
        <v>0.2286287428762492</v>
      </c>
      <c r="AB109" s="11">
        <f>IF(AND(N109="",O109=""),"DATI MANCANTI",IF(AND(N(N109)&gt;=PARAMETRI!$B$4,N(O109)&gt;=PARAMETRI!$B$4),"OK","NO"))</f>
        <v/>
      </c>
      <c r="AC109" s="11">
        <f>IF(K109="","N/D",IF(K109&lt;PARAMETRI!$B$6,"OTTIMO",IF(K109&lt;PARAMETRI!$B$5,"OK","NO")))</f>
        <v/>
      </c>
      <c r="AD109" s="11">
        <f>IF(OR(AB109="DATI MANCANTI",AC109="N/D"),"DA COMPLETARE",IF(AND(AB109="OK",AC109="OTTIMO"),"PASSA FORTE",IF(AND(AB109="OK",AC109="OK"),"PASSA","SCARTA")))</f>
        <v/>
      </c>
      <c r="AE109" s="10" t="inlineStr">
        <is>
          <t>2026-08-04</t>
        </is>
      </c>
      <c r="AF109" s="10" t="inlineStr">
        <is>
          <t>yahoo</t>
        </is>
      </c>
      <c r="AG109" s="21" t="inlineStr"/>
    </row>
    <row r="110">
      <c r="A110" s="10" t="n">
        <v>109</v>
      </c>
      <c r="B110" s="10" t="inlineStr">
        <is>
          <t>Chipotle Mexican Grill</t>
        </is>
      </c>
      <c r="C110" s="10" t="inlineStr">
        <is>
          <t>CMG</t>
        </is>
      </c>
      <c r="D110" s="10" t="inlineStr">
        <is>
          <t>Ristorazione</t>
        </is>
      </c>
      <c r="E110" s="11" t="inlineStr">
        <is>
          <t>Consumi</t>
        </is>
      </c>
      <c r="F110" s="12" t="n">
        <v>37.46</v>
      </c>
      <c r="G110" s="13" t="inlineStr">
        <is>
          <t>USD</t>
        </is>
      </c>
      <c r="H110" s="14" t="n">
        <v>47402.6</v>
      </c>
      <c r="I110" s="12" t="n">
        <v>1.08</v>
      </c>
      <c r="J110" s="12" t="n">
        <v>1.36691</v>
      </c>
      <c r="K110" s="15">
        <f>IF(OR(F110="",I110="",I110&lt;=0),"",F110/I110)</f>
        <v/>
      </c>
      <c r="L110" s="16" t="n">
        <v>21.590776</v>
      </c>
      <c r="M110" s="17">
        <f>IF(OR(L110="",K110="",K110&lt;=0),"",L110/K110)</f>
        <v/>
      </c>
      <c r="N110" s="18" t="n">
        <v>0.49560001</v>
      </c>
      <c r="O110" s="18" t="n">
        <v>0.4357911689420391</v>
      </c>
      <c r="P110" s="18" t="n">
        <v>0.06324374116647129</v>
      </c>
      <c r="Q110" s="19" t="n">
        <v>4</v>
      </c>
      <c r="R110" s="18" t="n"/>
      <c r="S110" s="18" t="n">
        <v>0.5425553600340846</v>
      </c>
      <c r="T110" s="18" t="n">
        <v>0.4196664465445107</v>
      </c>
      <c r="U110" s="18" t="n">
        <v>0.4012586347036631</v>
      </c>
      <c r="V110" s="18" t="n">
        <v>0.3796842344858982</v>
      </c>
      <c r="W110" s="12" t="n"/>
      <c r="X110" s="17">
        <f>IF(OR(W110="",F110="",F110=0),"",W110/F110)</f>
        <v/>
      </c>
      <c r="Y110" s="20" t="n">
        <v>246.35</v>
      </c>
      <c r="Z110" s="18" t="n">
        <v>0.093</v>
      </c>
      <c r="AA110" s="18" t="n">
        <v>0.1190217542914609</v>
      </c>
      <c r="AB110" s="11">
        <f>IF(AND(N110="",O110=""),"DATI MANCANTI",IF(AND(N(N110)&gt;=PARAMETRI!$B$4,N(O110)&gt;=PARAMETRI!$B$4),"OK","NO"))</f>
        <v/>
      </c>
      <c r="AC110" s="11">
        <f>IF(K110="","N/D",IF(K110&lt;PARAMETRI!$B$6,"OTTIMO",IF(K110&lt;PARAMETRI!$B$5,"OK","NO")))</f>
        <v/>
      </c>
      <c r="AD110" s="11">
        <f>IF(OR(AB110="DATI MANCANTI",AC110="N/D"),"DA COMPLETARE",IF(AND(AB110="OK",AC110="OTTIMO"),"PASSA FORTE",IF(AND(AB110="OK",AC110="OK"),"PASSA","SCARTA")))</f>
        <v/>
      </c>
      <c r="AE110" s="10" t="inlineStr">
        <is>
          <t>2026-08-04</t>
        </is>
      </c>
      <c r="AF110" s="10" t="inlineStr">
        <is>
          <t>yahoo</t>
        </is>
      </c>
      <c r="AG110" s="21" t="inlineStr"/>
    </row>
    <row r="111">
      <c r="A111" s="10" t="n">
        <v>110</v>
      </c>
      <c r="B111" s="10" t="inlineStr">
        <is>
          <t>Coca-Cola</t>
        </is>
      </c>
      <c r="C111" s="10" t="inlineStr">
        <is>
          <t>KO</t>
        </is>
      </c>
      <c r="D111" s="10" t="inlineStr">
        <is>
          <t>Bevande</t>
        </is>
      </c>
      <c r="E111" s="11" t="inlineStr">
        <is>
          <t>Consumi</t>
        </is>
      </c>
      <c r="F111" s="12" t="n">
        <v>86.86</v>
      </c>
      <c r="G111" s="13" t="inlineStr">
        <is>
          <t>USD</t>
        </is>
      </c>
      <c r="H111" s="14" t="n">
        <v>373719.4</v>
      </c>
      <c r="I111" s="12" t="n">
        <v>3.33</v>
      </c>
      <c r="J111" s="12" t="n">
        <v>3.52642</v>
      </c>
      <c r="K111" s="15">
        <f>IF(OR(F111="",I111="",I111&lt;=0),"",F111/I111)</f>
        <v/>
      </c>
      <c r="L111" s="16" t="n">
        <v>10.339246</v>
      </c>
      <c r="M111" s="17">
        <f>IF(OR(L111="",K111="",K111&lt;=0),"",L111/K111)</f>
        <v/>
      </c>
      <c r="N111" s="18" t="n">
        <v>0.42054</v>
      </c>
      <c r="O111" s="18" t="n">
        <v>0.4110027875944097</v>
      </c>
      <c r="P111" s="18" t="n">
        <v>0.01145865829768229</v>
      </c>
      <c r="Q111" s="19" t="n">
        <v>4</v>
      </c>
      <c r="R111" s="18" t="n"/>
      <c r="S111" s="18" t="n">
        <v>0.4074419472162641</v>
      </c>
      <c r="T111" s="18" t="n">
        <v>0.4277035725780496</v>
      </c>
      <c r="U111" s="18" t="n">
        <v>0.4130141474885317</v>
      </c>
      <c r="V111" s="18" t="n">
        <v>0.3958514830947936</v>
      </c>
      <c r="W111" s="12" t="n">
        <v>2.12</v>
      </c>
      <c r="X111" s="17">
        <f>IF(OR(W111="",F111="",F111=0),"",W111/F111)</f>
        <v/>
      </c>
      <c r="Y111" s="20" t="n">
        <v>115.519</v>
      </c>
      <c r="Z111" s="18" t="n">
        <v>0.067</v>
      </c>
      <c r="AA111" s="18" t="n">
        <v>0.2986170554640079</v>
      </c>
      <c r="AB111" s="11">
        <f>IF(AND(N111="",O111=""),"DATI MANCANTI",IF(AND(N(N111)&gt;=PARAMETRI!$B$4,N(O111)&gt;=PARAMETRI!$B$4),"OK","NO"))</f>
        <v/>
      </c>
      <c r="AC111" s="11">
        <f>IF(K111="","N/D",IF(K111&lt;PARAMETRI!$B$6,"OTTIMO",IF(K111&lt;PARAMETRI!$B$5,"OK","NO")))</f>
        <v/>
      </c>
      <c r="AD111" s="11">
        <f>IF(OR(AB111="DATI MANCANTI",AC111="N/D"),"DA COMPLETARE",IF(AND(AB111="OK",AC111="OTTIMO"),"PASSA FORTE",IF(AND(AB111="OK",AC111="OK"),"PASSA","SCARTA")))</f>
        <v/>
      </c>
      <c r="AE111" s="10" t="inlineStr">
        <is>
          <t>2026-08-04</t>
        </is>
      </c>
      <c r="AF111" s="10" t="inlineStr">
        <is>
          <t>yahoo</t>
        </is>
      </c>
      <c r="AG111" s="21" t="inlineStr"/>
    </row>
    <row r="112">
      <c r="A112" s="10" t="n">
        <v>111</v>
      </c>
      <c r="B112" s="10" t="inlineStr">
        <is>
          <t>Colgate-Palmolive</t>
        </is>
      </c>
      <c r="C112" s="10" t="inlineStr">
        <is>
          <t>CL</t>
        </is>
      </c>
      <c r="D112" s="10" t="inlineStr">
        <is>
          <t>Cura della persona</t>
        </is>
      </c>
      <c r="E112" s="11" t="inlineStr">
        <is>
          <t>Consumi</t>
        </is>
      </c>
      <c r="F112" s="12" t="n">
        <v>89.88</v>
      </c>
      <c r="G112" s="13" t="inlineStr">
        <is>
          <t>USD</t>
        </is>
      </c>
      <c r="H112" s="14" t="n">
        <v>71649.89999999999</v>
      </c>
      <c r="I112" s="12" t="n">
        <v>2.54</v>
      </c>
      <c r="J112" s="12" t="n">
        <v>4.10002</v>
      </c>
      <c r="K112" s="15">
        <f>IF(OR(F112="",I112="",I112&lt;=0),"",F112/I112)</f>
        <v/>
      </c>
      <c r="L112" s="16" t="n">
        <v>303.64862</v>
      </c>
      <c r="M112" s="17">
        <f>IF(OR(L112="",K112="",K112&lt;=0),"",L112/K112)</f>
        <v/>
      </c>
      <c r="N112" s="18" t="n">
        <v>2.67367</v>
      </c>
      <c r="O112" s="18" t="n">
        <v>15.33422365753694</v>
      </c>
      <c r="P112" s="18" t="n">
        <v>14.47425872617575</v>
      </c>
      <c r="Q112" s="19" t="n">
        <v>4</v>
      </c>
      <c r="R112" s="18" t="n"/>
      <c r="S112" s="18" t="n">
        <v>39.48148148148148</v>
      </c>
      <c r="T112" s="18" t="n">
        <v>13.62735849056604</v>
      </c>
      <c r="U112" s="18" t="n">
        <v>3.776683087027914</v>
      </c>
      <c r="V112" s="18" t="n">
        <v>4.451371571072319</v>
      </c>
      <c r="W112" s="12" t="n">
        <v>2.12</v>
      </c>
      <c r="X112" s="17">
        <f>IF(OR(W112="",F112="",F112=0),"",W112/F112)</f>
        <v/>
      </c>
      <c r="Y112" s="20" t="n">
        <v>1388.163</v>
      </c>
      <c r="Z112" s="18" t="n">
        <v>0.049</v>
      </c>
      <c r="AA112" s="18" t="n">
        <v>0.09999018742027278</v>
      </c>
      <c r="AB112" s="11">
        <f>IF(AND(N112="",O112=""),"DATI MANCANTI",IF(AND(N(N112)&gt;=PARAMETRI!$B$4,N(O112)&gt;=PARAMETRI!$B$4),"OK","NO"))</f>
        <v/>
      </c>
      <c r="AC112" s="11">
        <f>IF(K112="","N/D",IF(K112&lt;PARAMETRI!$B$6,"OTTIMO",IF(K112&lt;PARAMETRI!$B$5,"OK","NO")))</f>
        <v/>
      </c>
      <c r="AD112" s="11">
        <f>IF(OR(AB112="DATI MANCANTI",AC112="N/D"),"DA COMPLETARE",IF(AND(AB112="OK",AC112="OTTIMO"),"PASSA FORTE",IF(AND(AB112="OK",AC112="OK"),"PASSA","SCARTA")))</f>
        <v/>
      </c>
      <c r="AE112" s="10" t="inlineStr">
        <is>
          <t>2026-08-04</t>
        </is>
      </c>
      <c r="AF112" s="10" t="inlineStr">
        <is>
          <t>yahoo</t>
        </is>
      </c>
      <c r="AG112" s="21" t="inlineStr"/>
    </row>
    <row r="113">
      <c r="A113" s="10" t="n">
        <v>112</v>
      </c>
      <c r="B113" s="10" t="inlineStr">
        <is>
          <t>Costco Wholesale</t>
        </is>
      </c>
      <c r="C113" s="10" t="inlineStr">
        <is>
          <t>COST</t>
        </is>
      </c>
      <c r="D113" s="10" t="inlineStr">
        <is>
          <t>Grande distribuzione</t>
        </is>
      </c>
      <c r="E113" s="11" t="inlineStr">
        <is>
          <t>Consumi</t>
        </is>
      </c>
      <c r="F113" s="12" t="n">
        <v>954.08</v>
      </c>
      <c r="G113" s="13" t="inlineStr">
        <is>
          <t>USD</t>
        </is>
      </c>
      <c r="H113" s="14" t="n">
        <v>423114.3</v>
      </c>
      <c r="I113" s="12" t="n">
        <v>19.89</v>
      </c>
      <c r="J113" s="12" t="n">
        <v>22.64764</v>
      </c>
      <c r="K113" s="15">
        <f>IF(OR(F113="",I113="",I113&lt;=0),"",F113/I113)</f>
        <v/>
      </c>
      <c r="L113" s="16" t="n">
        <v>25.593649</v>
      </c>
      <c r="M113" s="17">
        <f>IF(OR(L113="",K113="",K113&lt;=0),"",L113/K113)</f>
        <v/>
      </c>
      <c r="N113" s="18" t="n">
        <v>0.29152</v>
      </c>
      <c r="O113" s="18" t="n">
        <v>0.2809463090154591</v>
      </c>
      <c r="P113" s="18" t="n">
        <v>0.02157800377927351</v>
      </c>
      <c r="Q113" s="19" t="n">
        <v>4</v>
      </c>
      <c r="R113" s="18" t="n"/>
      <c r="S113" s="18" t="n">
        <v>0.2777053902071047</v>
      </c>
      <c r="T113" s="18" t="n">
        <v>0.3118702904072475</v>
      </c>
      <c r="U113" s="18" t="n">
        <v>0.2510974539069359</v>
      </c>
      <c r="V113" s="18" t="n">
        <v>0.2831121015405484</v>
      </c>
      <c r="W113" s="12" t="n">
        <v>5.88</v>
      </c>
      <c r="X113" s="17">
        <f>IF(OR(W113="",F113="",F113=0),"",W113/F113)</f>
        <v/>
      </c>
      <c r="Y113" s="20" t="n">
        <v>60.257</v>
      </c>
      <c r="Z113" s="18" t="n">
        <v>0.215</v>
      </c>
      <c r="AA113" s="18" t="n">
        <v>0.03211074033462314</v>
      </c>
      <c r="AB113" s="11">
        <f>IF(AND(N113="",O113=""),"DATI MANCANTI",IF(AND(N(N113)&gt;=PARAMETRI!$B$4,N(O113)&gt;=PARAMETRI!$B$4),"OK","NO"))</f>
        <v/>
      </c>
      <c r="AC113" s="11">
        <f>IF(K113="","N/D",IF(K113&lt;PARAMETRI!$B$6,"OTTIMO",IF(K113&lt;PARAMETRI!$B$5,"OK","NO")))</f>
        <v/>
      </c>
      <c r="AD113" s="11">
        <f>IF(OR(AB113="DATI MANCANTI",AC113="N/D"),"DA COMPLETARE",IF(AND(AB113="OK",AC113="OTTIMO"),"PASSA FORTE",IF(AND(AB113="OK",AC113="OK"),"PASSA","SCARTA")))</f>
        <v/>
      </c>
      <c r="AE113" s="10" t="inlineStr">
        <is>
          <t>2026-08-04</t>
        </is>
      </c>
      <c r="AF113" s="10" t="inlineStr">
        <is>
          <t>yahoo</t>
        </is>
      </c>
      <c r="AG113" s="21" t="inlineStr"/>
    </row>
    <row r="114">
      <c r="A114" s="10" t="n">
        <v>113</v>
      </c>
      <c r="B114" s="10" t="inlineStr">
        <is>
          <t>Estee Lauder</t>
        </is>
      </c>
      <c r="C114" s="10" t="inlineStr">
        <is>
          <t>EL</t>
        </is>
      </c>
      <c r="D114" s="10" t="inlineStr">
        <is>
          <t>Cosmetica</t>
        </is>
      </c>
      <c r="E114" s="11" t="inlineStr">
        <is>
          <t>Consumi</t>
        </is>
      </c>
      <c r="F114" s="12" t="n">
        <v>84.68000000000001</v>
      </c>
      <c r="G114" s="13" t="inlineStr">
        <is>
          <t>USD</t>
        </is>
      </c>
      <c r="H114" s="14" t="n">
        <v>30636.8</v>
      </c>
      <c r="I114" s="12" t="n">
        <v>-0.7</v>
      </c>
      <c r="J114" s="12" t="n">
        <v>3.19222</v>
      </c>
      <c r="K114" s="15">
        <f>IF(OR(F114="",I114="",I114&lt;=0),"",F114/I114)</f>
        <v/>
      </c>
      <c r="L114" s="16" t="n">
        <v>7.672375</v>
      </c>
      <c r="M114" s="17">
        <f>IF(OR(L114="",K114="",K114&lt;=0),"",L114/K114)</f>
        <v/>
      </c>
      <c r="N114" s="18" t="n">
        <v>-0.05949</v>
      </c>
      <c r="O114" s="18" t="n">
        <v>0.09698049421578878</v>
      </c>
      <c r="P114" s="18" t="n">
        <v>0.259298090473798</v>
      </c>
      <c r="Q114" s="19" t="n">
        <v>4</v>
      </c>
      <c r="R114" s="18" t="n"/>
      <c r="S114" s="18" t="n">
        <v>-0.293143596377749</v>
      </c>
      <c r="T114" s="18" t="n">
        <v>0.07339104252916824</v>
      </c>
      <c r="U114" s="18" t="n">
        <v>0.1801253357206804</v>
      </c>
      <c r="V114" s="18" t="n">
        <v>0.4275491949910555</v>
      </c>
      <c r="W114" s="12" t="n">
        <v>1.4</v>
      </c>
      <c r="X114" s="17">
        <f>IF(OR(W114="",F114="",F114=0),"",W114/F114)</f>
        <v/>
      </c>
      <c r="Y114" s="20" t="n">
        <v>232.908</v>
      </c>
      <c r="Z114" s="18" t="n">
        <v>0.046</v>
      </c>
      <c r="AA114" s="18" t="n">
        <v>-0.01731118246544744</v>
      </c>
      <c r="AB114" s="11">
        <f>IF(AND(N114="",O114=""),"DATI MANCANTI",IF(AND(N(N114)&gt;=PARAMETRI!$B$4,N(O114)&gt;=PARAMETRI!$B$4),"OK","NO"))</f>
        <v/>
      </c>
      <c r="AC114" s="11">
        <f>IF(K114="","N/D",IF(K114&lt;PARAMETRI!$B$6,"OTTIMO",IF(K114&lt;PARAMETRI!$B$5,"OK","NO")))</f>
        <v/>
      </c>
      <c r="AD114" s="11">
        <f>IF(OR(AB114="DATI MANCANTI",AC114="N/D"),"DA COMPLETARE",IF(AND(AB114="OK",AC114="OTTIMO"),"PASSA FORTE",IF(AND(AB114="OK",AC114="OK"),"PASSA","SCARTA")))</f>
        <v/>
      </c>
      <c r="AE114" s="10" t="inlineStr">
        <is>
          <t>2026-08-04</t>
        </is>
      </c>
      <c r="AF114" s="10" t="inlineStr">
        <is>
          <t>yahoo</t>
        </is>
      </c>
      <c r="AG114" s="21" t="inlineStr"/>
    </row>
    <row r="115">
      <c r="A115" s="10" t="n">
        <v>114</v>
      </c>
      <c r="B115" s="10" t="inlineStr">
        <is>
          <t>Ford Motor</t>
        </is>
      </c>
      <c r="C115" s="10" t="inlineStr">
        <is>
          <t>F</t>
        </is>
      </c>
      <c r="D115" s="10" t="inlineStr">
        <is>
          <t>Auto</t>
        </is>
      </c>
      <c r="E115" s="11" t="inlineStr">
        <is>
          <t>Consumi</t>
        </is>
      </c>
      <c r="F115" s="12" t="n">
        <v>14.43</v>
      </c>
      <c r="G115" s="13" t="inlineStr">
        <is>
          <t>USD</t>
        </is>
      </c>
      <c r="H115" s="14" t="n">
        <v>57541</v>
      </c>
      <c r="I115" s="12" t="n">
        <v>-1.87</v>
      </c>
      <c r="J115" s="12" t="n">
        <v>1.90421</v>
      </c>
      <c r="K115" s="15">
        <f>IF(OR(F115="",I115="",I115&lt;=0),"",F115/I115)</f>
        <v/>
      </c>
      <c r="L115" s="16" t="n">
        <v>1.5352697</v>
      </c>
      <c r="M115" s="17">
        <f>IF(OR(L115="",K115="",K115&lt;=0),"",L115/K115)</f>
        <v/>
      </c>
      <c r="N115" s="18" t="n">
        <v>-0.18252</v>
      </c>
      <c r="O115" s="18" t="n">
        <v>-0.01015959796696137</v>
      </c>
      <c r="P115" s="18" t="n">
        <v>0.142303781941802</v>
      </c>
      <c r="Q115" s="19" t="n">
        <v>4</v>
      </c>
      <c r="R115" s="18" t="n"/>
      <c r="S115" s="18" t="n">
        <v>-0.2275812194036493</v>
      </c>
      <c r="T115" s="18" t="n">
        <v>0.1311252369800379</v>
      </c>
      <c r="U115" s="18" t="n">
        <v>0.1016295326491011</v>
      </c>
      <c r="V115" s="18" t="n">
        <v>-0.04581194209333518</v>
      </c>
      <c r="W115" s="12" t="n">
        <v>0.6</v>
      </c>
      <c r="X115" s="17">
        <f>IF(OR(W115="",F115="",F115=0),"",W115/F115)</f>
        <v/>
      </c>
      <c r="Y115" s="20" t="n">
        <v>456.708</v>
      </c>
      <c r="Z115" s="18" t="n">
        <v>-0.038</v>
      </c>
      <c r="AA115" s="18" t="n">
        <v>-0.03949441035526815</v>
      </c>
      <c r="AB115" s="11">
        <f>IF(AND(N115="",O115=""),"DATI MANCANTI",IF(AND(N(N115)&gt;=PARAMETRI!$B$4,N(O115)&gt;=PARAMETRI!$B$4),"OK","NO"))</f>
        <v/>
      </c>
      <c r="AC115" s="11">
        <f>IF(K115="","N/D",IF(K115&lt;PARAMETRI!$B$6,"OTTIMO",IF(K115&lt;PARAMETRI!$B$5,"OK","NO")))</f>
        <v/>
      </c>
      <c r="AD115" s="11">
        <f>IF(OR(AB115="DATI MANCANTI",AC115="N/D"),"DA COMPLETARE",IF(AND(AB115="OK",AC115="OTTIMO"),"PASSA FORTE",IF(AND(AB115="OK",AC115="OK"),"PASSA","SCARTA")))</f>
        <v/>
      </c>
      <c r="AE115" s="10" t="inlineStr">
        <is>
          <t>2026-08-04</t>
        </is>
      </c>
      <c r="AF115" s="10" t="inlineStr">
        <is>
          <t>yahoo</t>
        </is>
      </c>
      <c r="AG115" s="21" t="inlineStr"/>
    </row>
    <row r="116">
      <c r="A116" s="10" t="n">
        <v>115</v>
      </c>
      <c r="B116" s="10" t="inlineStr">
        <is>
          <t>General Motors</t>
        </is>
      </c>
      <c r="C116" s="10" t="inlineStr">
        <is>
          <t>GM</t>
        </is>
      </c>
      <c r="D116" s="10" t="inlineStr">
        <is>
          <t>Auto</t>
        </is>
      </c>
      <c r="E116" s="11" t="inlineStr">
        <is>
          <t>Consumi</t>
        </is>
      </c>
      <c r="F116" s="12" t="n">
        <v>87.68000000000001</v>
      </c>
      <c r="G116" s="13" t="inlineStr">
        <is>
          <t>USD</t>
        </is>
      </c>
      <c r="H116" s="14" t="n">
        <v>79302.3</v>
      </c>
      <c r="I116" s="12" t="n">
        <v>2.24</v>
      </c>
      <c r="J116" s="12" t="n">
        <v>14.70702</v>
      </c>
      <c r="K116" s="15">
        <f>IF(OR(F116="",I116="",I116&lt;=0),"",F116/I116)</f>
        <v/>
      </c>
      <c r="L116" s="16" t="n">
        <v>1.24024</v>
      </c>
      <c r="M116" s="17">
        <f>IF(OR(L116="",K116="",K116&lt;=0),"",L116/K116)</f>
        <v/>
      </c>
      <c r="N116" s="18" t="n">
        <v>0.03164</v>
      </c>
      <c r="O116" s="18" t="n">
        <v>0.1108625303622402</v>
      </c>
      <c r="P116" s="18" t="n">
        <v>0.04513231830896564</v>
      </c>
      <c r="Q116" s="19" t="n">
        <v>4</v>
      </c>
      <c r="R116" s="18" t="n"/>
      <c r="S116" s="18" t="n">
        <v>0.04412703087419624</v>
      </c>
      <c r="T116" s="18" t="n">
        <v>0.09525621511922881</v>
      </c>
      <c r="U116" s="18" t="n">
        <v>0.1575304109759512</v>
      </c>
      <c r="V116" s="18" t="n">
        <v>0.1465364644795846</v>
      </c>
      <c r="W116" s="12" t="n">
        <v>0.72</v>
      </c>
      <c r="X116" s="17">
        <f>IF(OR(W116="",F116="",F116=0),"",W116/F116)</f>
        <v/>
      </c>
      <c r="Y116" s="20" t="n">
        <v>202.341</v>
      </c>
      <c r="Z116" s="18" t="n">
        <v>0.019</v>
      </c>
      <c r="AA116" s="18" t="n">
        <v>0.01003680668471887</v>
      </c>
      <c r="AB116" s="11">
        <f>IF(AND(N116="",O116=""),"DATI MANCANTI",IF(AND(N(N116)&gt;=PARAMETRI!$B$4,N(O116)&gt;=PARAMETRI!$B$4),"OK","NO"))</f>
        <v/>
      </c>
      <c r="AC116" s="11">
        <f>IF(K116="","N/D",IF(K116&lt;PARAMETRI!$B$6,"OTTIMO",IF(K116&lt;PARAMETRI!$B$5,"OK","NO")))</f>
        <v/>
      </c>
      <c r="AD116" s="11">
        <f>IF(OR(AB116="DATI MANCANTI",AC116="N/D"),"DA COMPLETARE",IF(AND(AB116="OK",AC116="OTTIMO"),"PASSA FORTE",IF(AND(AB116="OK",AC116="OK"),"PASSA","SCARTA")))</f>
        <v/>
      </c>
      <c r="AE116" s="10" t="inlineStr">
        <is>
          <t>2026-08-04</t>
        </is>
      </c>
      <c r="AF116" s="10" t="inlineStr">
        <is>
          <t>yahoo</t>
        </is>
      </c>
      <c r="AG116" s="21" t="inlineStr"/>
    </row>
    <row r="117">
      <c r="A117" s="10" t="n">
        <v>116</v>
      </c>
      <c r="B117" s="10" t="inlineStr">
        <is>
          <t>Home Depot</t>
        </is>
      </c>
      <c r="C117" s="10" t="inlineStr">
        <is>
          <t>HD</t>
        </is>
      </c>
      <c r="D117" s="10" t="inlineStr">
        <is>
          <t>Distribuzione specializzata</t>
        </is>
      </c>
      <c r="E117" s="11" t="inlineStr">
        <is>
          <t>Consumi</t>
        </is>
      </c>
      <c r="F117" s="12" t="n">
        <v>340.02</v>
      </c>
      <c r="G117" s="13" t="inlineStr">
        <is>
          <t>USD</t>
        </is>
      </c>
      <c r="H117" s="14" t="n">
        <v>339039.6</v>
      </c>
      <c r="I117" s="12" t="n">
        <v>14.08</v>
      </c>
      <c r="J117" s="12" t="n">
        <v>16.10218</v>
      </c>
      <c r="K117" s="15">
        <f>IF(OR(F117="",I117="",I117&lt;=0),"",F117/I117)</f>
        <v/>
      </c>
      <c r="L117" s="16" t="n">
        <v>24.433744</v>
      </c>
      <c r="M117" s="17">
        <f>IF(OR(L117="",K117="",K117&lt;=0),"",L117/K117)</f>
        <v/>
      </c>
      <c r="N117" s="18" t="n">
        <v>1.2838</v>
      </c>
      <c r="O117" s="18" t="n">
        <v>7.197532049082098</v>
      </c>
      <c r="P117" s="18" t="n">
        <v>5.685105003247476</v>
      </c>
      <c r="Q117" s="19" t="n">
        <v>4</v>
      </c>
      <c r="R117" s="18" t="n">
        <v>1.104815421837197</v>
      </c>
      <c r="S117" s="18" t="n">
        <v>2.229819277108434</v>
      </c>
      <c r="T117" s="18" t="n">
        <v>14.50478927203065</v>
      </c>
      <c r="U117" s="18" t="n">
        <v>10.95070422535211</v>
      </c>
      <c r="V117" s="18" t="n"/>
      <c r="W117" s="12" t="n">
        <v>9.32</v>
      </c>
      <c r="X117" s="17">
        <f>IF(OR(W117="",F117="",F117=0),"",W117/F117)</f>
        <v/>
      </c>
      <c r="Y117" s="20" t="n">
        <v>459.356</v>
      </c>
      <c r="Z117" s="18" t="n">
        <v>0.048</v>
      </c>
      <c r="AA117" s="18" t="n">
        <v>0.08508467939010098</v>
      </c>
      <c r="AB117" s="11">
        <f>IF(AND(N117="",O117=""),"DATI MANCANTI",IF(AND(N(N117)&gt;=PARAMETRI!$B$4,N(O117)&gt;=PARAMETRI!$B$4),"OK","NO"))</f>
        <v/>
      </c>
      <c r="AC117" s="11">
        <f>IF(K117="","N/D",IF(K117&lt;PARAMETRI!$B$6,"OTTIMO",IF(K117&lt;PARAMETRI!$B$5,"OK","NO")))</f>
        <v/>
      </c>
      <c r="AD117" s="11">
        <f>IF(OR(AB117="DATI MANCANTI",AC117="N/D"),"DA COMPLETARE",IF(AND(AB117="OK",AC117="OTTIMO"),"PASSA FORTE",IF(AND(AB117="OK",AC117="OK"),"PASSA","SCARTA")))</f>
        <v/>
      </c>
      <c r="AE117" s="10" t="inlineStr">
        <is>
          <t>2026-08-04</t>
        </is>
      </c>
      <c r="AF117" s="10" t="inlineStr">
        <is>
          <t>yahoo</t>
        </is>
      </c>
      <c r="AG117" s="21" t="inlineStr"/>
    </row>
    <row r="118">
      <c r="A118" s="10" t="n">
        <v>117</v>
      </c>
      <c r="B118" s="10" t="inlineStr">
        <is>
          <t>Kimberly-Clark</t>
        </is>
      </c>
      <c r="C118" s="10" t="inlineStr">
        <is>
          <t>KMB</t>
        </is>
      </c>
      <c r="D118" s="10" t="inlineStr">
        <is>
          <t>Beni per la casa</t>
        </is>
      </c>
      <c r="E118" s="11" t="inlineStr">
        <is>
          <t>Consumi</t>
        </is>
      </c>
      <c r="F118" s="12" t="n">
        <v>107.56</v>
      </c>
      <c r="G118" s="13" t="inlineStr">
        <is>
          <t>USD</t>
        </is>
      </c>
      <c r="H118" s="14" t="n">
        <v>35703.5</v>
      </c>
      <c r="I118" s="12" t="n">
        <v>5.17</v>
      </c>
      <c r="J118" s="12" t="n">
        <v>7.55722</v>
      </c>
      <c r="K118" s="15">
        <f>IF(OR(F118="",I118="",I118&lt;=0),"",F118/I118)</f>
        <v/>
      </c>
      <c r="L118" s="16" t="n">
        <v>19.878027</v>
      </c>
      <c r="M118" s="17">
        <f>IF(OR(L118="",K118="",K118&lt;=0),"",L118/K118)</f>
        <v/>
      </c>
      <c r="N118" s="18" t="n">
        <v>1.11727</v>
      </c>
      <c r="O118" s="18" t="n">
        <v>2.459704758173796</v>
      </c>
      <c r="P118" s="18" t="n">
        <v>0.8670114317756352</v>
      </c>
      <c r="Q118" s="19" t="n">
        <v>4</v>
      </c>
      <c r="R118" s="18" t="n"/>
      <c r="S118" s="18" t="n">
        <v>1.345539280958722</v>
      </c>
      <c r="T118" s="18" t="n">
        <v>3.029761904761905</v>
      </c>
      <c r="U118" s="18" t="n">
        <v>1.927868852459016</v>
      </c>
      <c r="V118" s="18" t="n">
        <v>3.535648994515539</v>
      </c>
      <c r="W118" s="12" t="n">
        <v>5.12</v>
      </c>
      <c r="X118" s="17">
        <f>IF(OR(W118="",F118="",F118=0),"",W118/F118)</f>
        <v/>
      </c>
      <c r="Y118" s="20" t="n">
        <v>371.264</v>
      </c>
      <c r="Z118" s="18" t="n">
        <v>0.027</v>
      </c>
      <c r="AA118" s="18" t="n">
        <v>0.1046391400255366</v>
      </c>
      <c r="AB118" s="11">
        <f>IF(AND(N118="",O118=""),"DATI MANCANTI",IF(AND(N(N118)&gt;=PARAMETRI!$B$4,N(O118)&gt;=PARAMETRI!$B$4),"OK","NO"))</f>
        <v/>
      </c>
      <c r="AC118" s="11">
        <f>IF(K118="","N/D",IF(K118&lt;PARAMETRI!$B$6,"OTTIMO",IF(K118&lt;PARAMETRI!$B$5,"OK","NO")))</f>
        <v/>
      </c>
      <c r="AD118" s="11">
        <f>IF(OR(AB118="DATI MANCANTI",AC118="N/D"),"DA COMPLETARE",IF(AND(AB118="OK",AC118="OTTIMO"),"PASSA FORTE",IF(AND(AB118="OK",AC118="OK"),"PASSA","SCARTA")))</f>
        <v/>
      </c>
      <c r="AE118" s="10" t="inlineStr">
        <is>
          <t>2026-08-04</t>
        </is>
      </c>
      <c r="AF118" s="10" t="inlineStr">
        <is>
          <t>yahoo</t>
        </is>
      </c>
      <c r="AG118" s="21" t="inlineStr"/>
    </row>
    <row r="119">
      <c r="A119" s="10" t="n">
        <v>118</v>
      </c>
      <c r="B119" s="10" t="inlineStr">
        <is>
          <t>Lowe's</t>
        </is>
      </c>
      <c r="C119" s="10" t="inlineStr">
        <is>
          <t>LOW</t>
        </is>
      </c>
      <c r="D119" s="10" t="inlineStr">
        <is>
          <t>Distribuzione specializzata</t>
        </is>
      </c>
      <c r="E119" s="11" t="inlineStr">
        <is>
          <t>Consumi</t>
        </is>
      </c>
      <c r="F119" s="12" t="n">
        <v>212.06</v>
      </c>
      <c r="G119" s="13" t="inlineStr">
        <is>
          <t>USD</t>
        </is>
      </c>
      <c r="H119" s="14" t="n">
        <v>118965.7</v>
      </c>
      <c r="I119" s="12" t="n">
        <v>11.82</v>
      </c>
      <c r="J119" s="12" t="n">
        <v>13.45927</v>
      </c>
      <c r="K119" s="15">
        <f>IF(OR(F119="",I119="",I119&lt;=0),"",F119/I119)</f>
        <v/>
      </c>
      <c r="L119" s="16" t="n">
        <v>-12.833454</v>
      </c>
      <c r="M119" s="17">
        <f>IF(OR(L119="",K119="",K119&lt;=0),"",L119/K119)</f>
        <v/>
      </c>
      <c r="N119" s="18" t="n"/>
      <c r="O119" s="18" t="n"/>
      <c r="P119" s="18" t="n"/>
      <c r="Q119" s="19" t="n">
        <v>0</v>
      </c>
      <c r="R119" s="18" t="n"/>
      <c r="S119" s="18" t="n"/>
      <c r="T119" s="18" t="n"/>
      <c r="U119" s="18" t="n"/>
      <c r="V119" s="18" t="n"/>
      <c r="W119" s="12" t="n">
        <v>5</v>
      </c>
      <c r="X119" s="17">
        <f>IF(OR(W119="",F119="",F119=0),"",W119/F119)</f>
        <v/>
      </c>
      <c r="Y119" s="20" t="n"/>
      <c r="Z119" s="18" t="n">
        <v>0.103</v>
      </c>
      <c r="AA119" s="18" t="n">
        <v>0.07675636909811558</v>
      </c>
      <c r="AB119" s="11">
        <f>IF(AND(N119="",O119=""),"DATI MANCANTI",IF(AND(N(N119)&gt;=PARAMETRI!$B$4,N(O119)&gt;=PARAMETRI!$B$4),"OK","NO"))</f>
        <v/>
      </c>
      <c r="AC119" s="11">
        <f>IF(K119="","N/D",IF(K119&lt;PARAMETRI!$B$6,"OTTIMO",IF(K119&lt;PARAMETRI!$B$5,"OK","NO")))</f>
        <v/>
      </c>
      <c r="AD119" s="11">
        <f>IF(OR(AB119="DATI MANCANTI",AC119="N/D"),"DA COMPLETARE",IF(AND(AB119="OK",AC119="OTTIMO"),"PASSA FORTE",IF(AND(AB119="OK",AC119="OK"),"PASSA","SCARTA")))</f>
        <v/>
      </c>
      <c r="AE119" s="10" t="inlineStr">
        <is>
          <t>2026-08-04</t>
        </is>
      </c>
      <c r="AF119" s="10" t="inlineStr">
        <is>
          <t>yahoo</t>
        </is>
      </c>
      <c r="AG119" s="21" t="inlineStr"/>
    </row>
    <row r="120">
      <c r="A120" s="10" t="n">
        <v>119</v>
      </c>
      <c r="B120" s="10" t="inlineStr">
        <is>
          <t>Marriott International</t>
        </is>
      </c>
      <c r="C120" s="10" t="inlineStr">
        <is>
          <t>MAR</t>
        </is>
      </c>
      <c r="D120" s="10" t="inlineStr">
        <is>
          <t>Alberghiero</t>
        </is>
      </c>
      <c r="E120" s="11" t="inlineStr">
        <is>
          <t>Consumi</t>
        </is>
      </c>
      <c r="F120" s="12" t="n">
        <v>346.83</v>
      </c>
      <c r="G120" s="13" t="inlineStr">
        <is>
          <t>USD</t>
        </is>
      </c>
      <c r="H120" s="14" t="n">
        <v>90441.60000000001</v>
      </c>
      <c r="I120" s="12" t="n">
        <v>9.539999999999999</v>
      </c>
      <c r="J120" s="12" t="n">
        <v>13.1172</v>
      </c>
      <c r="K120" s="15">
        <f>IF(OR(F120="",I120="",I120&lt;=0),"",F120/I120)</f>
        <v/>
      </c>
      <c r="L120" s="16" t="n">
        <v>-22.435474</v>
      </c>
      <c r="M120" s="17">
        <f>IF(OR(L120="",K120="",K120&lt;=0),"",L120/K120)</f>
        <v/>
      </c>
      <c r="N120" s="18" t="n">
        <v>4.151408450704225</v>
      </c>
      <c r="O120" s="18" t="n">
        <v>4.151408450704225</v>
      </c>
      <c r="P120" s="18" t="n"/>
      <c r="Q120" s="19" t="n">
        <v>1</v>
      </c>
      <c r="R120" s="18" t="n"/>
      <c r="S120" s="18" t="n"/>
      <c r="T120" s="18" t="n"/>
      <c r="U120" s="18" t="n"/>
      <c r="V120" s="18" t="n">
        <v>4.151408450704225</v>
      </c>
      <c r="W120" s="12" t="n">
        <v>2.92</v>
      </c>
      <c r="X120" s="17">
        <f>IF(OR(W120="",F120="",F120=0),"",W120/F120)</f>
        <v/>
      </c>
      <c r="Y120" s="20" t="n"/>
      <c r="Z120" s="18" t="n">
        <v>0.126</v>
      </c>
      <c r="AA120" s="18" t="n">
        <v>0.09867868326586726</v>
      </c>
      <c r="AB120" s="11">
        <f>IF(AND(N120="",O120=""),"DATI MANCANTI",IF(AND(N(N120)&gt;=PARAMETRI!$B$4,N(O120)&gt;=PARAMETRI!$B$4),"OK","NO"))</f>
        <v/>
      </c>
      <c r="AC120" s="11">
        <f>IF(K120="","N/D",IF(K120&lt;PARAMETRI!$B$6,"OTTIMO",IF(K120&lt;PARAMETRI!$B$5,"OK","NO")))</f>
        <v/>
      </c>
      <c r="AD120" s="11">
        <f>IF(OR(AB120="DATI MANCANTI",AC120="N/D"),"DA COMPLETARE",IF(AND(AB120="OK",AC120="OTTIMO"),"PASSA FORTE",IF(AND(AB120="OK",AC120="OK"),"PASSA","SCARTA")))</f>
        <v/>
      </c>
      <c r="AE120" s="10" t="inlineStr">
        <is>
          <t>2026-08-04</t>
        </is>
      </c>
      <c r="AF120" s="10" t="inlineStr">
        <is>
          <t>yahoo</t>
        </is>
      </c>
      <c r="AG120" s="21" t="inlineStr"/>
    </row>
    <row r="121">
      <c r="A121" s="10" t="n">
        <v>120</v>
      </c>
      <c r="B121" s="10" t="inlineStr">
        <is>
          <t>McDonald's</t>
        </is>
      </c>
      <c r="C121" s="10" t="inlineStr">
        <is>
          <t>MCD</t>
        </is>
      </c>
      <c r="D121" s="10" t="inlineStr">
        <is>
          <t>Ristorazione</t>
        </is>
      </c>
      <c r="E121" s="11" t="inlineStr">
        <is>
          <t>Consumi</t>
        </is>
      </c>
      <c r="F121" s="12" t="n">
        <v>265.23</v>
      </c>
      <c r="G121" s="13" t="inlineStr">
        <is>
          <t>USD</t>
        </is>
      </c>
      <c r="H121" s="14" t="n">
        <v>188447.5</v>
      </c>
      <c r="I121" s="12" t="n">
        <v>12.12</v>
      </c>
      <c r="J121" s="12" t="n">
        <v>14.1144</v>
      </c>
      <c r="K121" s="15">
        <f>IF(OR(F121="",I121="",I121&lt;=0),"",F121/I121)</f>
        <v/>
      </c>
      <c r="L121" s="16" t="n">
        <v>-146.53592</v>
      </c>
      <c r="M121" s="17">
        <f>IF(OR(L121="",K121="",K121&lt;=0),"",L121/K121)</f>
        <v/>
      </c>
      <c r="N121" s="18" t="n"/>
      <c r="O121" s="18" t="n"/>
      <c r="P121" s="18" t="n"/>
      <c r="Q121" s="19" t="n">
        <v>0</v>
      </c>
      <c r="R121" s="18" t="n"/>
      <c r="S121" s="18" t="n"/>
      <c r="T121" s="18" t="n"/>
      <c r="U121" s="18" t="n"/>
      <c r="V121" s="18" t="n"/>
      <c r="W121" s="12" t="n">
        <v>7.44</v>
      </c>
      <c r="X121" s="17">
        <f>IF(OR(W121="",F121="",F121=0),"",W121/F121)</f>
        <v/>
      </c>
      <c r="Y121" s="20" t="n"/>
      <c r="Z121" s="18" t="n">
        <v>0.094</v>
      </c>
      <c r="AA121" s="18" t="n">
        <v>0.3227822062860331</v>
      </c>
      <c r="AB121" s="11">
        <f>IF(AND(N121="",O121=""),"DATI MANCANTI",IF(AND(N(N121)&gt;=PARAMETRI!$B$4,N(O121)&gt;=PARAMETRI!$B$4),"OK","NO"))</f>
        <v/>
      </c>
      <c r="AC121" s="11">
        <f>IF(K121="","N/D",IF(K121&lt;PARAMETRI!$B$6,"OTTIMO",IF(K121&lt;PARAMETRI!$B$5,"OK","NO")))</f>
        <v/>
      </c>
      <c r="AD121" s="11">
        <f>IF(OR(AB121="DATI MANCANTI",AC121="N/D"),"DA COMPLETARE",IF(AND(AB121="OK",AC121="OTTIMO"),"PASSA FORTE",IF(AND(AB121="OK",AC121="OK"),"PASSA","SCARTA")))</f>
        <v/>
      </c>
      <c r="AE121" s="10" t="inlineStr">
        <is>
          <t>2026-08-04</t>
        </is>
      </c>
      <c r="AF121" s="10" t="inlineStr">
        <is>
          <t>yahoo</t>
        </is>
      </c>
      <c r="AG121" s="21" t="inlineStr"/>
    </row>
    <row r="122">
      <c r="A122" s="10" t="n">
        <v>121</v>
      </c>
      <c r="B122" s="10" t="inlineStr">
        <is>
          <t>Mondelez International</t>
        </is>
      </c>
      <c r="C122" s="10" t="inlineStr">
        <is>
          <t>MDLZ</t>
        </is>
      </c>
      <c r="D122" s="10" t="inlineStr">
        <is>
          <t>Alimentare</t>
        </is>
      </c>
      <c r="E122" s="11" t="inlineStr">
        <is>
          <t>Consumi</t>
        </is>
      </c>
      <c r="F122" s="12" t="n">
        <v>61.73</v>
      </c>
      <c r="G122" s="13" t="inlineStr">
        <is>
          <t>USD</t>
        </is>
      </c>
      <c r="H122" s="14" t="n">
        <v>79239.7</v>
      </c>
      <c r="I122" s="12" t="n">
        <v>1.64</v>
      </c>
      <c r="J122" s="12" t="n">
        <v>3.35907</v>
      </c>
      <c r="K122" s="15">
        <f>IF(OR(F122="",I122="",I122&lt;=0),"",F122/I122)</f>
        <v/>
      </c>
      <c r="L122" s="16" t="n">
        <v>2.9673605</v>
      </c>
      <c r="M122" s="17">
        <f>IF(OR(L122="",K122="",K122&lt;=0),"",L122/K122)</f>
        <v/>
      </c>
      <c r="N122" s="18" t="n">
        <v>0.13340001</v>
      </c>
      <c r="O122" s="18" t="n">
        <v>0.1355421523570761</v>
      </c>
      <c r="P122" s="18" t="n">
        <v>0.03766650206384878</v>
      </c>
      <c r="Q122" s="19" t="n">
        <v>4</v>
      </c>
      <c r="R122" s="18" t="n"/>
      <c r="S122" s="18" t="n">
        <v>0.09486028330366128</v>
      </c>
      <c r="T122" s="18" t="n">
        <v>0.1712089707411258</v>
      </c>
      <c r="U122" s="18" t="n">
        <v>0.1750317662007624</v>
      </c>
      <c r="V122" s="18" t="n">
        <v>0.1010675891827549</v>
      </c>
      <c r="W122" s="12" t="n">
        <v>2</v>
      </c>
      <c r="X122" s="17">
        <f>IF(OR(W122="",F122="",F122=0),"",W122/F122)</f>
        <v/>
      </c>
      <c r="Y122" s="20" t="n">
        <v>82.643</v>
      </c>
      <c r="Z122" s="18" t="n">
        <v>0.041</v>
      </c>
      <c r="AA122" s="18" t="n">
        <v>0.09123699301969536</v>
      </c>
      <c r="AB122" s="11">
        <f>IF(AND(N122="",O122=""),"DATI MANCANTI",IF(AND(N(N122)&gt;=PARAMETRI!$B$4,N(O122)&gt;=PARAMETRI!$B$4),"OK","NO"))</f>
        <v/>
      </c>
      <c r="AC122" s="11">
        <f>IF(K122="","N/D",IF(K122&lt;PARAMETRI!$B$6,"OTTIMO",IF(K122&lt;PARAMETRI!$B$5,"OK","NO")))</f>
        <v/>
      </c>
      <c r="AD122" s="11">
        <f>IF(OR(AB122="DATI MANCANTI",AC122="N/D"),"DA COMPLETARE",IF(AND(AB122="OK",AC122="OTTIMO"),"PASSA FORTE",IF(AND(AB122="OK",AC122="OK"),"PASSA","SCARTA")))</f>
        <v/>
      </c>
      <c r="AE122" s="10" t="inlineStr">
        <is>
          <t>2026-08-04</t>
        </is>
      </c>
      <c r="AF122" s="10" t="inlineStr">
        <is>
          <t>yahoo</t>
        </is>
      </c>
      <c r="AG122" s="21" t="inlineStr"/>
    </row>
    <row r="123">
      <c r="A123" s="10" t="n">
        <v>122</v>
      </c>
      <c r="B123" s="10" t="inlineStr">
        <is>
          <t>Netflix</t>
        </is>
      </c>
      <c r="C123" s="10" t="inlineStr">
        <is>
          <t>NFLX</t>
        </is>
      </c>
      <c r="D123" s="10" t="inlineStr">
        <is>
          <t>Streaming</t>
        </is>
      </c>
      <c r="E123" s="11" t="inlineStr">
        <is>
          <t>Consumi</t>
        </is>
      </c>
      <c r="F123" s="12" t="n">
        <v>73.33</v>
      </c>
      <c r="G123" s="13" t="inlineStr">
        <is>
          <t>USD</t>
        </is>
      </c>
      <c r="H123" s="14" t="n">
        <v>305341.7</v>
      </c>
      <c r="I123" s="12" t="n">
        <v>3.18</v>
      </c>
      <c r="J123" s="12" t="n">
        <v>3.81756</v>
      </c>
      <c r="K123" s="15">
        <f>IF(OR(F123="",I123="",I123&lt;=0),"",F123/I123)</f>
        <v/>
      </c>
      <c r="L123" s="16" t="n">
        <v>10.127054</v>
      </c>
      <c r="M123" s="17">
        <f>IF(OR(L123="",K123="",K123&lt;=0),"",L123/K123)</f>
        <v/>
      </c>
      <c r="N123" s="18" t="n">
        <v>0.49541</v>
      </c>
      <c r="O123" s="18" t="n">
        <v>0.3108822652973959</v>
      </c>
      <c r="P123" s="18" t="n">
        <v>0.07637252776064919</v>
      </c>
      <c r="Q123" s="19" t="n">
        <v>4</v>
      </c>
      <c r="R123" s="18" t="n"/>
      <c r="S123" s="18" t="n">
        <v>0.4125868742290204</v>
      </c>
      <c r="T123" s="18" t="n">
        <v>0.3520766023750739</v>
      </c>
      <c r="U123" s="18" t="n">
        <v>0.262672808597771</v>
      </c>
      <c r="V123" s="18" t="n">
        <v>0.2161927759877186</v>
      </c>
      <c r="W123" s="12" t="n"/>
      <c r="X123" s="17">
        <f>IF(OR(W123="",F123="",F123=0),"",W123/F123)</f>
        <v/>
      </c>
      <c r="Y123" s="20" t="n">
        <v>55.236</v>
      </c>
      <c r="Z123" s="18" t="n">
        <v>0.134</v>
      </c>
      <c r="AA123" s="18" t="n">
        <v>0.3020966208645209</v>
      </c>
      <c r="AB123" s="11">
        <f>IF(AND(N123="",O123=""),"DATI MANCANTI",IF(AND(N(N123)&gt;=PARAMETRI!$B$4,N(O123)&gt;=PARAMETRI!$B$4),"OK","NO"))</f>
        <v/>
      </c>
      <c r="AC123" s="11">
        <f>IF(K123="","N/D",IF(K123&lt;PARAMETRI!$B$6,"OTTIMO",IF(K123&lt;PARAMETRI!$B$5,"OK","NO")))</f>
        <v/>
      </c>
      <c r="AD123" s="11">
        <f>IF(OR(AB123="DATI MANCANTI",AC123="N/D"),"DA COMPLETARE",IF(AND(AB123="OK",AC123="OTTIMO"),"PASSA FORTE",IF(AND(AB123="OK",AC123="OK"),"PASSA","SCARTA")))</f>
        <v/>
      </c>
      <c r="AE123" s="10" t="inlineStr">
        <is>
          <t>2026-08-04</t>
        </is>
      </c>
      <c r="AF123" s="10" t="inlineStr">
        <is>
          <t>yahoo</t>
        </is>
      </c>
      <c r="AG123" s="21" t="inlineStr"/>
    </row>
    <row r="124">
      <c r="A124" s="10" t="n">
        <v>123</v>
      </c>
      <c r="B124" s="10" t="inlineStr">
        <is>
          <t>Nike</t>
        </is>
      </c>
      <c r="C124" s="10" t="inlineStr">
        <is>
          <t>NKE</t>
        </is>
      </c>
      <c r="D124" s="10" t="inlineStr">
        <is>
          <t>Abbigliamento sportivo</t>
        </is>
      </c>
      <c r="E124" s="11" t="inlineStr">
        <is>
          <t>Consumi</t>
        </is>
      </c>
      <c r="F124" s="12" t="n">
        <v>42.64</v>
      </c>
      <c r="G124" s="13" t="inlineStr">
        <is>
          <t>USD</t>
        </is>
      </c>
      <c r="H124" s="14" t="n">
        <v>63256.4</v>
      </c>
      <c r="I124" s="12" t="n">
        <v>2.1</v>
      </c>
      <c r="J124" s="12" t="n">
        <v>2.29669</v>
      </c>
      <c r="K124" s="15">
        <f>IF(OR(F124="",I124="",I124&lt;=0),"",F124/I124)</f>
        <v/>
      </c>
      <c r="L124" s="16" t="n">
        <v>4.253791</v>
      </c>
      <c r="M124" s="17">
        <f>IF(OR(L124="",K124="",K124&lt;=0),"",L124/K124)</f>
        <v/>
      </c>
      <c r="N124" s="18" t="n">
        <v>0.22138001</v>
      </c>
      <c r="O124" s="18" t="n">
        <v>0.3024388129670675</v>
      </c>
      <c r="P124" s="18" t="n">
        <v>0.07793665822629463</v>
      </c>
      <c r="Q124" s="19" t="n">
        <v>4</v>
      </c>
      <c r="R124" s="18" t="n">
        <v>0.2090817356205853</v>
      </c>
      <c r="S124" s="18" t="n">
        <v>0.2436237039279497</v>
      </c>
      <c r="T124" s="18" t="n">
        <v>0.395010395010395</v>
      </c>
      <c r="U124" s="18" t="n">
        <v>0.3620394173093402</v>
      </c>
      <c r="V124" s="18" t="n"/>
      <c r="W124" s="12" t="n">
        <v>1.64</v>
      </c>
      <c r="X124" s="17">
        <f>IF(OR(W124="",F124="",F124=0),"",W124/F124)</f>
        <v/>
      </c>
      <c r="Y124" s="20" t="n">
        <v>74.289</v>
      </c>
      <c r="Z124" s="18" t="n">
        <v>-0.011</v>
      </c>
      <c r="AA124" s="18" t="n">
        <v>0.06698564593301436</v>
      </c>
      <c r="AB124" s="11">
        <f>IF(AND(N124="",O124=""),"DATI MANCANTI",IF(AND(N(N124)&gt;=PARAMETRI!$B$4,N(O124)&gt;=PARAMETRI!$B$4),"OK","NO"))</f>
        <v/>
      </c>
      <c r="AC124" s="11">
        <f>IF(K124="","N/D",IF(K124&lt;PARAMETRI!$B$6,"OTTIMO",IF(K124&lt;PARAMETRI!$B$5,"OK","NO")))</f>
        <v/>
      </c>
      <c r="AD124" s="11">
        <f>IF(OR(AB124="DATI MANCANTI",AC124="N/D"),"DA COMPLETARE",IF(AND(AB124="OK",AC124="OTTIMO"),"PASSA FORTE",IF(AND(AB124="OK",AC124="OK"),"PASSA","SCARTA")))</f>
        <v/>
      </c>
      <c r="AE124" s="10" t="inlineStr">
        <is>
          <t>2026-08-04</t>
        </is>
      </c>
      <c r="AF124" s="10" t="inlineStr">
        <is>
          <t>yahoo</t>
        </is>
      </c>
      <c r="AG124" s="21" t="inlineStr"/>
    </row>
    <row r="125">
      <c r="A125" s="10" t="n">
        <v>124</v>
      </c>
      <c r="B125" s="10" t="inlineStr">
        <is>
          <t>PepsiCo</t>
        </is>
      </c>
      <c r="C125" s="10" t="inlineStr">
        <is>
          <t>PEP</t>
        </is>
      </c>
      <c r="D125" s="10" t="inlineStr">
        <is>
          <t>Bevande e snack</t>
        </is>
      </c>
      <c r="E125" s="11" t="inlineStr">
        <is>
          <t>Consumi</t>
        </is>
      </c>
      <c r="F125" s="12" t="n">
        <v>139.63</v>
      </c>
      <c r="G125" s="13" t="inlineStr">
        <is>
          <t>USD</t>
        </is>
      </c>
      <c r="H125" s="14" t="n">
        <v>190734.6</v>
      </c>
      <c r="I125" s="12" t="n">
        <v>7.63</v>
      </c>
      <c r="J125" s="12" t="n">
        <v>8.978440000000001</v>
      </c>
      <c r="K125" s="15">
        <f>IF(OR(F125="",I125="",I125&lt;=0),"",F125/I125)</f>
        <v/>
      </c>
      <c r="L125" s="16" t="n">
        <v>8.631391000000001</v>
      </c>
      <c r="M125" s="17">
        <f>IF(OR(L125="",K125="",K125&lt;=0),"",L125/K125)</f>
        <v/>
      </c>
      <c r="N125" s="18" t="n">
        <v>0.51508</v>
      </c>
      <c r="O125" s="18" t="n">
        <v>0.486168855450935</v>
      </c>
      <c r="P125" s="18" t="n">
        <v>0.04979556056471136</v>
      </c>
      <c r="Q125" s="19" t="n">
        <v>4</v>
      </c>
      <c r="R125" s="18" t="n"/>
      <c r="S125" s="18" t="n">
        <v>0.4038028030971283</v>
      </c>
      <c r="T125" s="18" t="n">
        <v>0.5309018347098277</v>
      </c>
      <c r="U125" s="18" t="n">
        <v>0.490406961033346</v>
      </c>
      <c r="V125" s="18" t="n">
        <v>0.5195638229634381</v>
      </c>
      <c r="W125" s="12" t="n">
        <v>5.92</v>
      </c>
      <c r="X125" s="17">
        <f>IF(OR(W125="",F125="",F125=0),"",W125/F125)</f>
        <v/>
      </c>
      <c r="Y125" s="20" t="n">
        <v>238.949</v>
      </c>
      <c r="Z125" s="18" t="n">
        <v>0.064</v>
      </c>
      <c r="AA125" s="18" t="n">
        <v>0.1112696334309289</v>
      </c>
      <c r="AB125" s="11">
        <f>IF(AND(N125="",O125=""),"DATI MANCANTI",IF(AND(N(N125)&gt;=PARAMETRI!$B$4,N(O125)&gt;=PARAMETRI!$B$4),"OK","NO"))</f>
        <v/>
      </c>
      <c r="AC125" s="11">
        <f>IF(K125="","N/D",IF(K125&lt;PARAMETRI!$B$6,"OTTIMO",IF(K125&lt;PARAMETRI!$B$5,"OK","NO")))</f>
        <v/>
      </c>
      <c r="AD125" s="11">
        <f>IF(OR(AB125="DATI MANCANTI",AC125="N/D"),"DA COMPLETARE",IF(AND(AB125="OK",AC125="OTTIMO"),"PASSA FORTE",IF(AND(AB125="OK",AC125="OK"),"PASSA","SCARTA")))</f>
        <v/>
      </c>
      <c r="AE125" s="10" t="inlineStr">
        <is>
          <t>2026-08-04</t>
        </is>
      </c>
      <c r="AF125" s="10" t="inlineStr">
        <is>
          <t>yahoo</t>
        </is>
      </c>
      <c r="AG125" s="21" t="inlineStr"/>
    </row>
    <row r="126">
      <c r="A126" s="10" t="n">
        <v>125</v>
      </c>
      <c r="B126" s="10" t="inlineStr">
        <is>
          <t>Philip Morris International</t>
        </is>
      </c>
      <c r="C126" s="10" t="inlineStr">
        <is>
          <t>PM</t>
        </is>
      </c>
      <c r="D126" s="10" t="inlineStr">
        <is>
          <t>Tabacco</t>
        </is>
      </c>
      <c r="E126" s="11" t="inlineStr">
        <is>
          <t>Consumi</t>
        </is>
      </c>
      <c r="F126" s="12" t="n">
        <v>187.41</v>
      </c>
      <c r="G126" s="13" t="inlineStr">
        <is>
          <t>USD</t>
        </is>
      </c>
      <c r="H126" s="14" t="n">
        <v>292099.8</v>
      </c>
      <c r="I126" s="12" t="n">
        <v>7.29</v>
      </c>
      <c r="J126" s="12" t="n">
        <v>9.16878</v>
      </c>
      <c r="K126" s="15">
        <f>IF(OR(F126="",I126="",I126&lt;=0),"",F126/I126)</f>
        <v/>
      </c>
      <c r="L126" s="16" t="n">
        <v>-34.031235</v>
      </c>
      <c r="M126" s="17">
        <f>IF(OR(L126="",K126="",K126&lt;=0),"",L126/K126)</f>
        <v/>
      </c>
      <c r="N126" s="18" t="n"/>
      <c r="O126" s="18" t="n"/>
      <c r="P126" s="18" t="n"/>
      <c r="Q126" s="19" t="n">
        <v>0</v>
      </c>
      <c r="R126" s="18" t="n"/>
      <c r="S126" s="18" t="n"/>
      <c r="T126" s="18" t="n"/>
      <c r="U126" s="18" t="n"/>
      <c r="V126" s="18" t="n"/>
      <c r="W126" s="12" t="n">
        <v>5.88</v>
      </c>
      <c r="X126" s="17">
        <f>IF(OR(W126="",F126="",F126=0),"",W126/F126)</f>
        <v/>
      </c>
      <c r="Y126" s="20" t="n"/>
      <c r="Z126" s="18" t="n">
        <v>0.104</v>
      </c>
      <c r="AA126" s="18" t="n">
        <v>0.2667781995670144</v>
      </c>
      <c r="AB126" s="11">
        <f>IF(AND(N126="",O126=""),"DATI MANCANTI",IF(AND(N(N126)&gt;=PARAMETRI!$B$4,N(O126)&gt;=PARAMETRI!$B$4),"OK","NO"))</f>
        <v/>
      </c>
      <c r="AC126" s="11">
        <f>IF(K126="","N/D",IF(K126&lt;PARAMETRI!$B$6,"OTTIMO",IF(K126&lt;PARAMETRI!$B$5,"OK","NO")))</f>
        <v/>
      </c>
      <c r="AD126" s="11">
        <f>IF(OR(AB126="DATI MANCANTI",AC126="N/D"),"DA COMPLETARE",IF(AND(AB126="OK",AC126="OTTIMO"),"PASSA FORTE",IF(AND(AB126="OK",AC126="OK"),"PASSA","SCARTA")))</f>
        <v/>
      </c>
      <c r="AE126" s="10" t="inlineStr">
        <is>
          <t>2026-08-04</t>
        </is>
      </c>
      <c r="AF126" s="10" t="inlineStr">
        <is>
          <t>yahoo</t>
        </is>
      </c>
      <c r="AG126" s="21" t="inlineStr"/>
    </row>
    <row r="127">
      <c r="A127" s="10" t="n">
        <v>126</v>
      </c>
      <c r="B127" s="10" t="inlineStr">
        <is>
          <t>Procter &amp; Gamble</t>
        </is>
      </c>
      <c r="C127" s="10" t="inlineStr">
        <is>
          <t>PG</t>
        </is>
      </c>
      <c r="D127" s="10" t="inlineStr">
        <is>
          <t>Beni per la casa</t>
        </is>
      </c>
      <c r="E127" s="11" t="inlineStr">
        <is>
          <t>Consumi</t>
        </is>
      </c>
      <c r="F127" s="12" t="n">
        <v>144.97</v>
      </c>
      <c r="G127" s="13" t="inlineStr">
        <is>
          <t>USD</t>
        </is>
      </c>
      <c r="H127" s="14" t="n">
        <v>337577</v>
      </c>
      <c r="I127" s="12" t="n">
        <v>6.62</v>
      </c>
      <c r="J127" s="12" t="n">
        <v>7.4101</v>
      </c>
      <c r="K127" s="15">
        <f>IF(OR(F127="",I127="",I127&lt;=0),"",F127/I127)</f>
        <v/>
      </c>
      <c r="L127" s="16" t="n">
        <v>6.280924</v>
      </c>
      <c r="M127" s="17">
        <f>IF(OR(L127="",K127="",K127&lt;=0),"",L127/K127)</f>
        <v/>
      </c>
      <c r="N127" s="18" t="n">
        <v>0.30290002</v>
      </c>
      <c r="O127" s="18" t="n">
        <v>0.3081719551351361</v>
      </c>
      <c r="P127" s="18" t="n">
        <v>0.007841551352208636</v>
      </c>
      <c r="Q127" s="19" t="n">
        <v>4</v>
      </c>
      <c r="R127" s="18" t="n"/>
      <c r="S127" s="18" t="n">
        <v>0.3071214335153426</v>
      </c>
      <c r="T127" s="18" t="n">
        <v>0.2958875233663445</v>
      </c>
      <c r="U127" s="18" t="n">
        <v>0.3132522393483977</v>
      </c>
      <c r="V127" s="18" t="n">
        <v>0.3164266243104595</v>
      </c>
      <c r="W127" s="12" t="n">
        <v>4.35</v>
      </c>
      <c r="X127" s="17">
        <f>IF(OR(W127="",F127="",F127=0),"",W127/F127)</f>
        <v/>
      </c>
      <c r="Y127" s="20" t="n">
        <v>62.857</v>
      </c>
      <c r="Z127" s="18" t="n">
        <v>0.015</v>
      </c>
      <c r="AA127" s="18" t="n">
        <v>0.1903801448436239</v>
      </c>
      <c r="AB127" s="11">
        <f>IF(AND(N127="",O127=""),"DATI MANCANTI",IF(AND(N(N127)&gt;=PARAMETRI!$B$4,N(O127)&gt;=PARAMETRI!$B$4),"OK","NO"))</f>
        <v/>
      </c>
      <c r="AC127" s="11">
        <f>IF(K127="","N/D",IF(K127&lt;PARAMETRI!$B$6,"OTTIMO",IF(K127&lt;PARAMETRI!$B$5,"OK","NO")))</f>
        <v/>
      </c>
      <c r="AD127" s="11">
        <f>IF(OR(AB127="DATI MANCANTI",AC127="N/D"),"DA COMPLETARE",IF(AND(AB127="OK",AC127="OTTIMO"),"PASSA FORTE",IF(AND(AB127="OK",AC127="OK"),"PASSA","SCARTA")))</f>
        <v/>
      </c>
      <c r="AE127" s="10" t="inlineStr">
        <is>
          <t>2026-08-04</t>
        </is>
      </c>
      <c r="AF127" s="10" t="inlineStr">
        <is>
          <t>yahoo</t>
        </is>
      </c>
      <c r="AG127" s="21" t="inlineStr"/>
    </row>
    <row r="128">
      <c r="A128" s="10" t="n">
        <v>127</v>
      </c>
      <c r="B128" s="10" t="inlineStr">
        <is>
          <t>Starbucks</t>
        </is>
      </c>
      <c r="C128" s="10" t="inlineStr">
        <is>
          <t>SBUX</t>
        </is>
      </c>
      <c r="D128" s="10" t="inlineStr">
        <is>
          <t>Ristorazione</t>
        </is>
      </c>
      <c r="E128" s="11" t="inlineStr">
        <is>
          <t>Consumi</t>
        </is>
      </c>
      <c r="F128" s="12" t="n">
        <v>103.37</v>
      </c>
      <c r="G128" s="13" t="inlineStr">
        <is>
          <t>USD</t>
        </is>
      </c>
      <c r="H128" s="14" t="n">
        <v>117841.8</v>
      </c>
      <c r="I128" s="12" t="n">
        <v>1.73</v>
      </c>
      <c r="J128" s="12" t="n">
        <v>3.11011</v>
      </c>
      <c r="K128" s="15">
        <f>IF(OR(F128="",I128="",I128&lt;=0),"",F128/I128)</f>
        <v/>
      </c>
      <c r="L128" s="16" t="n">
        <v>-13.914391</v>
      </c>
      <c r="M128" s="17">
        <f>IF(OR(L128="",K128="",K128&lt;=0),"",L128/K128)</f>
        <v/>
      </c>
      <c r="N128" s="18" t="n"/>
      <c r="O128" s="18" t="n"/>
      <c r="P128" s="18" t="n"/>
      <c r="Q128" s="19" t="n">
        <v>0</v>
      </c>
      <c r="R128" s="18" t="n"/>
      <c r="S128" s="18" t="n"/>
      <c r="T128" s="18" t="n"/>
      <c r="U128" s="18" t="n"/>
      <c r="V128" s="18" t="n"/>
      <c r="W128" s="12" t="n">
        <v>2.48</v>
      </c>
      <c r="X128" s="17">
        <f>IF(OR(W128="",F128="",F128=0),"",W128/F128)</f>
        <v/>
      </c>
      <c r="Y128" s="20" t="n"/>
      <c r="Z128" s="18" t="n">
        <v>-0.014</v>
      </c>
      <c r="AA128" s="18" t="n">
        <v>0.05332343671001818</v>
      </c>
      <c r="AB128" s="11">
        <f>IF(AND(N128="",O128=""),"DATI MANCANTI",IF(AND(N(N128)&gt;=PARAMETRI!$B$4,N(O128)&gt;=PARAMETRI!$B$4),"OK","NO"))</f>
        <v/>
      </c>
      <c r="AC128" s="11">
        <f>IF(K128="","N/D",IF(K128&lt;PARAMETRI!$B$6,"OTTIMO",IF(K128&lt;PARAMETRI!$B$5,"OK","NO")))</f>
        <v/>
      </c>
      <c r="AD128" s="11">
        <f>IF(OR(AB128="DATI MANCANTI",AC128="N/D"),"DA COMPLETARE",IF(AND(AB128="OK",AC128="OTTIMO"),"PASSA FORTE",IF(AND(AB128="OK",AC128="OK"),"PASSA","SCARTA")))</f>
        <v/>
      </c>
      <c r="AE128" s="10" t="inlineStr">
        <is>
          <t>2026-08-04</t>
        </is>
      </c>
      <c r="AF128" s="10" t="inlineStr">
        <is>
          <t>yahoo</t>
        </is>
      </c>
      <c r="AG128" s="21" t="inlineStr"/>
    </row>
    <row r="129">
      <c r="A129" s="10" t="n">
        <v>128</v>
      </c>
      <c r="B129" s="10" t="inlineStr">
        <is>
          <t>Target</t>
        </is>
      </c>
      <c r="C129" s="10" t="inlineStr">
        <is>
          <t>TGT</t>
        </is>
      </c>
      <c r="D129" s="10" t="inlineStr">
        <is>
          <t>Grande distribuzione</t>
        </is>
      </c>
      <c r="E129" s="11" t="inlineStr">
        <is>
          <t>Consumi</t>
        </is>
      </c>
      <c r="F129" s="12" t="n">
        <v>149.35</v>
      </c>
      <c r="G129" s="13" t="inlineStr">
        <is>
          <t>USD</t>
        </is>
      </c>
      <c r="H129" s="14" t="n">
        <v>67833.39999999999</v>
      </c>
      <c r="I129" s="12" t="n">
        <v>7.57</v>
      </c>
      <c r="J129" s="12" t="n">
        <v>8.96114</v>
      </c>
      <c r="K129" s="15">
        <f>IF(OR(F129="",I129="",I129&lt;=0),"",F129/I129)</f>
        <v/>
      </c>
      <c r="L129" s="16" t="n">
        <v>4.1373487</v>
      </c>
      <c r="M129" s="17">
        <f>IF(OR(L129="",K129="",K129&lt;=0),"",L129/K129)</f>
        <v/>
      </c>
      <c r="N129" s="18" t="n">
        <v>0.22015</v>
      </c>
      <c r="O129" s="18" t="n">
        <v>0.265930196598988</v>
      </c>
      <c r="P129" s="18" t="n">
        <v>0.03014032785235156</v>
      </c>
      <c r="Q129" s="19" t="n">
        <v>4</v>
      </c>
      <c r="R129" s="18" t="n">
        <v>0.2291988864831426</v>
      </c>
      <c r="S129" s="18" t="n">
        <v>0.278944497477158</v>
      </c>
      <c r="T129" s="18" t="n">
        <v>0.3080702799285289</v>
      </c>
      <c r="U129" s="18" t="n">
        <v>0.2475071225071225</v>
      </c>
      <c r="V129" s="18" t="n"/>
      <c r="W129" s="12" t="n">
        <v>4.64</v>
      </c>
      <c r="X129" s="17">
        <f>IF(OR(W129="",F129="",F129=0),"",W129/F129)</f>
        <v/>
      </c>
      <c r="Y129" s="20" t="n">
        <v>117.548</v>
      </c>
      <c r="Z129" s="18" t="n">
        <v>0.067</v>
      </c>
      <c r="AA129" s="18" t="n">
        <v>0.0329261297194121</v>
      </c>
      <c r="AB129" s="11">
        <f>IF(AND(N129="",O129=""),"DATI MANCANTI",IF(AND(N(N129)&gt;=PARAMETRI!$B$4,N(O129)&gt;=PARAMETRI!$B$4),"OK","NO"))</f>
        <v/>
      </c>
      <c r="AC129" s="11">
        <f>IF(K129="","N/D",IF(K129&lt;PARAMETRI!$B$6,"OTTIMO",IF(K129&lt;PARAMETRI!$B$5,"OK","NO")))</f>
        <v/>
      </c>
      <c r="AD129" s="11">
        <f>IF(OR(AB129="DATI MANCANTI",AC129="N/D"),"DA COMPLETARE",IF(AND(AB129="OK",AC129="OTTIMO"),"PASSA FORTE",IF(AND(AB129="OK",AC129="OK"),"PASSA","SCARTA")))</f>
        <v/>
      </c>
      <c r="AE129" s="10" t="inlineStr">
        <is>
          <t>2026-08-04</t>
        </is>
      </c>
      <c r="AF129" s="10" t="inlineStr">
        <is>
          <t>yahoo</t>
        </is>
      </c>
      <c r="AG129" s="21" t="inlineStr"/>
    </row>
    <row r="130">
      <c r="A130" s="10" t="n">
        <v>129</v>
      </c>
      <c r="B130" s="10" t="inlineStr">
        <is>
          <t>Tesla</t>
        </is>
      </c>
      <c r="C130" s="10" t="inlineStr">
        <is>
          <t>TSLA</t>
        </is>
      </c>
      <c r="D130" s="10" t="inlineStr">
        <is>
          <t>Auto elettriche</t>
        </is>
      </c>
      <c r="E130" s="11" t="inlineStr">
        <is>
          <t>Consumi</t>
        </is>
      </c>
      <c r="F130" s="12" t="n">
        <v>322.08</v>
      </c>
      <c r="G130" s="13" t="inlineStr">
        <is>
          <t>USD</t>
        </is>
      </c>
      <c r="H130" s="14" t="n">
        <v>1272070.3</v>
      </c>
      <c r="I130" s="12" t="n">
        <v>1.09</v>
      </c>
      <c r="J130" s="12" t="n">
        <v>2.21923</v>
      </c>
      <c r="K130" s="15">
        <f>IF(OR(F130="",I130="",I130&lt;=0),"",F130/I130)</f>
        <v/>
      </c>
      <c r="L130" s="16" t="n">
        <v>14.708864</v>
      </c>
      <c r="M130" s="17">
        <f>IF(OR(L130="",K130="",K130&lt;=0),"",L130/K130)</f>
        <v/>
      </c>
      <c r="N130" s="18" t="n">
        <v>0.046669997</v>
      </c>
      <c r="O130" s="18" t="n">
        <v>0.1662307907254467</v>
      </c>
      <c r="P130" s="18" t="n">
        <v>0.09713259207574809</v>
      </c>
      <c r="Q130" s="19" t="n">
        <v>4</v>
      </c>
      <c r="R130" s="18" t="n"/>
      <c r="S130" s="18" t="n">
        <v>0.04619111971462313</v>
      </c>
      <c r="T130" s="18" t="n">
        <v>0.09778777447094482</v>
      </c>
      <c r="U130" s="18" t="n">
        <v>0.2394705750870134</v>
      </c>
      <c r="V130" s="18" t="n">
        <v>0.2814736936292054</v>
      </c>
      <c r="W130" s="12" t="n"/>
      <c r="X130" s="17">
        <f>IF(OR(W130="",F130="",F130=0),"",W130/F130)</f>
        <v/>
      </c>
      <c r="Y130" s="20" t="n">
        <v>18.373</v>
      </c>
      <c r="Z130" s="18" t="n">
        <v>0.255</v>
      </c>
      <c r="AA130" s="18" t="n">
        <v>0.04013624946481487</v>
      </c>
      <c r="AB130" s="11">
        <f>IF(AND(N130="",O130=""),"DATI MANCANTI",IF(AND(N(N130)&gt;=PARAMETRI!$B$4,N(O130)&gt;=PARAMETRI!$B$4),"OK","NO"))</f>
        <v/>
      </c>
      <c r="AC130" s="11">
        <f>IF(K130="","N/D",IF(K130&lt;PARAMETRI!$B$6,"OTTIMO",IF(K130&lt;PARAMETRI!$B$5,"OK","NO")))</f>
        <v/>
      </c>
      <c r="AD130" s="11">
        <f>IF(OR(AB130="DATI MANCANTI",AC130="N/D"),"DA COMPLETARE",IF(AND(AB130="OK",AC130="OTTIMO"),"PASSA FORTE",IF(AND(AB130="OK",AC130="OK"),"PASSA","SCARTA")))</f>
        <v/>
      </c>
      <c r="AE130" s="10" t="inlineStr">
        <is>
          <t>2026-08-04</t>
        </is>
      </c>
      <c r="AF130" s="10" t="inlineStr">
        <is>
          <t>yahoo</t>
        </is>
      </c>
      <c r="AG130" s="21" t="inlineStr"/>
    </row>
    <row r="131">
      <c r="A131" s="10" t="n">
        <v>130</v>
      </c>
      <c r="B131" s="10" t="inlineStr">
        <is>
          <t>TJX Companies</t>
        </is>
      </c>
      <c r="C131" s="10" t="inlineStr">
        <is>
          <t>TJX</t>
        </is>
      </c>
      <c r="D131" s="10" t="inlineStr">
        <is>
          <t>Abbigliamento / Retail</t>
        </is>
      </c>
      <c r="E131" s="11" t="inlineStr">
        <is>
          <t>Consumi</t>
        </is>
      </c>
      <c r="F131" s="12" t="n">
        <v>157.5</v>
      </c>
      <c r="G131" s="13" t="inlineStr">
        <is>
          <t>USD</t>
        </is>
      </c>
      <c r="H131" s="14" t="n">
        <v>173990.9</v>
      </c>
      <c r="I131" s="12" t="n">
        <v>5.15</v>
      </c>
      <c r="J131" s="12" t="n">
        <v>5.75951</v>
      </c>
      <c r="K131" s="15">
        <f>IF(OR(F131="",I131="",I131&lt;=0),"",F131/I131)</f>
        <v/>
      </c>
      <c r="L131" s="16" t="n">
        <v>16.730402</v>
      </c>
      <c r="M131" s="17">
        <f>IF(OR(L131="",K131="",K131&lt;=0),"",L131/K131)</f>
        <v/>
      </c>
      <c r="N131" s="18" t="n">
        <v>0.6125</v>
      </c>
      <c r="O131" s="18" t="n">
        <v>0.5702624372175532</v>
      </c>
      <c r="P131" s="18" t="n">
        <v>0.02863520188802303</v>
      </c>
      <c r="Q131" s="19" t="n">
        <v>4</v>
      </c>
      <c r="R131" s="18" t="n">
        <v>0.5391560353287537</v>
      </c>
      <c r="S131" s="18" t="n">
        <v>0.5795305611819374</v>
      </c>
      <c r="T131" s="18" t="n">
        <v>0.6127088468912627</v>
      </c>
      <c r="U131" s="18" t="n">
        <v>0.549654305468259</v>
      </c>
      <c r="V131" s="18" t="n"/>
      <c r="W131" s="12" t="n">
        <v>1.92</v>
      </c>
      <c r="X131" s="17">
        <f>IF(OR(W131="",F131="",F131=0),"",W131/F131)</f>
        <v/>
      </c>
      <c r="Y131" s="20" t="n">
        <v>136.307</v>
      </c>
      <c r="Z131" s="18" t="n">
        <v>0.092</v>
      </c>
      <c r="AA131" s="18" t="n">
        <v>0.09590538872324919</v>
      </c>
      <c r="AB131" s="11">
        <f>IF(AND(N131="",O131=""),"DATI MANCANTI",IF(AND(N(N131)&gt;=PARAMETRI!$B$4,N(O131)&gt;=PARAMETRI!$B$4),"OK","NO"))</f>
        <v/>
      </c>
      <c r="AC131" s="11">
        <f>IF(K131="","N/D",IF(K131&lt;PARAMETRI!$B$6,"OTTIMO",IF(K131&lt;PARAMETRI!$B$5,"OK","NO")))</f>
        <v/>
      </c>
      <c r="AD131" s="11">
        <f>IF(OR(AB131="DATI MANCANTI",AC131="N/D"),"DA COMPLETARE",IF(AND(AB131="OK",AC131="OTTIMO"),"PASSA FORTE",IF(AND(AB131="OK",AC131="OK"),"PASSA","SCARTA")))</f>
        <v/>
      </c>
      <c r="AE131" s="10" t="inlineStr">
        <is>
          <t>2026-08-04</t>
        </is>
      </c>
      <c r="AF131" s="10" t="inlineStr">
        <is>
          <t>yahoo</t>
        </is>
      </c>
      <c r="AG131" s="21" t="inlineStr"/>
    </row>
    <row r="132">
      <c r="A132" s="10" t="n">
        <v>131</v>
      </c>
      <c r="B132" s="10" t="inlineStr">
        <is>
          <t>Walmart</t>
        </is>
      </c>
      <c r="C132" s="10" t="inlineStr">
        <is>
          <t>WMT</t>
        </is>
      </c>
      <c r="D132" s="10" t="inlineStr">
        <is>
          <t>Grande distribuzione</t>
        </is>
      </c>
      <c r="E132" s="11" t="inlineStr">
        <is>
          <t>Consumi</t>
        </is>
      </c>
      <c r="F132" s="12" t="n">
        <v>110.71</v>
      </c>
      <c r="G132" s="13" t="inlineStr">
        <is>
          <t>USD</t>
        </is>
      </c>
      <c r="H132" s="14" t="n">
        <v>881038.9</v>
      </c>
      <c r="I132" s="12" t="n">
        <v>2.84</v>
      </c>
      <c r="J132" s="12" t="n">
        <v>3.27981</v>
      </c>
      <c r="K132" s="15">
        <f>IF(OR(F132="",I132="",I132&lt;=0),"",F132/I132)</f>
        <v/>
      </c>
      <c r="L132" s="16" t="n">
        <v>9.344193000000001</v>
      </c>
      <c r="M132" s="17">
        <f>IF(OR(L132="",K132="",K132&lt;=0),"",L132/K132)</f>
        <v/>
      </c>
      <c r="N132" s="18" t="n">
        <v>0.24132</v>
      </c>
      <c r="O132" s="18" t="n">
        <v>0.1926449949502596</v>
      </c>
      <c r="P132" s="18" t="n">
        <v>0.02673988363519914</v>
      </c>
      <c r="Q132" s="19" t="n">
        <v>4</v>
      </c>
      <c r="R132" s="18" t="n">
        <v>0.2197717257094673</v>
      </c>
      <c r="S132" s="18" t="n">
        <v>0.2135519101666795</v>
      </c>
      <c r="T132" s="18" t="n">
        <v>0.1849608280368705</v>
      </c>
      <c r="U132" s="18" t="n">
        <v>0.1522955158880211</v>
      </c>
      <c r="V132" s="18" t="n"/>
      <c r="W132" s="12" t="n">
        <v>0.99</v>
      </c>
      <c r="X132" s="17">
        <f>IF(OR(W132="",F132="",F132=0),"",W132/F132)</f>
        <v/>
      </c>
      <c r="Y132" s="20" t="n">
        <v>74.816</v>
      </c>
      <c r="Z132" s="18" t="n">
        <v>0.073</v>
      </c>
      <c r="AA132" s="18" t="n">
        <v>0.03188050834942362</v>
      </c>
      <c r="AB132" s="11">
        <f>IF(AND(N132="",O132=""),"DATI MANCANTI",IF(AND(N(N132)&gt;=PARAMETRI!$B$4,N(O132)&gt;=PARAMETRI!$B$4),"OK","NO"))</f>
        <v/>
      </c>
      <c r="AC132" s="11">
        <f>IF(K132="","N/D",IF(K132&lt;PARAMETRI!$B$6,"OTTIMO",IF(K132&lt;PARAMETRI!$B$5,"OK","NO")))</f>
        <v/>
      </c>
      <c r="AD132" s="11">
        <f>IF(OR(AB132="DATI MANCANTI",AC132="N/D"),"DA COMPLETARE",IF(AND(AB132="OK",AC132="OTTIMO"),"PASSA FORTE",IF(AND(AB132="OK",AC132="OK"),"PASSA","SCARTA")))</f>
        <v/>
      </c>
      <c r="AE132" s="10" t="inlineStr">
        <is>
          <t>2026-08-04</t>
        </is>
      </c>
      <c r="AF132" s="10" t="inlineStr">
        <is>
          <t>yahoo</t>
        </is>
      </c>
      <c r="AG132" s="21" t="inlineStr"/>
    </row>
    <row r="133">
      <c r="A133" s="10" t="n">
        <v>132</v>
      </c>
      <c r="B133" s="10" t="inlineStr">
        <is>
          <t>Walt Disney</t>
        </is>
      </c>
      <c r="C133" s="10" t="inlineStr">
        <is>
          <t>DIS</t>
        </is>
      </c>
      <c r="D133" s="10" t="inlineStr">
        <is>
          <t>Media / Intrattenimento</t>
        </is>
      </c>
      <c r="E133" s="11" t="inlineStr">
        <is>
          <t>Consumi</t>
        </is>
      </c>
      <c r="F133" s="12" t="n">
        <v>98.14</v>
      </c>
      <c r="G133" s="13" t="inlineStr">
        <is>
          <t>USD</t>
        </is>
      </c>
      <c r="H133" s="14" t="n">
        <v>170421.2</v>
      </c>
      <c r="I133" s="12" t="n">
        <v>6.25</v>
      </c>
      <c r="J133" s="12" t="n">
        <v>7.45755</v>
      </c>
      <c r="K133" s="15">
        <f>IF(OR(F133="",I133="",I133&lt;=0),"",F133/I133)</f>
        <v/>
      </c>
      <c r="L133" s="16" t="n">
        <v>1.5753567</v>
      </c>
      <c r="M133" s="17">
        <f>IF(OR(L133="",K133="",K133&lt;=0),"",L133/K133)</f>
        <v/>
      </c>
      <c r="N133" s="18" t="n">
        <v>0.1101</v>
      </c>
      <c r="O133" s="18" t="n">
        <v>0.05477208440950006</v>
      </c>
      <c r="P133" s="18" t="n">
        <v>0.03479253613600624</v>
      </c>
      <c r="Q133" s="19" t="n">
        <v>4</v>
      </c>
      <c r="R133" s="18" t="n"/>
      <c r="S133" s="18" t="n">
        <v>0.1128980877226515</v>
      </c>
      <c r="T133" s="18" t="n">
        <v>0.04937634066894415</v>
      </c>
      <c r="U133" s="18" t="n">
        <v>0.02371143366540085</v>
      </c>
      <c r="V133" s="18" t="n">
        <v>0.0331024755810037</v>
      </c>
      <c r="W133" s="12" t="n">
        <v>1.5</v>
      </c>
      <c r="X133" s="17">
        <f>IF(OR(W133="",F133="",F133=0),"",W133/F133)</f>
        <v/>
      </c>
      <c r="Y133" s="20" t="n">
        <v>41.069</v>
      </c>
      <c r="Z133" s="18" t="n">
        <v>0.065</v>
      </c>
      <c r="AA133" s="18" t="n">
        <v>0.1188668309451946</v>
      </c>
      <c r="AB133" s="11">
        <f>IF(AND(N133="",O133=""),"DATI MANCANTI",IF(AND(N(N133)&gt;=PARAMETRI!$B$4,N(O133)&gt;=PARAMETRI!$B$4),"OK","NO"))</f>
        <v/>
      </c>
      <c r="AC133" s="11">
        <f>IF(K133="","N/D",IF(K133&lt;PARAMETRI!$B$6,"OTTIMO",IF(K133&lt;PARAMETRI!$B$5,"OK","NO")))</f>
        <v/>
      </c>
      <c r="AD133" s="11">
        <f>IF(OR(AB133="DATI MANCANTI",AC133="N/D"),"DA COMPLETARE",IF(AND(AB133="OK",AC133="OTTIMO"),"PASSA FORTE",IF(AND(AB133="OK",AC133="OK"),"PASSA","SCARTA")))</f>
        <v/>
      </c>
      <c r="AE133" s="10" t="inlineStr">
        <is>
          <t>2026-08-04</t>
        </is>
      </c>
      <c r="AF133" s="10" t="inlineStr">
        <is>
          <t>yahoo</t>
        </is>
      </c>
      <c r="AG133" s="21" t="inlineStr"/>
    </row>
    <row r="134">
      <c r="A134" s="10" t="n">
        <v>133</v>
      </c>
      <c r="B134" s="10" t="inlineStr">
        <is>
          <t>Chevron</t>
        </is>
      </c>
      <c r="C134" s="10" t="inlineStr">
        <is>
          <t>CVX</t>
        </is>
      </c>
      <c r="D134" s="10" t="inlineStr">
        <is>
          <t>Petrolio integrato</t>
        </is>
      </c>
      <c r="E134" s="11" t="inlineStr">
        <is>
          <t>Energia</t>
        </is>
      </c>
      <c r="F134" s="12" t="n">
        <v>193.18</v>
      </c>
      <c r="G134" s="13" t="inlineStr">
        <is>
          <t>USD</t>
        </is>
      </c>
      <c r="H134" s="14" t="n">
        <v>384736.8</v>
      </c>
      <c r="I134" s="12" t="n">
        <v>10.39</v>
      </c>
      <c r="J134" s="12" t="n">
        <v>12.95529</v>
      </c>
      <c r="K134" s="15">
        <f>IF(OR(F134="",I134="",I134&lt;=0),"",F134/I134)</f>
        <v/>
      </c>
      <c r="L134" s="16" t="n">
        <v>2.079306</v>
      </c>
      <c r="M134" s="17">
        <f>IF(OR(L134="",K134="",K134&lt;=0),"",L134/K134)</f>
        <v/>
      </c>
      <c r="N134" s="18" t="n">
        <v>0.06596406543309198</v>
      </c>
      <c r="O134" s="18" t="n">
        <v>0.1343324653779517</v>
      </c>
      <c r="P134" s="18" t="n">
        <v>0.05660306595463921</v>
      </c>
      <c r="Q134" s="19" t="n">
        <v>4</v>
      </c>
      <c r="R134" s="18" t="n"/>
      <c r="S134" s="18" t="n">
        <v>0.06596406543309198</v>
      </c>
      <c r="T134" s="18" t="n">
        <v>0.1159482136057459</v>
      </c>
      <c r="U134" s="18" t="n">
        <v>0.1327621662928608</v>
      </c>
      <c r="V134" s="18" t="n">
        <v>0.2226554161801082</v>
      </c>
      <c r="W134" s="12" t="n">
        <v>7.12</v>
      </c>
      <c r="X134" s="17">
        <f>IF(OR(W134="",F134="",F134=0),"",W134/F134)</f>
        <v/>
      </c>
      <c r="Y134" s="20" t="n">
        <v>23.989</v>
      </c>
      <c r="Z134" s="18" t="n">
        <v>0.526</v>
      </c>
      <c r="AA134" s="18" t="n">
        <v>0.1116454820855383</v>
      </c>
      <c r="AB134" s="11">
        <f>IF(AND(N134="",O134=""),"DATI MANCANTI",IF(AND(N(N134)&gt;=PARAMETRI!$B$4,N(O134)&gt;=PARAMETRI!$B$4),"OK","NO"))</f>
        <v/>
      </c>
      <c r="AC134" s="11">
        <f>IF(K134="","N/D",IF(K134&lt;PARAMETRI!$B$6,"OTTIMO",IF(K134&lt;PARAMETRI!$B$5,"OK","NO")))</f>
        <v/>
      </c>
      <c r="AD134" s="11">
        <f>IF(OR(AB134="DATI MANCANTI",AC134="N/D"),"DA COMPLETARE",IF(AND(AB134="OK",AC134="OTTIMO"),"PASSA FORTE",IF(AND(AB134="OK",AC134="OK"),"PASSA","SCARTA")))</f>
        <v/>
      </c>
      <c r="AE134" s="10" t="inlineStr">
        <is>
          <t>2026-08-04</t>
        </is>
      </c>
      <c r="AF134" s="10" t="inlineStr">
        <is>
          <t>yahoo</t>
        </is>
      </c>
      <c r="AG134" s="21" t="inlineStr"/>
    </row>
    <row r="135">
      <c r="A135" s="10" t="n">
        <v>134</v>
      </c>
      <c r="B135" s="10" t="inlineStr">
        <is>
          <t>ConocoPhillips</t>
        </is>
      </c>
      <c r="C135" s="10" t="inlineStr">
        <is>
          <t>COP</t>
        </is>
      </c>
      <c r="D135" s="10" t="inlineStr">
        <is>
          <t>Esplorazione e produzione</t>
        </is>
      </c>
      <c r="E135" s="11" t="inlineStr">
        <is>
          <t>Energia</t>
        </is>
      </c>
      <c r="F135" s="12" t="n">
        <v>119.16</v>
      </c>
      <c r="G135" s="13" t="inlineStr">
        <is>
          <t>USD</t>
        </is>
      </c>
      <c r="H135" s="14" t="n">
        <v>145171.9</v>
      </c>
      <c r="I135" s="12" t="n">
        <v>5.9</v>
      </c>
      <c r="J135" s="12" t="n">
        <v>9.06273</v>
      </c>
      <c r="K135" s="15">
        <f>IF(OR(F135="",I135="",I135&lt;=0),"",F135/I135)</f>
        <v/>
      </c>
      <c r="L135" s="16" t="n">
        <v>2.249278</v>
      </c>
      <c r="M135" s="17">
        <f>IF(OR(L135="",K135="",K135&lt;=0),"",L135/K135)</f>
        <v/>
      </c>
      <c r="N135" s="18" t="n">
        <v>0.112840004</v>
      </c>
      <c r="O135" s="18" t="n">
        <v>0.2195092664055975</v>
      </c>
      <c r="P135" s="18" t="n">
        <v>0.1046819831646029</v>
      </c>
      <c r="Q135" s="19" t="n">
        <v>4</v>
      </c>
      <c r="R135" s="18" t="n"/>
      <c r="S135" s="18" t="n">
        <v>0.1238699272721634</v>
      </c>
      <c r="T135" s="18" t="n">
        <v>0.1426785604049633</v>
      </c>
      <c r="U135" s="18" t="n">
        <v>0.222346232675176</v>
      </c>
      <c r="V135" s="18" t="n">
        <v>0.3891423452700873</v>
      </c>
      <c r="W135" s="12" t="n">
        <v>3.36</v>
      </c>
      <c r="X135" s="17">
        <f>IF(OR(W135="",F135="",F135=0),"",W135/F135)</f>
        <v/>
      </c>
      <c r="Y135" s="20" t="n">
        <v>36.143</v>
      </c>
      <c r="Z135" s="18" t="n">
        <v>-0.053</v>
      </c>
      <c r="AA135" s="18" t="n">
        <v>0.1238124299674267</v>
      </c>
      <c r="AB135" s="11">
        <f>IF(AND(N135="",O135=""),"DATI MANCANTI",IF(AND(N(N135)&gt;=PARAMETRI!$B$4,N(O135)&gt;=PARAMETRI!$B$4),"OK","NO"))</f>
        <v/>
      </c>
      <c r="AC135" s="11">
        <f>IF(K135="","N/D",IF(K135&lt;PARAMETRI!$B$6,"OTTIMO",IF(K135&lt;PARAMETRI!$B$5,"OK","NO")))</f>
        <v/>
      </c>
      <c r="AD135" s="11">
        <f>IF(OR(AB135="DATI MANCANTI",AC135="N/D"),"DA COMPLETARE",IF(AND(AB135="OK",AC135="OTTIMO"),"PASSA FORTE",IF(AND(AB135="OK",AC135="OK"),"PASSA","SCARTA")))</f>
        <v/>
      </c>
      <c r="AE135" s="10" t="inlineStr">
        <is>
          <t>2026-08-04</t>
        </is>
      </c>
      <c r="AF135" s="10" t="inlineStr">
        <is>
          <t>yahoo</t>
        </is>
      </c>
      <c r="AG135" s="21" t="inlineStr"/>
    </row>
    <row r="136">
      <c r="A136" s="10" t="n">
        <v>135</v>
      </c>
      <c r="B136" s="10" t="inlineStr">
        <is>
          <t>EOG Resources</t>
        </is>
      </c>
      <c r="C136" s="10" t="inlineStr">
        <is>
          <t>EOG</t>
        </is>
      </c>
      <c r="D136" s="10" t="inlineStr">
        <is>
          <t>Esplorazione e produzione</t>
        </is>
      </c>
      <c r="E136" s="11" t="inlineStr">
        <is>
          <t>Energia</t>
        </is>
      </c>
      <c r="F136" s="12" t="n">
        <v>145.68</v>
      </c>
      <c r="G136" s="13" t="inlineStr">
        <is>
          <t>USD</t>
        </is>
      </c>
      <c r="H136" s="14" t="n">
        <v>77593.3</v>
      </c>
      <c r="I136" s="12" t="n">
        <v>10.17</v>
      </c>
      <c r="J136" s="12" t="n">
        <v>14.72774</v>
      </c>
      <c r="K136" s="15">
        <f>IF(OR(F136="",I136="",I136&lt;=0),"",F136/I136)</f>
        <v/>
      </c>
      <c r="L136" s="16" t="n">
        <v>2.5209386</v>
      </c>
      <c r="M136" s="17">
        <f>IF(OR(L136="",K136="",K136&lt;=0),"",L136/K136)</f>
        <v/>
      </c>
      <c r="N136" s="18" t="n">
        <v>0.18195</v>
      </c>
      <c r="O136" s="18" t="n">
        <v>0.242138828379117</v>
      </c>
      <c r="P136" s="18" t="n">
        <v>0.05492470394983165</v>
      </c>
      <c r="Q136" s="19" t="n">
        <v>4</v>
      </c>
      <c r="R136" s="18" t="n"/>
      <c r="S136" s="18" t="n">
        <v>0.1669292394328428</v>
      </c>
      <c r="T136" s="18" t="n">
        <v>0.2181527034854008</v>
      </c>
      <c r="U136" s="18" t="n">
        <v>0.2703453186187255</v>
      </c>
      <c r="V136" s="18" t="n">
        <v>0.3131280519794988</v>
      </c>
      <c r="W136" s="12" t="n">
        <v>4.08</v>
      </c>
      <c r="X136" s="17">
        <f>IF(OR(W136="",F136="",F136=0),"",W136/F136)</f>
        <v/>
      </c>
      <c r="Y136" s="20" t="n">
        <v>26.873</v>
      </c>
      <c r="Z136" s="18" t="n">
        <v>0.156</v>
      </c>
      <c r="AA136" s="18" t="n">
        <v>0.2434239631564963</v>
      </c>
      <c r="AB136" s="11">
        <f>IF(AND(N136="",O136=""),"DATI MANCANTI",IF(AND(N(N136)&gt;=PARAMETRI!$B$4,N(O136)&gt;=PARAMETRI!$B$4),"OK","NO"))</f>
        <v/>
      </c>
      <c r="AC136" s="11">
        <f>IF(K136="","N/D",IF(K136&lt;PARAMETRI!$B$6,"OTTIMO",IF(K136&lt;PARAMETRI!$B$5,"OK","NO")))</f>
        <v/>
      </c>
      <c r="AD136" s="11">
        <f>IF(OR(AB136="DATI MANCANTI",AC136="N/D"),"DA COMPLETARE",IF(AND(AB136="OK",AC136="OTTIMO"),"PASSA FORTE",IF(AND(AB136="OK",AC136="OK"),"PASSA","SCARTA")))</f>
        <v/>
      </c>
      <c r="AE136" s="10" t="inlineStr">
        <is>
          <t>2026-08-04</t>
        </is>
      </c>
      <c r="AF136" s="10" t="inlineStr">
        <is>
          <t>yahoo</t>
        </is>
      </c>
      <c r="AG136" s="21" t="inlineStr"/>
    </row>
    <row r="137">
      <c r="A137" s="10" t="n">
        <v>136</v>
      </c>
      <c r="B137" s="10" t="inlineStr">
        <is>
          <t>Exxon Mobil</t>
        </is>
      </c>
      <c r="C137" s="10" t="inlineStr">
        <is>
          <t>XOM</t>
        </is>
      </c>
      <c r="D137" s="10" t="inlineStr">
        <is>
          <t>Petrolio integrato</t>
        </is>
      </c>
      <c r="E137" s="11" t="inlineStr">
        <is>
          <t>Energia</t>
        </is>
      </c>
      <c r="F137" s="12" t="n">
        <v>155.06</v>
      </c>
      <c r="G137" s="13" t="inlineStr">
        <is>
          <t>USD</t>
        </is>
      </c>
      <c r="H137" s="14" t="n">
        <v>642715.5</v>
      </c>
      <c r="I137" s="12" t="n">
        <v>5.94</v>
      </c>
      <c r="J137" s="12" t="n">
        <v>10.63977</v>
      </c>
      <c r="K137" s="15">
        <f>IF(OR(F137="",I137="",I137&lt;=0),"",F137/I137)</f>
        <v/>
      </c>
      <c r="L137" s="16" t="n">
        <v>2.4581873</v>
      </c>
      <c r="M137" s="17">
        <f>IF(OR(L137="",K137="",K137&lt;=0),"",L137/K137)</f>
        <v/>
      </c>
      <c r="N137" s="18" t="n">
        <v>0.12584</v>
      </c>
      <c r="O137" s="18" t="n">
        <v>0.1751305613408672</v>
      </c>
      <c r="P137" s="18" t="n">
        <v>0.06814950451387503</v>
      </c>
      <c r="Q137" s="19" t="n">
        <v>4</v>
      </c>
      <c r="R137" s="18" t="n"/>
      <c r="S137" s="18" t="n">
        <v>0.1112010671354661</v>
      </c>
      <c r="T137" s="18" t="n">
        <v>0.1277184732940217</v>
      </c>
      <c r="U137" s="18" t="n">
        <v>0.1758283610511616</v>
      </c>
      <c r="V137" s="18" t="n">
        <v>0.2857743438828192</v>
      </c>
      <c r="W137" s="12" t="n">
        <v>4.12</v>
      </c>
      <c r="X137" s="17">
        <f>IF(OR(W137="",F137="",F137=0),"",W137/F137)</f>
        <v/>
      </c>
      <c r="Y137" s="20" t="n">
        <v>15.921</v>
      </c>
      <c r="Z137" s="18" t="n">
        <v>0.441</v>
      </c>
      <c r="AA137" s="18" t="n">
        <v>0.1011315052005989</v>
      </c>
      <c r="AB137" s="11">
        <f>IF(AND(N137="",O137=""),"DATI MANCANTI",IF(AND(N(N137)&gt;=PARAMETRI!$B$4,N(O137)&gt;=PARAMETRI!$B$4),"OK","NO"))</f>
        <v/>
      </c>
      <c r="AC137" s="11">
        <f>IF(K137="","N/D",IF(K137&lt;PARAMETRI!$B$6,"OTTIMO",IF(K137&lt;PARAMETRI!$B$5,"OK","NO")))</f>
        <v/>
      </c>
      <c r="AD137" s="11">
        <f>IF(OR(AB137="DATI MANCANTI",AC137="N/D"),"DA COMPLETARE",IF(AND(AB137="OK",AC137="OTTIMO"),"PASSA FORTE",IF(AND(AB137="OK",AC137="OK"),"PASSA","SCARTA")))</f>
        <v/>
      </c>
      <c r="AE137" s="10" t="inlineStr">
        <is>
          <t>2026-08-04</t>
        </is>
      </c>
      <c r="AF137" s="10" t="inlineStr">
        <is>
          <t>yahoo</t>
        </is>
      </c>
      <c r="AG137" s="21" t="inlineStr"/>
    </row>
    <row r="138">
      <c r="A138" s="10" t="n">
        <v>137</v>
      </c>
      <c r="B138" s="10" t="inlineStr">
        <is>
          <t>Kinder Morgan</t>
        </is>
      </c>
      <c r="C138" s="10" t="inlineStr">
        <is>
          <t>KMI</t>
        </is>
      </c>
      <c r="D138" s="10" t="inlineStr">
        <is>
          <t>Gasdotti</t>
        </is>
      </c>
      <c r="E138" s="11" t="inlineStr">
        <is>
          <t>Energia</t>
        </is>
      </c>
      <c r="F138" s="12" t="n">
        <v>31.4</v>
      </c>
      <c r="G138" s="13" t="inlineStr">
        <is>
          <t>USD</t>
        </is>
      </c>
      <c r="H138" s="14" t="n">
        <v>69859.5</v>
      </c>
      <c r="I138" s="12" t="n">
        <v>1.55</v>
      </c>
      <c r="J138" s="12" t="n">
        <v>1.53814</v>
      </c>
      <c r="K138" s="15">
        <f>IF(OR(F138="",I138="",I138&lt;=0),"",F138/I138)</f>
        <v/>
      </c>
      <c r="L138" s="16" t="n">
        <v>2.2086234</v>
      </c>
      <c r="M138" s="17">
        <f>IF(OR(L138="",K138="",K138&lt;=0),"",L138/K138)</f>
        <v/>
      </c>
      <c r="N138" s="18" t="n">
        <v>0.109910004</v>
      </c>
      <c r="O138" s="18" t="n">
        <v>0.08635798073446269</v>
      </c>
      <c r="P138" s="18" t="n">
        <v>0.007167473388274325</v>
      </c>
      <c r="Q138" s="19" t="n">
        <v>4</v>
      </c>
      <c r="R138" s="18" t="n"/>
      <c r="S138" s="18" t="n">
        <v>0.0980681599383865</v>
      </c>
      <c r="T138" s="18" t="n">
        <v>0.08558514296944089</v>
      </c>
      <c r="U138" s="18" t="n">
        <v>0.07889526826371016</v>
      </c>
      <c r="V138" s="18" t="n">
        <v>0.08288335176631319</v>
      </c>
      <c r="W138" s="12" t="n">
        <v>1.18</v>
      </c>
      <c r="X138" s="17">
        <f>IF(OR(W138="",F138="",F138=0),"",W138/F138)</f>
        <v/>
      </c>
      <c r="Y138" s="20" t="n">
        <v>98.619</v>
      </c>
      <c r="Z138" s="18" t="n">
        <v>0.108</v>
      </c>
      <c r="AA138" s="18" t="n">
        <v>0.2036370039558363</v>
      </c>
      <c r="AB138" s="11">
        <f>IF(AND(N138="",O138=""),"DATI MANCANTI",IF(AND(N(N138)&gt;=PARAMETRI!$B$4,N(O138)&gt;=PARAMETRI!$B$4),"OK","NO"))</f>
        <v/>
      </c>
      <c r="AC138" s="11">
        <f>IF(K138="","N/D",IF(K138&lt;PARAMETRI!$B$6,"OTTIMO",IF(K138&lt;PARAMETRI!$B$5,"OK","NO")))</f>
        <v/>
      </c>
      <c r="AD138" s="11">
        <f>IF(OR(AB138="DATI MANCANTI",AC138="N/D"),"DA COMPLETARE",IF(AND(AB138="OK",AC138="OTTIMO"),"PASSA FORTE",IF(AND(AB138="OK",AC138="OK"),"PASSA","SCARTA")))</f>
        <v/>
      </c>
      <c r="AE138" s="10" t="inlineStr">
        <is>
          <t>2026-08-04</t>
        </is>
      </c>
      <c r="AF138" s="10" t="inlineStr">
        <is>
          <t>yahoo</t>
        </is>
      </c>
      <c r="AG138" s="21" t="inlineStr"/>
    </row>
    <row r="139">
      <c r="A139" s="10" t="n">
        <v>138</v>
      </c>
      <c r="B139" s="10" t="inlineStr">
        <is>
          <t>Marathon Petroleum</t>
        </is>
      </c>
      <c r="C139" s="10" t="inlineStr">
        <is>
          <t>MPC</t>
        </is>
      </c>
      <c r="D139" s="10" t="inlineStr">
        <is>
          <t>Raffinazione</t>
        </is>
      </c>
      <c r="E139" s="11" t="inlineStr">
        <is>
          <t>Energia</t>
        </is>
      </c>
      <c r="F139" s="12" t="n">
        <v>307.03</v>
      </c>
      <c r="G139" s="13" t="inlineStr">
        <is>
          <t>USD</t>
        </is>
      </c>
      <c r="H139" s="14" t="n">
        <v>89633.3</v>
      </c>
      <c r="I139" s="12" t="n">
        <v>15.19</v>
      </c>
      <c r="J139" s="12" t="n">
        <v>27.76904</v>
      </c>
      <c r="K139" s="15">
        <f>IF(OR(F139="",I139="",I139&lt;=0),"",F139/I139)</f>
        <v/>
      </c>
      <c r="L139" s="16" t="n">
        <v>5.369817</v>
      </c>
      <c r="M139" s="17">
        <f>IF(OR(L139="",K139="",K139&lt;=0),"",L139/K139)</f>
        <v/>
      </c>
      <c r="N139" s="18" t="n">
        <v>0.27458</v>
      </c>
      <c r="O139" s="18" t="n">
        <v>0.3370844086701393</v>
      </c>
      <c r="P139" s="18" t="n">
        <v>0.1318279662032452</v>
      </c>
      <c r="Q139" s="19" t="n">
        <v>4</v>
      </c>
      <c r="R139" s="18" t="n"/>
      <c r="S139" s="18" t="n">
        <v>0.2337414808825228</v>
      </c>
      <c r="T139" s="18" t="n">
        <v>0.1941391941391941</v>
      </c>
      <c r="U139" s="18" t="n">
        <v>0.3966972627438125</v>
      </c>
      <c r="V139" s="18" t="n">
        <v>0.523759696915028</v>
      </c>
      <c r="W139" s="12" t="n">
        <v>4</v>
      </c>
      <c r="X139" s="17">
        <f>IF(OR(W139="",F139="",F139=0),"",W139/F139)</f>
        <v/>
      </c>
      <c r="Y139" s="20" t="n">
        <v>146.523</v>
      </c>
      <c r="Z139" s="18" t="n">
        <v>0.08799999999999999</v>
      </c>
      <c r="AA139" s="18" t="n">
        <v>0.0348759202706878</v>
      </c>
      <c r="AB139" s="11">
        <f>IF(AND(N139="",O139=""),"DATI MANCANTI",IF(AND(N(N139)&gt;=PARAMETRI!$B$4,N(O139)&gt;=PARAMETRI!$B$4),"OK","NO"))</f>
        <v/>
      </c>
      <c r="AC139" s="11">
        <f>IF(K139="","N/D",IF(K139&lt;PARAMETRI!$B$6,"OTTIMO",IF(K139&lt;PARAMETRI!$B$5,"OK","NO")))</f>
        <v/>
      </c>
      <c r="AD139" s="11">
        <f>IF(OR(AB139="DATI MANCANTI",AC139="N/D"),"DA COMPLETARE",IF(AND(AB139="OK",AC139="OTTIMO"),"PASSA FORTE",IF(AND(AB139="OK",AC139="OK"),"PASSA","SCARTA")))</f>
        <v/>
      </c>
      <c r="AE139" s="10" t="inlineStr">
        <is>
          <t>2026-08-04</t>
        </is>
      </c>
      <c r="AF139" s="10" t="inlineStr">
        <is>
          <t>yahoo</t>
        </is>
      </c>
      <c r="AG139" s="21" t="inlineStr"/>
    </row>
    <row r="140">
      <c r="A140" s="10" t="n">
        <v>139</v>
      </c>
      <c r="B140" s="10" t="inlineStr">
        <is>
          <t>Occidental Petroleum</t>
        </is>
      </c>
      <c r="C140" s="10" t="inlineStr">
        <is>
          <t>OXY</t>
        </is>
      </c>
      <c r="D140" s="10" t="inlineStr">
        <is>
          <t>Esplorazione e produzione</t>
        </is>
      </c>
      <c r="E140" s="11" t="inlineStr">
        <is>
          <t>Energia</t>
        </is>
      </c>
      <c r="F140" s="12" t="n">
        <v>55.47</v>
      </c>
      <c r="G140" s="13" t="inlineStr">
        <is>
          <t>USD</t>
        </is>
      </c>
      <c r="H140" s="14" t="n">
        <v>55172.4</v>
      </c>
      <c r="I140" s="12" t="n">
        <v>0.74</v>
      </c>
      <c r="J140" s="12" t="n">
        <v>3.9089</v>
      </c>
      <c r="K140" s="15">
        <f>IF(OR(F140="",I140="",I140&lt;=0),"",F140/I140)</f>
        <v/>
      </c>
      <c r="L140" s="16" t="n">
        <v>1.7941586</v>
      </c>
      <c r="M140" s="17">
        <f>IF(OR(L140="",K140="",K140&lt;=0),"",L140/K140)</f>
        <v/>
      </c>
      <c r="N140" s="18" t="n">
        <v>0.04053</v>
      </c>
      <c r="O140" s="18" t="n">
        <v>0.1878668803897049</v>
      </c>
      <c r="P140" s="18" t="n">
        <v>0.1505382025614877</v>
      </c>
      <c r="Q140" s="19" t="n">
        <v>4</v>
      </c>
      <c r="R140" s="18" t="n"/>
      <c r="S140" s="18" t="n">
        <v>0.06455014708331021</v>
      </c>
      <c r="T140" s="18" t="n">
        <v>0.08946397728270734</v>
      </c>
      <c r="U140" s="18" t="n">
        <v>0.1552396694214876</v>
      </c>
      <c r="V140" s="18" t="n">
        <v>0.4422137277713146</v>
      </c>
      <c r="W140" s="12" t="n">
        <v>1.04</v>
      </c>
      <c r="X140" s="17">
        <f>IF(OR(W140="",F140="",F140=0),"",W140/F140)</f>
        <v/>
      </c>
      <c r="Y140" s="20" t="n">
        <v>41.989</v>
      </c>
      <c r="Z140" s="18" t="n">
        <v>-0.083</v>
      </c>
      <c r="AA140" s="18" t="n">
        <v>0.03408512017783541</v>
      </c>
      <c r="AB140" s="11">
        <f>IF(AND(N140="",O140=""),"DATI MANCANTI",IF(AND(N(N140)&gt;=PARAMETRI!$B$4,N(O140)&gt;=PARAMETRI!$B$4),"OK","NO"))</f>
        <v/>
      </c>
      <c r="AC140" s="11">
        <f>IF(K140="","N/D",IF(K140&lt;PARAMETRI!$B$6,"OTTIMO",IF(K140&lt;PARAMETRI!$B$5,"OK","NO")))</f>
        <v/>
      </c>
      <c r="AD140" s="11">
        <f>IF(OR(AB140="DATI MANCANTI",AC140="N/D"),"DA COMPLETARE",IF(AND(AB140="OK",AC140="OTTIMO"),"PASSA FORTE",IF(AND(AB140="OK",AC140="OK"),"PASSA","SCARTA")))</f>
        <v/>
      </c>
      <c r="AE140" s="10" t="inlineStr">
        <is>
          <t>2026-08-04</t>
        </is>
      </c>
      <c r="AF140" s="10" t="inlineStr">
        <is>
          <t>yahoo</t>
        </is>
      </c>
      <c r="AG140" s="21" t="inlineStr"/>
    </row>
    <row r="141">
      <c r="A141" s="10" t="n">
        <v>140</v>
      </c>
      <c r="B141" s="10" t="inlineStr">
        <is>
          <t>Phillips 66</t>
        </is>
      </c>
      <c r="C141" s="10" t="inlineStr">
        <is>
          <t>PSX</t>
        </is>
      </c>
      <c r="D141" s="10" t="inlineStr">
        <is>
          <t>Raffinazione</t>
        </is>
      </c>
      <c r="E141" s="11" t="inlineStr">
        <is>
          <t>Energia</t>
        </is>
      </c>
      <c r="F141" s="12" t="n">
        <v>206.19</v>
      </c>
      <c r="G141" s="13" t="inlineStr">
        <is>
          <t>USD</t>
        </is>
      </c>
      <c r="H141" s="14" t="n">
        <v>82668.8</v>
      </c>
      <c r="I141" s="12" t="n">
        <v>10.12</v>
      </c>
      <c r="J141" s="12" t="n">
        <v>18.97818</v>
      </c>
      <c r="K141" s="15">
        <f>IF(OR(F141="",I141="",I141&lt;=0),"",F141/I141)</f>
        <v/>
      </c>
      <c r="L141" s="16" t="n">
        <v>2.8977993</v>
      </c>
      <c r="M141" s="17">
        <f>IF(OR(L141="",K141="",K141&lt;=0),"",L141/K141)</f>
        <v/>
      </c>
      <c r="N141" s="18" t="n">
        <v>0.14547</v>
      </c>
      <c r="O141" s="18" t="n">
        <v>0.2079323006455208</v>
      </c>
      <c r="P141" s="18" t="n">
        <v>0.1098238706639464</v>
      </c>
      <c r="Q141" s="19" t="n">
        <v>4</v>
      </c>
      <c r="R141" s="18" t="n"/>
      <c r="S141" s="18" t="n">
        <v>0.151342247275977</v>
      </c>
      <c r="T141" s="18" t="n">
        <v>0.07724022183304145</v>
      </c>
      <c r="U141" s="18" t="n">
        <v>0.2293757970114116</v>
      </c>
      <c r="V141" s="18" t="n">
        <v>0.3737709364616532</v>
      </c>
      <c r="W141" s="12" t="n">
        <v>5.08</v>
      </c>
      <c r="X141" s="17">
        <f>IF(OR(W141="",F141="",F141=0),"",W141/F141)</f>
        <v/>
      </c>
      <c r="Y141" s="20" t="n">
        <v>91.38500000000001</v>
      </c>
      <c r="Z141" s="18" t="n">
        <v>0.06900000000000001</v>
      </c>
      <c r="AA141" s="18" t="n">
        <v>0.03107814008581616</v>
      </c>
      <c r="AB141" s="11">
        <f>IF(AND(N141="",O141=""),"DATI MANCANTI",IF(AND(N(N141)&gt;=PARAMETRI!$B$4,N(O141)&gt;=PARAMETRI!$B$4),"OK","NO"))</f>
        <v/>
      </c>
      <c r="AC141" s="11">
        <f>IF(K141="","N/D",IF(K141&lt;PARAMETRI!$B$6,"OTTIMO",IF(K141&lt;PARAMETRI!$B$5,"OK","NO")))</f>
        <v/>
      </c>
      <c r="AD141" s="11">
        <f>IF(OR(AB141="DATI MANCANTI",AC141="N/D"),"DA COMPLETARE",IF(AND(AB141="OK",AC141="OTTIMO"),"PASSA FORTE",IF(AND(AB141="OK",AC141="OK"),"PASSA","SCARTA")))</f>
        <v/>
      </c>
      <c r="AE141" s="10" t="inlineStr">
        <is>
          <t>2026-08-04</t>
        </is>
      </c>
      <c r="AF141" s="10" t="inlineStr">
        <is>
          <t>yahoo</t>
        </is>
      </c>
      <c r="AG141" s="21" t="inlineStr"/>
    </row>
    <row r="142">
      <c r="A142" s="10" t="n">
        <v>141</v>
      </c>
      <c r="B142" s="10" t="inlineStr">
        <is>
          <t>SLB (Schlumberger)</t>
        </is>
      </c>
      <c r="C142" s="10" t="inlineStr">
        <is>
          <t>SLB</t>
        </is>
      </c>
      <c r="D142" s="10" t="inlineStr">
        <is>
          <t>Oil service</t>
        </is>
      </c>
      <c r="E142" s="11" t="inlineStr">
        <is>
          <t>Energia</t>
        </is>
      </c>
      <c r="F142" s="12" t="n">
        <v>49.31</v>
      </c>
      <c r="G142" s="13" t="inlineStr">
        <is>
          <t>USD</t>
        </is>
      </c>
      <c r="H142" s="14" t="n">
        <v>73183.10000000001</v>
      </c>
      <c r="I142" s="12" t="n">
        <v>2.05</v>
      </c>
      <c r="J142" s="12" t="n">
        <v>3.25904</v>
      </c>
      <c r="K142" s="15">
        <f>IF(OR(F142="",I142="",I142&lt;=0),"",F142/I142)</f>
        <v/>
      </c>
      <c r="L142" s="16" t="n">
        <v>2.6849988</v>
      </c>
      <c r="M142" s="17">
        <f>IF(OR(L142="",K142="",K142&lt;=0),"",L142/K142)</f>
        <v/>
      </c>
      <c r="N142" s="18" t="n">
        <v>0.12909001</v>
      </c>
      <c r="O142" s="18" t="n">
        <v>0.1857758605281961</v>
      </c>
      <c r="P142" s="18" t="n">
        <v>0.03323988575793588</v>
      </c>
      <c r="Q142" s="19" t="n">
        <v>4</v>
      </c>
      <c r="R142" s="18" t="n"/>
      <c r="S142" s="18" t="n">
        <v>0.1292274694549772</v>
      </c>
      <c r="T142" s="18" t="n">
        <v>0.2111216280170374</v>
      </c>
      <c r="U142" s="18" t="n">
        <v>0.2081826737332211</v>
      </c>
      <c r="V142" s="18" t="n">
        <v>0.1945716709075488</v>
      </c>
      <c r="W142" s="12" t="n">
        <v>1.18</v>
      </c>
      <c r="X142" s="17">
        <f>IF(OR(W142="",F142="",F142=0),"",W142/F142)</f>
        <v/>
      </c>
      <c r="Y142" s="20" t="n">
        <v>47.002</v>
      </c>
      <c r="Z142" s="18" t="n">
        <v>0.05</v>
      </c>
      <c r="AA142" s="18" t="n">
        <v>0.08684328262574213</v>
      </c>
      <c r="AB142" s="11">
        <f>IF(AND(N142="",O142=""),"DATI MANCANTI",IF(AND(N(N142)&gt;=PARAMETRI!$B$4,N(O142)&gt;=PARAMETRI!$B$4),"OK","NO"))</f>
        <v/>
      </c>
      <c r="AC142" s="11">
        <f>IF(K142="","N/D",IF(K142&lt;PARAMETRI!$B$6,"OTTIMO",IF(K142&lt;PARAMETRI!$B$5,"OK","NO")))</f>
        <v/>
      </c>
      <c r="AD142" s="11">
        <f>IF(OR(AB142="DATI MANCANTI",AC142="N/D"),"DA COMPLETARE",IF(AND(AB142="OK",AC142="OTTIMO"),"PASSA FORTE",IF(AND(AB142="OK",AC142="OK"),"PASSA","SCARTA")))</f>
        <v/>
      </c>
      <c r="AE142" s="10" t="inlineStr">
        <is>
          <t>2026-08-04</t>
        </is>
      </c>
      <c r="AF142" s="10" t="inlineStr">
        <is>
          <t>yahoo</t>
        </is>
      </c>
      <c r="AG142" s="21" t="inlineStr"/>
    </row>
    <row r="143">
      <c r="A143" s="10" t="n">
        <v>142</v>
      </c>
      <c r="B143" s="10" t="inlineStr">
        <is>
          <t>Valero Energy</t>
        </is>
      </c>
      <c r="C143" s="10" t="inlineStr">
        <is>
          <t>VLO</t>
        </is>
      </c>
      <c r="D143" s="10" t="inlineStr">
        <is>
          <t>Raffinazione</t>
        </is>
      </c>
      <c r="E143" s="11" t="inlineStr">
        <is>
          <t>Energia</t>
        </is>
      </c>
      <c r="F143" s="12" t="n">
        <v>307.54</v>
      </c>
      <c r="G143" s="13" t="inlineStr">
        <is>
          <t>USD</t>
        </is>
      </c>
      <c r="H143" s="14" t="n">
        <v>88549.2</v>
      </c>
      <c r="I143" s="12" t="n">
        <v>23.97</v>
      </c>
      <c r="J143" s="12" t="n">
        <v>27.35229</v>
      </c>
      <c r="K143" s="15">
        <f>IF(OR(F143="",I143="",I143&lt;=0),"",F143/I143)</f>
        <v/>
      </c>
      <c r="L143" s="16" t="n">
        <v>3.8256955</v>
      </c>
      <c r="M143" s="17">
        <f>IF(OR(L143="",K143="",K143&lt;=0),"",L143/K143)</f>
        <v/>
      </c>
      <c r="N143" s="18" t="n">
        <v>0.27637</v>
      </c>
      <c r="O143" s="18" t="n">
        <v>0.2591503425025153</v>
      </c>
      <c r="P143" s="18" t="n">
        <v>0.1626219038409605</v>
      </c>
      <c r="Q143" s="19" t="n">
        <v>4</v>
      </c>
      <c r="R143" s="18" t="n"/>
      <c r="S143" s="18" t="n">
        <v>0.09896733403582719</v>
      </c>
      <c r="T143" s="18" t="n">
        <v>0.1130058746736292</v>
      </c>
      <c r="U143" s="18" t="n">
        <v>0.3353450239125484</v>
      </c>
      <c r="V143" s="18" t="n">
        <v>0.4892831373880565</v>
      </c>
      <c r="W143" s="12" t="n">
        <v>4.8</v>
      </c>
      <c r="X143" s="17">
        <f>IF(OR(W143="",F143="",F143=0),"",W143/F143)</f>
        <v/>
      </c>
      <c r="Y143" s="20" t="n">
        <v>40.148</v>
      </c>
      <c r="Z143" s="18" t="n">
        <v>0.517</v>
      </c>
      <c r="AA143" s="18" t="n">
        <v>0.05862886806263092</v>
      </c>
      <c r="AB143" s="11">
        <f>IF(AND(N143="",O143=""),"DATI MANCANTI",IF(AND(N(N143)&gt;=PARAMETRI!$B$4,N(O143)&gt;=PARAMETRI!$B$4),"OK","NO"))</f>
        <v/>
      </c>
      <c r="AC143" s="11">
        <f>IF(K143="","N/D",IF(K143&lt;PARAMETRI!$B$6,"OTTIMO",IF(K143&lt;PARAMETRI!$B$5,"OK","NO")))</f>
        <v/>
      </c>
      <c r="AD143" s="11">
        <f>IF(OR(AB143="DATI MANCANTI",AC143="N/D"),"DA COMPLETARE",IF(AND(AB143="OK",AC143="OTTIMO"),"PASSA FORTE",IF(AND(AB143="OK",AC143="OK"),"PASSA","SCARTA")))</f>
        <v/>
      </c>
      <c r="AE143" s="10" t="inlineStr">
        <is>
          <t>2026-08-04</t>
        </is>
      </c>
      <c r="AF143" s="10" t="inlineStr">
        <is>
          <t>yahoo</t>
        </is>
      </c>
      <c r="AG143" s="21" t="inlineStr"/>
    </row>
    <row r="144">
      <c r="A144" s="10" t="n">
        <v>143</v>
      </c>
      <c r="B144" s="10" t="inlineStr">
        <is>
          <t>Williams Companies</t>
        </is>
      </c>
      <c r="C144" s="10" t="inlineStr">
        <is>
          <t>WMB</t>
        </is>
      </c>
      <c r="D144" s="10" t="inlineStr">
        <is>
          <t>Gasdotti</t>
        </is>
      </c>
      <c r="E144" s="11" t="inlineStr">
        <is>
          <t>Energia</t>
        </is>
      </c>
      <c r="F144" s="12" t="n">
        <v>70.43000000000001</v>
      </c>
      <c r="G144" s="13" t="inlineStr">
        <is>
          <t>USD</t>
        </is>
      </c>
      <c r="H144" s="14" t="n">
        <v>86135.8</v>
      </c>
      <c r="I144" s="12" t="n">
        <v>2.28</v>
      </c>
      <c r="J144" s="12" t="n">
        <v>2.57591</v>
      </c>
      <c r="K144" s="15">
        <f>IF(OR(F144="",I144="",I144&lt;=0),"",F144/I144)</f>
        <v/>
      </c>
      <c r="L144" s="16" t="n">
        <v>6.7384233</v>
      </c>
      <c r="M144" s="17">
        <f>IF(OR(L144="",K144="",K144&lt;=0),"",L144/K144)</f>
        <v/>
      </c>
      <c r="N144" s="18" t="n">
        <v>0.19656</v>
      </c>
      <c r="O144" s="18" t="n">
        <v>0.2045179374667133</v>
      </c>
      <c r="P144" s="18" t="n">
        <v>0.03170850933970622</v>
      </c>
      <c r="Q144" s="19" t="n">
        <v>4</v>
      </c>
      <c r="R144" s="18" t="n"/>
      <c r="S144" s="18" t="n">
        <v>0.2044194581088467</v>
      </c>
      <c r="T144" s="18" t="n">
        <v>0.1789160501769058</v>
      </c>
      <c r="U144" s="18" t="n">
        <v>0.2563296242541526</v>
      </c>
      <c r="V144" s="18" t="n">
        <v>0.1784066173269482</v>
      </c>
      <c r="W144" s="12" t="n">
        <v>2.1</v>
      </c>
      <c r="X144" s="17">
        <f>IF(OR(W144="",F144="",F144=0),"",W144/F144)</f>
        <v/>
      </c>
      <c r="Y144" s="20" t="n">
        <v>199.855</v>
      </c>
      <c r="Z144" s="18" t="n">
        <v>0.09</v>
      </c>
      <c r="AA144" s="18" t="n">
        <v>0.2333891159832636</v>
      </c>
      <c r="AB144" s="11">
        <f>IF(AND(N144="",O144=""),"DATI MANCANTI",IF(AND(N(N144)&gt;=PARAMETRI!$B$4,N(O144)&gt;=PARAMETRI!$B$4),"OK","NO"))</f>
        <v/>
      </c>
      <c r="AC144" s="11">
        <f>IF(K144="","N/D",IF(K144&lt;PARAMETRI!$B$6,"OTTIMO",IF(K144&lt;PARAMETRI!$B$5,"OK","NO")))</f>
        <v/>
      </c>
      <c r="AD144" s="11">
        <f>IF(OR(AB144="DATI MANCANTI",AC144="N/D"),"DA COMPLETARE",IF(AND(AB144="OK",AC144="OTTIMO"),"PASSA FORTE",IF(AND(AB144="OK",AC144="OK"),"PASSA","SCARTA")))</f>
        <v/>
      </c>
      <c r="AE144" s="10" t="inlineStr">
        <is>
          <t>2026-08-04</t>
        </is>
      </c>
      <c r="AF144" s="10" t="inlineStr">
        <is>
          <t>yahoo</t>
        </is>
      </c>
      <c r="AG144" s="21" t="inlineStr"/>
    </row>
    <row r="145">
      <c r="A145" s="10" t="n">
        <v>144</v>
      </c>
      <c r="B145" s="10" t="inlineStr">
        <is>
          <t>American Electric Power</t>
        </is>
      </c>
      <c r="C145" s="10" t="inlineStr">
        <is>
          <t>AEP</t>
        </is>
      </c>
      <c r="D145" s="10" t="inlineStr">
        <is>
          <t>Utility</t>
        </is>
      </c>
      <c r="E145" s="11" t="inlineStr">
        <is>
          <t>Utility</t>
        </is>
      </c>
      <c r="F145" s="12" t="n">
        <v>128.32</v>
      </c>
      <c r="G145" s="13" t="inlineStr">
        <is>
          <t>USD</t>
        </is>
      </c>
      <c r="H145" s="14" t="n">
        <v>69857.10000000001</v>
      </c>
      <c r="I145" s="12" t="n">
        <v>5.77</v>
      </c>
      <c r="J145" s="12" t="n">
        <v>6.85472</v>
      </c>
      <c r="K145" s="15">
        <f>IF(OR(F145="",I145="",I145&lt;=0),"",F145/I145)</f>
        <v/>
      </c>
      <c r="L145" s="16" t="n">
        <v>2.1775358</v>
      </c>
      <c r="M145" s="17">
        <f>IF(OR(L145="",K145="",K145&lt;=0),"",L145/K145)</f>
        <v/>
      </c>
      <c r="N145" s="18" t="n">
        <v>0.10130999</v>
      </c>
      <c r="O145" s="18" t="n">
        <v>0.1022771363241528</v>
      </c>
      <c r="P145" s="18" t="n">
        <v>0.01089640173381587</v>
      </c>
      <c r="Q145" s="19" t="n">
        <v>4</v>
      </c>
      <c r="R145" s="18" t="n"/>
      <c r="S145" s="18" t="n">
        <v>0.1149720598625474</v>
      </c>
      <c r="T145" s="18" t="n">
        <v>0.1101172802850356</v>
      </c>
      <c r="U145" s="18" t="n">
        <v>0.08745697457489493</v>
      </c>
      <c r="V145" s="18" t="n">
        <v>0.09656223057413345</v>
      </c>
      <c r="W145" s="12" t="n">
        <v>3.8</v>
      </c>
      <c r="X145" s="17">
        <f>IF(OR(W145="",F145="",F145=0),"",W145/F145)</f>
        <v/>
      </c>
      <c r="Y145" s="20" t="n">
        <v>160.789</v>
      </c>
      <c r="Z145" s="18" t="n">
        <v>0.07000000000000001</v>
      </c>
      <c r="AA145" s="18" t="n">
        <v>0.1435820047540684</v>
      </c>
      <c r="AB145" s="11">
        <f>IF(AND(N145="",O145=""),"DATI MANCANTI",IF(AND(N(N145)&gt;=PARAMETRI!$B$4,N(O145)&gt;=PARAMETRI!$B$4),"OK","NO"))</f>
        <v/>
      </c>
      <c r="AC145" s="11">
        <f>IF(K145="","N/D",IF(K145&lt;PARAMETRI!$B$6,"OTTIMO",IF(K145&lt;PARAMETRI!$B$5,"OK","NO")))</f>
        <v/>
      </c>
      <c r="AD145" s="11">
        <f>IF(OR(AB145="DATI MANCANTI",AC145="N/D"),"DA COMPLETARE",IF(AND(AB145="OK",AC145="OTTIMO"),"PASSA FORTE",IF(AND(AB145="OK",AC145="OK"),"PASSA","SCARTA")))</f>
        <v/>
      </c>
      <c r="AE145" s="10" t="inlineStr">
        <is>
          <t>2026-08-04</t>
        </is>
      </c>
      <c r="AF145" s="10" t="inlineStr">
        <is>
          <t>yahoo</t>
        </is>
      </c>
      <c r="AG145" s="21" t="inlineStr"/>
    </row>
    <row r="146">
      <c r="A146" s="10" t="n">
        <v>145</v>
      </c>
      <c r="B146" s="10" t="inlineStr">
        <is>
          <t>Constellation Energy</t>
        </is>
      </c>
      <c r="C146" s="10" t="inlineStr">
        <is>
          <t>CEG</t>
        </is>
      </c>
      <c r="D146" s="10" t="inlineStr">
        <is>
          <t>Utility / Nucleare</t>
        </is>
      </c>
      <c r="E146" s="11" t="inlineStr">
        <is>
          <t>Utility</t>
        </is>
      </c>
      <c r="F146" s="12" t="n">
        <v>273.71</v>
      </c>
      <c r="G146" s="13" t="inlineStr">
        <is>
          <t>USD</t>
        </is>
      </c>
      <c r="H146" s="14" t="n">
        <v>97742.39999999999</v>
      </c>
      <c r="I146" s="12" t="n">
        <v>11.51</v>
      </c>
      <c r="J146" s="12" t="n">
        <v>13.32674</v>
      </c>
      <c r="K146" s="15">
        <f>IF(OR(F146="",I146="",I146&lt;=0),"",F146/I146)</f>
        <v/>
      </c>
      <c r="L146" s="16" t="n">
        <v>2.9621332</v>
      </c>
      <c r="M146" s="17">
        <f>IF(OR(L146="",K146="",K146&lt;=0),"",L146/K146)</f>
        <v/>
      </c>
      <c r="N146" s="18" t="n">
        <v>0.16104999</v>
      </c>
      <c r="O146" s="18" t="n">
        <v>0.1446322510499069</v>
      </c>
      <c r="P146" s="18" t="n">
        <v>0.1063089118500449</v>
      </c>
      <c r="Q146" s="19" t="n">
        <v>4</v>
      </c>
      <c r="R146" s="18" t="n"/>
      <c r="S146" s="18" t="n">
        <v>0.1597437487084108</v>
      </c>
      <c r="T146" s="18" t="n">
        <v>0.2847485948655628</v>
      </c>
      <c r="U146" s="18" t="n">
        <v>0.148558352402746</v>
      </c>
      <c r="V146" s="18" t="n">
        <v>-0.01452169177709203</v>
      </c>
      <c r="W146" s="12" t="n">
        <v>1.71</v>
      </c>
      <c r="X146" s="17">
        <f>IF(OR(W146="",F146="",F146=0),"",W146/F146)</f>
        <v/>
      </c>
      <c r="Y146" s="20" t="n">
        <v>66.428</v>
      </c>
      <c r="Z146" s="18" t="n">
        <v>0.638</v>
      </c>
      <c r="AA146" s="18" t="n">
        <v>0.1484745256726589</v>
      </c>
      <c r="AB146" s="11">
        <f>IF(AND(N146="",O146=""),"DATI MANCANTI",IF(AND(N(N146)&gt;=PARAMETRI!$B$4,N(O146)&gt;=PARAMETRI!$B$4),"OK","NO"))</f>
        <v/>
      </c>
      <c r="AC146" s="11">
        <f>IF(K146="","N/D",IF(K146&lt;PARAMETRI!$B$6,"OTTIMO",IF(K146&lt;PARAMETRI!$B$5,"OK","NO")))</f>
        <v/>
      </c>
      <c r="AD146" s="11">
        <f>IF(OR(AB146="DATI MANCANTI",AC146="N/D"),"DA COMPLETARE",IF(AND(AB146="OK",AC146="OTTIMO"),"PASSA FORTE",IF(AND(AB146="OK",AC146="OK"),"PASSA","SCARTA")))</f>
        <v/>
      </c>
      <c r="AE146" s="10" t="inlineStr">
        <is>
          <t>2026-08-04</t>
        </is>
      </c>
      <c r="AF146" s="10" t="inlineStr">
        <is>
          <t>yahoo</t>
        </is>
      </c>
      <c r="AG146" s="21" t="inlineStr"/>
    </row>
    <row r="147">
      <c r="A147" s="10" t="n">
        <v>146</v>
      </c>
      <c r="B147" s="10" t="inlineStr">
        <is>
          <t>Dominion Energy</t>
        </is>
      </c>
      <c r="C147" s="10" t="inlineStr">
        <is>
          <t>D</t>
        </is>
      </c>
      <c r="D147" s="10" t="inlineStr">
        <is>
          <t>Utility</t>
        </is>
      </c>
      <c r="E147" s="11" t="inlineStr">
        <is>
          <t>Utility</t>
        </is>
      </c>
      <c r="F147" s="12" t="n">
        <v>68.75</v>
      </c>
      <c r="G147" s="13" t="inlineStr">
        <is>
          <t>USD</t>
        </is>
      </c>
      <c r="H147" s="14" t="n">
        <v>60467.4</v>
      </c>
      <c r="I147" s="12" t="n">
        <v>2.89</v>
      </c>
      <c r="J147" s="12" t="n">
        <v>3.81522</v>
      </c>
      <c r="K147" s="15">
        <f>IF(OR(F147="",I147="",I147&lt;=0),"",F147/I147)</f>
        <v/>
      </c>
      <c r="L147" s="16" t="n">
        <v>2.1658318</v>
      </c>
      <c r="M147" s="17">
        <f>IF(OR(L147="",K147="",K147&lt;=0),"",L147/K147)</f>
        <v/>
      </c>
      <c r="N147" s="18" t="n">
        <v>0.08280999999999999</v>
      </c>
      <c r="O147" s="18" t="n">
        <v>0.07325849609060171</v>
      </c>
      <c r="P147" s="18" t="n">
        <v>0.02128332004749445</v>
      </c>
      <c r="Q147" s="19" t="n">
        <v>4</v>
      </c>
      <c r="R147" s="18" t="n"/>
      <c r="S147" s="18" t="n">
        <v>0.1030842760375477</v>
      </c>
      <c r="T147" s="18" t="n">
        <v>0.07571752968767449</v>
      </c>
      <c r="U147" s="18" t="n">
        <v>0.07117205354227882</v>
      </c>
      <c r="V147" s="18" t="n">
        <v>0.04306012509490582</v>
      </c>
      <c r="W147" s="12" t="n">
        <v>2.67</v>
      </c>
      <c r="X147" s="17">
        <f>IF(OR(W147="",F147="",F147=0),"",W147/F147)</f>
        <v/>
      </c>
      <c r="Y147" s="20" t="n">
        <v>160.459</v>
      </c>
      <c r="Z147" s="18" t="n">
        <v>0.176</v>
      </c>
      <c r="AA147" s="18" t="n">
        <v>0.1518235715497395</v>
      </c>
      <c r="AB147" s="11">
        <f>IF(AND(N147="",O147=""),"DATI MANCANTI",IF(AND(N(N147)&gt;=PARAMETRI!$B$4,N(O147)&gt;=PARAMETRI!$B$4),"OK","NO"))</f>
        <v/>
      </c>
      <c r="AC147" s="11">
        <f>IF(K147="","N/D",IF(K147&lt;PARAMETRI!$B$6,"OTTIMO",IF(K147&lt;PARAMETRI!$B$5,"OK","NO")))</f>
        <v/>
      </c>
      <c r="AD147" s="11">
        <f>IF(OR(AB147="DATI MANCANTI",AC147="N/D"),"DA COMPLETARE",IF(AND(AB147="OK",AC147="OTTIMO"),"PASSA FORTE",IF(AND(AB147="OK",AC147="OK"),"PASSA","SCARTA")))</f>
        <v/>
      </c>
      <c r="AE147" s="10" t="inlineStr">
        <is>
          <t>2026-08-04</t>
        </is>
      </c>
      <c r="AF147" s="10" t="inlineStr">
        <is>
          <t>yahoo</t>
        </is>
      </c>
      <c r="AG147" s="21" t="inlineStr"/>
    </row>
    <row r="148">
      <c r="A148" s="10" t="n">
        <v>147</v>
      </c>
      <c r="B148" s="10" t="inlineStr">
        <is>
          <t>Duke Energy</t>
        </is>
      </c>
      <c r="C148" s="10" t="inlineStr">
        <is>
          <t>DUK</t>
        </is>
      </c>
      <c r="D148" s="10" t="inlineStr">
        <is>
          <t>Utility</t>
        </is>
      </c>
      <c r="E148" s="11" t="inlineStr">
        <is>
          <t>Utility</t>
        </is>
      </c>
      <c r="F148" s="12" t="n">
        <v>124.28</v>
      </c>
      <c r="G148" s="13" t="inlineStr">
        <is>
          <t>USD</t>
        </is>
      </c>
      <c r="H148" s="14" t="n">
        <v>96888.2</v>
      </c>
      <c r="I148" s="12" t="n">
        <v>6.5</v>
      </c>
      <c r="J148" s="12" t="n">
        <v>7.16842</v>
      </c>
      <c r="K148" s="15">
        <f>IF(OR(F148="",I148="",I148&lt;=0),"",F148/I148)</f>
        <v/>
      </c>
      <c r="L148" s="16" t="n">
        <v>1.8078142</v>
      </c>
      <c r="M148" s="17">
        <f>IF(OR(L148="",K148="",K148&lt;=0),"",L148/K148)</f>
        <v/>
      </c>
      <c r="N148" s="18" t="n">
        <v>0.09661</v>
      </c>
      <c r="O148" s="18" t="n">
        <v>0.0739075032235007</v>
      </c>
      <c r="P148" s="18" t="n">
        <v>0.01935651027259411</v>
      </c>
      <c r="Q148" s="19" t="n">
        <v>4</v>
      </c>
      <c r="R148" s="18" t="n"/>
      <c r="S148" s="18" t="n">
        <v>0.09582963620230701</v>
      </c>
      <c r="T148" s="18" t="n">
        <v>0.09025076306182298</v>
      </c>
      <c r="U148" s="18" t="n">
        <v>0.05784854716865875</v>
      </c>
      <c r="V148" s="18" t="n">
        <v>0.05170106646121406</v>
      </c>
      <c r="W148" s="12" t="n">
        <v>4.34</v>
      </c>
      <c r="X148" s="17">
        <f>IF(OR(W148="",F148="",F148=0),"",W148/F148)</f>
        <v/>
      </c>
      <c r="Y148" s="20" t="n">
        <v>161.495</v>
      </c>
      <c r="Z148" s="18" t="n">
        <v>0.113</v>
      </c>
      <c r="AA148" s="18" t="n">
        <v>0.1570245409932686</v>
      </c>
      <c r="AB148" s="11">
        <f>IF(AND(N148="",O148=""),"DATI MANCANTI",IF(AND(N(N148)&gt;=PARAMETRI!$B$4,N(O148)&gt;=PARAMETRI!$B$4),"OK","NO"))</f>
        <v/>
      </c>
      <c r="AC148" s="11">
        <f>IF(K148="","N/D",IF(K148&lt;PARAMETRI!$B$6,"OTTIMO",IF(K148&lt;PARAMETRI!$B$5,"OK","NO")))</f>
        <v/>
      </c>
      <c r="AD148" s="11">
        <f>IF(OR(AB148="DATI MANCANTI",AC148="N/D"),"DA COMPLETARE",IF(AND(AB148="OK",AC148="OTTIMO"),"PASSA FORTE",IF(AND(AB148="OK",AC148="OK"),"PASSA","SCARTA")))</f>
        <v/>
      </c>
      <c r="AE148" s="10" t="inlineStr">
        <is>
          <t>2026-08-04</t>
        </is>
      </c>
      <c r="AF148" s="10" t="inlineStr">
        <is>
          <t>yahoo</t>
        </is>
      </c>
      <c r="AG148" s="21" t="inlineStr"/>
    </row>
    <row r="149">
      <c r="A149" s="10" t="n">
        <v>148</v>
      </c>
      <c r="B149" s="10" t="inlineStr">
        <is>
          <t>Exelon</t>
        </is>
      </c>
      <c r="C149" s="10" t="inlineStr">
        <is>
          <t>EXC</t>
        </is>
      </c>
      <c r="D149" s="10" t="inlineStr">
        <is>
          <t>Utility / Reti</t>
        </is>
      </c>
      <c r="E149" s="11" t="inlineStr">
        <is>
          <t>Utility</t>
        </is>
      </c>
      <c r="F149" s="12" t="n">
        <v>45.63</v>
      </c>
      <c r="G149" s="13" t="inlineStr">
        <is>
          <t>USD</t>
        </is>
      </c>
      <c r="H149" s="14" t="n">
        <v>47010.5</v>
      </c>
      <c r="I149" s="12" t="n">
        <v>2.72</v>
      </c>
      <c r="J149" s="12" t="n">
        <v>3.03793</v>
      </c>
      <c r="K149" s="15">
        <f>IF(OR(F149="",I149="",I149&lt;=0),"",F149/I149)</f>
        <v/>
      </c>
      <c r="L149" s="16" t="n">
        <v>1.5860271</v>
      </c>
      <c r="M149" s="17">
        <f>IF(OR(L149="",K149="",K149&lt;=0),"",L149/K149)</f>
        <v/>
      </c>
      <c r="N149" s="18" t="n">
        <v>0.09711</v>
      </c>
      <c r="O149" s="18" t="n">
        <v>0.09139612675562522</v>
      </c>
      <c r="P149" s="18" t="n">
        <v>0.003040648385819987</v>
      </c>
      <c r="Q149" s="19" t="n">
        <v>4</v>
      </c>
      <c r="R149" s="18" t="n"/>
      <c r="S149" s="18" t="n">
        <v>0.09611778595735815</v>
      </c>
      <c r="T149" s="18" t="n">
        <v>0.09137847776828498</v>
      </c>
      <c r="U149" s="18" t="n">
        <v>0.09039021549213745</v>
      </c>
      <c r="V149" s="18" t="n">
        <v>0.08769802780472033</v>
      </c>
      <c r="W149" s="12" t="n">
        <v>1.68</v>
      </c>
      <c r="X149" s="17">
        <f>IF(OR(W149="",F149="",F149=0),"",W149/F149)</f>
        <v/>
      </c>
      <c r="Y149" s="20" t="n">
        <v>177.362</v>
      </c>
      <c r="Z149" s="18" t="n">
        <v>0.099</v>
      </c>
      <c r="AA149" s="18" t="n">
        <v>0.1147250418006431</v>
      </c>
      <c r="AB149" s="11">
        <f>IF(AND(N149="",O149=""),"DATI MANCANTI",IF(AND(N(N149)&gt;=PARAMETRI!$B$4,N(O149)&gt;=PARAMETRI!$B$4),"OK","NO"))</f>
        <v/>
      </c>
      <c r="AC149" s="11">
        <f>IF(K149="","N/D",IF(K149&lt;PARAMETRI!$B$6,"OTTIMO",IF(K149&lt;PARAMETRI!$B$5,"OK","NO")))</f>
        <v/>
      </c>
      <c r="AD149" s="11">
        <f>IF(OR(AB149="DATI MANCANTI",AC149="N/D"),"DA COMPLETARE",IF(AND(AB149="OK",AC149="OTTIMO"),"PASSA FORTE",IF(AND(AB149="OK",AC149="OK"),"PASSA","SCARTA")))</f>
        <v/>
      </c>
      <c r="AE149" s="10" t="inlineStr">
        <is>
          <t>2026-08-04</t>
        </is>
      </c>
      <c r="AF149" s="10" t="inlineStr">
        <is>
          <t>yahoo</t>
        </is>
      </c>
      <c r="AG149" s="21" t="inlineStr"/>
    </row>
    <row r="150">
      <c r="A150" s="10" t="n">
        <v>149</v>
      </c>
      <c r="B150" s="10" t="inlineStr">
        <is>
          <t>NextEra Energy</t>
        </is>
      </c>
      <c r="C150" s="10" t="inlineStr">
        <is>
          <t>NEE</t>
        </is>
      </c>
      <c r="D150" s="10" t="inlineStr">
        <is>
          <t>Utility / Rinnovabili</t>
        </is>
      </c>
      <c r="E150" s="11" t="inlineStr">
        <is>
          <t>Utility</t>
        </is>
      </c>
      <c r="F150" s="12" t="n">
        <v>86.55</v>
      </c>
      <c r="G150" s="13" t="inlineStr">
        <is>
          <t>USD</t>
        </is>
      </c>
      <c r="H150" s="14" t="n">
        <v>180509.1</v>
      </c>
      <c r="I150" s="12" t="n">
        <v>4.45</v>
      </c>
      <c r="J150" s="12" t="n">
        <v>4.41948</v>
      </c>
      <c r="K150" s="15">
        <f>IF(OR(F150="",I150="",I150&lt;=0),"",F150/I150)</f>
        <v/>
      </c>
      <c r="L150" s="16" t="n">
        <v>3.268381</v>
      </c>
      <c r="M150" s="17">
        <f>IF(OR(L150="",K150="",K150&lt;=0),"",L150/K150)</f>
        <v/>
      </c>
      <c r="N150" s="18" t="n">
        <v>0.11677</v>
      </c>
      <c r="O150" s="18" t="n">
        <v>0.1308789630201321</v>
      </c>
      <c r="P150" s="18" t="n">
        <v>0.01775346387851813</v>
      </c>
      <c r="Q150" s="19" t="n">
        <v>4</v>
      </c>
      <c r="R150" s="18" t="n"/>
      <c r="S150" s="18" t="n">
        <v>0.1251648110167008</v>
      </c>
      <c r="T150" s="18" t="n">
        <v>0.138639947306441</v>
      </c>
      <c r="U150" s="18" t="n">
        <v>0.1539984831886745</v>
      </c>
      <c r="V150" s="18" t="n">
        <v>0.1057126105687119</v>
      </c>
      <c r="W150" s="12" t="n">
        <v>2.49</v>
      </c>
      <c r="X150" s="17">
        <f>IF(OR(W150="",F150="",F150=0),"",W150/F150)</f>
        <v/>
      </c>
      <c r="Y150" s="20" t="n">
        <v>161.676</v>
      </c>
      <c r="Z150" s="18" t="n">
        <v>0.124</v>
      </c>
      <c r="AA150" s="18" t="n">
        <v>0.3392310053990953</v>
      </c>
      <c r="AB150" s="11">
        <f>IF(AND(N150="",O150=""),"DATI MANCANTI",IF(AND(N(N150)&gt;=PARAMETRI!$B$4,N(O150)&gt;=PARAMETRI!$B$4),"OK","NO"))</f>
        <v/>
      </c>
      <c r="AC150" s="11">
        <f>IF(K150="","N/D",IF(K150&lt;PARAMETRI!$B$6,"OTTIMO",IF(K150&lt;PARAMETRI!$B$5,"OK","NO")))</f>
        <v/>
      </c>
      <c r="AD150" s="11">
        <f>IF(OR(AB150="DATI MANCANTI",AC150="N/D"),"DA COMPLETARE",IF(AND(AB150="OK",AC150="OTTIMO"),"PASSA FORTE",IF(AND(AB150="OK",AC150="OK"),"PASSA","SCARTA")))</f>
        <v/>
      </c>
      <c r="AE150" s="10" t="inlineStr">
        <is>
          <t>2026-08-04</t>
        </is>
      </c>
      <c r="AF150" s="10" t="inlineStr">
        <is>
          <t>yahoo</t>
        </is>
      </c>
      <c r="AG150" s="21" t="inlineStr"/>
    </row>
    <row r="151">
      <c r="A151" s="10" t="n">
        <v>150</v>
      </c>
      <c r="B151" s="10" t="inlineStr">
        <is>
          <t>Sempra</t>
        </is>
      </c>
      <c r="C151" s="10" t="inlineStr">
        <is>
          <t>SRE</t>
        </is>
      </c>
      <c r="D151" s="10" t="inlineStr">
        <is>
          <t>Utility</t>
        </is>
      </c>
      <c r="E151" s="11" t="inlineStr">
        <is>
          <t>Utility</t>
        </is>
      </c>
      <c r="F151" s="12" t="n">
        <v>87.73</v>
      </c>
      <c r="G151" s="13" t="inlineStr">
        <is>
          <t>USD</t>
        </is>
      </c>
      <c r="H151" s="14" t="n">
        <v>57349.8</v>
      </c>
      <c r="I151" s="12" t="n">
        <v>2.94</v>
      </c>
      <c r="J151" s="12" t="n">
        <v>5.53686</v>
      </c>
      <c r="K151" s="15">
        <f>IF(OR(F151="",I151="",I151&lt;=0),"",F151/I151)</f>
        <v/>
      </c>
      <c r="L151" s="16" t="n">
        <v>1.7778904</v>
      </c>
      <c r="M151" s="17">
        <f>IF(OR(L151="",K151="",K151&lt;=0),"",L151/K151)</f>
        <v/>
      </c>
      <c r="N151" s="18" t="n">
        <v>0.05689</v>
      </c>
      <c r="O151" s="18" t="n">
        <v>0.0839260568573944</v>
      </c>
      <c r="P151" s="18" t="n">
        <v>0.01796868981652871</v>
      </c>
      <c r="Q151" s="19" t="n">
        <v>4</v>
      </c>
      <c r="R151" s="18" t="n"/>
      <c r="S151" s="18" t="n">
        <v>0.058107167710508</v>
      </c>
      <c r="T151" s="18" t="n">
        <v>0.09160745150758594</v>
      </c>
      <c r="U151" s="18" t="n">
        <v>0.1071615263983272</v>
      </c>
      <c r="V151" s="18" t="n">
        <v>0.07882808181315644</v>
      </c>
      <c r="W151" s="12" t="n">
        <v>2.63</v>
      </c>
      <c r="X151" s="17">
        <f>IF(OR(W151="",F151="",F151=0),"",W151/F151)</f>
        <v/>
      </c>
      <c r="Y151" s="20" t="n">
        <v>85.267</v>
      </c>
      <c r="Z151" s="18" t="n">
        <v>-0.039</v>
      </c>
      <c r="AA151" s="18" t="n">
        <v>0.1406364081156036</v>
      </c>
      <c r="AB151" s="11">
        <f>IF(AND(N151="",O151=""),"DATI MANCANTI",IF(AND(N(N151)&gt;=PARAMETRI!$B$4,N(O151)&gt;=PARAMETRI!$B$4),"OK","NO"))</f>
        <v/>
      </c>
      <c r="AC151" s="11">
        <f>IF(K151="","N/D",IF(K151&lt;PARAMETRI!$B$6,"OTTIMO",IF(K151&lt;PARAMETRI!$B$5,"OK","NO")))</f>
        <v/>
      </c>
      <c r="AD151" s="11">
        <f>IF(OR(AB151="DATI MANCANTI",AC151="N/D"),"DA COMPLETARE",IF(AND(AB151="OK",AC151="OTTIMO"),"PASSA FORTE",IF(AND(AB151="OK",AC151="OK"),"PASSA","SCARTA")))</f>
        <v/>
      </c>
      <c r="AE151" s="10" t="inlineStr">
        <is>
          <t>2026-08-04</t>
        </is>
      </c>
      <c r="AF151" s="10" t="inlineStr">
        <is>
          <t>yahoo</t>
        </is>
      </c>
      <c r="AG151" s="21" t="inlineStr"/>
    </row>
    <row r="152">
      <c r="A152" s="10" t="n">
        <v>151</v>
      </c>
      <c r="B152" s="10" t="inlineStr">
        <is>
          <t>Southern Company</t>
        </is>
      </c>
      <c r="C152" s="10" t="inlineStr">
        <is>
          <t>SO</t>
        </is>
      </c>
      <c r="D152" s="10" t="inlineStr">
        <is>
          <t>Utility</t>
        </is>
      </c>
      <c r="E152" s="11" t="inlineStr">
        <is>
          <t>Utility</t>
        </is>
      </c>
      <c r="F152" s="12" t="n">
        <v>92.94</v>
      </c>
      <c r="G152" s="13" t="inlineStr">
        <is>
          <t>USD</t>
        </is>
      </c>
      <c r="H152" s="14" t="n">
        <v>106914.7</v>
      </c>
      <c r="I152" s="12" t="n">
        <v>4.15</v>
      </c>
      <c r="J152" s="12" t="n">
        <v>4.92091</v>
      </c>
      <c r="K152" s="15">
        <f>IF(OR(F152="",I152="",I152&lt;=0),"",F152/I152)</f>
        <v/>
      </c>
      <c r="L152" s="16" t="n">
        <v>2.8223505</v>
      </c>
      <c r="M152" s="17">
        <f>IF(OR(L152="",K152="",K152&lt;=0),"",L152/K152)</f>
        <v/>
      </c>
      <c r="N152" s="18" t="n">
        <v>0.114829995</v>
      </c>
      <c r="O152" s="18" t="n">
        <v>0.123939347481506</v>
      </c>
      <c r="P152" s="18" t="n">
        <v>0.006139514343077336</v>
      </c>
      <c r="Q152" s="19" t="n">
        <v>4</v>
      </c>
      <c r="R152" s="18" t="n"/>
      <c r="S152" s="18" t="n">
        <v>0.1205297645490893</v>
      </c>
      <c r="T152" s="18" t="n">
        <v>0.132528306432185</v>
      </c>
      <c r="U152" s="18" t="n">
        <v>0.1264470169189671</v>
      </c>
      <c r="V152" s="18" t="n">
        <v>0.1162523020257827</v>
      </c>
      <c r="W152" s="12" t="n">
        <v>3.04</v>
      </c>
      <c r="X152" s="17">
        <f>IF(OR(W152="",F152="",F152=0),"",W152/F152)</f>
        <v/>
      </c>
      <c r="Y152" s="20" t="n">
        <v>182.058</v>
      </c>
      <c r="Z152" s="18" t="n">
        <v>0.001</v>
      </c>
      <c r="AA152" s="18" t="n">
        <v>0.1576151278042838</v>
      </c>
      <c r="AB152" s="11">
        <f>IF(AND(N152="",O152=""),"DATI MANCANTI",IF(AND(N(N152)&gt;=PARAMETRI!$B$4,N(O152)&gt;=PARAMETRI!$B$4),"OK","NO"))</f>
        <v/>
      </c>
      <c r="AC152" s="11">
        <f>IF(K152="","N/D",IF(K152&lt;PARAMETRI!$B$6,"OTTIMO",IF(K152&lt;PARAMETRI!$B$5,"OK","NO")))</f>
        <v/>
      </c>
      <c r="AD152" s="11">
        <f>IF(OR(AB152="DATI MANCANTI",AC152="N/D"),"DA COMPLETARE",IF(AND(AB152="OK",AC152="OTTIMO"),"PASSA FORTE",IF(AND(AB152="OK",AC152="OK"),"PASSA","SCARTA")))</f>
        <v/>
      </c>
      <c r="AE152" s="10" t="inlineStr">
        <is>
          <t>2026-08-04</t>
        </is>
      </c>
      <c r="AF152" s="10" t="inlineStr">
        <is>
          <t>yahoo</t>
        </is>
      </c>
      <c r="AG152" s="21" t="inlineStr"/>
    </row>
    <row r="153">
      <c r="A153" s="10" t="n">
        <v>152</v>
      </c>
      <c r="B153" s="10" t="inlineStr">
        <is>
          <t>Vistra</t>
        </is>
      </c>
      <c r="C153" s="10" t="inlineStr">
        <is>
          <t>VST</t>
        </is>
      </c>
      <c r="D153" s="10" t="inlineStr">
        <is>
          <t>Utility / Generazione</t>
        </is>
      </c>
      <c r="E153" s="11" t="inlineStr">
        <is>
          <t>Utility</t>
        </is>
      </c>
      <c r="F153" s="12" t="n">
        <v>155.94</v>
      </c>
      <c r="G153" s="13" t="inlineStr">
        <is>
          <t>USD</t>
        </is>
      </c>
      <c r="H153" s="14" t="n">
        <v>52580.2</v>
      </c>
      <c r="I153" s="12" t="n">
        <v>5.99</v>
      </c>
      <c r="J153" s="12" t="n">
        <v>10.32961</v>
      </c>
      <c r="K153" s="15">
        <f>IF(OR(F153="",I153="",I153&lt;=0),"",F153/I153)</f>
        <v/>
      </c>
      <c r="L153" s="16" t="n">
        <v>16.891247</v>
      </c>
      <c r="M153" s="17">
        <f>IF(OR(L153="",K153="",K153&lt;=0),"",L153/K153)</f>
        <v/>
      </c>
      <c r="N153" s="18" t="n">
        <v>0.42898</v>
      </c>
      <c r="O153" s="18" t="n">
        <v>0.1734015879673228</v>
      </c>
      <c r="P153" s="18" t="n">
        <v>0.2663256640903746</v>
      </c>
      <c r="Q153" s="19" t="n">
        <v>4</v>
      </c>
      <c r="R153" s="18" t="n"/>
      <c r="S153" s="18" t="n">
        <v>0.1852069845006867</v>
      </c>
      <c r="T153" s="18" t="n">
        <v>0.4773788150807899</v>
      </c>
      <c r="U153" s="18" t="n">
        <v>0.2813265498398342</v>
      </c>
      <c r="V153" s="18" t="n">
        <v>-0.2503059975520196</v>
      </c>
      <c r="W153" s="12" t="n">
        <v>0.92</v>
      </c>
      <c r="X153" s="17">
        <f>IF(OR(W153="",F153="",F153=0),"",W153/F153)</f>
        <v/>
      </c>
      <c r="Y153" s="20" t="n">
        <v>366.613</v>
      </c>
      <c r="Z153" s="18" t="n">
        <v>0.434</v>
      </c>
      <c r="AA153" s="18" t="n">
        <v>0.1155147105648889</v>
      </c>
      <c r="AB153" s="11">
        <f>IF(AND(N153="",O153=""),"DATI MANCANTI",IF(AND(N(N153)&gt;=PARAMETRI!$B$4,N(O153)&gt;=PARAMETRI!$B$4),"OK","NO"))</f>
        <v/>
      </c>
      <c r="AC153" s="11">
        <f>IF(K153="","N/D",IF(K153&lt;PARAMETRI!$B$6,"OTTIMO",IF(K153&lt;PARAMETRI!$B$5,"OK","NO")))</f>
        <v/>
      </c>
      <c r="AD153" s="11">
        <f>IF(OR(AB153="DATI MANCANTI",AC153="N/D"),"DA COMPLETARE",IF(AND(AB153="OK",AC153="OTTIMO"),"PASSA FORTE",IF(AND(AB153="OK",AC153="OK"),"PASSA","SCARTA")))</f>
        <v/>
      </c>
      <c r="AE153" s="10" t="inlineStr">
        <is>
          <t>2026-08-04</t>
        </is>
      </c>
      <c r="AF153" s="10" t="inlineStr">
        <is>
          <t>yahoo</t>
        </is>
      </c>
      <c r="AG153" s="21" t="inlineStr"/>
    </row>
    <row r="154">
      <c r="A154" s="10" t="n">
        <v>153</v>
      </c>
      <c r="B154" s="10" t="inlineStr">
        <is>
          <t>Xcel Energy</t>
        </is>
      </c>
      <c r="C154" s="10" t="inlineStr">
        <is>
          <t>XEL</t>
        </is>
      </c>
      <c r="D154" s="10" t="inlineStr">
        <is>
          <t>Utility</t>
        </is>
      </c>
      <c r="E154" s="11" t="inlineStr">
        <is>
          <t>Utility</t>
        </is>
      </c>
      <c r="F154" s="12" t="n">
        <v>77.69</v>
      </c>
      <c r="G154" s="13" t="inlineStr">
        <is>
          <t>USD</t>
        </is>
      </c>
      <c r="H154" s="14" t="n">
        <v>48527.8</v>
      </c>
      <c r="I154" s="12" t="n">
        <v>3.65</v>
      </c>
      <c r="J154" s="12" t="n">
        <v>4.53802</v>
      </c>
      <c r="K154" s="15">
        <f>IF(OR(F154="",I154="",I154&lt;=0),"",F154/I154)</f>
        <v/>
      </c>
      <c r="L154" s="16" t="n">
        <v>2.0369158</v>
      </c>
      <c r="M154" s="17">
        <f>IF(OR(L154="",K154="",K154&lt;=0),"",L154/K154)</f>
        <v/>
      </c>
      <c r="N154" s="18" t="n">
        <v>0.0992</v>
      </c>
      <c r="O154" s="18" t="n">
        <v>0.09732189916854156</v>
      </c>
      <c r="P154" s="18" t="n">
        <v>0.007073008672390108</v>
      </c>
      <c r="Q154" s="19" t="n">
        <v>4</v>
      </c>
      <c r="R154" s="18" t="n"/>
      <c r="S154" s="18" t="n">
        <v>0.08547587784319539</v>
      </c>
      <c r="T154" s="18" t="n">
        <v>0.09917016699108698</v>
      </c>
      <c r="U154" s="18" t="n">
        <v>0.1005336058128974</v>
      </c>
      <c r="V154" s="18" t="n">
        <v>0.1041079460269865</v>
      </c>
      <c r="W154" s="12" t="n">
        <v>2.37</v>
      </c>
      <c r="X154" s="17">
        <f>IF(OR(W154="",F154="",F154=0),"",W154/F154)</f>
        <v/>
      </c>
      <c r="Y154" s="20" t="n">
        <v>173.135</v>
      </c>
      <c r="Z154" s="18" t="n">
        <v>-0.051</v>
      </c>
      <c r="AA154" s="18" t="n">
        <v>0.1522257778989706</v>
      </c>
      <c r="AB154" s="11">
        <f>IF(AND(N154="",O154=""),"DATI MANCANTI",IF(AND(N(N154)&gt;=PARAMETRI!$B$4,N(O154)&gt;=PARAMETRI!$B$4),"OK","NO"))</f>
        <v/>
      </c>
      <c r="AC154" s="11">
        <f>IF(K154="","N/D",IF(K154&lt;PARAMETRI!$B$6,"OTTIMO",IF(K154&lt;PARAMETRI!$B$5,"OK","NO")))</f>
        <v/>
      </c>
      <c r="AD154" s="11">
        <f>IF(OR(AB154="DATI MANCANTI",AC154="N/D"),"DA COMPLETARE",IF(AND(AB154="OK",AC154="OTTIMO"),"PASSA FORTE",IF(AND(AB154="OK",AC154="OK"),"PASSA","SCARTA")))</f>
        <v/>
      </c>
      <c r="AE154" s="10" t="inlineStr">
        <is>
          <t>2026-08-04</t>
        </is>
      </c>
      <c r="AF154" s="10" t="inlineStr">
        <is>
          <t>yahoo</t>
        </is>
      </c>
      <c r="AG154" s="21" t="inlineStr"/>
    </row>
    <row r="155">
      <c r="A155" s="10" t="n">
        <v>154</v>
      </c>
      <c r="B155" s="10" t="inlineStr">
        <is>
          <t>Air Products</t>
        </is>
      </c>
      <c r="C155" s="10" t="inlineStr">
        <is>
          <t>APD</t>
        </is>
      </c>
      <c r="D155" s="10" t="inlineStr">
        <is>
          <t>Gas industriali</t>
        </is>
      </c>
      <c r="E155" s="11" t="inlineStr">
        <is>
          <t>Materiali</t>
        </is>
      </c>
      <c r="F155" s="12" t="n">
        <v>292.94</v>
      </c>
      <c r="G155" s="13" t="inlineStr">
        <is>
          <t>USD</t>
        </is>
      </c>
      <c r="H155" s="14" t="n">
        <v>65233.5</v>
      </c>
      <c r="I155" s="12" t="n">
        <v>-0.21</v>
      </c>
      <c r="J155" s="12" t="n">
        <v>14.44291</v>
      </c>
      <c r="K155" s="15">
        <f>IF(OR(F155="",I155="",I155&lt;=0),"",F155/I155)</f>
        <v/>
      </c>
      <c r="L155" s="16" t="n">
        <v>4.3397875</v>
      </c>
      <c r="M155" s="17">
        <f>IF(OR(L155="",K155="",K155&lt;=0),"",L155/K155)</f>
        <v/>
      </c>
      <c r="N155" s="18" t="n">
        <v>0.00023</v>
      </c>
      <c r="O155" s="18" t="n">
        <v>0.1327005984334797</v>
      </c>
      <c r="P155" s="18" t="n">
        <v>0.0949122813335927</v>
      </c>
      <c r="Q155" s="19" t="n">
        <v>4</v>
      </c>
      <c r="R155" s="18" t="n"/>
      <c r="S155" s="18" t="n">
        <v>-0.02625641435217539</v>
      </c>
      <c r="T155" s="18" t="n">
        <v>0.2247057787691134</v>
      </c>
      <c r="U155" s="18" t="n">
        <v>0.1607081723480217</v>
      </c>
      <c r="V155" s="18" t="n">
        <v>0.1716448569689592</v>
      </c>
      <c r="W155" s="12" t="n">
        <v>7.24</v>
      </c>
      <c r="X155" s="17">
        <f>IF(OR(W155="",F155="",F155=0),"",W155/F155)</f>
        <v/>
      </c>
      <c r="Y155" s="20" t="n">
        <v>110.091</v>
      </c>
      <c r="Z155" s="18" t="n">
        <v>0.046</v>
      </c>
      <c r="AA155" s="18" t="n">
        <v>-0.003929452618112035</v>
      </c>
      <c r="AB155" s="11">
        <f>IF(AND(N155="",O155=""),"DATI MANCANTI",IF(AND(N(N155)&gt;=PARAMETRI!$B$4,N(O155)&gt;=PARAMETRI!$B$4),"OK","NO"))</f>
        <v/>
      </c>
      <c r="AC155" s="11">
        <f>IF(K155="","N/D",IF(K155&lt;PARAMETRI!$B$6,"OTTIMO",IF(K155&lt;PARAMETRI!$B$5,"OK","NO")))</f>
        <v/>
      </c>
      <c r="AD155" s="11">
        <f>IF(OR(AB155="DATI MANCANTI",AC155="N/D"),"DA COMPLETARE",IF(AND(AB155="OK",AC155="OTTIMO"),"PASSA FORTE",IF(AND(AB155="OK",AC155="OK"),"PASSA","SCARTA")))</f>
        <v/>
      </c>
      <c r="AE155" s="10" t="inlineStr">
        <is>
          <t>2026-08-04</t>
        </is>
      </c>
      <c r="AF155" s="10" t="inlineStr">
        <is>
          <t>yahoo</t>
        </is>
      </c>
      <c r="AG155" s="21" t="inlineStr"/>
    </row>
    <row r="156">
      <c r="A156" s="10" t="n">
        <v>155</v>
      </c>
      <c r="B156" s="10" t="inlineStr">
        <is>
          <t>Dow Inc.</t>
        </is>
      </c>
      <c r="C156" s="10" t="inlineStr">
        <is>
          <t>DOW</t>
        </is>
      </c>
      <c r="D156" s="10" t="inlineStr">
        <is>
          <t>Chimica di base</t>
        </is>
      </c>
      <c r="E156" s="11" t="inlineStr">
        <is>
          <t>Materiali</t>
        </is>
      </c>
      <c r="F156" s="12" t="n">
        <v>29.89</v>
      </c>
      <c r="G156" s="13" t="inlineStr">
        <is>
          <t>USD</t>
        </is>
      </c>
      <c r="H156" s="14" t="n">
        <v>21590.8</v>
      </c>
      <c r="I156" s="12" t="n">
        <v>-1.83</v>
      </c>
      <c r="J156" s="12" t="n">
        <v>1.84422</v>
      </c>
      <c r="K156" s="15">
        <f>IF(OR(F156="",I156="",I156&lt;=0),"",F156/I156)</f>
        <v/>
      </c>
      <c r="L156" s="16" t="n">
        <v>1.3613591</v>
      </c>
      <c r="M156" s="17">
        <f>IF(OR(L156="",K156="",K156&lt;=0),"",L156/K156)</f>
        <v/>
      </c>
      <c r="N156" s="18" t="n">
        <v>-0.0554</v>
      </c>
      <c r="O156" s="18" t="n">
        <v>0.03831594003168355</v>
      </c>
      <c r="P156" s="18" t="n">
        <v>0.1369536045415575</v>
      </c>
      <c r="Q156" s="19" t="n">
        <v>4</v>
      </c>
      <c r="R156" s="18" t="n"/>
      <c r="S156" s="18" t="n">
        <v>-0.163855572213893</v>
      </c>
      <c r="T156" s="18" t="n">
        <v>0.06430423509075195</v>
      </c>
      <c r="U156" s="18" t="n">
        <v>0.0316547535873596</v>
      </c>
      <c r="V156" s="18" t="n">
        <v>0.2211603436625157</v>
      </c>
      <c r="W156" s="12" t="n">
        <v>1.4</v>
      </c>
      <c r="X156" s="17">
        <f>IF(OR(W156="",F156="",F156=0),"",W156/F156)</f>
        <v/>
      </c>
      <c r="Y156" s="20" t="n">
        <v>111.913</v>
      </c>
      <c r="Z156" s="18" t="n">
        <v>0.197</v>
      </c>
      <c r="AA156" s="18" t="n">
        <v>-0.03255103923138511</v>
      </c>
      <c r="AB156" s="11">
        <f>IF(AND(N156="",O156=""),"DATI MANCANTI",IF(AND(N(N156)&gt;=PARAMETRI!$B$4,N(O156)&gt;=PARAMETRI!$B$4),"OK","NO"))</f>
        <v/>
      </c>
      <c r="AC156" s="11">
        <f>IF(K156="","N/D",IF(K156&lt;PARAMETRI!$B$6,"OTTIMO",IF(K156&lt;PARAMETRI!$B$5,"OK","NO")))</f>
        <v/>
      </c>
      <c r="AD156" s="11">
        <f>IF(OR(AB156="DATI MANCANTI",AC156="N/D"),"DA COMPLETARE",IF(AND(AB156="OK",AC156="OTTIMO"),"PASSA FORTE",IF(AND(AB156="OK",AC156="OK"),"PASSA","SCARTA")))</f>
        <v/>
      </c>
      <c r="AE156" s="10" t="inlineStr">
        <is>
          <t>2026-08-04</t>
        </is>
      </c>
      <c r="AF156" s="10" t="inlineStr">
        <is>
          <t>yahoo</t>
        </is>
      </c>
      <c r="AG156" s="21" t="inlineStr"/>
    </row>
    <row r="157">
      <c r="A157" s="10" t="n">
        <v>156</v>
      </c>
      <c r="B157" s="10" t="inlineStr">
        <is>
          <t>Ecolab</t>
        </is>
      </c>
      <c r="C157" s="10" t="inlineStr">
        <is>
          <t>ECL</t>
        </is>
      </c>
      <c r="D157" s="10" t="inlineStr">
        <is>
          <t>Chimica specialistica</t>
        </is>
      </c>
      <c r="E157" s="11" t="inlineStr">
        <is>
          <t>Materiali</t>
        </is>
      </c>
      <c r="F157" s="12" t="n">
        <v>279.43</v>
      </c>
      <c r="G157" s="13" t="inlineStr">
        <is>
          <t>USD</t>
        </is>
      </c>
      <c r="H157" s="14" t="n">
        <v>78642.10000000001</v>
      </c>
      <c r="I157" s="12" t="n">
        <v>7.44</v>
      </c>
      <c r="J157" s="12" t="n">
        <v>9.437480000000001</v>
      </c>
      <c r="K157" s="15">
        <f>IF(OR(F157="",I157="",I157&lt;=0),"",F157/I157)</f>
        <v/>
      </c>
      <c r="L157" s="16" t="n">
        <v>7.8002954</v>
      </c>
      <c r="M157" s="17">
        <f>IF(OR(L157="",K157="",K157&lt;=0),"",L157/K157)</f>
        <v/>
      </c>
      <c r="N157" s="18" t="n">
        <v>0.21956</v>
      </c>
      <c r="O157" s="18" t="n">
        <v>0.1937744228136611</v>
      </c>
      <c r="P157" s="18" t="n">
        <v>0.03527525358757358</v>
      </c>
      <c r="Q157" s="19" t="n">
        <v>4</v>
      </c>
      <c r="R157" s="18" t="n"/>
      <c r="S157" s="18" t="n">
        <v>0.2124288696933721</v>
      </c>
      <c r="T157" s="18" t="n">
        <v>0.2412158998778162</v>
      </c>
      <c r="U157" s="18" t="n">
        <v>0.1705843598891195</v>
      </c>
      <c r="V157" s="18" t="n">
        <v>0.1508685617943367</v>
      </c>
      <c r="W157" s="12" t="n">
        <v>2.92</v>
      </c>
      <c r="X157" s="17">
        <f>IF(OR(W157="",F157="",F157=0),"",W157/F157)</f>
        <v/>
      </c>
      <c r="Y157" s="20" t="n">
        <v>136.378</v>
      </c>
      <c r="Z157" s="18" t="n">
        <v>0.097</v>
      </c>
      <c r="AA157" s="18" t="n">
        <v>0.1316070939979604</v>
      </c>
      <c r="AB157" s="11">
        <f>IF(AND(N157="",O157=""),"DATI MANCANTI",IF(AND(N(N157)&gt;=PARAMETRI!$B$4,N(O157)&gt;=PARAMETRI!$B$4),"OK","NO"))</f>
        <v/>
      </c>
      <c r="AC157" s="11">
        <f>IF(K157="","N/D",IF(K157&lt;PARAMETRI!$B$6,"OTTIMO",IF(K157&lt;PARAMETRI!$B$5,"OK","NO")))</f>
        <v/>
      </c>
      <c r="AD157" s="11">
        <f>IF(OR(AB157="DATI MANCANTI",AC157="N/D"),"DA COMPLETARE",IF(AND(AB157="OK",AC157="OTTIMO"),"PASSA FORTE",IF(AND(AB157="OK",AC157="OK"),"PASSA","SCARTA")))</f>
        <v/>
      </c>
      <c r="AE157" s="10" t="inlineStr">
        <is>
          <t>2026-08-04</t>
        </is>
      </c>
      <c r="AF157" s="10" t="inlineStr">
        <is>
          <t>yahoo</t>
        </is>
      </c>
      <c r="AG157" s="21" t="inlineStr"/>
    </row>
    <row r="158">
      <c r="A158" s="10" t="n">
        <v>157</v>
      </c>
      <c r="B158" s="10" t="inlineStr">
        <is>
          <t>Freeport-McMoRan</t>
        </is>
      </c>
      <c r="C158" s="10" t="inlineStr">
        <is>
          <t>FCX</t>
        </is>
      </c>
      <c r="D158" s="10" t="inlineStr">
        <is>
          <t>Rame</t>
        </is>
      </c>
      <c r="E158" s="11" t="inlineStr">
        <is>
          <t>Materiali</t>
        </is>
      </c>
      <c r="F158" s="12" t="n">
        <v>63.64</v>
      </c>
      <c r="G158" s="13" t="inlineStr">
        <is>
          <t>USD</t>
        </is>
      </c>
      <c r="H158" s="14" t="n">
        <v>91486.3</v>
      </c>
      <c r="I158" s="12" t="n">
        <v>2.04</v>
      </c>
      <c r="J158" s="12" t="n">
        <v>4.08774</v>
      </c>
      <c r="K158" s="15">
        <f>IF(OR(F158="",I158="",I158&lt;=0),"",F158/I158)</f>
        <v/>
      </c>
      <c r="L158" s="16" t="n">
        <v>4.4305205</v>
      </c>
      <c r="M158" s="17">
        <f>IF(OR(L158="",K158="",K158&lt;=0),"",L158/K158)</f>
        <v/>
      </c>
      <c r="N158" s="18" t="n">
        <v>0.14755</v>
      </c>
      <c r="O158" s="18" t="n">
        <v>0.139430342603264</v>
      </c>
      <c r="P158" s="18" t="n">
        <v>0.04833258025963022</v>
      </c>
      <c r="Q158" s="19" t="n">
        <v>4</v>
      </c>
      <c r="R158" s="18" t="n"/>
      <c r="S158" s="18" t="n">
        <v>0.1166199269802635</v>
      </c>
      <c r="T158" s="18" t="n">
        <v>0.1074455377964848</v>
      </c>
      <c r="U158" s="18" t="n">
        <v>0.1107050859641766</v>
      </c>
      <c r="V158" s="18" t="n">
        <v>0.2229508196721312</v>
      </c>
      <c r="W158" s="12" t="n">
        <v>0.6</v>
      </c>
      <c r="X158" s="17">
        <f>IF(OR(W158="",F158="",F158=0),"",W158/F158)</f>
        <v/>
      </c>
      <c r="Y158" s="20" t="n">
        <v>32.149</v>
      </c>
      <c r="Z158" s="18" t="n">
        <v>-0.073</v>
      </c>
      <c r="AA158" s="18" t="n">
        <v>0.1133706298282848</v>
      </c>
      <c r="AB158" s="11">
        <f>IF(AND(N158="",O158=""),"DATI MANCANTI",IF(AND(N(N158)&gt;=PARAMETRI!$B$4,N(O158)&gt;=PARAMETRI!$B$4),"OK","NO"))</f>
        <v/>
      </c>
      <c r="AC158" s="11">
        <f>IF(K158="","N/D",IF(K158&lt;PARAMETRI!$B$6,"OTTIMO",IF(K158&lt;PARAMETRI!$B$5,"OK","NO")))</f>
        <v/>
      </c>
      <c r="AD158" s="11">
        <f>IF(OR(AB158="DATI MANCANTI",AC158="N/D"),"DA COMPLETARE",IF(AND(AB158="OK",AC158="OTTIMO"),"PASSA FORTE",IF(AND(AB158="OK",AC158="OK"),"PASSA","SCARTA")))</f>
        <v/>
      </c>
      <c r="AE158" s="10" t="inlineStr">
        <is>
          <t>2026-08-04</t>
        </is>
      </c>
      <c r="AF158" s="10" t="inlineStr">
        <is>
          <t>yahoo</t>
        </is>
      </c>
      <c r="AG158" s="21" t="inlineStr"/>
    </row>
    <row r="159">
      <c r="A159" s="10" t="n">
        <v>158</v>
      </c>
      <c r="B159" s="10" t="inlineStr">
        <is>
          <t>Linde</t>
        </is>
      </c>
      <c r="C159" s="10" t="inlineStr">
        <is>
          <t>LIN</t>
        </is>
      </c>
      <c r="D159" s="10" t="inlineStr">
        <is>
          <t>Gas industriali</t>
        </is>
      </c>
      <c r="E159" s="11" t="inlineStr">
        <is>
          <t>Materiali</t>
        </is>
      </c>
      <c r="F159" s="12" t="n">
        <v>480.46</v>
      </c>
      <c r="G159" s="13" t="inlineStr">
        <is>
          <t>USD</t>
        </is>
      </c>
      <c r="H159" s="14" t="n">
        <v>221482.5</v>
      </c>
      <c r="I159" s="12" t="n">
        <v>15.5</v>
      </c>
      <c r="J159" s="12" t="n">
        <v>19.59709</v>
      </c>
      <c r="K159" s="15">
        <f>IF(OR(F159="",I159="",I159&lt;=0),"",F159/I159)</f>
        <v/>
      </c>
      <c r="L159" s="16" t="n">
        <v>5.7631226</v>
      </c>
      <c r="M159" s="17">
        <f>IF(OR(L159="",K159="",K159&lt;=0),"",L159/K159)</f>
        <v/>
      </c>
      <c r="N159" s="18" t="n">
        <v>0.18400998</v>
      </c>
      <c r="O159" s="18" t="n">
        <v>0.1530948240437311</v>
      </c>
      <c r="P159" s="18" t="n">
        <v>0.02988524127892265</v>
      </c>
      <c r="Q159" s="19" t="n">
        <v>4</v>
      </c>
      <c r="R159" s="18" t="n"/>
      <c r="S159" s="18" t="n">
        <v>0.1803634462021179</v>
      </c>
      <c r="T159" s="18" t="n">
        <v>0.1723458994014491</v>
      </c>
      <c r="U159" s="18" t="n">
        <v>0.156067472306143</v>
      </c>
      <c r="V159" s="18" t="n">
        <v>0.1036024782652143</v>
      </c>
      <c r="W159" s="12" t="n">
        <v>6.4</v>
      </c>
      <c r="X159" s="17">
        <f>IF(OR(W159="",F159="",F159=0),"",W159/F159)</f>
        <v/>
      </c>
      <c r="Y159" s="20" t="n">
        <v>68.947</v>
      </c>
      <c r="Z159" s="18" t="n">
        <v>0.093</v>
      </c>
      <c r="AA159" s="18" t="n">
        <v>0.2131465973047726</v>
      </c>
      <c r="AB159" s="11">
        <f>IF(AND(N159="",O159=""),"DATI MANCANTI",IF(AND(N(N159)&gt;=PARAMETRI!$B$4,N(O159)&gt;=PARAMETRI!$B$4),"OK","NO"))</f>
        <v/>
      </c>
      <c r="AC159" s="11">
        <f>IF(K159="","N/D",IF(K159&lt;PARAMETRI!$B$6,"OTTIMO",IF(K159&lt;PARAMETRI!$B$5,"OK","NO")))</f>
        <v/>
      </c>
      <c r="AD159" s="11">
        <f>IF(OR(AB159="DATI MANCANTI",AC159="N/D"),"DA COMPLETARE",IF(AND(AB159="OK",AC159="OTTIMO"),"PASSA FORTE",IF(AND(AB159="OK",AC159="OK"),"PASSA","SCARTA")))</f>
        <v/>
      </c>
      <c r="AE159" s="10" t="inlineStr">
        <is>
          <t>2026-08-04</t>
        </is>
      </c>
      <c r="AF159" s="10" t="inlineStr">
        <is>
          <t>yahoo</t>
        </is>
      </c>
      <c r="AG159" s="21" t="inlineStr"/>
    </row>
    <row r="160">
      <c r="A160" s="10" t="n">
        <v>159</v>
      </c>
      <c r="B160" s="10" t="inlineStr">
        <is>
          <t>Nucor</t>
        </is>
      </c>
      <c r="C160" s="10" t="inlineStr">
        <is>
          <t>NUE</t>
        </is>
      </c>
      <c r="D160" s="10" t="inlineStr">
        <is>
          <t>Acciaio</t>
        </is>
      </c>
      <c r="E160" s="11" t="inlineStr">
        <is>
          <t>Materiali</t>
        </is>
      </c>
      <c r="F160" s="12" t="n">
        <v>261.28</v>
      </c>
      <c r="G160" s="13" t="inlineStr">
        <is>
          <t>USD</t>
        </is>
      </c>
      <c r="H160" s="14" t="n">
        <v>59504.2</v>
      </c>
      <c r="I160" s="12" t="n">
        <v>12.53</v>
      </c>
      <c r="J160" s="12" t="n">
        <v>18.82598</v>
      </c>
      <c r="K160" s="15">
        <f>IF(OR(F160="",I160="",I160&lt;=0),"",F160/I160)</f>
        <v/>
      </c>
      <c r="L160" s="16" t="n">
        <v>2.6968331</v>
      </c>
      <c r="M160" s="17">
        <f>IF(OR(L160="",K160="",K160&lt;=0),"",L160/K160)</f>
        <v/>
      </c>
      <c r="N160" s="18" t="n">
        <v>0.14548999</v>
      </c>
      <c r="O160" s="18" t="n">
        <v>0.2030927127527553</v>
      </c>
      <c r="P160" s="18" t="n">
        <v>0.1315978865605651</v>
      </c>
      <c r="Q160" s="19" t="n">
        <v>4</v>
      </c>
      <c r="R160" s="18" t="n"/>
      <c r="S160" s="18" t="n">
        <v>0.08330149025601834</v>
      </c>
      <c r="T160" s="18" t="n">
        <v>0.09988173844486055</v>
      </c>
      <c r="U160" s="18" t="n">
        <v>0.2160936007640879</v>
      </c>
      <c r="V160" s="18" t="n">
        <v>0.4130940215460545</v>
      </c>
      <c r="W160" s="12" t="n">
        <v>2.24</v>
      </c>
      <c r="X160" s="17">
        <f>IF(OR(W160="",F160="",F160=0),"",W160/F160)</f>
        <v/>
      </c>
      <c r="Y160" s="20" t="n">
        <v>30.512</v>
      </c>
      <c r="Z160" s="18" t="n">
        <v>0.23</v>
      </c>
      <c r="AA160" s="18" t="n">
        <v>0.08853942069305103</v>
      </c>
      <c r="AB160" s="11">
        <f>IF(AND(N160="",O160=""),"DATI MANCANTI",IF(AND(N(N160)&gt;=PARAMETRI!$B$4,N(O160)&gt;=PARAMETRI!$B$4),"OK","NO"))</f>
        <v/>
      </c>
      <c r="AC160" s="11">
        <f>IF(K160="","N/D",IF(K160&lt;PARAMETRI!$B$6,"OTTIMO",IF(K160&lt;PARAMETRI!$B$5,"OK","NO")))</f>
        <v/>
      </c>
      <c r="AD160" s="11">
        <f>IF(OR(AB160="DATI MANCANTI",AC160="N/D"),"DA COMPLETARE",IF(AND(AB160="OK",AC160="OTTIMO"),"PASSA FORTE",IF(AND(AB160="OK",AC160="OK"),"PASSA","SCARTA")))</f>
        <v/>
      </c>
      <c r="AE160" s="10" t="inlineStr">
        <is>
          <t>2026-08-04</t>
        </is>
      </c>
      <c r="AF160" s="10" t="inlineStr">
        <is>
          <t>yahoo</t>
        </is>
      </c>
      <c r="AG160" s="21" t="inlineStr"/>
    </row>
    <row r="161">
      <c r="A161" s="10" t="n">
        <v>160</v>
      </c>
      <c r="B161" s="10" t="inlineStr">
        <is>
          <t>Sherwin-Williams</t>
        </is>
      </c>
      <c r="C161" s="10" t="inlineStr">
        <is>
          <t>SHW</t>
        </is>
      </c>
      <c r="D161" s="10" t="inlineStr">
        <is>
          <t>Vernici</t>
        </is>
      </c>
      <c r="E161" s="11" t="inlineStr">
        <is>
          <t>Materiali</t>
        </is>
      </c>
      <c r="F161" s="12" t="n">
        <v>354.22</v>
      </c>
      <c r="G161" s="13" t="inlineStr">
        <is>
          <t>USD</t>
        </is>
      </c>
      <c r="H161" s="14" t="n">
        <v>85989.8</v>
      </c>
      <c r="I161" s="12" t="n">
        <v>10.84</v>
      </c>
      <c r="J161" s="12" t="n">
        <v>13.59925</v>
      </c>
      <c r="K161" s="15">
        <f>IF(OR(F161="",I161="",I161&lt;=0),"",F161/I161)</f>
        <v/>
      </c>
      <c r="L161" s="16" t="n">
        <v>18.971668</v>
      </c>
      <c r="M161" s="17">
        <f>IF(OR(L161="",K161="",K161&lt;=0),"",L161/K161)</f>
        <v/>
      </c>
      <c r="N161" s="18" t="n">
        <v>0.65124</v>
      </c>
      <c r="O161" s="18" t="n">
        <v>0.628633586608092</v>
      </c>
      <c r="P161" s="18" t="n">
        <v>0.04100468246861673</v>
      </c>
      <c r="Q161" s="19" t="n">
        <v>4</v>
      </c>
      <c r="R161" s="18" t="n"/>
      <c r="S161" s="18" t="n">
        <v>0.5585759954765892</v>
      </c>
      <c r="T161" s="18" t="n">
        <v>0.661877962085308</v>
      </c>
      <c r="U161" s="18" t="n">
        <v>0.642876365789332</v>
      </c>
      <c r="V161" s="18" t="n">
        <v>0.6512040230811386</v>
      </c>
      <c r="W161" s="12" t="n">
        <v>3.2</v>
      </c>
      <c r="X161" s="17">
        <f>IF(OR(W161="",F161="",F161=0),"",W161/F161)</f>
        <v/>
      </c>
      <c r="Y161" s="20" t="n">
        <v>389.958</v>
      </c>
      <c r="Z161" s="18" t="n">
        <v>0.075</v>
      </c>
      <c r="AA161" s="18" t="n">
        <v>0.1140309547261212</v>
      </c>
      <c r="AB161" s="11">
        <f>IF(AND(N161="",O161=""),"DATI MANCANTI",IF(AND(N(N161)&gt;=PARAMETRI!$B$4,N(O161)&gt;=PARAMETRI!$B$4),"OK","NO"))</f>
        <v/>
      </c>
      <c r="AC161" s="11">
        <f>IF(K161="","N/D",IF(K161&lt;PARAMETRI!$B$6,"OTTIMO",IF(K161&lt;PARAMETRI!$B$5,"OK","NO")))</f>
        <v/>
      </c>
      <c r="AD161" s="11">
        <f>IF(OR(AB161="DATI MANCANTI",AC161="N/D"),"DA COMPLETARE",IF(AND(AB161="OK",AC161="OTTIMO"),"PASSA FORTE",IF(AND(AB161="OK",AC161="OK"),"PASSA","SCARTA")))</f>
        <v/>
      </c>
      <c r="AE161" s="10" t="inlineStr">
        <is>
          <t>2026-08-04</t>
        </is>
      </c>
      <c r="AF161" s="10" t="inlineStr">
        <is>
          <t>yahoo</t>
        </is>
      </c>
      <c r="AG161" s="21" t="inlineStr"/>
    </row>
    <row r="162">
      <c r="A162" s="10" t="n">
        <v>161</v>
      </c>
      <c r="B162" s="10" t="inlineStr">
        <is>
          <t>American Tower</t>
        </is>
      </c>
      <c r="C162" s="10" t="inlineStr">
        <is>
          <t>AMT</t>
        </is>
      </c>
      <c r="D162" s="10" t="inlineStr">
        <is>
          <t>REIT / Torri</t>
        </is>
      </c>
      <c r="E162" s="11" t="inlineStr">
        <is>
          <t>Immobiliare</t>
        </is>
      </c>
      <c r="F162" s="12" t="n">
        <v>173</v>
      </c>
      <c r="G162" s="13" t="inlineStr">
        <is>
          <t>USD</t>
        </is>
      </c>
      <c r="H162" s="14" t="n">
        <v>80611.10000000001</v>
      </c>
      <c r="I162" s="12" t="n">
        <v>6.21</v>
      </c>
      <c r="J162" s="12" t="n">
        <v>7.00103</v>
      </c>
      <c r="K162" s="15">
        <f>IF(OR(F162="",I162="",I162&lt;=0),"",F162/I162)</f>
        <v/>
      </c>
      <c r="L162" s="16" t="n">
        <v>21.671051</v>
      </c>
      <c r="M162" s="17">
        <f>IF(OR(L162="",K162="",K162&lt;=0),"",L162/K162)</f>
        <v/>
      </c>
      <c r="N162" s="18" t="n">
        <v>0.33914003</v>
      </c>
      <c r="O162" s="18" t="n">
        <v>0.5073666137979995</v>
      </c>
      <c r="P162" s="18" t="n">
        <v>0.172987839167374</v>
      </c>
      <c r="Q162" s="19" t="n">
        <v>4</v>
      </c>
      <c r="R162" s="18" t="n"/>
      <c r="S162" s="18" t="n">
        <v>0.692539356605065</v>
      </c>
      <c r="T162" s="18" t="n">
        <v>0.6667257997752942</v>
      </c>
      <c r="U162" s="18" t="n">
        <v>0.353318088704683</v>
      </c>
      <c r="V162" s="18" t="n">
        <v>0.3168832101069557</v>
      </c>
      <c r="W162" s="12" t="n">
        <v>6.98</v>
      </c>
      <c r="X162" s="17">
        <f>IF(OR(W162="",F162="",F162=0),"",W162/F162)</f>
        <v/>
      </c>
      <c r="Y162" s="20" t="n">
        <v>438.721</v>
      </c>
      <c r="Z162" s="18" t="n">
        <v>0.047</v>
      </c>
      <c r="AA162" s="18" t="n">
        <v>0.3195047193882344</v>
      </c>
      <c r="AB162" s="11">
        <f>IF(AND(N162="",O162=""),"DATI MANCANTI",IF(AND(N(N162)&gt;=PARAMETRI!$B$4,N(O162)&gt;=PARAMETRI!$B$4),"OK","NO"))</f>
        <v/>
      </c>
      <c r="AC162" s="11">
        <f>IF(K162="","N/D",IF(K162&lt;PARAMETRI!$B$6,"OTTIMO",IF(K162&lt;PARAMETRI!$B$5,"OK","NO")))</f>
        <v/>
      </c>
      <c r="AD162" s="11">
        <f>IF(OR(AB162="DATI MANCANTI",AC162="N/D"),"DA COMPLETARE",IF(AND(AB162="OK",AC162="OTTIMO"),"PASSA FORTE",IF(AND(AB162="OK",AC162="OK"),"PASSA","SCARTA")))</f>
        <v/>
      </c>
      <c r="AE162" s="10" t="inlineStr">
        <is>
          <t>2026-08-04</t>
        </is>
      </c>
      <c r="AF162" s="10" t="inlineStr">
        <is>
          <t>yahoo</t>
        </is>
      </c>
      <c r="AG162" s="21" t="inlineStr"/>
    </row>
    <row r="163">
      <c r="A163" s="10" t="n">
        <v>162</v>
      </c>
      <c r="B163" s="10" t="inlineStr">
        <is>
          <t>Digital Realty</t>
        </is>
      </c>
      <c r="C163" s="10" t="inlineStr">
        <is>
          <t>DLR</t>
        </is>
      </c>
      <c r="D163" s="10" t="inlineStr">
        <is>
          <t>REIT / Data center</t>
        </is>
      </c>
      <c r="E163" s="11" t="inlineStr">
        <is>
          <t>Immobiliare</t>
        </is>
      </c>
      <c r="F163" s="12" t="n">
        <v>191.22</v>
      </c>
      <c r="G163" s="13" t="inlineStr">
        <is>
          <t>USD</t>
        </is>
      </c>
      <c r="H163" s="14" t="n">
        <v>71961.7</v>
      </c>
      <c r="I163" s="12" t="n">
        <v>0.79</v>
      </c>
      <c r="J163" s="12" t="n">
        <v>2.9331</v>
      </c>
      <c r="K163" s="15">
        <f>IF(OR(F163="",I163="",I163&lt;=0),"",F163/I163)</f>
        <v/>
      </c>
      <c r="L163" s="16" t="n">
        <v>2.6496508</v>
      </c>
      <c r="M163" s="17">
        <f>IF(OR(L163="",K163="",K163&lt;=0),"",L163/K163)</f>
        <v/>
      </c>
      <c r="N163" s="18" t="n">
        <v>0.02912</v>
      </c>
      <c r="O163" s="18" t="n">
        <v>0.03910587655461811</v>
      </c>
      <c r="P163" s="18" t="n">
        <v>0.01468646488418679</v>
      </c>
      <c r="Q163" s="19" t="n">
        <v>4</v>
      </c>
      <c r="R163" s="18" t="n"/>
      <c r="S163" s="18" t="n">
        <v>0.05707965784893549</v>
      </c>
      <c r="T163" s="18" t="n">
        <v>0.02823237074736707</v>
      </c>
      <c r="U163" s="18" t="n">
        <v>0.04963181966879201</v>
      </c>
      <c r="V163" s="18" t="n">
        <v>0.0214796579533779</v>
      </c>
      <c r="W163" s="12" t="n">
        <v>4.88</v>
      </c>
      <c r="X163" s="17">
        <f>IF(OR(W163="",F163="",F163=0),"",W163/F163)</f>
        <v/>
      </c>
      <c r="Y163" s="20" t="n">
        <v>67.944</v>
      </c>
      <c r="Z163" s="18" t="n">
        <v>0.299</v>
      </c>
      <c r="AA163" s="18" t="n">
        <v>0.1240530332625953</v>
      </c>
      <c r="AB163" s="11">
        <f>IF(AND(N163="",O163=""),"DATI MANCANTI",IF(AND(N(N163)&gt;=PARAMETRI!$B$4,N(O163)&gt;=PARAMETRI!$B$4),"OK","NO"))</f>
        <v/>
      </c>
      <c r="AC163" s="11">
        <f>IF(K163="","N/D",IF(K163&lt;PARAMETRI!$B$6,"OTTIMO",IF(K163&lt;PARAMETRI!$B$5,"OK","NO")))</f>
        <v/>
      </c>
      <c r="AD163" s="11">
        <f>IF(OR(AB163="DATI MANCANTI",AC163="N/D"),"DA COMPLETARE",IF(AND(AB163="OK",AC163="OTTIMO"),"PASSA FORTE",IF(AND(AB163="OK",AC163="OK"),"PASSA","SCARTA")))</f>
        <v/>
      </c>
      <c r="AE163" s="10" t="inlineStr">
        <is>
          <t>2026-08-04</t>
        </is>
      </c>
      <c r="AF163" s="10" t="inlineStr">
        <is>
          <t>yahoo</t>
        </is>
      </c>
      <c r="AG163" s="21" t="inlineStr"/>
    </row>
    <row r="164">
      <c r="A164" s="10" t="n">
        <v>163</v>
      </c>
      <c r="B164" s="10" t="inlineStr">
        <is>
          <t>Equinix</t>
        </is>
      </c>
      <c r="C164" s="10" t="inlineStr">
        <is>
          <t>EQIX</t>
        </is>
      </c>
      <c r="D164" s="10" t="inlineStr">
        <is>
          <t>REIT / Data center</t>
        </is>
      </c>
      <c r="E164" s="11" t="inlineStr">
        <is>
          <t>Immobiliare</t>
        </is>
      </c>
      <c r="F164" s="12" t="n">
        <v>1031.44</v>
      </c>
      <c r="G164" s="13" t="inlineStr">
        <is>
          <t>USD</t>
        </is>
      </c>
      <c r="H164" s="14" t="n">
        <v>101773.9</v>
      </c>
      <c r="I164" s="12" t="n">
        <v>15.49</v>
      </c>
      <c r="J164" s="12" t="n">
        <v>18.63</v>
      </c>
      <c r="K164" s="15">
        <f>IF(OR(F164="",I164="",I164&lt;=0),"",F164/I164)</f>
        <v/>
      </c>
      <c r="L164" s="16" t="n">
        <v>7.076435</v>
      </c>
      <c r="M164" s="17">
        <f>IF(OR(L164="",K164="",K164&lt;=0),"",L164/K164)</f>
        <v/>
      </c>
      <c r="N164" s="18" t="n">
        <v>0.10735</v>
      </c>
      <c r="O164" s="18" t="n">
        <v>0.07361804446541069</v>
      </c>
      <c r="P164" s="18" t="n">
        <v>0.0143175686792554</v>
      </c>
      <c r="Q164" s="19" t="n">
        <v>4</v>
      </c>
      <c r="R164" s="18" t="n"/>
      <c r="S164" s="18" t="n">
        <v>0.09536592257699915</v>
      </c>
      <c r="T164" s="18" t="n">
        <v>0.06024541691306919</v>
      </c>
      <c r="U164" s="18" t="n">
        <v>0.07758827768436224</v>
      </c>
      <c r="V164" s="18" t="n">
        <v>0.06127256068721218</v>
      </c>
      <c r="W164" s="12" t="n">
        <v>20.64</v>
      </c>
      <c r="X164" s="17">
        <f>IF(OR(W164="",F164="",F164=0),"",W164/F164)</f>
        <v/>
      </c>
      <c r="Y164" s="20" t="n">
        <v>162.217</v>
      </c>
      <c r="Z164" s="18" t="n">
        <v>0.167</v>
      </c>
      <c r="AA164" s="18" t="n">
        <v>0.1663230916784203</v>
      </c>
      <c r="AB164" s="11">
        <f>IF(AND(N164="",O164=""),"DATI MANCANTI",IF(AND(N(N164)&gt;=PARAMETRI!$B$4,N(O164)&gt;=PARAMETRI!$B$4),"OK","NO"))</f>
        <v/>
      </c>
      <c r="AC164" s="11">
        <f>IF(K164="","N/D",IF(K164&lt;PARAMETRI!$B$6,"OTTIMO",IF(K164&lt;PARAMETRI!$B$5,"OK","NO")))</f>
        <v/>
      </c>
      <c r="AD164" s="11">
        <f>IF(OR(AB164="DATI MANCANTI",AC164="N/D"),"DA COMPLETARE",IF(AND(AB164="OK",AC164="OTTIMO"),"PASSA FORTE",IF(AND(AB164="OK",AC164="OK"),"PASSA","SCARTA")))</f>
        <v/>
      </c>
      <c r="AE164" s="10" t="inlineStr">
        <is>
          <t>2026-08-04</t>
        </is>
      </c>
      <c r="AF164" s="10" t="inlineStr">
        <is>
          <t>yahoo</t>
        </is>
      </c>
      <c r="AG164" s="21" t="inlineStr"/>
    </row>
    <row r="165">
      <c r="A165" s="10" t="n">
        <v>164</v>
      </c>
      <c r="B165" s="10" t="inlineStr">
        <is>
          <t>Prologis</t>
        </is>
      </c>
      <c r="C165" s="10" t="inlineStr">
        <is>
          <t>PLD</t>
        </is>
      </c>
      <c r="D165" s="10" t="inlineStr">
        <is>
          <t>REIT / Logistica</t>
        </is>
      </c>
      <c r="E165" s="11" t="inlineStr">
        <is>
          <t>Immobiliare</t>
        </is>
      </c>
      <c r="F165" s="12" t="n">
        <v>144.15</v>
      </c>
      <c r="G165" s="13" t="inlineStr">
        <is>
          <t>USD</t>
        </is>
      </c>
      <c r="H165" s="14" t="n">
        <v>137639.3</v>
      </c>
      <c r="I165" s="12" t="n">
        <v>4.48</v>
      </c>
      <c r="J165" s="12" t="n">
        <v>3.4025</v>
      </c>
      <c r="K165" s="15">
        <f>IF(OR(F165="",I165="",I165&lt;=0),"",F165/I165)</f>
        <v/>
      </c>
      <c r="L165" s="16" t="n">
        <v>2.5035603</v>
      </c>
      <c r="M165" s="17">
        <f>IF(OR(L165="",K165="",K165&lt;=0),"",L165/K165)</f>
        <v/>
      </c>
      <c r="N165" s="18" t="n">
        <v>0.07749</v>
      </c>
      <c r="O165" s="18" t="n">
        <v>0.06311608942280056</v>
      </c>
      <c r="P165" s="18" t="n">
        <v>0.004128986030073493</v>
      </c>
      <c r="Q165" s="19" t="n">
        <v>4</v>
      </c>
      <c r="R165" s="18" t="n"/>
      <c r="S165" s="18" t="n">
        <v>0.06256875646722969</v>
      </c>
      <c r="T165" s="18" t="n">
        <v>0.06916693768350168</v>
      </c>
      <c r="U165" s="18" t="n">
        <v>0.05752378392246178</v>
      </c>
      <c r="V165" s="18" t="n">
        <v>0.06320487961800905</v>
      </c>
      <c r="W165" s="12" t="n">
        <v>4.28</v>
      </c>
      <c r="X165" s="17">
        <f>IF(OR(W165="",F165="",F165=0),"",W165/F165)</f>
        <v/>
      </c>
      <c r="Y165" s="20" t="n">
        <v>63.823</v>
      </c>
      <c r="Z165" s="18" t="n">
        <v>0.123</v>
      </c>
      <c r="AA165" s="18" t="n">
        <v>0.4780868390183668</v>
      </c>
      <c r="AB165" s="11">
        <f>IF(AND(N165="",O165=""),"DATI MANCANTI",IF(AND(N(N165)&gt;=PARAMETRI!$B$4,N(O165)&gt;=PARAMETRI!$B$4),"OK","NO"))</f>
        <v/>
      </c>
      <c r="AC165" s="11">
        <f>IF(K165="","N/D",IF(K165&lt;PARAMETRI!$B$6,"OTTIMO",IF(K165&lt;PARAMETRI!$B$5,"OK","NO")))</f>
        <v/>
      </c>
      <c r="AD165" s="11">
        <f>IF(OR(AB165="DATI MANCANTI",AC165="N/D"),"DA COMPLETARE",IF(AND(AB165="OK",AC165="OTTIMO"),"PASSA FORTE",IF(AND(AB165="OK",AC165="OK"),"PASSA","SCARTA")))</f>
        <v/>
      </c>
      <c r="AE165" s="10" t="inlineStr">
        <is>
          <t>2026-08-04</t>
        </is>
      </c>
      <c r="AF165" s="10" t="inlineStr">
        <is>
          <t>yahoo</t>
        </is>
      </c>
      <c r="AG165" s="21" t="inlineStr"/>
    </row>
    <row r="166">
      <c r="A166" s="10" t="n">
        <v>165</v>
      </c>
      <c r="B166" s="10" t="inlineStr">
        <is>
          <t>Realty Income</t>
        </is>
      </c>
      <c r="C166" s="10" t="inlineStr">
        <is>
          <t>O</t>
        </is>
      </c>
      <c r="D166" s="10" t="inlineStr">
        <is>
          <t>REIT / Retail</t>
        </is>
      </c>
      <c r="E166" s="11" t="inlineStr">
        <is>
          <t>Immobiliare</t>
        </is>
      </c>
      <c r="F166" s="12" t="n">
        <v>63.48</v>
      </c>
      <c r="G166" s="13" t="inlineStr">
        <is>
          <t>USD</t>
        </is>
      </c>
      <c r="H166" s="14" t="n">
        <v>59194.6</v>
      </c>
      <c r="I166" s="12" t="n">
        <v>1.22</v>
      </c>
      <c r="J166" s="12" t="n">
        <v>1.70715</v>
      </c>
      <c r="K166" s="15">
        <f>IF(OR(F166="",I166="",I166&lt;=0),"",F166/I166)</f>
        <v/>
      </c>
      <c r="L166" s="16" t="n">
        <v>1.5120766</v>
      </c>
      <c r="M166" s="17">
        <f>IF(OR(L166="",K166="",K166&lt;=0),"",L166/K166)</f>
        <v/>
      </c>
      <c r="N166" s="18" t="n">
        <v>0.02831</v>
      </c>
      <c r="O166" s="18" t="n">
        <v>0.02644066170262016</v>
      </c>
      <c r="P166" s="18" t="n">
        <v>0.00288124458790436</v>
      </c>
      <c r="Q166" s="19" t="n">
        <v>4</v>
      </c>
      <c r="R166" s="18" t="n"/>
      <c r="S166" s="18" t="n">
        <v>0.02684140537611602</v>
      </c>
      <c r="T166" s="18" t="n">
        <v>0.02216157684748421</v>
      </c>
      <c r="U166" s="18" t="n">
        <v>0.02648057537935393</v>
      </c>
      <c r="V166" s="18" t="n">
        <v>0.03027908920752649</v>
      </c>
      <c r="W166" s="12" t="n">
        <v>3.25</v>
      </c>
      <c r="X166" s="17">
        <f>IF(OR(W166="",F166="",F166=0),"",W166/F166)</f>
        <v/>
      </c>
      <c r="Y166" s="20" t="n">
        <v>73.467</v>
      </c>
      <c r="Z166" s="18" t="n">
        <v>0.12</v>
      </c>
      <c r="AA166" s="18" t="n">
        <v>0.194897822146643</v>
      </c>
      <c r="AB166" s="11">
        <f>IF(AND(N166="",O166=""),"DATI MANCANTI",IF(AND(N(N166)&gt;=PARAMETRI!$B$4,N(O166)&gt;=PARAMETRI!$B$4),"OK","NO"))</f>
        <v/>
      </c>
      <c r="AC166" s="11">
        <f>IF(K166="","N/D",IF(K166&lt;PARAMETRI!$B$6,"OTTIMO",IF(K166&lt;PARAMETRI!$B$5,"OK","NO")))</f>
        <v/>
      </c>
      <c r="AD166" s="11">
        <f>IF(OR(AB166="DATI MANCANTI",AC166="N/D"),"DA COMPLETARE",IF(AND(AB166="OK",AC166="OTTIMO"),"PASSA FORTE",IF(AND(AB166="OK",AC166="OK"),"PASSA","SCARTA")))</f>
        <v/>
      </c>
      <c r="AE166" s="10" t="inlineStr">
        <is>
          <t>2026-08-04</t>
        </is>
      </c>
      <c r="AF166" s="10" t="inlineStr">
        <is>
          <t>yahoo</t>
        </is>
      </c>
      <c r="AG166" s="21" t="inlineStr"/>
    </row>
    <row r="167">
      <c r="A167" s="10" t="n">
        <v>166</v>
      </c>
      <c r="B167" s="10" t="inlineStr">
        <is>
          <t>Simon Property Group</t>
        </is>
      </c>
      <c r="C167" s="10" t="inlineStr">
        <is>
          <t>SPG</t>
        </is>
      </c>
      <c r="D167" s="10" t="inlineStr">
        <is>
          <t>REIT / Centri commerciali</t>
        </is>
      </c>
      <c r="E167" s="11" t="inlineStr">
        <is>
          <t>Immobiliare</t>
        </is>
      </c>
      <c r="F167" s="12" t="n">
        <v>229.16</v>
      </c>
      <c r="G167" s="13" t="inlineStr">
        <is>
          <t>USD</t>
        </is>
      </c>
      <c r="H167" s="14" t="n">
        <v>87076.10000000001</v>
      </c>
      <c r="I167" s="12" t="n">
        <v>14.38</v>
      </c>
      <c r="J167" s="12" t="n">
        <v>6.74039</v>
      </c>
      <c r="K167" s="15">
        <f>IF(OR(F167="",I167="",I167&lt;=0),"",F167/I167)</f>
        <v/>
      </c>
      <c r="L167" s="16" t="n">
        <v>15.423342</v>
      </c>
      <c r="M167" s="17">
        <f>IF(OR(L167="",K167="",K167&lt;=0),"",L167/K167)</f>
        <v/>
      </c>
      <c r="N167" s="18" t="n">
        <v>1.1359</v>
      </c>
      <c r="O167" s="18" t="n">
        <v>0.7828516039546615</v>
      </c>
      <c r="P167" s="18" t="n">
        <v>0.07530997649584731</v>
      </c>
      <c r="Q167" s="19" t="n">
        <v>4</v>
      </c>
      <c r="R167" s="18" t="n"/>
      <c r="S167" s="18" t="n">
        <v>0.8885126495026754</v>
      </c>
      <c r="T167" s="18" t="n">
        <v>0.8058995385674346</v>
      </c>
      <c r="U167" s="18" t="n">
        <v>0.7552932116020926</v>
      </c>
      <c r="V167" s="18" t="n">
        <v>0.6817010161464434</v>
      </c>
      <c r="W167" s="12" t="n">
        <v>8.800000000000001</v>
      </c>
      <c r="X167" s="17">
        <f>IF(OR(W167="",F167="",F167=0),"",W167/F167)</f>
        <v/>
      </c>
      <c r="Y167" s="20" t="n">
        <v>457.473</v>
      </c>
      <c r="Z167" s="18" t="n">
        <v>0.193</v>
      </c>
      <c r="AA167" s="18" t="n">
        <v>0.7369221593823871</v>
      </c>
      <c r="AB167" s="11">
        <f>IF(AND(N167="",O167=""),"DATI MANCANTI",IF(AND(N(N167)&gt;=PARAMETRI!$B$4,N(O167)&gt;=PARAMETRI!$B$4),"OK","NO"))</f>
        <v/>
      </c>
      <c r="AC167" s="11">
        <f>IF(K167="","N/D",IF(K167&lt;PARAMETRI!$B$6,"OTTIMO",IF(K167&lt;PARAMETRI!$B$5,"OK","NO")))</f>
        <v/>
      </c>
      <c r="AD167" s="11">
        <f>IF(OR(AB167="DATI MANCANTI",AC167="N/D"),"DA COMPLETARE",IF(AND(AB167="OK",AC167="OTTIMO"),"PASSA FORTE",IF(AND(AB167="OK",AC167="OK"),"PASSA","SCARTA")))</f>
        <v/>
      </c>
      <c r="AE167" s="10" t="inlineStr">
        <is>
          <t>2026-08-04</t>
        </is>
      </c>
      <c r="AF167" s="10" t="inlineStr">
        <is>
          <t>yahoo</t>
        </is>
      </c>
      <c r="AG167" s="21" t="inlineStr"/>
    </row>
  </sheetData>
  <autoFilter ref="A1:AG167"/>
  <conditionalFormatting sqref="AD2:AD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N2:N167">
    <cfRule type="dataBar" priority="5">
      <dataBar>
        <cfvo type="num" val="0"/>
        <cfvo type="num" val="0.4"/>
        <color rgb="00638EC6"/>
      </dataBar>
    </cfRule>
  </conditionalFormatting>
  <conditionalFormatting sqref="O2:O167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2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3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3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>
      <c r="A11" s="2" t="inlineStr">
        <is>
          <t>Testo blu = dato che si aggiorna.  Testo nero = formula, non toccarla.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2026-08-04T09:32:01Z</dcterms:created>
  <dcterms:modified xsi:type="dcterms:W3CDTF">2026-08-04T09:32:01Z</dcterms:modified>
</cp:coreProperties>
</file>
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TESI" sheetId="1" state="visible" r:id="rId1"/>
    <sheet name="ITALIA" sheetId="2" state="visible" r:id="rId2"/>
    <sheet name="GERMANIA" sheetId="3" state="visible" r:id="rId3"/>
    <sheet name="FRANCIA" sheetId="4" state="visible" r:id="rId4"/>
    <sheet name="PAESI BASSI" sheetId="5" state="visible" r:id="rId5"/>
    <sheet name="SVIZZERA" sheetId="6" state="visible" r:id="rId6"/>
    <sheet name="USA" sheetId="7" state="visible" r:id="rId7"/>
    <sheet name="PARAMETRI" sheetId="8" state="visible" r:id="rId8"/>
  </sheets>
  <definedNames>
    <definedName name="_xlnm._FilterDatabase" localSheetId="1" hidden="1">'ITALIA'!$A$1:$AJ$67</definedName>
    <definedName name="_xlnm._FilterDatabase" localSheetId="2" hidden="1">'GERMANIA'!$A$1:$AJ$44</definedName>
    <definedName name="_xlnm._FilterDatabase" localSheetId="3" hidden="1">'FRANCIA'!$A$1:$AJ$36</definedName>
    <definedName name="_xlnm._FilterDatabase" localSheetId="4" hidden="1">'PAESI BASSI'!$A$1:$AJ$21</definedName>
    <definedName name="_xlnm._FilterDatabase" localSheetId="5" hidden="1">'SVIZZERA'!$A$1:$AJ$24</definedName>
    <definedName name="_xlnm._FilterDatabase" localSheetId="6" hidden="1">'USA'!$A$1:$AJ$167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0.0"/>
    <numFmt numFmtId="166" formatCode="0.0%"/>
    <numFmt numFmtId="167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10"/>
    </font>
    <font>
      <name val="Arial"/>
      <color rgb="000000FF"/>
      <sz val="10"/>
    </font>
    <font>
      <name val="Arial"/>
      <i val="1"/>
      <color rgb="00808080"/>
      <sz val="8"/>
    </font>
    <font>
      <name val="Arial"/>
      <color rgb="000563C1"/>
      <sz val="10"/>
      <u val="single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/>
    </xf>
    <xf numFmtId="0" fontId="2" fillId="0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horizontal="center"/>
    </xf>
    <xf numFmtId="164" fontId="3" fillId="0" borderId="1" pivotButton="0" quotePrefix="0" xfId="0"/>
    <xf numFmtId="0" fontId="3" fillId="0" borderId="1" applyAlignment="1" pivotButton="0" quotePrefix="0" xfId="0">
      <alignment horizontal="center"/>
    </xf>
    <xf numFmtId="3" fontId="3" fillId="0" borderId="1" pivotButton="0" quotePrefix="0" xfId="0"/>
    <xf numFmtId="165" fontId="2" fillId="0" borderId="1" pivotButton="0" quotePrefix="0" xfId="0"/>
    <xf numFmtId="2" fontId="3" fillId="0" borderId="1" pivotButton="0" quotePrefix="0" xfId="0"/>
    <xf numFmtId="166" fontId="2" fillId="0" borderId="1" pivotButton="0" quotePrefix="0" xfId="0"/>
    <xf numFmtId="166" fontId="3" fillId="0" borderId="1" pivotButton="0" quotePrefix="0" xfId="0"/>
    <xf numFmtId="1" fontId="3" fillId="0" borderId="1" pivotButton="0" quotePrefix="0" xfId="0"/>
    <xf numFmtId="167" fontId="3" fillId="0" borderId="1" pivotButton="0" quotePrefix="0" xfId="0"/>
    <xf numFmtId="0" fontId="4" fillId="0" borderId="1" pivotButton="0" quotePrefix="0" xfId="0"/>
    <xf numFmtId="166" fontId="3" fillId="3" borderId="0" pivotButton="0" quotePrefix="0" xfId="0"/>
    <xf numFmtId="165" fontId="3" fillId="3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  <color rgb="00006100"/>
        <sz val="10"/>
      </font>
      <fill>
        <patternFill patternType="solid">
          <fgColor rgb="00C6EFCE"/>
        </patternFill>
      </fill>
    </dxf>
    <dxf>
      <font>
        <name val="Arial"/>
        <b val="1"/>
        <color rgb="00006100"/>
        <sz val="10"/>
      </font>
      <fill>
        <patternFill patternType="solid">
          <fgColor rgb="00E2EFDA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b val="1"/>
        <color rgb="009C6500"/>
        <sz val="1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symbols/MIL-AZM/" TargetMode="External" Id="rId1" /><Relationship Type="http://schemas.openxmlformats.org/officeDocument/2006/relationships/hyperlink" Target="https://www.tradingview.com/symbols/MIL-BGN/" TargetMode="External" Id="rId2" /><Relationship Type="http://schemas.openxmlformats.org/officeDocument/2006/relationships/hyperlink" Target="https://www.tradingview.com/symbols/MIL-BMED/" TargetMode="External" Id="rId3" /><Relationship Type="http://schemas.openxmlformats.org/officeDocument/2006/relationships/hyperlink" Target="https://www.tradingview.com/symbols/MIL-MN/" TargetMode="External" Id="rId4" /><Relationship Type="http://schemas.openxmlformats.org/officeDocument/2006/relationships/hyperlink" Target="https://www.tradingview.com/symbols/MIL-IG/" TargetMode="External" Id="rId5" /><Relationship Type="http://schemas.openxmlformats.org/officeDocument/2006/relationships/hyperlink" Target="https://www.tradingview.com/symbols/MIL-A2A/" TargetMode="External" Id="rId6" /><Relationship Type="http://schemas.openxmlformats.org/officeDocument/2006/relationships/hyperlink" Target="https://www.tradingview.com/symbols/MIL-MAIRE/" TargetMode="External" Id="rId7" /><Relationship Type="http://schemas.openxmlformats.org/officeDocument/2006/relationships/hyperlink" Target="https://www.tradingview.com/symbols/MIL-UNI/" TargetMode="External" Id="rId8" /><Relationship Type="http://schemas.openxmlformats.org/officeDocument/2006/relationships/hyperlink" Target="https://www.tradingview.com/symbols/MIL-BPE/" TargetMode="External" Id="rId9" /><Relationship Type="http://schemas.openxmlformats.org/officeDocument/2006/relationships/hyperlink" Target="https://www.tradingview.com/symbols/MIL-HER/" TargetMode="External" Id="rId10" /><Relationship Type="http://schemas.openxmlformats.org/officeDocument/2006/relationships/hyperlink" Target="https://www.tradingview.com/symbols/MIL-CE/" TargetMode="External" Id="rId11" /><Relationship Type="http://schemas.openxmlformats.org/officeDocument/2006/relationships/hyperlink" Target="https://www.tradingview.com/symbols/MIL-RCS/" TargetMode="External" Id="rId12" /><Relationship Type="http://schemas.openxmlformats.org/officeDocument/2006/relationships/hyperlink" Target="https://www.tradingview.com/symbols/MIL-PST/" TargetMode="External" Id="rId13" /><Relationship Type="http://schemas.openxmlformats.org/officeDocument/2006/relationships/hyperlink" Target="https://www.tradingview.com/symbols/MIL-FBK/" TargetMode="External" Id="rId14" /><Relationship Type="http://schemas.openxmlformats.org/officeDocument/2006/relationships/hyperlink" Target="https://www.tradingview.com/symbols/MIL-RACE/" TargetMode="External" Id="rId15" /><Relationship Type="http://schemas.openxmlformats.org/officeDocument/2006/relationships/hyperlink" Target="https://www.tradingview.com/symbols/MIL-ACE/" TargetMode="External" Id="rId16" /><Relationship Type="http://schemas.openxmlformats.org/officeDocument/2006/relationships/hyperlink" Target="https://www.tradingview.com/symbols/MIL-BZU/" TargetMode="External" Id="rId17" /><Relationship Type="http://schemas.openxmlformats.org/officeDocument/2006/relationships/hyperlink" Target="https://www.tradingview.com/symbols/MIL-UCG/" TargetMode="External" Id="rId18" /><Relationship Type="http://schemas.openxmlformats.org/officeDocument/2006/relationships/hyperlink" Target="https://www.tradingview.com/symbols/MIL-MFEA/" TargetMode="External" Id="rId19" /><Relationship Type="http://schemas.openxmlformats.org/officeDocument/2006/relationships/hyperlink" Target="https://www.tradingview.com/symbols/MIL-ISP/" TargetMode="External" Id="rId20" /><Relationship Type="http://schemas.openxmlformats.org/officeDocument/2006/relationships/hyperlink" Target="https://www.tradingview.com/symbols/MIL-IRE/" TargetMode="External" Id="rId21" /><Relationship Type="http://schemas.openxmlformats.org/officeDocument/2006/relationships/hyperlink" Target="https://www.tradingview.com/symbols/MIL-IF/" TargetMode="External" Id="rId22" /><Relationship Type="http://schemas.openxmlformats.org/officeDocument/2006/relationships/hyperlink" Target="https://www.tradingview.com/symbols/MIL-BMPS/" TargetMode="External" Id="rId23" /><Relationship Type="http://schemas.openxmlformats.org/officeDocument/2006/relationships/hyperlink" Target="https://www.tradingview.com/symbols/MIL-BC/" TargetMode="External" Id="rId24" /><Relationship Type="http://schemas.openxmlformats.org/officeDocument/2006/relationships/hyperlink" Target="https://www.tradingview.com/symbols/MIL-BRE/" TargetMode="External" Id="rId25" /><Relationship Type="http://schemas.openxmlformats.org/officeDocument/2006/relationships/hyperlink" Target="https://www.tradingview.com/symbols/MIL-REC/" TargetMode="External" Id="rId26" /><Relationship Type="http://schemas.openxmlformats.org/officeDocument/2006/relationships/hyperlink" Target="https://www.tradingview.com/symbols/MIL-G/" TargetMode="External" Id="rId27" /><Relationship Type="http://schemas.openxmlformats.org/officeDocument/2006/relationships/hyperlink" Target="https://www.tradingview.com/symbols/MIL-PRO/" TargetMode="External" Id="rId28" /><Relationship Type="http://schemas.openxmlformats.org/officeDocument/2006/relationships/hyperlink" Target="https://www.tradingview.com/symbols/MIL-BAMI/" TargetMode="External" Id="rId29" /><Relationship Type="http://schemas.openxmlformats.org/officeDocument/2006/relationships/hyperlink" Target="https://www.tradingview.com/symbols/MIL-TRN/" TargetMode="External" Id="rId30" /><Relationship Type="http://schemas.openxmlformats.org/officeDocument/2006/relationships/hyperlink" Target="https://www.tradingview.com/symbols/MIL-MFEB/" TargetMode="External" Id="rId31" /><Relationship Type="http://schemas.openxmlformats.org/officeDocument/2006/relationships/hyperlink" Target="https://www.tradingview.com/symbols/MIL-PIRC/" TargetMode="External" Id="rId32" /><Relationship Type="http://schemas.openxmlformats.org/officeDocument/2006/relationships/hyperlink" Target="https://www.tradingview.com/symbols/MIL-MB/" TargetMode="External" Id="rId33" /><Relationship Type="http://schemas.openxmlformats.org/officeDocument/2006/relationships/hyperlink" Target="https://www.tradingview.com/symbols/MIL-MONC/" TargetMode="External" Id="rId34" /><Relationship Type="http://schemas.openxmlformats.org/officeDocument/2006/relationships/hyperlink" Target="https://www.tradingview.com/symbols/MIL-WBD/" TargetMode="External" Id="rId35" /><Relationship Type="http://schemas.openxmlformats.org/officeDocument/2006/relationships/hyperlink" Target="https://www.tradingview.com/symbols/MIL-SRG/" TargetMode="External" Id="rId36" /><Relationship Type="http://schemas.openxmlformats.org/officeDocument/2006/relationships/hyperlink" Target="https://www.tradingview.com/symbols/MIL-PRY/" TargetMode="External" Id="rId37" /><Relationship Type="http://schemas.openxmlformats.org/officeDocument/2006/relationships/hyperlink" Target="https://www.tradingview.com/symbols/MIL-TEN/" TargetMode="External" Id="rId38" /><Relationship Type="http://schemas.openxmlformats.org/officeDocument/2006/relationships/hyperlink" Target="https://www.tradingview.com/symbols/MIL-DAN/" TargetMode="External" Id="rId39" /><Relationship Type="http://schemas.openxmlformats.org/officeDocument/2006/relationships/hyperlink" Target="https://www.tradingview.com/symbols/MIL-LTMC/" TargetMode="External" Id="rId40" /><Relationship Type="http://schemas.openxmlformats.org/officeDocument/2006/relationships/hyperlink" Target="https://www.tradingview.com/symbols/MIL-BDB/" TargetMode="External" Id="rId41" /><Relationship Type="http://schemas.openxmlformats.org/officeDocument/2006/relationships/hyperlink" Target="https://www.tradingview.com/symbols/MIL-LDO/" TargetMode="External" Id="rId42" /><Relationship Type="http://schemas.openxmlformats.org/officeDocument/2006/relationships/hyperlink" Target="https://www.tradingview.com/symbols/MIL-IP/" TargetMode="External" Id="rId43" /><Relationship Type="http://schemas.openxmlformats.org/officeDocument/2006/relationships/hyperlink" Target="https://www.tradingview.com/symbols/SIX-BION/" TargetMode="External" Id="rId44" /><Relationship Type="http://schemas.openxmlformats.org/officeDocument/2006/relationships/hyperlink" Target="https://www.tradingview.com/symbols/MIL-ENEL/" TargetMode="External" Id="rId45" /><Relationship Type="http://schemas.openxmlformats.org/officeDocument/2006/relationships/hyperlink" Target="https://www.tradingview.com/symbols/MIL-DIA/" TargetMode="External" Id="rId46" /><Relationship Type="http://schemas.openxmlformats.org/officeDocument/2006/relationships/hyperlink" Target="https://www.tradingview.com/symbols/CNH/" TargetMode="External" Id="rId47" /><Relationship Type="http://schemas.openxmlformats.org/officeDocument/2006/relationships/hyperlink" Target="https://www.tradingview.com/symbols/MIL-ENI/" TargetMode="External" Id="rId48" /><Relationship Type="http://schemas.openxmlformats.org/officeDocument/2006/relationships/hyperlink" Target="https://www.tradingview.com/symbols/MIL-INW/" TargetMode="External" Id="rId49" /><Relationship Type="http://schemas.openxmlformats.org/officeDocument/2006/relationships/hyperlink" Target="https://www.tradingview.com/symbols/MIL-STMMI/" TargetMode="External" Id="rId50" /><Relationship Type="http://schemas.openxmlformats.org/officeDocument/2006/relationships/hyperlink" Target="https://www.tradingview.com/symbols/MIL-AMP/" TargetMode="External" Id="rId51" /><Relationship Type="http://schemas.openxmlformats.org/officeDocument/2006/relationships/hyperlink" Target="https://www.tradingview.com/symbols/MIL-CPR/" TargetMode="External" Id="rId52" /><Relationship Type="http://schemas.openxmlformats.org/officeDocument/2006/relationships/hyperlink" Target="https://www.tradingview.com/symbols/MIL-IVG/" TargetMode="External" Id="rId53" /><Relationship Type="http://schemas.openxmlformats.org/officeDocument/2006/relationships/hyperlink" Target="https://www.tradingview.com/symbols/MIL-ERG/" TargetMode="External" Id="rId54" /><Relationship Type="http://schemas.openxmlformats.org/officeDocument/2006/relationships/hyperlink" Target="https://www.tradingview.com/symbols/MIL-PRT/" TargetMode="External" Id="rId55" /><Relationship Type="http://schemas.openxmlformats.org/officeDocument/2006/relationships/hyperlink" Target="https://www.tradingview.com/symbols/MIL-TIT/" TargetMode="External" Id="rId56" /><Relationship Type="http://schemas.openxmlformats.org/officeDocument/2006/relationships/hyperlink" Target="https://www.tradingview.com/symbols/MIL-FCT/" TargetMode="External" Id="rId57" /><Relationship Type="http://schemas.openxmlformats.org/officeDocument/2006/relationships/hyperlink" Target="https://www.tradingview.com/symbols/MIL-SFER/" TargetMode="External" Id="rId58" /><Relationship Type="http://schemas.openxmlformats.org/officeDocument/2006/relationships/hyperlink" Target="https://www.tradingview.com/symbols/MIL-SPM/" TargetMode="External" Id="rId59" /><Relationship Type="http://schemas.openxmlformats.org/officeDocument/2006/relationships/hyperlink" Target="https://www.tradingview.com/symbols/EURONEXT-EXO/" TargetMode="External" Id="rId60" /><Relationship Type="http://schemas.openxmlformats.org/officeDocument/2006/relationships/hyperlink" Target="https://www.tradingview.com/symbols/EURONEXT-FRVIA/" TargetMode="External" Id="rId61" /><Relationship Type="http://schemas.openxmlformats.org/officeDocument/2006/relationships/hyperlink" Target="https://www.tradingview.com/symbols/MIL-GEO/" TargetMode="External" Id="rId62" /><Relationship Type="http://schemas.openxmlformats.org/officeDocument/2006/relationships/hyperlink" Target="https://www.tradingview.com/symbols/MIL-JUVE/" TargetMode="External" Id="rId63" /><Relationship Type="http://schemas.openxmlformats.org/officeDocument/2006/relationships/hyperlink" Target="https://www.tradingview.com/symbols/MIL-NEXI/" TargetMode="External" Id="rId64" /><Relationship Type="http://schemas.openxmlformats.org/officeDocument/2006/relationships/hyperlink" Target="https://www.tradingview.com/symbols/MIL-RN/" TargetMode="External" Id="rId65" /><Relationship Type="http://schemas.openxmlformats.org/officeDocument/2006/relationships/hyperlink" Target="https://www.tradingview.com/symbols/MIL-STLAM/" TargetMode="External" Id="rId6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symbols/XETR-MUV2/" TargetMode="External" Id="rId1" /><Relationship Type="http://schemas.openxmlformats.org/officeDocument/2006/relationships/hyperlink" Target="https://www.tradingview.com/symbols/XETR-ALV/" TargetMode="External" Id="rId2" /><Relationship Type="http://schemas.openxmlformats.org/officeDocument/2006/relationships/hyperlink" Target="https://www.tradingview.com/symbols/XETR-HNR1/" TargetMode="External" Id="rId3" /><Relationship Type="http://schemas.openxmlformats.org/officeDocument/2006/relationships/hyperlink" Target="https://www.tradingview.com/symbols/XETR-DBK/" TargetMode="External" Id="rId4" /><Relationship Type="http://schemas.openxmlformats.org/officeDocument/2006/relationships/hyperlink" Target="https://www.tradingview.com/symbols/XETR-DTE/" TargetMode="External" Id="rId5" /><Relationship Type="http://schemas.openxmlformats.org/officeDocument/2006/relationships/hyperlink" Target="https://www.tradingview.com/symbols/XETR-HEI/" TargetMode="External" Id="rId6" /><Relationship Type="http://schemas.openxmlformats.org/officeDocument/2006/relationships/hyperlink" Target="https://www.tradingview.com/symbols/XETR-DHL/" TargetMode="External" Id="rId7" /><Relationship Type="http://schemas.openxmlformats.org/officeDocument/2006/relationships/hyperlink" Target="https://www.tradingview.com/symbols/XETR-ADS/" TargetMode="External" Id="rId8" /><Relationship Type="http://schemas.openxmlformats.org/officeDocument/2006/relationships/hyperlink" Target="https://www.tradingview.com/symbols/XETR-DB1/" TargetMode="External" Id="rId9" /><Relationship Type="http://schemas.openxmlformats.org/officeDocument/2006/relationships/hyperlink" Target="https://www.tradingview.com/symbols/XETR-MBG/" TargetMode="External" Id="rId10" /><Relationship Type="http://schemas.openxmlformats.org/officeDocument/2006/relationships/hyperlink" Target="https://www.tradingview.com/symbols/XETR-RHM/" TargetMode="External" Id="rId11" /><Relationship Type="http://schemas.openxmlformats.org/officeDocument/2006/relationships/hyperlink" Target="https://www.tradingview.com/symbols/XETR-BMW/" TargetMode="External" Id="rId12" /><Relationship Type="http://schemas.openxmlformats.org/officeDocument/2006/relationships/hyperlink" Target="https://www.tradingview.com/symbols/XETR-G1A/" TargetMode="External" Id="rId13" /><Relationship Type="http://schemas.openxmlformats.org/officeDocument/2006/relationships/hyperlink" Target="https://www.tradingview.com/symbols/XETR-CBK/" TargetMode="External" Id="rId14" /><Relationship Type="http://schemas.openxmlformats.org/officeDocument/2006/relationships/hyperlink" Target="https://www.tradingview.com/symbols/XETR-FME/" TargetMode="External" Id="rId15" /><Relationship Type="http://schemas.openxmlformats.org/officeDocument/2006/relationships/hyperlink" Target="https://www.tradingview.com/symbols/XETR-VOW3/" TargetMode="External" Id="rId16" /><Relationship Type="http://schemas.openxmlformats.org/officeDocument/2006/relationships/hyperlink" Target="https://www.tradingview.com/symbols/XETR-RWE/" TargetMode="External" Id="rId17" /><Relationship Type="http://schemas.openxmlformats.org/officeDocument/2006/relationships/hyperlink" Target="https://www.tradingview.com/symbols/XETR-EOAN/" TargetMode="External" Id="rId18" /><Relationship Type="http://schemas.openxmlformats.org/officeDocument/2006/relationships/hyperlink" Target="https://www.tradingview.com/symbols/XETR-VNA/" TargetMode="External" Id="rId19" /><Relationship Type="http://schemas.openxmlformats.org/officeDocument/2006/relationships/hyperlink" Target="https://www.tradingview.com/symbols/XETR-HEN3/" TargetMode="External" Id="rId20" /><Relationship Type="http://schemas.openxmlformats.org/officeDocument/2006/relationships/hyperlink" Target="https://www.tradingview.com/symbols/XETR-SIE/" TargetMode="External" Id="rId21" /><Relationship Type="http://schemas.openxmlformats.org/officeDocument/2006/relationships/hyperlink" Target="https://www.tradingview.com/symbols/XETR-BNR/" TargetMode="External" Id="rId22" /><Relationship Type="http://schemas.openxmlformats.org/officeDocument/2006/relationships/hyperlink" Target="https://www.tradingview.com/symbols/XETR-BEI/" TargetMode="External" Id="rId23" /><Relationship Type="http://schemas.openxmlformats.org/officeDocument/2006/relationships/hyperlink" Target="https://www.tradingview.com/symbols/XETR-IFX/" TargetMode="External" Id="rId24" /><Relationship Type="http://schemas.openxmlformats.org/officeDocument/2006/relationships/hyperlink" Target="https://www.tradingview.com/symbols/XETR-MRK/" TargetMode="External" Id="rId25" /><Relationship Type="http://schemas.openxmlformats.org/officeDocument/2006/relationships/hyperlink" Target="https://www.tradingview.com/symbols/XETR-SHL/" TargetMode="External" Id="rId26" /><Relationship Type="http://schemas.openxmlformats.org/officeDocument/2006/relationships/hyperlink" Target="https://www.tradingview.com/symbols/XETR-SAP/" TargetMode="External" Id="rId27" /><Relationship Type="http://schemas.openxmlformats.org/officeDocument/2006/relationships/hyperlink" Target="https://www.tradingview.com/symbols/XETR-MTX/" TargetMode="External" Id="rId28" /><Relationship Type="http://schemas.openxmlformats.org/officeDocument/2006/relationships/hyperlink" Target="https://www.tradingview.com/symbols/XETR-DTG/" TargetMode="External" Id="rId29" /><Relationship Type="http://schemas.openxmlformats.org/officeDocument/2006/relationships/hyperlink" Target="https://www.tradingview.com/symbols/XETR-SY1/" TargetMode="External" Id="rId30" /><Relationship Type="http://schemas.openxmlformats.org/officeDocument/2006/relationships/hyperlink" Target="https://www.tradingview.com/symbols/XETR-ZAL/" TargetMode="External" Id="rId31" /><Relationship Type="http://schemas.openxmlformats.org/officeDocument/2006/relationships/hyperlink" Target="https://www.tradingview.com/symbols/XETR-P911/" TargetMode="External" Id="rId32" /><Relationship Type="http://schemas.openxmlformats.org/officeDocument/2006/relationships/hyperlink" Target="https://www.tradingview.com/symbols/XETR-QIA/" TargetMode="External" Id="rId33" /><Relationship Type="http://schemas.openxmlformats.org/officeDocument/2006/relationships/hyperlink" Target="https://www.tradingview.com/symbols/XETR-FRE/" TargetMode="External" Id="rId34" /><Relationship Type="http://schemas.openxmlformats.org/officeDocument/2006/relationships/hyperlink" Target="https://www.tradingview.com/symbols/XETR-ENR/" TargetMode="External" Id="rId35" /><Relationship Type="http://schemas.openxmlformats.org/officeDocument/2006/relationships/hyperlink" Target="https://www.tradingview.com/symbols/XETR-PAH3/" TargetMode="External" Id="rId36" /><Relationship Type="http://schemas.openxmlformats.org/officeDocument/2006/relationships/hyperlink" Target="https://www.tradingview.com/symbols/XETR-SRT3/" TargetMode="External" Id="rId37" /><Relationship Type="http://schemas.openxmlformats.org/officeDocument/2006/relationships/hyperlink" Target="https://www.tradingview.com/symbols/XETR-BAS/" TargetMode="External" Id="rId38" /><Relationship Type="http://schemas.openxmlformats.org/officeDocument/2006/relationships/hyperlink" Target="https://www.tradingview.com/symbols/XETR-BAYN/" TargetMode="External" Id="rId39" /><Relationship Type="http://schemas.openxmlformats.org/officeDocument/2006/relationships/hyperlink" Target="https://www.tradingview.com/symbols/XETR-CON/" TargetMode="External" Id="rId40" /><Relationship Type="http://schemas.openxmlformats.org/officeDocument/2006/relationships/hyperlink" Target="https://www.tradingview.com/symbols/XETR-1COV/" TargetMode="External" Id="rId41" /><Relationship Type="http://schemas.openxmlformats.org/officeDocument/2006/relationships/hyperlink" Target="https://www.tradingview.com/symbols/XETR-LIN/" TargetMode="External" Id="rId42" /><Relationship Type="http://schemas.openxmlformats.org/officeDocument/2006/relationships/hyperlink" Target="https://www.tradingview.com/symbols/XETR-PUM/" TargetMode="External" Id="rId43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symbols/EURONEXT-TTE/" TargetMode="External" Id="rId1" /><Relationship Type="http://schemas.openxmlformats.org/officeDocument/2006/relationships/hyperlink" Target="https://www.tradingview.com/symbols/EURONEXT-BNP/" TargetMode="External" Id="rId2" /><Relationship Type="http://schemas.openxmlformats.org/officeDocument/2006/relationships/hyperlink" Target="https://www.tradingview.com/symbols/EURONEXT-DG/" TargetMode="External" Id="rId3" /><Relationship Type="http://schemas.openxmlformats.org/officeDocument/2006/relationships/hyperlink" Target="https://www.tradingview.com/symbols/EURONEXT-CS/" TargetMode="External" Id="rId4" /><Relationship Type="http://schemas.openxmlformats.org/officeDocument/2006/relationships/hyperlink" Target="https://www.tradingview.com/symbols/EURONEXT-TEP/" TargetMode="External" Id="rId5" /><Relationship Type="http://schemas.openxmlformats.org/officeDocument/2006/relationships/hyperlink" Target="https://www.tradingview.com/symbols/EURONEXT-ACA/" TargetMode="External" Id="rId6" /><Relationship Type="http://schemas.openxmlformats.org/officeDocument/2006/relationships/hyperlink" Target="https://www.tradingview.com/symbols/EURONEXT-CAP/" TargetMode="External" Id="rId7" /><Relationship Type="http://schemas.openxmlformats.org/officeDocument/2006/relationships/hyperlink" Target="https://www.tradingview.com/symbols/EURONEXT-SGO/" TargetMode="External" Id="rId8" /><Relationship Type="http://schemas.openxmlformats.org/officeDocument/2006/relationships/hyperlink" Target="https://www.tradingview.com/symbols/EURONEXT-AIR/" TargetMode="External" Id="rId9" /><Relationship Type="http://schemas.openxmlformats.org/officeDocument/2006/relationships/hyperlink" Target="https://www.tradingview.com/symbols/EURONEXT-RMS/" TargetMode="External" Id="rId10" /><Relationship Type="http://schemas.openxmlformats.org/officeDocument/2006/relationships/hyperlink" Target="https://www.tradingview.com/symbols/EURONEXT-CA/" TargetMode="External" Id="rId11" /><Relationship Type="http://schemas.openxmlformats.org/officeDocument/2006/relationships/hyperlink" Target="https://www.tradingview.com/symbols/EURONEXT-PUB/" TargetMode="External" Id="rId12" /><Relationship Type="http://schemas.openxmlformats.org/officeDocument/2006/relationships/hyperlink" Target="https://www.tradingview.com/symbols/EURONEXT-MC/" TargetMode="External" Id="rId13" /><Relationship Type="http://schemas.openxmlformats.org/officeDocument/2006/relationships/hyperlink" Target="https://www.tradingview.com/symbols/EURONEXT-GLE/" TargetMode="External" Id="rId14" /><Relationship Type="http://schemas.openxmlformats.org/officeDocument/2006/relationships/hyperlink" Target="https://www.tradingview.com/symbols/EURONEXT-LR/" TargetMode="External" Id="rId15" /><Relationship Type="http://schemas.openxmlformats.org/officeDocument/2006/relationships/hyperlink" Target="https://www.tradingview.com/symbols/EURONEXT-RI/" TargetMode="External" Id="rId16" /><Relationship Type="http://schemas.openxmlformats.org/officeDocument/2006/relationships/hyperlink" Target="https://www.tradingview.com/symbols/EURONEXT-OR/" TargetMode="External" Id="rId17" /><Relationship Type="http://schemas.openxmlformats.org/officeDocument/2006/relationships/hyperlink" Target="https://www.tradingview.com/symbols/EURONEXT-RNO/" TargetMode="External" Id="rId18" /><Relationship Type="http://schemas.openxmlformats.org/officeDocument/2006/relationships/hyperlink" Target="https://www.tradingview.com/symbols/EURONEXT-HO/" TargetMode="External" Id="rId19" /><Relationship Type="http://schemas.openxmlformats.org/officeDocument/2006/relationships/hyperlink" Target="https://www.tradingview.com/symbols/EURONEXT-ORA/" TargetMode="External" Id="rId20" /><Relationship Type="http://schemas.openxmlformats.org/officeDocument/2006/relationships/hyperlink" Target="https://www.tradingview.com/symbols/EURONEXT-SU/" TargetMode="External" Id="rId21" /><Relationship Type="http://schemas.openxmlformats.org/officeDocument/2006/relationships/hyperlink" Target="https://www.tradingview.com/symbols/EURONEXT-URW/" TargetMode="External" Id="rId22" /><Relationship Type="http://schemas.openxmlformats.org/officeDocument/2006/relationships/hyperlink" Target="https://www.tradingview.com/symbols/EURONEXT-DSY/" TargetMode="External" Id="rId23" /><Relationship Type="http://schemas.openxmlformats.org/officeDocument/2006/relationships/hyperlink" Target="https://www.tradingview.com/symbols/EURONEXT-SAN/" TargetMode="External" Id="rId24" /><Relationship Type="http://schemas.openxmlformats.org/officeDocument/2006/relationships/hyperlink" Target="https://www.tradingview.com/symbols/EURONEXT-ENGI/" TargetMode="External" Id="rId25" /><Relationship Type="http://schemas.openxmlformats.org/officeDocument/2006/relationships/hyperlink" Target="https://www.tradingview.com/symbols/EURONEXT-AI/" TargetMode="External" Id="rId26" /><Relationship Type="http://schemas.openxmlformats.org/officeDocument/2006/relationships/hyperlink" Target="https://www.tradingview.com/symbols/EURONEXT-VIE/" TargetMode="External" Id="rId27" /><Relationship Type="http://schemas.openxmlformats.org/officeDocument/2006/relationships/hyperlink" Target="https://www.tradingview.com/symbols/EURONEXT-EL/" TargetMode="External" Id="rId28" /><Relationship Type="http://schemas.openxmlformats.org/officeDocument/2006/relationships/hyperlink" Target="https://www.tradingview.com/symbols/EURONEXT-ERF/" TargetMode="External" Id="rId29" /><Relationship Type="http://schemas.openxmlformats.org/officeDocument/2006/relationships/hyperlink" Target="https://www.tradingview.com/symbols/EURONEXT-BN/" TargetMode="External" Id="rId30" /><Relationship Type="http://schemas.openxmlformats.org/officeDocument/2006/relationships/hyperlink" Target="https://www.tradingview.com/symbols/EURONEXT-SAF/" TargetMode="External" Id="rId31" /><Relationship Type="http://schemas.openxmlformats.org/officeDocument/2006/relationships/hyperlink" Target="https://www.tradingview.com/symbols/EURONEXT-EDEN/" TargetMode="External" Id="rId32" /><Relationship Type="http://schemas.openxmlformats.org/officeDocument/2006/relationships/hyperlink" Target="https://www.tradingview.com/symbols/EURONEXT-KER/" TargetMode="External" Id="rId33" /><Relationship Type="http://schemas.openxmlformats.org/officeDocument/2006/relationships/hyperlink" Target="https://www.tradingview.com/symbols/EURONEXT-ML/" TargetMode="External" Id="rId34" /><Relationship Type="http://schemas.openxmlformats.org/officeDocument/2006/relationships/hyperlink" Target="https://www.tradingview.com/symbols/EURONEXT-WLN/" TargetMode="External" Id="rId35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symbols/EURONEXT-PRX/" TargetMode="External" Id="rId1" /><Relationship Type="http://schemas.openxmlformats.org/officeDocument/2006/relationships/hyperlink" Target="https://www.tradingview.com/symbols/EURONEXT-WKL/" TargetMode="External" Id="rId2" /><Relationship Type="http://schemas.openxmlformats.org/officeDocument/2006/relationships/hyperlink" Target="https://www.tradingview.com/symbols/EURONEXT-BESI/" TargetMode="External" Id="rId3" /><Relationship Type="http://schemas.openxmlformats.org/officeDocument/2006/relationships/hyperlink" Target="https://www.tradingview.com/symbols/EURONEXT-ASML/" TargetMode="External" Id="rId4" /><Relationship Type="http://schemas.openxmlformats.org/officeDocument/2006/relationships/hyperlink" Target="https://www.tradingview.com/symbols/EURONEXT-INGA/" TargetMode="External" Id="rId5" /><Relationship Type="http://schemas.openxmlformats.org/officeDocument/2006/relationships/hyperlink" Target="https://www.tradingview.com/symbols/EURONEXT-KPN/" TargetMode="External" Id="rId6" /><Relationship Type="http://schemas.openxmlformats.org/officeDocument/2006/relationships/hyperlink" Target="https://www.tradingview.com/symbols/EURONEXT-AD/" TargetMode="External" Id="rId7" /><Relationship Type="http://schemas.openxmlformats.org/officeDocument/2006/relationships/hyperlink" Target="https://www.tradingview.com/symbols/EURONEXT-ABN/" TargetMode="External" Id="rId8" /><Relationship Type="http://schemas.openxmlformats.org/officeDocument/2006/relationships/hyperlink" Target="https://www.tradingview.com/symbols/EURONEXT-UMG/" TargetMode="External" Id="rId9" /><Relationship Type="http://schemas.openxmlformats.org/officeDocument/2006/relationships/hyperlink" Target="https://www.tradingview.com/symbols/EURONEXT-NN/" TargetMode="External" Id="rId10" /><Relationship Type="http://schemas.openxmlformats.org/officeDocument/2006/relationships/hyperlink" Target="https://www.tradingview.com/symbols/EURONEXT-ASM/" TargetMode="External" Id="rId11" /><Relationship Type="http://schemas.openxmlformats.org/officeDocument/2006/relationships/hyperlink" Target="https://www.tradingview.com/symbols/EURONEXT-ADYEN/" TargetMode="External" Id="rId12" /><Relationship Type="http://schemas.openxmlformats.org/officeDocument/2006/relationships/hyperlink" Target="https://www.tradingview.com/symbols/EURONEXT-AGN/" TargetMode="External" Id="rId13" /><Relationship Type="http://schemas.openxmlformats.org/officeDocument/2006/relationships/hyperlink" Target="https://www.tradingview.com/symbols/EURONEXT-AKZA/" TargetMode="External" Id="rId14" /><Relationship Type="http://schemas.openxmlformats.org/officeDocument/2006/relationships/hyperlink" Target="https://www.tradingview.com/symbols/EURONEXT-IMCD/" TargetMode="External" Id="rId15" /><Relationship Type="http://schemas.openxmlformats.org/officeDocument/2006/relationships/hyperlink" Target="https://www.tradingview.com/symbols/EURONEXT-HEIA/" TargetMode="External" Id="rId16" /><Relationship Type="http://schemas.openxmlformats.org/officeDocument/2006/relationships/hyperlink" Target="https://www.tradingview.com/symbols/EURONEXT-RAND/" TargetMode="External" Id="rId17" /><Relationship Type="http://schemas.openxmlformats.org/officeDocument/2006/relationships/hyperlink" Target="https://www.tradingview.com/symbols/EURONEXT-PHIA/" TargetMode="External" Id="rId18" /><Relationship Type="http://schemas.openxmlformats.org/officeDocument/2006/relationships/hyperlink" Target="https://www.tradingview.com/symbols/EURONEXT-MT/" TargetMode="External" Id="rId19" /><Relationship Type="http://schemas.openxmlformats.org/officeDocument/2006/relationships/hyperlink" Target="https://www.tradingview.com/symbols/EURONEXT-DSFIR/" TargetMode="External" Id="rId20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symbols/SIX-PGHN/" TargetMode="External" Id="rId1" /><Relationship Type="http://schemas.openxmlformats.org/officeDocument/2006/relationships/hyperlink" Target="https://www.tradingview.com/symbols/SIX-ZURN/" TargetMode="External" Id="rId2" /><Relationship Type="http://schemas.openxmlformats.org/officeDocument/2006/relationships/hyperlink" Target="https://www.tradingview.com/symbols/SIX-GEBN/" TargetMode="External" Id="rId3" /><Relationship Type="http://schemas.openxmlformats.org/officeDocument/2006/relationships/hyperlink" Target="https://www.tradingview.com/symbols/SIX-BAER/" TargetMode="External" Id="rId4" /><Relationship Type="http://schemas.openxmlformats.org/officeDocument/2006/relationships/hyperlink" Target="https://www.tradingview.com/symbols/SIX-ABBN/" TargetMode="External" Id="rId5" /><Relationship Type="http://schemas.openxmlformats.org/officeDocument/2006/relationships/hyperlink" Target="https://www.tradingview.com/symbols/SIX-SGSN/" TargetMode="External" Id="rId6" /><Relationship Type="http://schemas.openxmlformats.org/officeDocument/2006/relationships/hyperlink" Target="https://www.tradingview.com/symbols/SIX-KNIN/" TargetMode="External" Id="rId7" /><Relationship Type="http://schemas.openxmlformats.org/officeDocument/2006/relationships/hyperlink" Target="https://www.tradingview.com/symbols/SIX-LOGN/" TargetMode="External" Id="rId8" /><Relationship Type="http://schemas.openxmlformats.org/officeDocument/2006/relationships/hyperlink" Target="https://www.tradingview.com/symbols/SIX-NESN/" TargetMode="External" Id="rId9" /><Relationship Type="http://schemas.openxmlformats.org/officeDocument/2006/relationships/hyperlink" Target="https://www.tradingview.com/symbols/SIX-SREN/" TargetMode="External" Id="rId10" /><Relationship Type="http://schemas.openxmlformats.org/officeDocument/2006/relationships/hyperlink" Target="https://www.tradingview.com/symbols/SIX-SOON/" TargetMode="External" Id="rId11" /><Relationship Type="http://schemas.openxmlformats.org/officeDocument/2006/relationships/hyperlink" Target="https://www.tradingview.com/symbols/SIX-GIVN/" TargetMode="External" Id="rId12" /><Relationship Type="http://schemas.openxmlformats.org/officeDocument/2006/relationships/hyperlink" Target="https://www.tradingview.com/symbols/SIX-NOVN/" TargetMode="External" Id="rId13" /><Relationship Type="http://schemas.openxmlformats.org/officeDocument/2006/relationships/hyperlink" Target="https://www.tradingview.com/symbols/SIX-UBSG/" TargetMode="External" Id="rId14" /><Relationship Type="http://schemas.openxmlformats.org/officeDocument/2006/relationships/hyperlink" Target="https://www.tradingview.com/symbols/SIX-SIKA/" TargetMode="External" Id="rId15" /><Relationship Type="http://schemas.openxmlformats.org/officeDocument/2006/relationships/hyperlink" Target="https://www.tradingview.com/symbols/SIX-STMN/" TargetMode="External" Id="rId16" /><Relationship Type="http://schemas.openxmlformats.org/officeDocument/2006/relationships/hyperlink" Target="https://www.tradingview.com/symbols/SIX-SLHN/" TargetMode="External" Id="rId17" /><Relationship Type="http://schemas.openxmlformats.org/officeDocument/2006/relationships/hyperlink" Target="https://www.tradingview.com/symbols/SIX-SCMN/" TargetMode="External" Id="rId18" /><Relationship Type="http://schemas.openxmlformats.org/officeDocument/2006/relationships/hyperlink" Target="https://www.tradingview.com/symbols/SIX-HOLN/" TargetMode="External" Id="rId19" /><Relationship Type="http://schemas.openxmlformats.org/officeDocument/2006/relationships/hyperlink" Target="https://www.tradingview.com/symbols/SIX-CFR/" TargetMode="External" Id="rId20" /><Relationship Type="http://schemas.openxmlformats.org/officeDocument/2006/relationships/hyperlink" Target="https://www.tradingview.com/symbols/SIX-ALC/" TargetMode="External" Id="rId21" /><Relationship Type="http://schemas.openxmlformats.org/officeDocument/2006/relationships/hyperlink" Target="https://www.tradingview.com/symbols/SIX-LONN/" TargetMode="External" Id="rId22" /><Relationship Type="http://schemas.openxmlformats.org/officeDocument/2006/relationships/hyperlink" Target="https://www.tradingview.com/symbols/SIX-ROG/" TargetMode="External" Id="rId23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symbols/HON/" TargetMode="External" Id="rId1" /><Relationship Type="http://schemas.openxmlformats.org/officeDocument/2006/relationships/hyperlink" Target="https://www.tradingview.com/symbols/SPG/" TargetMode="External" Id="rId2" /><Relationship Type="http://schemas.openxmlformats.org/officeDocument/2006/relationships/hyperlink" Target="https://www.tradingview.com/symbols/EOG/" TargetMode="External" Id="rId3" /><Relationship Type="http://schemas.openxmlformats.org/officeDocument/2006/relationships/hyperlink" Target="https://www.tradingview.com/symbols/ADBE/" TargetMode="External" Id="rId4" /><Relationship Type="http://schemas.openxmlformats.org/officeDocument/2006/relationships/hyperlink" Target="https://www.tradingview.com/symbols/ZTS/" TargetMode="External" Id="rId5" /><Relationship Type="http://schemas.openxmlformats.org/officeDocument/2006/relationships/hyperlink" Target="https://www.tradingview.com/symbols/MPC/" TargetMode="External" Id="rId6" /><Relationship Type="http://schemas.openxmlformats.org/officeDocument/2006/relationships/hyperlink" Target="https://www.tradingview.com/symbols/PEP/" TargetMode="External" Id="rId7" /><Relationship Type="http://schemas.openxmlformats.org/officeDocument/2006/relationships/hyperlink" Target="https://www.tradingview.com/symbols/PYPL/" TargetMode="External" Id="rId8" /><Relationship Type="http://schemas.openxmlformats.org/officeDocument/2006/relationships/hyperlink" Target="https://www.tradingview.com/symbols/PGR/" TargetMode="External" Id="rId9" /><Relationship Type="http://schemas.openxmlformats.org/officeDocument/2006/relationships/hyperlink" Target="https://www.tradingview.com/symbols/GOOGL/" TargetMode="External" Id="rId10" /><Relationship Type="http://schemas.openxmlformats.org/officeDocument/2006/relationships/hyperlink" Target="https://www.tradingview.com/symbols/TGT/" TargetMode="External" Id="rId11" /><Relationship Type="http://schemas.openxmlformats.org/officeDocument/2006/relationships/hyperlink" Target="https://www.tradingview.com/symbols/MSFT/" TargetMode="External" Id="rId12" /><Relationship Type="http://schemas.openxmlformats.org/officeDocument/2006/relationships/hyperlink" Target="https://www.tradingview.com/symbols/MCO/" TargetMode="External" Id="rId13" /><Relationship Type="http://schemas.openxmlformats.org/officeDocument/2006/relationships/hyperlink" Target="https://www.tradingview.com/symbols/LRCX/" TargetMode="External" Id="rId14" /><Relationship Type="http://schemas.openxmlformats.org/officeDocument/2006/relationships/hyperlink" Target="https://www.tradingview.com/symbols/AAPL/" TargetMode="External" Id="rId15" /><Relationship Type="http://schemas.openxmlformats.org/officeDocument/2006/relationships/hyperlink" Target="https://www.tradingview.com/symbols/V/" TargetMode="External" Id="rId16" /><Relationship Type="http://schemas.openxmlformats.org/officeDocument/2006/relationships/hyperlink" Target="https://www.tradingview.com/symbols/UPS/" TargetMode="External" Id="rId17" /><Relationship Type="http://schemas.openxmlformats.org/officeDocument/2006/relationships/hyperlink" Target="https://www.tradingview.com/symbols/ANET/" TargetMode="External" Id="rId18" /><Relationship Type="http://schemas.openxmlformats.org/officeDocument/2006/relationships/hyperlink" Target="https://www.tradingview.com/symbols/CAT/" TargetMode="External" Id="rId19" /><Relationship Type="http://schemas.openxmlformats.org/officeDocument/2006/relationships/hyperlink" Target="https://www.tradingview.com/symbols/MA/" TargetMode="External" Id="rId20" /><Relationship Type="http://schemas.openxmlformats.org/officeDocument/2006/relationships/hyperlink" Target="https://www.tradingview.com/symbols/TRV/" TargetMode="External" Id="rId21" /><Relationship Type="http://schemas.openxmlformats.org/officeDocument/2006/relationships/hyperlink" Target="https://www.tradingview.com/symbols/KLAC/" TargetMode="External" Id="rId22" /><Relationship Type="http://schemas.openxmlformats.org/officeDocument/2006/relationships/hyperlink" Target="https://www.tradingview.com/symbols/LMT/" TargetMode="External" Id="rId23" /><Relationship Type="http://schemas.openxmlformats.org/officeDocument/2006/relationships/hyperlink" Target="https://www.tradingview.com/symbols/AMAT/" TargetMode="External" Id="rId24" /><Relationship Type="http://schemas.openxmlformats.org/officeDocument/2006/relationships/hyperlink" Target="https://www.tradingview.com/symbols/LLY/" TargetMode="External" Id="rId25" /><Relationship Type="http://schemas.openxmlformats.org/officeDocument/2006/relationships/hyperlink" Target="https://www.tradingview.com/symbols/URI/" TargetMode="External" Id="rId26" /><Relationship Type="http://schemas.openxmlformats.org/officeDocument/2006/relationships/hyperlink" Target="https://www.tradingview.com/symbols/JPM/" TargetMode="External" Id="rId27" /><Relationship Type="http://schemas.openxmlformats.org/officeDocument/2006/relationships/hyperlink" Target="https://www.tradingview.com/symbols/NOC/" TargetMode="External" Id="rId28" /><Relationship Type="http://schemas.openxmlformats.org/officeDocument/2006/relationships/hyperlink" Target="https://www.tradingview.com/symbols/UNP/" TargetMode="External" Id="rId29" /><Relationship Type="http://schemas.openxmlformats.org/officeDocument/2006/relationships/hyperlink" Target="https://www.tradingview.com/symbols/NKE/" TargetMode="External" Id="rId30" /><Relationship Type="http://schemas.openxmlformats.org/officeDocument/2006/relationships/hyperlink" Target="https://www.tradingview.com/symbols/ABNB/" TargetMode="External" Id="rId31" /><Relationship Type="http://schemas.openxmlformats.org/officeDocument/2006/relationships/hyperlink" Target="https://www.tradingview.com/symbols/BAC/" TargetMode="External" Id="rId32" /><Relationship Type="http://schemas.openxmlformats.org/officeDocument/2006/relationships/hyperlink" Target="https://www.tradingview.com/symbols/NFLX/" TargetMode="External" Id="rId33" /><Relationship Type="http://schemas.openxmlformats.org/officeDocument/2006/relationships/hyperlink" Target="https://www.tradingview.com/symbols/KO/" TargetMode="External" Id="rId34" /><Relationship Type="http://schemas.openxmlformats.org/officeDocument/2006/relationships/hyperlink" Target="https://www.tradingview.com/symbols/SHW/" TargetMode="External" Id="rId35" /><Relationship Type="http://schemas.openxmlformats.org/officeDocument/2006/relationships/hyperlink" Target="https://www.tradingview.com/symbols/TXN/" TargetMode="External" Id="rId36" /><Relationship Type="http://schemas.openxmlformats.org/officeDocument/2006/relationships/hyperlink" Target="https://www.tradingview.com/symbols/CMG/" TargetMode="External" Id="rId37" /><Relationship Type="http://schemas.openxmlformats.org/officeDocument/2006/relationships/hyperlink" Target="https://www.tradingview.com/symbols/COST/" TargetMode="External" Id="rId38" /><Relationship Type="http://schemas.openxmlformats.org/officeDocument/2006/relationships/hyperlink" Target="https://www.tradingview.com/symbols/ITW/" TargetMode="External" Id="rId39" /><Relationship Type="http://schemas.openxmlformats.org/officeDocument/2006/relationships/hyperlink" Target="https://www.tradingview.com/symbols/BKNG/" TargetMode="External" Id="rId40" /><Relationship Type="http://schemas.openxmlformats.org/officeDocument/2006/relationships/hyperlink" Target="https://www.tradingview.com/symbols/BX/" TargetMode="External" Id="rId41" /><Relationship Type="http://schemas.openxmlformats.org/officeDocument/2006/relationships/hyperlink" Target="https://www.tradingview.com/symbols/CB/" TargetMode="External" Id="rId42" /><Relationship Type="http://schemas.openxmlformats.org/officeDocument/2006/relationships/hyperlink" Target="https://www.tradingview.com/symbols/TJX/" TargetMode="External" Id="rId43" /><Relationship Type="http://schemas.openxmlformats.org/officeDocument/2006/relationships/hyperlink" Target="https://www.tradingview.com/symbols/AXP/" TargetMode="External" Id="rId44" /><Relationship Type="http://schemas.openxmlformats.org/officeDocument/2006/relationships/hyperlink" Target="https://www.tradingview.com/symbols/NVDA/" TargetMode="External" Id="rId45" /><Relationship Type="http://schemas.openxmlformats.org/officeDocument/2006/relationships/hyperlink" Target="https://www.tradingview.com/symbols/CSX/" TargetMode="External" Id="rId46" /><Relationship Type="http://schemas.openxmlformats.org/officeDocument/2006/relationships/hyperlink" Target="https://www.tradingview.com/symbols/CI/" TargetMode="External" Id="rId47" /><Relationship Type="http://schemas.openxmlformats.org/officeDocument/2006/relationships/hyperlink" Target="https://www.tradingview.com/symbols/ACN/" TargetMode="External" Id="rId48" /><Relationship Type="http://schemas.openxmlformats.org/officeDocument/2006/relationships/hyperlink" Target="https://www.tradingview.com/symbols/CDNS/" TargetMode="External" Id="rId49" /><Relationship Type="http://schemas.openxmlformats.org/officeDocument/2006/relationships/hyperlink" Target="https://www.tradingview.com/symbols/META/" TargetMode="External" Id="rId50" /><Relationship Type="http://schemas.openxmlformats.org/officeDocument/2006/relationships/hyperlink" Target="https://www.tradingview.com/symbols/WM/" TargetMode="External" Id="rId51" /><Relationship Type="http://schemas.openxmlformats.org/officeDocument/2006/relationships/hyperlink" Target="https://www.tradingview.com/symbols/CSCO/" TargetMode="External" Id="rId52" /><Relationship Type="http://schemas.openxmlformats.org/officeDocument/2006/relationships/hyperlink" Target="https://www.tradingview.com/symbols/PG/" TargetMode="External" Id="rId53" /><Relationship Type="http://schemas.openxmlformats.org/officeDocument/2006/relationships/hyperlink" Target="https://www.tradingview.com/symbols/WFC/" TargetMode="External" Id="rId54" /><Relationship Type="http://schemas.openxmlformats.org/officeDocument/2006/relationships/hyperlink" Target="https://www.tradingview.com/symbols/FDX/" TargetMode="External" Id="rId55" /><Relationship Type="http://schemas.openxmlformats.org/officeDocument/2006/relationships/hyperlink" Target="https://www.tradingview.com/symbols/AVGO/" TargetMode="External" Id="rId56" /><Relationship Type="http://schemas.openxmlformats.org/officeDocument/2006/relationships/hyperlink" Target="https://www.tradingview.com/symbols/PSX/" TargetMode="External" Id="rId57" /><Relationship Type="http://schemas.openxmlformats.org/officeDocument/2006/relationships/hyperlink" Target="https://www.tradingview.com/symbols/AMGN/" TargetMode="External" Id="rId58" /><Relationship Type="http://schemas.openxmlformats.org/officeDocument/2006/relationships/hyperlink" Target="https://www.tradingview.com/symbols/ABBV/" TargetMode="External" Id="rId59" /><Relationship Type="http://schemas.openxmlformats.org/officeDocument/2006/relationships/hyperlink" Target="https://www.tradingview.com/symbols/GS/" TargetMode="External" Id="rId60" /><Relationship Type="http://schemas.openxmlformats.org/officeDocument/2006/relationships/hyperlink" Target="https://www.tradingview.com/symbols/VLO/" TargetMode="External" Id="rId61" /><Relationship Type="http://schemas.openxmlformats.org/officeDocument/2006/relationships/hyperlink" Target="https://www.tradingview.com/symbols/MAR/" TargetMode="External" Id="rId62" /><Relationship Type="http://schemas.openxmlformats.org/officeDocument/2006/relationships/hyperlink" Target="https://www.tradingview.com/symbols/GE/" TargetMode="External" Id="rId63" /><Relationship Type="http://schemas.openxmlformats.org/officeDocument/2006/relationships/hyperlink" Target="https://www.tradingview.com/symbols/JNJ/" TargetMode="External" Id="rId64" /><Relationship Type="http://schemas.openxmlformats.org/officeDocument/2006/relationships/hyperlink" Target="https://www.tradingview.com/symbols/AMT/" TargetMode="External" Id="rId65" /><Relationship Type="http://schemas.openxmlformats.org/officeDocument/2006/relationships/hyperlink" Target="https://www.tradingview.com/symbols/MS/" TargetMode="External" Id="rId66" /><Relationship Type="http://schemas.openxmlformats.org/officeDocument/2006/relationships/hyperlink" Target="https://www.tradingview.com/symbols/PH/" TargetMode="External" Id="rId67" /><Relationship Type="http://schemas.openxmlformats.org/officeDocument/2006/relationships/hyperlink" Target="https://www.tradingview.com/symbols/BA/" TargetMode="External" Id="rId68" /><Relationship Type="http://schemas.openxmlformats.org/officeDocument/2006/relationships/hyperlink" Target="https://www.tradingview.com/symbols/COP/" TargetMode="External" Id="rId69" /><Relationship Type="http://schemas.openxmlformats.org/officeDocument/2006/relationships/hyperlink" Target="https://www.tradingview.com/symbols/SCHW/" TargetMode="External" Id="rId70" /><Relationship Type="http://schemas.openxmlformats.org/officeDocument/2006/relationships/hyperlink" Target="https://www.tradingview.com/symbols/INTU/" TargetMode="External" Id="rId71" /><Relationship Type="http://schemas.openxmlformats.org/officeDocument/2006/relationships/hyperlink" Target="https://www.tradingview.com/symbols/C/" TargetMode="External" Id="rId72" /><Relationship Type="http://schemas.openxmlformats.org/officeDocument/2006/relationships/hyperlink" Target="https://www.tradingview.com/symbols/REGN/" TargetMode="External" Id="rId73" /><Relationship Type="http://schemas.openxmlformats.org/officeDocument/2006/relationships/hyperlink" Target="https://www.tradingview.com/symbols/QCOM/" TargetMode="External" Id="rId74" /><Relationship Type="http://schemas.openxmlformats.org/officeDocument/2006/relationships/hyperlink" Target="https://www.tradingview.com/symbols/EXC/" TargetMode="External" Id="rId75" /><Relationship Type="http://schemas.openxmlformats.org/officeDocument/2006/relationships/hyperlink" Target="https://www.tradingview.com/symbols/ETN/" TargetMode="External" Id="rId76" /><Relationship Type="http://schemas.openxmlformats.org/officeDocument/2006/relationships/hyperlink" Target="https://www.tradingview.com/symbols/NEE/" TargetMode="External" Id="rId77" /><Relationship Type="http://schemas.openxmlformats.org/officeDocument/2006/relationships/hyperlink" Target="https://www.tradingview.com/symbols/DE/" TargetMode="External" Id="rId78" /><Relationship Type="http://schemas.openxmlformats.org/officeDocument/2006/relationships/hyperlink" Target="https://www.tradingview.com/symbols/WMB/" TargetMode="External" Id="rId79" /><Relationship Type="http://schemas.openxmlformats.org/officeDocument/2006/relationships/hyperlink" Target="https://www.tradingview.com/symbols/NSC/" TargetMode="External" Id="rId80" /><Relationship Type="http://schemas.openxmlformats.org/officeDocument/2006/relationships/hyperlink" Target="https://www.tradingview.com/symbols/ECL/" TargetMode="External" Id="rId81" /><Relationship Type="http://schemas.openxmlformats.org/officeDocument/2006/relationships/hyperlink" Target="https://www.tradingview.com/symbols/CMI/" TargetMode="External" Id="rId82" /><Relationship Type="http://schemas.openxmlformats.org/officeDocument/2006/relationships/hyperlink" Target="https://www.tradingview.com/symbols/VRT/" TargetMode="External" Id="rId83" /><Relationship Type="http://schemas.openxmlformats.org/officeDocument/2006/relationships/hyperlink" Target="https://www.tradingview.com/symbols/KMB/" TargetMode="External" Id="rId84" /><Relationship Type="http://schemas.openxmlformats.org/officeDocument/2006/relationships/hyperlink" Target="https://www.tradingview.com/symbols/WMT/" TargetMode="External" Id="rId85" /><Relationship Type="http://schemas.openxmlformats.org/officeDocument/2006/relationships/hyperlink" Target="https://www.tradingview.com/symbols/GD/" TargetMode="External" Id="rId86" /><Relationship Type="http://schemas.openxmlformats.org/officeDocument/2006/relationships/hyperlink" Target="https://www.tradingview.com/symbols/ISRG/" TargetMode="External" Id="rId87" /><Relationship Type="http://schemas.openxmlformats.org/officeDocument/2006/relationships/hyperlink" Target="https://www.tradingview.com/symbols/XOM/" TargetMode="External" Id="rId88" /><Relationship Type="http://schemas.openxmlformats.org/officeDocument/2006/relationships/hyperlink" Target="https://www.tradingview.com/symbols/SYK/" TargetMode="External" Id="rId89" /><Relationship Type="http://schemas.openxmlformats.org/officeDocument/2006/relationships/hyperlink" Target="https://www.tradingview.com/symbols/SLB/" TargetMode="External" Id="rId90" /><Relationship Type="http://schemas.openxmlformats.org/officeDocument/2006/relationships/hyperlink" Target="https://www.tradingview.com/symbols/BLK/" TargetMode="External" Id="rId91" /><Relationship Type="http://schemas.openxmlformats.org/officeDocument/2006/relationships/hyperlink" Target="https://www.tradingview.com/symbols/NUE/" TargetMode="External" Id="rId92" /><Relationship Type="http://schemas.openxmlformats.org/officeDocument/2006/relationships/hyperlink" Target="https://www.tradingview.com/symbols/IBM/" TargetMode="External" Id="rId93" /><Relationship Type="http://schemas.openxmlformats.org/officeDocument/2006/relationships/hyperlink" Target="https://www.tradingview.com/symbols/ELV/" TargetMode="External" Id="rId94" /><Relationship Type="http://schemas.openxmlformats.org/officeDocument/2006/relationships/hyperlink" Target="https://www.tradingview.com/symbols/TMO/" TargetMode="External" Id="rId95" /><Relationship Type="http://schemas.openxmlformats.org/officeDocument/2006/relationships/hyperlink" Target="https://www.tradingview.com/symbols/LIN/" TargetMode="External" Id="rId96" /><Relationship Type="http://schemas.openxmlformats.org/officeDocument/2006/relationships/hyperlink" Target="https://www.tradingview.com/symbols/ORCL/" TargetMode="External" Id="rId97" /><Relationship Type="http://schemas.openxmlformats.org/officeDocument/2006/relationships/hyperlink" Target="https://www.tradingview.com/symbols/NOW/" TargetMode="External" Id="rId98" /><Relationship Type="http://schemas.openxmlformats.org/officeDocument/2006/relationships/hyperlink" Target="https://www.tradingview.com/symbols/UNH/" TargetMode="External" Id="rId99" /><Relationship Type="http://schemas.openxmlformats.org/officeDocument/2006/relationships/hyperlink" Target="https://www.tradingview.com/symbols/BRK.B/" TargetMode="External" Id="rId100" /><Relationship Type="http://schemas.openxmlformats.org/officeDocument/2006/relationships/hyperlink" Target="https://www.tradingview.com/symbols/HD/" TargetMode="External" Id="rId101" /><Relationship Type="http://schemas.openxmlformats.org/officeDocument/2006/relationships/hyperlink" Target="https://www.tradingview.com/symbols/EMR/" TargetMode="External" Id="rId102" /><Relationship Type="http://schemas.openxmlformats.org/officeDocument/2006/relationships/hyperlink" Target="https://www.tradingview.com/symbols/CVX/" TargetMode="External" Id="rId103" /><Relationship Type="http://schemas.openxmlformats.org/officeDocument/2006/relationships/hyperlink" Target="https://www.tradingview.com/symbols/ABT/" TargetMode="External" Id="rId104" /><Relationship Type="http://schemas.openxmlformats.org/officeDocument/2006/relationships/hyperlink" Target="https://www.tradingview.com/symbols/MET/" TargetMode="External" Id="rId105" /><Relationship Type="http://schemas.openxmlformats.org/officeDocument/2006/relationships/hyperlink" Target="https://www.tradingview.com/symbols/MRK/" TargetMode="External" Id="rId106" /><Relationship Type="http://schemas.openxmlformats.org/officeDocument/2006/relationships/hyperlink" Target="https://www.tradingview.com/symbols/OXY/" TargetMode="External" Id="rId107" /><Relationship Type="http://schemas.openxmlformats.org/officeDocument/2006/relationships/hyperlink" Target="https://www.tradingview.com/symbols/MDT/" TargetMode="External" Id="rId108" /><Relationship Type="http://schemas.openxmlformats.org/officeDocument/2006/relationships/hyperlink" Target="https://www.tradingview.com/symbols/MU/" TargetMode="External" Id="rId109" /><Relationship Type="http://schemas.openxmlformats.org/officeDocument/2006/relationships/hyperlink" Target="https://www.tradingview.com/symbols/KMI/" TargetMode="External" Id="rId110" /><Relationship Type="http://schemas.openxmlformats.org/officeDocument/2006/relationships/hyperlink" Target="https://www.tradingview.com/symbols/BSX/" TargetMode="External" Id="rId111" /><Relationship Type="http://schemas.openxmlformats.org/officeDocument/2006/relationships/hyperlink" Target="https://www.tradingview.com/symbols/BMY/" TargetMode="External" Id="rId112" /><Relationship Type="http://schemas.openxmlformats.org/officeDocument/2006/relationships/hyperlink" Target="https://www.tradingview.com/symbols/CL/" TargetMode="External" Id="rId113" /><Relationship Type="http://schemas.openxmlformats.org/officeDocument/2006/relationships/hyperlink" Target="https://www.tradingview.com/symbols/PANW/" TargetMode="External" Id="rId114" /><Relationship Type="http://schemas.openxmlformats.org/officeDocument/2006/relationships/hyperlink" Target="https://www.tradingview.com/symbols/ADI/" TargetMode="External" Id="rId115" /><Relationship Type="http://schemas.openxmlformats.org/officeDocument/2006/relationships/hyperlink" Target="https://www.tradingview.com/symbols/SPGI/" TargetMode="External" Id="rId116" /><Relationship Type="http://schemas.openxmlformats.org/officeDocument/2006/relationships/hyperlink" Target="https://www.tradingview.com/symbols/PCAR/" TargetMode="External" Id="rId117" /><Relationship Type="http://schemas.openxmlformats.org/officeDocument/2006/relationships/hyperlink" Target="https://www.tradingview.com/symbols/EQIX/" TargetMode="External" Id="rId118" /><Relationship Type="http://schemas.openxmlformats.org/officeDocument/2006/relationships/hyperlink" Target="https://www.tradingview.com/symbols/SNPS/" TargetMode="External" Id="rId119" /><Relationship Type="http://schemas.openxmlformats.org/officeDocument/2006/relationships/hyperlink" Target="https://www.tradingview.com/symbols/SO/" TargetMode="External" Id="rId120" /><Relationship Type="http://schemas.openxmlformats.org/officeDocument/2006/relationships/hyperlink" Target="https://www.tradingview.com/symbols/PLD/" TargetMode="External" Id="rId121" /><Relationship Type="http://schemas.openxmlformats.org/officeDocument/2006/relationships/hyperlink" Target="https://www.tradingview.com/symbols/RTX/" TargetMode="External" Id="rId122" /><Relationship Type="http://schemas.openxmlformats.org/officeDocument/2006/relationships/hyperlink" Target="https://www.tradingview.com/symbols/MDLZ/" TargetMode="External" Id="rId123" /><Relationship Type="http://schemas.openxmlformats.org/officeDocument/2006/relationships/hyperlink" Target="https://www.tradingview.com/symbols/VRTX/" TargetMode="External" Id="rId124" /><Relationship Type="http://schemas.openxmlformats.org/officeDocument/2006/relationships/hyperlink" Target="https://www.tradingview.com/symbols/CEG/" TargetMode="External" Id="rId125" /><Relationship Type="http://schemas.openxmlformats.org/officeDocument/2006/relationships/hyperlink" Target="https://www.tradingview.com/symbols/AMZN/" TargetMode="External" Id="rId126" /><Relationship Type="http://schemas.openxmlformats.org/officeDocument/2006/relationships/hyperlink" Target="https://www.tradingview.com/symbols/D/" TargetMode="External" Id="rId127" /><Relationship Type="http://schemas.openxmlformats.org/officeDocument/2006/relationships/hyperlink" Target="https://www.tradingview.com/symbols/TSLA/" TargetMode="External" Id="rId128" /><Relationship Type="http://schemas.openxmlformats.org/officeDocument/2006/relationships/hyperlink" Target="https://www.tradingview.com/symbols/DUK/" TargetMode="External" Id="rId129" /><Relationship Type="http://schemas.openxmlformats.org/officeDocument/2006/relationships/hyperlink" Target="https://www.tradingview.com/symbols/UBER/" TargetMode="External" Id="rId130" /><Relationship Type="http://schemas.openxmlformats.org/officeDocument/2006/relationships/hyperlink" Target="https://www.tradingview.com/symbols/FCX/" TargetMode="External" Id="rId131" /><Relationship Type="http://schemas.openxmlformats.org/officeDocument/2006/relationships/hyperlink" Target="https://www.tradingview.com/symbols/XEL/" TargetMode="External" Id="rId132" /><Relationship Type="http://schemas.openxmlformats.org/officeDocument/2006/relationships/hyperlink" Target="https://www.tradingview.com/symbols/DHR/" TargetMode="External" Id="rId133" /><Relationship Type="http://schemas.openxmlformats.org/officeDocument/2006/relationships/hyperlink" Target="https://www.tradingview.com/symbols/AIG/" TargetMode="External" Id="rId134" /><Relationship Type="http://schemas.openxmlformats.org/officeDocument/2006/relationships/hyperlink" Target="https://www.tradingview.com/symbols/AEP/" TargetMode="External" Id="rId135" /><Relationship Type="http://schemas.openxmlformats.org/officeDocument/2006/relationships/hyperlink" Target="https://www.tradingview.com/symbols/DLR/" TargetMode="External" Id="rId136" /><Relationship Type="http://schemas.openxmlformats.org/officeDocument/2006/relationships/hyperlink" Target="https://www.tradingview.com/symbols/O/" TargetMode="External" Id="rId137" /><Relationship Type="http://schemas.openxmlformats.org/officeDocument/2006/relationships/hyperlink" Target="https://www.tradingview.com/symbols/SRE/" TargetMode="External" Id="rId138" /><Relationship Type="http://schemas.openxmlformats.org/officeDocument/2006/relationships/hyperlink" Target="https://www.tradingview.com/symbols/MMM/" TargetMode="External" Id="rId139" /><Relationship Type="http://schemas.openxmlformats.org/officeDocument/2006/relationships/hyperlink" Target="https://www.tradingview.com/symbols/CRM/" TargetMode="External" Id="rId140" /><Relationship Type="http://schemas.openxmlformats.org/officeDocument/2006/relationships/hyperlink" Target="https://www.tradingview.com/symbols/CVS/" TargetMode="External" Id="rId141" /><Relationship Type="http://schemas.openxmlformats.org/officeDocument/2006/relationships/hyperlink" Target="https://www.tradingview.com/symbols/VST/" TargetMode="External" Id="rId142" /><Relationship Type="http://schemas.openxmlformats.org/officeDocument/2006/relationships/hyperlink" Target="https://www.tradingview.com/symbols/AMD/" TargetMode="External" Id="rId143" /><Relationship Type="http://schemas.openxmlformats.org/officeDocument/2006/relationships/hyperlink" Target="https://www.tradingview.com/symbols/CRWD/" TargetMode="External" Id="rId144" /><Relationship Type="http://schemas.openxmlformats.org/officeDocument/2006/relationships/hyperlink" Target="https://www.tradingview.com/symbols/GM/" TargetMode="External" Id="rId145" /><Relationship Type="http://schemas.openxmlformats.org/officeDocument/2006/relationships/hyperlink" Target="https://www.tradingview.com/symbols/KKR/" TargetMode="External" Id="rId146" /><Relationship Type="http://schemas.openxmlformats.org/officeDocument/2006/relationships/hyperlink" Target="https://www.tradingview.com/symbols/GEV/" TargetMode="External" Id="rId147" /><Relationship Type="http://schemas.openxmlformats.org/officeDocument/2006/relationships/hyperlink" Target="https://www.tradingview.com/symbols/BIIB/" TargetMode="External" Id="rId148" /><Relationship Type="http://schemas.openxmlformats.org/officeDocument/2006/relationships/hyperlink" Target="https://www.tradingview.com/symbols/DIS/" TargetMode="External" Id="rId149" /><Relationship Type="http://schemas.openxmlformats.org/officeDocument/2006/relationships/hyperlink" Target="https://www.tradingview.com/symbols/PLTR/" TargetMode="External" Id="rId150" /><Relationship Type="http://schemas.openxmlformats.org/officeDocument/2006/relationships/hyperlink" Target="https://www.tradingview.com/symbols/PFE/" TargetMode="External" Id="rId151" /><Relationship Type="http://schemas.openxmlformats.org/officeDocument/2006/relationships/hyperlink" Target="https://www.tradingview.com/symbols/MRVL/" TargetMode="External" Id="rId152" /><Relationship Type="http://schemas.openxmlformats.org/officeDocument/2006/relationships/hyperlink" Target="https://www.tradingview.com/symbols/EL/" TargetMode="External" Id="rId153" /><Relationship Type="http://schemas.openxmlformats.org/officeDocument/2006/relationships/hyperlink" Target="https://www.tradingview.com/symbols/APD/" TargetMode="External" Id="rId154" /><Relationship Type="http://schemas.openxmlformats.org/officeDocument/2006/relationships/hyperlink" Target="https://www.tradingview.com/symbols/MO/" TargetMode="External" Id="rId155" /><Relationship Type="http://schemas.openxmlformats.org/officeDocument/2006/relationships/hyperlink" Target="https://www.tradingview.com/symbols/DELL/" TargetMode="External" Id="rId156" /><Relationship Type="http://schemas.openxmlformats.org/officeDocument/2006/relationships/hyperlink" Target="https://www.tradingview.com/symbols/DOW/" TargetMode="External" Id="rId157" /><Relationship Type="http://schemas.openxmlformats.org/officeDocument/2006/relationships/hyperlink" Target="https://www.tradingview.com/symbols/F/" TargetMode="External" Id="rId158" /><Relationship Type="http://schemas.openxmlformats.org/officeDocument/2006/relationships/hyperlink" Target="https://www.tradingview.com/symbols/GILD/" TargetMode="External" Id="rId159" /><Relationship Type="http://schemas.openxmlformats.org/officeDocument/2006/relationships/hyperlink" Target="https://www.tradingview.com/symbols/INTC/" TargetMode="External" Id="rId160" /><Relationship Type="http://schemas.openxmlformats.org/officeDocument/2006/relationships/hyperlink" Target="https://www.tradingview.com/symbols/LOW/" TargetMode="External" Id="rId161" /><Relationship Type="http://schemas.openxmlformats.org/officeDocument/2006/relationships/hyperlink" Target="https://www.tradingview.com/symbols/MCD/" TargetMode="External" Id="rId162" /><Relationship Type="http://schemas.openxmlformats.org/officeDocument/2006/relationships/hyperlink" Target="https://www.tradingview.com/symbols/MCK/" TargetMode="External" Id="rId163" /><Relationship Type="http://schemas.openxmlformats.org/officeDocument/2006/relationships/hyperlink" Target="https://www.tradingview.com/symbols/MRNA/" TargetMode="External" Id="rId164" /><Relationship Type="http://schemas.openxmlformats.org/officeDocument/2006/relationships/hyperlink" Target="https://www.tradingview.com/symbols/PM/" TargetMode="External" Id="rId165" /><Relationship Type="http://schemas.openxmlformats.org/officeDocument/2006/relationships/hyperlink" Target="https://www.tradingview.com/symbols/SBUX/" TargetMode="External" Id="rId1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SINTESI DELLO SCREENING</t>
        </is>
      </c>
    </row>
    <row r="2">
      <c r="A2" s="2" t="inlineStr">
        <is>
          <t>Un foglio per mercato. Le soglie stanno in PARAMETRI: cambiale li' e tutti i giudizi si ricalcolano.</t>
        </is>
      </c>
    </row>
    <row r="4">
      <c r="A4" s="3" t="inlineStr">
        <is>
          <t>Esito</t>
        </is>
      </c>
      <c r="B4" s="3" t="inlineStr">
        <is>
          <t>Titoli</t>
        </is>
      </c>
    </row>
    <row r="5">
      <c r="A5" s="4" t="inlineStr">
        <is>
          <t>PASSA FORTE</t>
        </is>
      </c>
      <c r="B5" s="4">
        <f>COUNTIF('ITALIA'!AG2:AG67,"PASSA FORTE")+COUNTIF('GERMANIA'!AG2:AG44,"PASSA FORTE")+COUNTIF('FRANCIA'!AG2:AG36,"PASSA FORTE")+COUNTIF('PAESI BASSI'!AG2:AG21,"PASSA FORTE")+COUNTIF('SVIZZERA'!AG2:AG24,"PASSA FORTE")+COUNTIF('USA'!AG2:AG167,"PASSA FORTE")</f>
        <v/>
      </c>
    </row>
    <row r="6">
      <c r="A6" s="4" t="inlineStr">
        <is>
          <t>PASSA</t>
        </is>
      </c>
      <c r="B6" s="4">
        <f>COUNTIF('ITALIA'!AG2:AG67,"PASSA")+COUNTIF('GERMANIA'!AG2:AG44,"PASSA")+COUNTIF('FRANCIA'!AG2:AG36,"PASSA")+COUNTIF('PAESI BASSI'!AG2:AG21,"PASSA")+COUNTIF('SVIZZERA'!AG2:AG24,"PASSA")+COUNTIF('USA'!AG2:AG167,"PASSA")</f>
        <v/>
      </c>
    </row>
    <row r="7">
      <c r="A7" s="4" t="inlineStr">
        <is>
          <t>SCARTA</t>
        </is>
      </c>
      <c r="B7" s="4">
        <f>COUNTIF('ITALIA'!AG2:AG67,"SCARTA")+COUNTIF('GERMANIA'!AG2:AG44,"SCARTA")+COUNTIF('FRANCIA'!AG2:AG36,"SCARTA")+COUNTIF('PAESI BASSI'!AG2:AG21,"SCARTA")+COUNTIF('SVIZZERA'!AG2:AG24,"SCARTA")+COUNTIF('USA'!AG2:AG167,"SCARTA")</f>
        <v/>
      </c>
    </row>
    <row r="8">
      <c r="A8" s="4" t="inlineStr">
        <is>
          <t>DA COMPLETARE</t>
        </is>
      </c>
      <c r="B8" s="4">
        <f>COUNTIF('ITALIA'!AG2:AG67,"DA COMPLETARE")+COUNTIF('GERMANIA'!AG2:AG44,"DA COMPLETARE")+COUNTIF('FRANCIA'!AG2:AG36,"DA COMPLETARE")+COUNTIF('PAESI BASSI'!AG2:AG21,"DA COMPLETARE")+COUNTIF('SVIZZERA'!AG2:AG24,"DA COMPLETARE")+COUNTIF('USA'!AG2:AG167,"DA COMPLETARE")</f>
        <v/>
      </c>
    </row>
    <row r="9">
      <c r="A9" s="5" t="inlineStr">
        <is>
          <t>Totale</t>
        </is>
      </c>
      <c r="B9" s="5">
        <f>SUM(B5:B8)</f>
        <v/>
      </c>
    </row>
    <row r="11">
      <c r="A11" s="6" t="inlineStr">
        <is>
          <t>Per mercato</t>
        </is>
      </c>
    </row>
    <row r="12">
      <c r="A12" s="3" t="inlineStr">
        <is>
          <t>Mercato</t>
        </is>
      </c>
      <c r="B12" s="3" t="inlineStr">
        <is>
          <t>Titoli</t>
        </is>
      </c>
      <c r="C12" s="3" t="inlineStr">
        <is>
          <t>Passano</t>
        </is>
      </c>
      <c r="D12" s="3" t="inlineStr">
        <is>
          <t>P/E medio</t>
        </is>
      </c>
      <c r="E12" s="3" t="inlineStr">
        <is>
          <t>Punteggio medio</t>
        </is>
      </c>
    </row>
    <row r="13">
      <c r="A13" s="4" t="inlineStr">
        <is>
          <t>Italia</t>
        </is>
      </c>
      <c r="B13" s="4">
        <f>COUNTA('ITALIA'!B2:B67)</f>
        <v/>
      </c>
      <c r="C13" s="4">
        <f>COUNTIF('ITALIA'!AG2:AG67,"PASSA")+COUNTIF('ITALIA'!AG2:AG67,"PASSA FORTE")</f>
        <v/>
      </c>
      <c r="D13" s="7">
        <f>IFERROR(AVERAGE('ITALIA'!M2:M67),"")</f>
        <v/>
      </c>
      <c r="E13" s="7">
        <f>IFERROR(AVERAGE('ITALIA'!AD2:AD67),"")</f>
        <v/>
      </c>
    </row>
    <row r="14">
      <c r="A14" s="4" t="inlineStr">
        <is>
          <t>Germania</t>
        </is>
      </c>
      <c r="B14" s="4">
        <f>COUNTA('GERMANIA'!B2:B44)</f>
        <v/>
      </c>
      <c r="C14" s="4">
        <f>COUNTIF('GERMANIA'!AG2:AG44,"PASSA")+COUNTIF('GERMANIA'!AG2:AG44,"PASSA FORTE")</f>
        <v/>
      </c>
      <c r="D14" s="7">
        <f>IFERROR(AVERAGE('GERMANIA'!M2:M44),"")</f>
        <v/>
      </c>
      <c r="E14" s="7">
        <f>IFERROR(AVERAGE('GERMANIA'!AD2:AD44),"")</f>
        <v/>
      </c>
    </row>
    <row r="15">
      <c r="A15" s="4" t="inlineStr">
        <is>
          <t>Francia</t>
        </is>
      </c>
      <c r="B15" s="4">
        <f>COUNTA('FRANCIA'!B2:B36)</f>
        <v/>
      </c>
      <c r="C15" s="4">
        <f>COUNTIF('FRANCIA'!AG2:AG36,"PASSA")+COUNTIF('FRANCIA'!AG2:AG36,"PASSA FORTE")</f>
        <v/>
      </c>
      <c r="D15" s="7">
        <f>IFERROR(AVERAGE('FRANCIA'!M2:M36),"")</f>
        <v/>
      </c>
      <c r="E15" s="7">
        <f>IFERROR(AVERAGE('FRANCIA'!AD2:AD36),"")</f>
        <v/>
      </c>
    </row>
    <row r="16">
      <c r="A16" s="4" t="inlineStr">
        <is>
          <t>Paesi Bassi</t>
        </is>
      </c>
      <c r="B16" s="4">
        <f>COUNTA('PAESI BASSI'!B2:B21)</f>
        <v/>
      </c>
      <c r="C16" s="4">
        <f>COUNTIF('PAESI BASSI'!AG2:AG21,"PASSA")+COUNTIF('PAESI BASSI'!AG2:AG21,"PASSA FORTE")</f>
        <v/>
      </c>
      <c r="D16" s="7">
        <f>IFERROR(AVERAGE('PAESI BASSI'!M2:M21),"")</f>
        <v/>
      </c>
      <c r="E16" s="7">
        <f>IFERROR(AVERAGE('PAESI BASSI'!AD2:AD21),"")</f>
        <v/>
      </c>
    </row>
    <row r="17">
      <c r="A17" s="4" t="inlineStr">
        <is>
          <t>Svizzera</t>
        </is>
      </c>
      <c r="B17" s="4">
        <f>COUNTA('SVIZZERA'!B2:B24)</f>
        <v/>
      </c>
      <c r="C17" s="4">
        <f>COUNTIF('SVIZZERA'!AG2:AG24,"PASSA")+COUNTIF('SVIZZERA'!AG2:AG24,"PASSA FORTE")</f>
        <v/>
      </c>
      <c r="D17" s="7">
        <f>IFERROR(AVERAGE('SVIZZERA'!M2:M24),"")</f>
        <v/>
      </c>
      <c r="E17" s="7">
        <f>IFERROR(AVERAGE('SVIZZERA'!AD2:AD24),"")</f>
        <v/>
      </c>
    </row>
    <row r="18">
      <c r="A18" s="4" t="inlineStr">
        <is>
          <t>USA</t>
        </is>
      </c>
      <c r="B18" s="4">
        <f>COUNTA('USA'!B2:B167)</f>
        <v/>
      </c>
      <c r="C18" s="4">
        <f>COUNTIF('USA'!AG2:AG167,"PASSA")+COUNTIF('USA'!AG2:AG167,"PASSA FORTE")</f>
        <v/>
      </c>
      <c r="D18" s="7">
        <f>IFERROR(AVERAGE('USA'!M2:M167),"")</f>
        <v/>
      </c>
      <c r="E18" s="7">
        <f>IFERROR(AVERAGE('USA'!AD2:AD167),"")</f>
        <v/>
      </c>
    </row>
    <row r="21">
      <c r="A21" s="6" t="inlineStr">
        <is>
          <t>Per settore</t>
        </is>
      </c>
    </row>
    <row r="22">
      <c r="A22" s="3" t="inlineStr">
        <is>
          <t>Settore</t>
        </is>
      </c>
      <c r="B22" s="3" t="inlineStr">
        <is>
          <t>Italia</t>
        </is>
      </c>
      <c r="C22" s="3" t="inlineStr">
        <is>
          <t>Germania</t>
        </is>
      </c>
      <c r="D22" s="3" t="inlineStr">
        <is>
          <t>Francia</t>
        </is>
      </c>
      <c r="E22" s="3" t="inlineStr">
        <is>
          <t>Paesi Bassi</t>
        </is>
      </c>
      <c r="F22" s="3" t="inlineStr">
        <is>
          <t>Svizzera</t>
        </is>
      </c>
      <c r="G22" s="3" t="inlineStr">
        <is>
          <t>USA</t>
        </is>
      </c>
      <c r="H22" s="3" t="inlineStr">
        <is>
          <t>Totale</t>
        </is>
      </c>
      <c r="I22" s="3" t="inlineStr">
        <is>
          <t>Passano</t>
        </is>
      </c>
      <c r="J22" s="3" t="inlineStr">
        <is>
          <t>ROE 1a medio</t>
        </is>
      </c>
    </row>
    <row r="23">
      <c r="A23" s="4" t="inlineStr">
        <is>
          <t>Tecnologia</t>
        </is>
      </c>
      <c r="B23" s="4">
        <f>COUNTIF('ITALIA'!E2:E67,$A23)</f>
        <v/>
      </c>
      <c r="C23" s="4">
        <f>COUNTIF('GERMANIA'!E2:E44,$A23)</f>
        <v/>
      </c>
      <c r="D23" s="4">
        <f>COUNTIF('FRANCIA'!E2:E36,$A23)</f>
        <v/>
      </c>
      <c r="E23" s="4">
        <f>COUNTIF('PAESI BASSI'!E2:E21,$A23)</f>
        <v/>
      </c>
      <c r="F23" s="4">
        <f>COUNTIF('SVIZZERA'!E2:E24,$A23)</f>
        <v/>
      </c>
      <c r="G23" s="4">
        <f>COUNTIF('USA'!E2:E167,$A23)</f>
        <v/>
      </c>
      <c r="H23" s="4">
        <f>SUM(B23:G23)</f>
        <v/>
      </c>
      <c r="I23" s="4">
        <f>COUNTIFS('ITALIA'!E2:E67,$A23,'ITALIA'!AG2:AG67,"PASSA")+COUNTIFS('ITALIA'!E2:E67,$A23,'ITALIA'!AG2:AG67,"PASSA FORTE")+COUNTIFS('GERMANIA'!E2:E44,$A23,'GERMANIA'!AG2:AG44,"PASSA")+COUNTIFS('GERMANIA'!E2:E44,$A23,'GERMANIA'!AG2:AG44,"PASSA FORTE")+COUNTIFS('FRANCIA'!E2:E36,$A23,'FRANCIA'!AG2:AG36,"PASSA")+COUNTIFS('FRANCIA'!E2:E36,$A23,'FRANCIA'!AG2:AG36,"PASSA FORTE")+COUNTIFS('PAESI BASSI'!E2:E21,$A23,'PAESI BASSI'!AG2:AG21,"PASSA")+COUNTIFS('PAESI BASSI'!E2:E21,$A23,'PAESI BASSI'!AG2:AG21,"PASSA FORTE")+COUNTIFS('SVIZZERA'!E2:E24,$A23,'SVIZZERA'!AG2:AG24,"PASSA")+COUNTIFS('SVIZZERA'!E2:E24,$A23,'SVIZZERA'!AG2:AG24,"PASSA FORTE")+COUNTIFS('USA'!E2:E167,$A23,'USA'!AG2:AG167,"PASSA")+COUNTIFS('USA'!E2:E167,$A23,'USA'!AG2:AG167,"PASSA FORTE")</f>
        <v/>
      </c>
      <c r="J23" s="8">
        <f>IFERROR((SUMIF('ITALIA'!E2:E67,$A23,'ITALIA'!P2:P67)+SUMIF('GERMANIA'!E2:E44,$A23,'GERMANIA'!P2:P44)+SUMIF('FRANCIA'!E2:E36,$A23,'FRANCIA'!P2:P36)+SUMIF('PAESI BASSI'!E2:E21,$A23,'PAESI BASSI'!P2:P21)+SUMIF('SVIZZERA'!E2:E24,$A23,'SVIZZERA'!P2:P24)+SUMIF('USA'!E2:E167,$A23,'USA'!P2:P167))/(COUNTIFS('ITALIA'!E2:E67,$A23,'ITALIA'!P2:P67,"&lt;&gt;")+COUNTIFS('GERMANIA'!E2:E44,$A23,'GERMANIA'!P2:P44,"&lt;&gt;")+COUNTIFS('FRANCIA'!E2:E36,$A23,'FRANCIA'!P2:P36,"&lt;&gt;")+COUNTIFS('PAESI BASSI'!E2:E21,$A23,'PAESI BASSI'!P2:P21,"&lt;&gt;")+COUNTIFS('SVIZZERA'!E2:E24,$A23,'SVIZZERA'!P2:P24,"&lt;&gt;")+COUNTIFS('USA'!E2:E167,$A23,'USA'!P2:P167,"&lt;&gt;")),"")</f>
        <v/>
      </c>
    </row>
    <row r="24">
      <c r="A24" s="4" t="inlineStr">
        <is>
          <t>Salute</t>
        </is>
      </c>
      <c r="B24" s="4">
        <f>COUNTIF('ITALIA'!E2:E67,$A24)</f>
        <v/>
      </c>
      <c r="C24" s="4">
        <f>COUNTIF('GERMANIA'!E2:E44,$A24)</f>
        <v/>
      </c>
      <c r="D24" s="4">
        <f>COUNTIF('FRANCIA'!E2:E36,$A24)</f>
        <v/>
      </c>
      <c r="E24" s="4">
        <f>COUNTIF('PAESI BASSI'!E2:E21,$A24)</f>
        <v/>
      </c>
      <c r="F24" s="4">
        <f>COUNTIF('SVIZZERA'!E2:E24,$A24)</f>
        <v/>
      </c>
      <c r="G24" s="4">
        <f>COUNTIF('USA'!E2:E167,$A24)</f>
        <v/>
      </c>
      <c r="H24" s="4">
        <f>SUM(B24:G24)</f>
        <v/>
      </c>
      <c r="I24" s="4">
        <f>COUNTIFS('ITALIA'!E2:E67,$A24,'ITALIA'!AG2:AG67,"PASSA")+COUNTIFS('ITALIA'!E2:E67,$A24,'ITALIA'!AG2:AG67,"PASSA FORTE")+COUNTIFS('GERMANIA'!E2:E44,$A24,'GERMANIA'!AG2:AG44,"PASSA")+COUNTIFS('GERMANIA'!E2:E44,$A24,'GERMANIA'!AG2:AG44,"PASSA FORTE")+COUNTIFS('FRANCIA'!E2:E36,$A24,'FRANCIA'!AG2:AG36,"PASSA")+COUNTIFS('FRANCIA'!E2:E36,$A24,'FRANCIA'!AG2:AG36,"PASSA FORTE")+COUNTIFS('PAESI BASSI'!E2:E21,$A24,'PAESI BASSI'!AG2:AG21,"PASSA")+COUNTIFS('PAESI BASSI'!E2:E21,$A24,'PAESI BASSI'!AG2:AG21,"PASSA FORTE")+COUNTIFS('SVIZZERA'!E2:E24,$A24,'SVIZZERA'!AG2:AG24,"PASSA")+COUNTIFS('SVIZZERA'!E2:E24,$A24,'SVIZZERA'!AG2:AG24,"PASSA FORTE")+COUNTIFS('USA'!E2:E167,$A24,'USA'!AG2:AG167,"PASSA")+COUNTIFS('USA'!E2:E167,$A24,'USA'!AG2:AG167,"PASSA FORTE")</f>
        <v/>
      </c>
      <c r="J24" s="8">
        <f>IFERROR((SUMIF('ITALIA'!E2:E67,$A24,'ITALIA'!P2:P67)+SUMIF('GERMANIA'!E2:E44,$A24,'GERMANIA'!P2:P44)+SUMIF('FRANCIA'!E2:E36,$A24,'FRANCIA'!P2:P36)+SUMIF('PAESI BASSI'!E2:E21,$A24,'PAESI BASSI'!P2:P21)+SUMIF('SVIZZERA'!E2:E24,$A24,'SVIZZERA'!P2:P24)+SUMIF('USA'!E2:E167,$A24,'USA'!P2:P167))/(COUNTIFS('ITALIA'!E2:E67,$A24,'ITALIA'!P2:P67,"&lt;&gt;")+COUNTIFS('GERMANIA'!E2:E44,$A24,'GERMANIA'!P2:P44,"&lt;&gt;")+COUNTIFS('FRANCIA'!E2:E36,$A24,'FRANCIA'!P2:P36,"&lt;&gt;")+COUNTIFS('PAESI BASSI'!E2:E21,$A24,'PAESI BASSI'!P2:P21,"&lt;&gt;")+COUNTIFS('SVIZZERA'!E2:E24,$A24,'SVIZZERA'!P2:P24,"&lt;&gt;")+COUNTIFS('USA'!E2:E167,$A24,'USA'!P2:P167,"&lt;&gt;")),"")</f>
        <v/>
      </c>
    </row>
    <row r="25">
      <c r="A25" s="4" t="inlineStr">
        <is>
          <t>Finanziario</t>
        </is>
      </c>
      <c r="B25" s="4">
        <f>COUNTIF('ITALIA'!E2:E67,$A25)</f>
        <v/>
      </c>
      <c r="C25" s="4">
        <f>COUNTIF('GERMANIA'!E2:E44,$A25)</f>
        <v/>
      </c>
      <c r="D25" s="4">
        <f>COUNTIF('FRANCIA'!E2:E36,$A25)</f>
        <v/>
      </c>
      <c r="E25" s="4">
        <f>COUNTIF('PAESI BASSI'!E2:E21,$A25)</f>
        <v/>
      </c>
      <c r="F25" s="4">
        <f>COUNTIF('SVIZZERA'!E2:E24,$A25)</f>
        <v/>
      </c>
      <c r="G25" s="4">
        <f>COUNTIF('USA'!E2:E167,$A25)</f>
        <v/>
      </c>
      <c r="H25" s="4">
        <f>SUM(B25:G25)</f>
        <v/>
      </c>
      <c r="I25" s="4">
        <f>COUNTIFS('ITALIA'!E2:E67,$A25,'ITALIA'!AG2:AG67,"PASSA")+COUNTIFS('ITALIA'!E2:E67,$A25,'ITALIA'!AG2:AG67,"PASSA FORTE")+COUNTIFS('GERMANIA'!E2:E44,$A25,'GERMANIA'!AG2:AG44,"PASSA")+COUNTIFS('GERMANIA'!E2:E44,$A25,'GERMANIA'!AG2:AG44,"PASSA FORTE")+COUNTIFS('FRANCIA'!E2:E36,$A25,'FRANCIA'!AG2:AG36,"PASSA")+COUNTIFS('FRANCIA'!E2:E36,$A25,'FRANCIA'!AG2:AG36,"PASSA FORTE")+COUNTIFS('PAESI BASSI'!E2:E21,$A25,'PAESI BASSI'!AG2:AG21,"PASSA")+COUNTIFS('PAESI BASSI'!E2:E21,$A25,'PAESI BASSI'!AG2:AG21,"PASSA FORTE")+COUNTIFS('SVIZZERA'!E2:E24,$A25,'SVIZZERA'!AG2:AG24,"PASSA")+COUNTIFS('SVIZZERA'!E2:E24,$A25,'SVIZZERA'!AG2:AG24,"PASSA FORTE")+COUNTIFS('USA'!E2:E167,$A25,'USA'!AG2:AG167,"PASSA")+COUNTIFS('USA'!E2:E167,$A25,'USA'!AG2:AG167,"PASSA FORTE")</f>
        <v/>
      </c>
      <c r="J25" s="8">
        <f>IFERROR((SUMIF('ITALIA'!E2:E67,$A25,'ITALIA'!P2:P67)+SUMIF('GERMANIA'!E2:E44,$A25,'GERMANIA'!P2:P44)+SUMIF('FRANCIA'!E2:E36,$A25,'FRANCIA'!P2:P36)+SUMIF('PAESI BASSI'!E2:E21,$A25,'PAESI BASSI'!P2:P21)+SUMIF('SVIZZERA'!E2:E24,$A25,'SVIZZERA'!P2:P24)+SUMIF('USA'!E2:E167,$A25,'USA'!P2:P167))/(COUNTIFS('ITALIA'!E2:E67,$A25,'ITALIA'!P2:P67,"&lt;&gt;")+COUNTIFS('GERMANIA'!E2:E44,$A25,'GERMANIA'!P2:P44,"&lt;&gt;")+COUNTIFS('FRANCIA'!E2:E36,$A25,'FRANCIA'!P2:P36,"&lt;&gt;")+COUNTIFS('PAESI BASSI'!E2:E21,$A25,'PAESI BASSI'!P2:P21,"&lt;&gt;")+COUNTIFS('SVIZZERA'!E2:E24,$A25,'SVIZZERA'!P2:P24,"&lt;&gt;")+COUNTIFS('USA'!E2:E167,$A25,'USA'!P2:P167,"&lt;&gt;")),"")</f>
        <v/>
      </c>
    </row>
    <row r="26">
      <c r="A26" s="4" t="inlineStr">
        <is>
          <t>Industriale</t>
        </is>
      </c>
      <c r="B26" s="4">
        <f>COUNTIF('ITALIA'!E2:E67,$A26)</f>
        <v/>
      </c>
      <c r="C26" s="4">
        <f>COUNTIF('GERMANIA'!E2:E44,$A26)</f>
        <v/>
      </c>
      <c r="D26" s="4">
        <f>COUNTIF('FRANCIA'!E2:E36,$A26)</f>
        <v/>
      </c>
      <c r="E26" s="4">
        <f>COUNTIF('PAESI BASSI'!E2:E21,$A26)</f>
        <v/>
      </c>
      <c r="F26" s="4">
        <f>COUNTIF('SVIZZERA'!E2:E24,$A26)</f>
        <v/>
      </c>
      <c r="G26" s="4">
        <f>COUNTIF('USA'!E2:E167,$A26)</f>
        <v/>
      </c>
      <c r="H26" s="4">
        <f>SUM(B26:G26)</f>
        <v/>
      </c>
      <c r="I26" s="4">
        <f>COUNTIFS('ITALIA'!E2:E67,$A26,'ITALIA'!AG2:AG67,"PASSA")+COUNTIFS('ITALIA'!E2:E67,$A26,'ITALIA'!AG2:AG67,"PASSA FORTE")+COUNTIFS('GERMANIA'!E2:E44,$A26,'GERMANIA'!AG2:AG44,"PASSA")+COUNTIFS('GERMANIA'!E2:E44,$A26,'GERMANIA'!AG2:AG44,"PASSA FORTE")+COUNTIFS('FRANCIA'!E2:E36,$A26,'FRANCIA'!AG2:AG36,"PASSA")+COUNTIFS('FRANCIA'!E2:E36,$A26,'FRANCIA'!AG2:AG36,"PASSA FORTE")+COUNTIFS('PAESI BASSI'!E2:E21,$A26,'PAESI BASSI'!AG2:AG21,"PASSA")+COUNTIFS('PAESI BASSI'!E2:E21,$A26,'PAESI BASSI'!AG2:AG21,"PASSA FORTE")+COUNTIFS('SVIZZERA'!E2:E24,$A26,'SVIZZERA'!AG2:AG24,"PASSA")+COUNTIFS('SVIZZERA'!E2:E24,$A26,'SVIZZERA'!AG2:AG24,"PASSA FORTE")+COUNTIFS('USA'!E2:E167,$A26,'USA'!AG2:AG167,"PASSA")+COUNTIFS('USA'!E2:E167,$A26,'USA'!AG2:AG167,"PASSA FORTE")</f>
        <v/>
      </c>
      <c r="J26" s="8">
        <f>IFERROR((SUMIF('ITALIA'!E2:E67,$A26,'ITALIA'!P2:P67)+SUMIF('GERMANIA'!E2:E44,$A26,'GERMANIA'!P2:P44)+SUMIF('FRANCIA'!E2:E36,$A26,'FRANCIA'!P2:P36)+SUMIF('PAESI BASSI'!E2:E21,$A26,'PAESI BASSI'!P2:P21)+SUMIF('SVIZZERA'!E2:E24,$A26,'SVIZZERA'!P2:P24)+SUMIF('USA'!E2:E167,$A26,'USA'!P2:P167))/(COUNTIFS('ITALIA'!E2:E67,$A26,'ITALIA'!P2:P67,"&lt;&gt;")+COUNTIFS('GERMANIA'!E2:E44,$A26,'GERMANIA'!P2:P44,"&lt;&gt;")+COUNTIFS('FRANCIA'!E2:E36,$A26,'FRANCIA'!P2:P36,"&lt;&gt;")+COUNTIFS('PAESI BASSI'!E2:E21,$A26,'PAESI BASSI'!P2:P21,"&lt;&gt;")+COUNTIFS('SVIZZERA'!E2:E24,$A26,'SVIZZERA'!P2:P24,"&lt;&gt;")+COUNTIFS('USA'!E2:E167,$A26,'USA'!P2:P167,"&lt;&gt;")),"")</f>
        <v/>
      </c>
    </row>
    <row r="27">
      <c r="A27" s="4" t="inlineStr">
        <is>
          <t>Consumi</t>
        </is>
      </c>
      <c r="B27" s="4">
        <f>COUNTIF('ITALIA'!E2:E67,$A27)</f>
        <v/>
      </c>
      <c r="C27" s="4">
        <f>COUNTIF('GERMANIA'!E2:E44,$A27)</f>
        <v/>
      </c>
      <c r="D27" s="4">
        <f>COUNTIF('FRANCIA'!E2:E36,$A27)</f>
        <v/>
      </c>
      <c r="E27" s="4">
        <f>COUNTIF('PAESI BASSI'!E2:E21,$A27)</f>
        <v/>
      </c>
      <c r="F27" s="4">
        <f>COUNTIF('SVIZZERA'!E2:E24,$A27)</f>
        <v/>
      </c>
      <c r="G27" s="4">
        <f>COUNTIF('USA'!E2:E167,$A27)</f>
        <v/>
      </c>
      <c r="H27" s="4">
        <f>SUM(B27:G27)</f>
        <v/>
      </c>
      <c r="I27" s="4">
        <f>COUNTIFS('ITALIA'!E2:E67,$A27,'ITALIA'!AG2:AG67,"PASSA")+COUNTIFS('ITALIA'!E2:E67,$A27,'ITALIA'!AG2:AG67,"PASSA FORTE")+COUNTIFS('GERMANIA'!E2:E44,$A27,'GERMANIA'!AG2:AG44,"PASSA")+COUNTIFS('GERMANIA'!E2:E44,$A27,'GERMANIA'!AG2:AG44,"PASSA FORTE")+COUNTIFS('FRANCIA'!E2:E36,$A27,'FRANCIA'!AG2:AG36,"PASSA")+COUNTIFS('FRANCIA'!E2:E36,$A27,'FRANCIA'!AG2:AG36,"PASSA FORTE")+COUNTIFS('PAESI BASSI'!E2:E21,$A27,'PAESI BASSI'!AG2:AG21,"PASSA")+COUNTIFS('PAESI BASSI'!E2:E21,$A27,'PAESI BASSI'!AG2:AG21,"PASSA FORTE")+COUNTIFS('SVIZZERA'!E2:E24,$A27,'SVIZZERA'!AG2:AG24,"PASSA")+COUNTIFS('SVIZZERA'!E2:E24,$A27,'SVIZZERA'!AG2:AG24,"PASSA FORTE")+COUNTIFS('USA'!E2:E167,$A27,'USA'!AG2:AG167,"PASSA")+COUNTIFS('USA'!E2:E167,$A27,'USA'!AG2:AG167,"PASSA FORTE")</f>
        <v/>
      </c>
      <c r="J27" s="8">
        <f>IFERROR((SUMIF('ITALIA'!E2:E67,$A27,'ITALIA'!P2:P67)+SUMIF('GERMANIA'!E2:E44,$A27,'GERMANIA'!P2:P44)+SUMIF('FRANCIA'!E2:E36,$A27,'FRANCIA'!P2:P36)+SUMIF('PAESI BASSI'!E2:E21,$A27,'PAESI BASSI'!P2:P21)+SUMIF('SVIZZERA'!E2:E24,$A27,'SVIZZERA'!P2:P24)+SUMIF('USA'!E2:E167,$A27,'USA'!P2:P167))/(COUNTIFS('ITALIA'!E2:E67,$A27,'ITALIA'!P2:P67,"&lt;&gt;")+COUNTIFS('GERMANIA'!E2:E44,$A27,'GERMANIA'!P2:P44,"&lt;&gt;")+COUNTIFS('FRANCIA'!E2:E36,$A27,'FRANCIA'!P2:P36,"&lt;&gt;")+COUNTIFS('PAESI BASSI'!E2:E21,$A27,'PAESI BASSI'!P2:P21,"&lt;&gt;")+COUNTIFS('SVIZZERA'!E2:E24,$A27,'SVIZZERA'!P2:P24,"&lt;&gt;")+COUNTIFS('USA'!E2:E167,$A27,'USA'!P2:P167,"&lt;&gt;")),"")</f>
        <v/>
      </c>
    </row>
    <row r="28">
      <c r="A28" s="4" t="inlineStr">
        <is>
          <t>Energia</t>
        </is>
      </c>
      <c r="B28" s="4">
        <f>COUNTIF('ITALIA'!E2:E67,$A28)</f>
        <v/>
      </c>
      <c r="C28" s="4">
        <f>COUNTIF('GERMANIA'!E2:E44,$A28)</f>
        <v/>
      </c>
      <c r="D28" s="4">
        <f>COUNTIF('FRANCIA'!E2:E36,$A28)</f>
        <v/>
      </c>
      <c r="E28" s="4">
        <f>COUNTIF('PAESI BASSI'!E2:E21,$A28)</f>
        <v/>
      </c>
      <c r="F28" s="4">
        <f>COUNTIF('SVIZZERA'!E2:E24,$A28)</f>
        <v/>
      </c>
      <c r="G28" s="4">
        <f>COUNTIF('USA'!E2:E167,$A28)</f>
        <v/>
      </c>
      <c r="H28" s="4">
        <f>SUM(B28:G28)</f>
        <v/>
      </c>
      <c r="I28" s="4">
        <f>COUNTIFS('ITALIA'!E2:E67,$A28,'ITALIA'!AG2:AG67,"PASSA")+COUNTIFS('ITALIA'!E2:E67,$A28,'ITALIA'!AG2:AG67,"PASSA FORTE")+COUNTIFS('GERMANIA'!E2:E44,$A28,'GERMANIA'!AG2:AG44,"PASSA")+COUNTIFS('GERMANIA'!E2:E44,$A28,'GERMANIA'!AG2:AG44,"PASSA FORTE")+COUNTIFS('FRANCIA'!E2:E36,$A28,'FRANCIA'!AG2:AG36,"PASSA")+COUNTIFS('FRANCIA'!E2:E36,$A28,'FRANCIA'!AG2:AG36,"PASSA FORTE")+COUNTIFS('PAESI BASSI'!E2:E21,$A28,'PAESI BASSI'!AG2:AG21,"PASSA")+COUNTIFS('PAESI BASSI'!E2:E21,$A28,'PAESI BASSI'!AG2:AG21,"PASSA FORTE")+COUNTIFS('SVIZZERA'!E2:E24,$A28,'SVIZZERA'!AG2:AG24,"PASSA")+COUNTIFS('SVIZZERA'!E2:E24,$A28,'SVIZZERA'!AG2:AG24,"PASSA FORTE")+COUNTIFS('USA'!E2:E167,$A28,'USA'!AG2:AG167,"PASSA")+COUNTIFS('USA'!E2:E167,$A28,'USA'!AG2:AG167,"PASSA FORTE")</f>
        <v/>
      </c>
      <c r="J28" s="8">
        <f>IFERROR((SUMIF('ITALIA'!E2:E67,$A28,'ITALIA'!P2:P67)+SUMIF('GERMANIA'!E2:E44,$A28,'GERMANIA'!P2:P44)+SUMIF('FRANCIA'!E2:E36,$A28,'FRANCIA'!P2:P36)+SUMIF('PAESI BASSI'!E2:E21,$A28,'PAESI BASSI'!P2:P21)+SUMIF('SVIZZERA'!E2:E24,$A28,'SVIZZERA'!P2:P24)+SUMIF('USA'!E2:E167,$A28,'USA'!P2:P167))/(COUNTIFS('ITALIA'!E2:E67,$A28,'ITALIA'!P2:P67,"&lt;&gt;")+COUNTIFS('GERMANIA'!E2:E44,$A28,'GERMANIA'!P2:P44,"&lt;&gt;")+COUNTIFS('FRANCIA'!E2:E36,$A28,'FRANCIA'!P2:P36,"&lt;&gt;")+COUNTIFS('PAESI BASSI'!E2:E21,$A28,'PAESI BASSI'!P2:P21,"&lt;&gt;")+COUNTIFS('SVIZZERA'!E2:E24,$A28,'SVIZZERA'!P2:P24,"&lt;&gt;")+COUNTIFS('USA'!E2:E167,$A28,'USA'!P2:P167,"&lt;&gt;")),"")</f>
        <v/>
      </c>
    </row>
    <row r="29">
      <c r="A29" s="4" t="inlineStr">
        <is>
          <t>Utility</t>
        </is>
      </c>
      <c r="B29" s="4">
        <f>COUNTIF('ITALIA'!E2:E67,$A29)</f>
        <v/>
      </c>
      <c r="C29" s="4">
        <f>COUNTIF('GERMANIA'!E2:E44,$A29)</f>
        <v/>
      </c>
      <c r="D29" s="4">
        <f>COUNTIF('FRANCIA'!E2:E36,$A29)</f>
        <v/>
      </c>
      <c r="E29" s="4">
        <f>COUNTIF('PAESI BASSI'!E2:E21,$A29)</f>
        <v/>
      </c>
      <c r="F29" s="4">
        <f>COUNTIF('SVIZZERA'!E2:E24,$A29)</f>
        <v/>
      </c>
      <c r="G29" s="4">
        <f>COUNTIF('USA'!E2:E167,$A29)</f>
        <v/>
      </c>
      <c r="H29" s="4">
        <f>SUM(B29:G29)</f>
        <v/>
      </c>
      <c r="I29" s="4">
        <f>COUNTIFS('ITALIA'!E2:E67,$A29,'ITALIA'!AG2:AG67,"PASSA")+COUNTIFS('ITALIA'!E2:E67,$A29,'ITALIA'!AG2:AG67,"PASSA FORTE")+COUNTIFS('GERMANIA'!E2:E44,$A29,'GERMANIA'!AG2:AG44,"PASSA")+COUNTIFS('GERMANIA'!E2:E44,$A29,'GERMANIA'!AG2:AG44,"PASSA FORTE")+COUNTIFS('FRANCIA'!E2:E36,$A29,'FRANCIA'!AG2:AG36,"PASSA")+COUNTIFS('FRANCIA'!E2:E36,$A29,'FRANCIA'!AG2:AG36,"PASSA FORTE")+COUNTIFS('PAESI BASSI'!E2:E21,$A29,'PAESI BASSI'!AG2:AG21,"PASSA")+COUNTIFS('PAESI BASSI'!E2:E21,$A29,'PAESI BASSI'!AG2:AG21,"PASSA FORTE")+COUNTIFS('SVIZZERA'!E2:E24,$A29,'SVIZZERA'!AG2:AG24,"PASSA")+COUNTIFS('SVIZZERA'!E2:E24,$A29,'SVIZZERA'!AG2:AG24,"PASSA FORTE")+COUNTIFS('USA'!E2:E167,$A29,'USA'!AG2:AG167,"PASSA")+COUNTIFS('USA'!E2:E167,$A29,'USA'!AG2:AG167,"PASSA FORTE")</f>
        <v/>
      </c>
      <c r="J29" s="8">
        <f>IFERROR((SUMIF('ITALIA'!E2:E67,$A29,'ITALIA'!P2:P67)+SUMIF('GERMANIA'!E2:E44,$A29,'GERMANIA'!P2:P44)+SUMIF('FRANCIA'!E2:E36,$A29,'FRANCIA'!P2:P36)+SUMIF('PAESI BASSI'!E2:E21,$A29,'PAESI BASSI'!P2:P21)+SUMIF('SVIZZERA'!E2:E24,$A29,'SVIZZERA'!P2:P24)+SUMIF('USA'!E2:E167,$A29,'USA'!P2:P167))/(COUNTIFS('ITALIA'!E2:E67,$A29,'ITALIA'!P2:P67,"&lt;&gt;")+COUNTIFS('GERMANIA'!E2:E44,$A29,'GERMANIA'!P2:P44,"&lt;&gt;")+COUNTIFS('FRANCIA'!E2:E36,$A29,'FRANCIA'!P2:P36,"&lt;&gt;")+COUNTIFS('PAESI BASSI'!E2:E21,$A29,'PAESI BASSI'!P2:P21,"&lt;&gt;")+COUNTIFS('SVIZZERA'!E2:E24,$A29,'SVIZZERA'!P2:P24,"&lt;&gt;")+COUNTIFS('USA'!E2:E167,$A29,'USA'!P2:P167,"&lt;&gt;")),"")</f>
        <v/>
      </c>
    </row>
    <row r="30">
      <c r="A30" s="4" t="inlineStr">
        <is>
          <t>Materiali</t>
        </is>
      </c>
      <c r="B30" s="4">
        <f>COUNTIF('ITALIA'!E2:E67,$A30)</f>
        <v/>
      </c>
      <c r="C30" s="4">
        <f>COUNTIF('GERMANIA'!E2:E44,$A30)</f>
        <v/>
      </c>
      <c r="D30" s="4">
        <f>COUNTIF('FRANCIA'!E2:E36,$A30)</f>
        <v/>
      </c>
      <c r="E30" s="4">
        <f>COUNTIF('PAESI BASSI'!E2:E21,$A30)</f>
        <v/>
      </c>
      <c r="F30" s="4">
        <f>COUNTIF('SVIZZERA'!E2:E24,$A30)</f>
        <v/>
      </c>
      <c r="G30" s="4">
        <f>COUNTIF('USA'!E2:E167,$A30)</f>
        <v/>
      </c>
      <c r="H30" s="4">
        <f>SUM(B30:G30)</f>
        <v/>
      </c>
      <c r="I30" s="4">
        <f>COUNTIFS('ITALIA'!E2:E67,$A30,'ITALIA'!AG2:AG67,"PASSA")+COUNTIFS('ITALIA'!E2:E67,$A30,'ITALIA'!AG2:AG67,"PASSA FORTE")+COUNTIFS('GERMANIA'!E2:E44,$A30,'GERMANIA'!AG2:AG44,"PASSA")+COUNTIFS('GERMANIA'!E2:E44,$A30,'GERMANIA'!AG2:AG44,"PASSA FORTE")+COUNTIFS('FRANCIA'!E2:E36,$A30,'FRANCIA'!AG2:AG36,"PASSA")+COUNTIFS('FRANCIA'!E2:E36,$A30,'FRANCIA'!AG2:AG36,"PASSA FORTE")+COUNTIFS('PAESI BASSI'!E2:E21,$A30,'PAESI BASSI'!AG2:AG21,"PASSA")+COUNTIFS('PAESI BASSI'!E2:E21,$A30,'PAESI BASSI'!AG2:AG21,"PASSA FORTE")+COUNTIFS('SVIZZERA'!E2:E24,$A30,'SVIZZERA'!AG2:AG24,"PASSA")+COUNTIFS('SVIZZERA'!E2:E24,$A30,'SVIZZERA'!AG2:AG24,"PASSA FORTE")+COUNTIFS('USA'!E2:E167,$A30,'USA'!AG2:AG167,"PASSA")+COUNTIFS('USA'!E2:E167,$A30,'USA'!AG2:AG167,"PASSA FORTE")</f>
        <v/>
      </c>
      <c r="J30" s="8">
        <f>IFERROR((SUMIF('ITALIA'!E2:E67,$A30,'ITALIA'!P2:P67)+SUMIF('GERMANIA'!E2:E44,$A30,'GERMANIA'!P2:P44)+SUMIF('FRANCIA'!E2:E36,$A30,'FRANCIA'!P2:P36)+SUMIF('PAESI BASSI'!E2:E21,$A30,'PAESI BASSI'!P2:P21)+SUMIF('SVIZZERA'!E2:E24,$A30,'SVIZZERA'!P2:P24)+SUMIF('USA'!E2:E167,$A30,'USA'!P2:P167))/(COUNTIFS('ITALIA'!E2:E67,$A30,'ITALIA'!P2:P67,"&lt;&gt;")+COUNTIFS('GERMANIA'!E2:E44,$A30,'GERMANIA'!P2:P44,"&lt;&gt;")+COUNTIFS('FRANCIA'!E2:E36,$A30,'FRANCIA'!P2:P36,"&lt;&gt;")+COUNTIFS('PAESI BASSI'!E2:E21,$A30,'PAESI BASSI'!P2:P21,"&lt;&gt;")+COUNTIFS('SVIZZERA'!E2:E24,$A30,'SVIZZERA'!P2:P24,"&lt;&gt;")+COUNTIFS('USA'!E2:E167,$A30,'USA'!P2:P167,"&lt;&gt;")),"")</f>
        <v/>
      </c>
    </row>
    <row r="31">
      <c r="A31" s="4" t="inlineStr">
        <is>
          <t>Immobiliare</t>
        </is>
      </c>
      <c r="B31" s="4">
        <f>COUNTIF('ITALIA'!E2:E67,$A31)</f>
        <v/>
      </c>
      <c r="C31" s="4">
        <f>COUNTIF('GERMANIA'!E2:E44,$A31)</f>
        <v/>
      </c>
      <c r="D31" s="4">
        <f>COUNTIF('FRANCIA'!E2:E36,$A31)</f>
        <v/>
      </c>
      <c r="E31" s="4">
        <f>COUNTIF('PAESI BASSI'!E2:E21,$A31)</f>
        <v/>
      </c>
      <c r="F31" s="4">
        <f>COUNTIF('SVIZZERA'!E2:E24,$A31)</f>
        <v/>
      </c>
      <c r="G31" s="4">
        <f>COUNTIF('USA'!E2:E167,$A31)</f>
        <v/>
      </c>
      <c r="H31" s="4">
        <f>SUM(B31:G31)</f>
        <v/>
      </c>
      <c r="I31" s="4">
        <f>COUNTIFS('ITALIA'!E2:E67,$A31,'ITALIA'!AG2:AG67,"PASSA")+COUNTIFS('ITALIA'!E2:E67,$A31,'ITALIA'!AG2:AG67,"PASSA FORTE")+COUNTIFS('GERMANIA'!E2:E44,$A31,'GERMANIA'!AG2:AG44,"PASSA")+COUNTIFS('GERMANIA'!E2:E44,$A31,'GERMANIA'!AG2:AG44,"PASSA FORTE")+COUNTIFS('FRANCIA'!E2:E36,$A31,'FRANCIA'!AG2:AG36,"PASSA")+COUNTIFS('FRANCIA'!E2:E36,$A31,'FRANCIA'!AG2:AG36,"PASSA FORTE")+COUNTIFS('PAESI BASSI'!E2:E21,$A31,'PAESI BASSI'!AG2:AG21,"PASSA")+COUNTIFS('PAESI BASSI'!E2:E21,$A31,'PAESI BASSI'!AG2:AG21,"PASSA FORTE")+COUNTIFS('SVIZZERA'!E2:E24,$A31,'SVIZZERA'!AG2:AG24,"PASSA")+COUNTIFS('SVIZZERA'!E2:E24,$A31,'SVIZZERA'!AG2:AG24,"PASSA FORTE")+COUNTIFS('USA'!E2:E167,$A31,'USA'!AG2:AG167,"PASSA")+COUNTIFS('USA'!E2:E167,$A31,'USA'!AG2:AG167,"PASSA FORTE")</f>
        <v/>
      </c>
      <c r="J31" s="8">
        <f>IFERROR((SUMIF('ITALIA'!E2:E67,$A31,'ITALIA'!P2:P67)+SUMIF('GERMANIA'!E2:E44,$A31,'GERMANIA'!P2:P44)+SUMIF('FRANCIA'!E2:E36,$A31,'FRANCIA'!P2:P36)+SUMIF('PAESI BASSI'!E2:E21,$A31,'PAESI BASSI'!P2:P21)+SUMIF('SVIZZERA'!E2:E24,$A31,'SVIZZERA'!P2:P24)+SUMIF('USA'!E2:E167,$A31,'USA'!P2:P167))/(COUNTIFS('ITALIA'!E2:E67,$A31,'ITALIA'!P2:P67,"&lt;&gt;")+COUNTIFS('GERMANIA'!E2:E44,$A31,'GERMANIA'!P2:P44,"&lt;&gt;")+COUNTIFS('FRANCIA'!E2:E36,$A31,'FRANCIA'!P2:P36,"&lt;&gt;")+COUNTIFS('PAESI BASSI'!E2:E21,$A31,'PAESI BASSI'!P2:P21,"&lt;&gt;")+COUNTIFS('SVIZZERA'!E2:E24,$A31,'SVIZZERA'!P2:P24,"&lt;&gt;")+COUNTIFS('USA'!E2:E167,$A31,'USA'!P2:P167,"&lt;&gt;")),"")</f>
        <v/>
      </c>
    </row>
    <row r="32">
      <c r="A32" s="4" t="inlineStr">
        <is>
          <t>Veicolo</t>
        </is>
      </c>
      <c r="B32" s="4">
        <f>COUNTIF('ITALIA'!E2:E67,$A32)</f>
        <v/>
      </c>
      <c r="C32" s="4">
        <f>COUNTIF('GERMANIA'!E2:E44,$A32)</f>
        <v/>
      </c>
      <c r="D32" s="4">
        <f>COUNTIF('FRANCIA'!E2:E36,$A32)</f>
        <v/>
      </c>
      <c r="E32" s="4">
        <f>COUNTIF('PAESI BASSI'!E2:E21,$A32)</f>
        <v/>
      </c>
      <c r="F32" s="4">
        <f>COUNTIF('SVIZZERA'!E2:E24,$A32)</f>
        <v/>
      </c>
      <c r="G32" s="4">
        <f>COUNTIF('USA'!E2:E167,$A32)</f>
        <v/>
      </c>
      <c r="H32" s="4">
        <f>SUM(B32:G32)</f>
        <v/>
      </c>
      <c r="I32" s="4">
        <f>COUNTIFS('ITALIA'!E2:E67,$A32,'ITALIA'!AG2:AG67,"PASSA")+COUNTIFS('ITALIA'!E2:E67,$A32,'ITALIA'!AG2:AG67,"PASSA FORTE")+COUNTIFS('GERMANIA'!E2:E44,$A32,'GERMANIA'!AG2:AG44,"PASSA")+COUNTIFS('GERMANIA'!E2:E44,$A32,'GERMANIA'!AG2:AG44,"PASSA FORTE")+COUNTIFS('FRANCIA'!E2:E36,$A32,'FRANCIA'!AG2:AG36,"PASSA")+COUNTIFS('FRANCIA'!E2:E36,$A32,'FRANCIA'!AG2:AG36,"PASSA FORTE")+COUNTIFS('PAESI BASSI'!E2:E21,$A32,'PAESI BASSI'!AG2:AG21,"PASSA")+COUNTIFS('PAESI BASSI'!E2:E21,$A32,'PAESI BASSI'!AG2:AG21,"PASSA FORTE")+COUNTIFS('SVIZZERA'!E2:E24,$A32,'SVIZZERA'!AG2:AG24,"PASSA")+COUNTIFS('SVIZZERA'!E2:E24,$A32,'SVIZZERA'!AG2:AG24,"PASSA FORTE")+COUNTIFS('USA'!E2:E167,$A32,'USA'!AG2:AG167,"PASSA")+COUNTIFS('USA'!E2:E167,$A32,'USA'!AG2:AG167,"PASSA FORTE")</f>
        <v/>
      </c>
      <c r="J32" s="8">
        <f>IFERROR((SUMIF('ITALIA'!E2:E67,$A32,'ITALIA'!P2:P67)+SUMIF('GERMANIA'!E2:E44,$A32,'GERMANIA'!P2:P44)+SUMIF('FRANCIA'!E2:E36,$A32,'FRANCIA'!P2:P36)+SUMIF('PAESI BASSI'!E2:E21,$A32,'PAESI BASSI'!P2:P21)+SUMIF('SVIZZERA'!E2:E24,$A32,'SVIZZERA'!P2:P24)+SUMIF('USA'!E2:E167,$A32,'USA'!P2:P167))/(COUNTIFS('ITALIA'!E2:E67,$A32,'ITALIA'!P2:P67,"&lt;&gt;")+COUNTIFS('GERMANIA'!E2:E44,$A32,'GERMANIA'!P2:P44,"&lt;&gt;")+COUNTIFS('FRANCIA'!E2:E36,$A32,'FRANCIA'!P2:P36,"&lt;&gt;")+COUNTIFS('PAESI BASSI'!E2:E21,$A32,'PAESI BASSI'!P2:P21,"&lt;&gt;")+COUNTIFS('SVIZZERA'!E2:E24,$A32,'SVIZZERA'!P2:P24,"&lt;&gt;")+COUNTIFS('USA'!E2:E167,$A32,'USA'!P2:P167,"&lt;&gt;")),"")</f>
        <v/>
      </c>
    </row>
    <row r="34">
      <c r="A34" s="2" t="inlineStr">
        <is>
          <t>Il ROE contabile di banche e assicurazioni non e' confrontabile con quello degli industriali: leggi i settori separatamente.</t>
        </is>
      </c>
    </row>
    <row r="35">
      <c r="A35" s="2" t="inlineStr">
        <is>
          <t>Le colonne PREZZO € e CAP. MLN € sono convertite al cambio del giorno della rilevazione: usa quelle per confrontare le dimensioni fra mercati diversi.</t>
        </is>
      </c>
    </row>
    <row r="36">
      <c r="A36" s="2" t="inlineStr">
        <is>
          <t>PUNTEGGIO: redditivita' 40 + costanza 20 + prezzo 30 + crescita 10, meno 8 se l'ultimo esercizio e' molto sotto la media dei cinque anni. POS. e' la classifica dentro il foglio.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1" customWidth="1" min="3" max="3"/>
    <col width="24" customWidth="1" min="4" max="4"/>
    <col width="12" customWidth="1" min="5" max="5"/>
    <col width="10" customWidth="1" min="6" max="6"/>
    <col width="6" customWidth="1" min="7" max="7"/>
    <col width="10" customWidth="1" min="8" max="8"/>
    <col width="12" customWidth="1" min="9" max="9"/>
    <col width="11" customWidth="1" min="10" max="10"/>
    <col width="10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9" customWidth="1" min="17" max="17"/>
    <col width="9" customWidth="1" min="18" max="18"/>
    <col width="6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11" customWidth="1" min="30" max="30"/>
    <col width="10" customWidth="1" min="31" max="31"/>
    <col width="10" customWidth="1" min="32" max="32"/>
    <col width="14" customWidth="1" min="33" max="33"/>
    <col width="12" customWidth="1" min="34" max="34"/>
    <col width="10" customWidth="1" min="35" max="35"/>
    <col width="42" customWidth="1" min="36" max="36"/>
  </cols>
  <sheetData>
    <row r="1" ht="30" customHeight="1">
      <c r="A1" s="9" t="inlineStr">
        <is>
          <t>POS.</t>
        </is>
      </c>
      <c r="B1" s="9" t="inlineStr">
        <is>
          <t>TITOLO</t>
        </is>
      </c>
      <c r="C1" s="9" t="inlineStr">
        <is>
          <t>TICKER</t>
        </is>
      </c>
      <c r="D1" s="9" t="inlineStr">
        <is>
          <t>SETTORE</t>
        </is>
      </c>
      <c r="E1" s="9" t="inlineStr">
        <is>
          <t>CLASSE</t>
        </is>
      </c>
      <c r="F1" s="9" t="inlineStr">
        <is>
          <t>PREZZO</t>
        </is>
      </c>
      <c r="G1" s="9" t="inlineStr">
        <is>
          <t>VAL.</t>
        </is>
      </c>
      <c r="H1" s="9" t="inlineStr">
        <is>
          <t>PREZZO €</t>
        </is>
      </c>
      <c r="I1" s="9" t="inlineStr">
        <is>
          <t>CAP. MLN €</t>
        </is>
      </c>
      <c r="J1" s="9" t="inlineStr">
        <is>
          <t>CAP. MLN
locale</t>
        </is>
      </c>
      <c r="K1" s="9" t="inlineStr">
        <is>
          <t>EPS TTM</t>
        </is>
      </c>
      <c r="L1" s="9" t="inlineStr">
        <is>
          <t>EPS ATTESO</t>
        </is>
      </c>
      <c r="M1" s="9" t="inlineStr">
        <is>
          <t>P/E</t>
        </is>
      </c>
      <c r="N1" s="9" t="inlineStr">
        <is>
          <t>P/B</t>
        </is>
      </c>
      <c r="O1" s="9" t="inlineStr">
        <is>
          <t>ROE IMPL.</t>
        </is>
      </c>
      <c r="P1" s="9" t="inlineStr">
        <is>
          <t>ROE 1a</t>
        </is>
      </c>
      <c r="Q1" s="9" t="inlineStr">
        <is>
          <t>ROE 5a</t>
        </is>
      </c>
      <c r="R1" s="9" t="inlineStr">
        <is>
          <t>VARIAB.
ROE</t>
        </is>
      </c>
      <c r="S1" s="9" t="inlineStr">
        <is>
          <t>ANNI</t>
        </is>
      </c>
      <c r="T1" s="9" t="inlineStr">
        <is>
          <t>2026</t>
        </is>
      </c>
      <c r="U1" s="9" t="inlineStr">
        <is>
          <t>2025</t>
        </is>
      </c>
      <c r="V1" s="9" t="inlineStr">
        <is>
          <t>2024</t>
        </is>
      </c>
      <c r="W1" s="9" t="inlineStr">
        <is>
          <t>2023</t>
        </is>
      </c>
      <c r="X1" s="9" t="inlineStr">
        <is>
          <t>2022</t>
        </is>
      </c>
      <c r="Y1" s="9" t="inlineStr">
        <is>
          <t>DIVID.</t>
        </is>
      </c>
      <c r="Z1" s="9" t="inlineStr">
        <is>
          <t>RENDIM.</t>
        </is>
      </c>
      <c r="AA1" s="9" t="inlineStr">
        <is>
          <t>DEBITO/MP</t>
        </is>
      </c>
      <c r="AB1" s="9" t="inlineStr">
        <is>
          <t>CRESC.
RICAVI</t>
        </is>
      </c>
      <c r="AC1" s="9" t="inlineStr">
        <is>
          <t>MARGINE</t>
        </is>
      </c>
      <c r="AD1" s="9" t="inlineStr">
        <is>
          <t>PUNTEGGIO</t>
        </is>
      </c>
      <c r="AE1" s="9" t="inlineStr">
        <is>
          <t>ESITO ROE</t>
        </is>
      </c>
      <c r="AF1" s="9" t="inlineStr">
        <is>
          <t>ESITO P/E</t>
        </is>
      </c>
      <c r="AG1" s="9" t="inlineStr">
        <is>
          <t>GIUDIZIO</t>
        </is>
      </c>
      <c r="AH1" s="9" t="inlineStr">
        <is>
          <t>RILEVATO</t>
        </is>
      </c>
      <c r="AI1" s="9" t="inlineStr">
        <is>
          <t>FONTE</t>
        </is>
      </c>
      <c r="AJ1" s="9" t="inlineStr">
        <is>
          <t>NOTE</t>
        </is>
      </c>
    </row>
    <row r="2">
      <c r="A2" s="10">
        <f>IF(AD2="","",RANK(AD2,AD$2:AD$67))</f>
        <v/>
      </c>
      <c r="B2" s="11" t="inlineStr">
        <is>
          <t>Azimut Holding</t>
        </is>
      </c>
      <c r="C2" s="12" t="inlineStr">
        <is>
          <t>AZM.MI</t>
        </is>
      </c>
      <c r="D2" s="11" t="inlineStr">
        <is>
          <t>Risparmio gestito</t>
        </is>
      </c>
      <c r="E2" s="13" t="inlineStr">
        <is>
          <t>Finanziario</t>
        </is>
      </c>
      <c r="F2" s="14" t="n">
        <v>36.26</v>
      </c>
      <c r="G2" s="15" t="inlineStr">
        <is>
          <t>EUR</t>
        </is>
      </c>
      <c r="H2" s="14" t="n">
        <v>36.26</v>
      </c>
      <c r="I2" s="16" t="n">
        <v>5065.8</v>
      </c>
      <c r="J2" s="16" t="n">
        <v>5065.8</v>
      </c>
      <c r="K2" s="14" t="n">
        <v>3.72</v>
      </c>
      <c r="L2" s="14" t="n">
        <v>3.59593</v>
      </c>
      <c r="M2" s="17">
        <f>IF(OR(F2="",K2="",K2&lt;=0),"",F2/K2)</f>
        <v/>
      </c>
      <c r="N2" s="18" t="n">
        <v>2.6043236</v>
      </c>
      <c r="O2" s="19">
        <f>IF(OR(N2="",M2="",M2&lt;=0),"",N2/M2)</f>
        <v/>
      </c>
      <c r="P2" s="20" t="n">
        <v>0.29348</v>
      </c>
      <c r="Q2" s="20" t="n">
        <v>0.2809648123616741</v>
      </c>
      <c r="R2" s="20" t="n">
        <v>0.01535346990982674</v>
      </c>
      <c r="S2" s="21" t="n">
        <v>4</v>
      </c>
      <c r="T2" s="20" t="n"/>
      <c r="U2" s="20" t="n">
        <v>0.2572535562453722</v>
      </c>
      <c r="V2" s="20" t="n">
        <v>0.299582732129626</v>
      </c>
      <c r="W2" s="20" t="n">
        <v>0.2802638265818115</v>
      </c>
      <c r="X2" s="20" t="n">
        <v>0.2867591344898866</v>
      </c>
      <c r="Y2" s="14" t="n">
        <v>2</v>
      </c>
      <c r="Z2" s="19">
        <f>IF(OR(Y2="",F2="",F2=0),"",Y2/F2)</f>
        <v/>
      </c>
      <c r="AA2" s="22" t="n">
        <v>4.261</v>
      </c>
      <c r="AB2" s="20" t="n">
        <v>0.17</v>
      </c>
      <c r="AC2" s="20" t="n">
        <v>0.3749142073513007</v>
      </c>
      <c r="AD2" s="17">
        <f>IF(OR(Q2="",M2="",M2&lt;=0),"",ROUND(40*MAX(0,MIN(N(Q2)/0.3,1))+IF(OR(R2="",N(Q2)&lt;=0),10,20*MAX(0,1-MIN(R2/Q2,1)))+30*MAX(0,MIN((PARAMETRI!$B$5-M2)/MAX(PARAMETRI!$B$5-10,1),1))+IF(AB2="",3,10*MAX(0,MIN(AB2/0.15,1)))+IF(AND(P2&lt;&gt;"",N(P2)&lt;N(Q2)*0.6),-8,0),1))</f>
        <v/>
      </c>
      <c r="AE2" s="13">
        <f>IF(AND(P2="",Q2=""),"DATI MANCANTI",IF(AND(N(P2)&gt;=PARAMETRI!$B$4,N(Q2)&gt;=PARAMETRI!$B$4),"OK","NO"))</f>
        <v/>
      </c>
      <c r="AF2" s="13">
        <f>IF(M2="","N/D",IF(M2&lt;PARAMETRI!$B$6,"OTTIMO",IF(M2&lt;PARAMETRI!$B$5,"OK","NO")))</f>
        <v/>
      </c>
      <c r="AG2" s="13">
        <f>IF(OR(AE2="DATI MANCANTI",AF2="N/D"),"DA COMPLETARE",IF(AND(AE2="OK",AF2="OTTIMO"),"PASSA FORTE",IF(AND(AE2="OK",AF2="OK"),"PASSA","SCARTA")))</f>
        <v/>
      </c>
      <c r="AH2" s="11" t="inlineStr">
        <is>
          <t>2026-10-12</t>
        </is>
      </c>
      <c r="AI2" s="11" t="inlineStr">
        <is>
          <t>yahoo</t>
        </is>
      </c>
      <c r="AJ2" s="23" t="inlineStr"/>
    </row>
    <row r="3">
      <c r="A3" s="10">
        <f>IF(AD3="","",RANK(AD3,AD$2:AD$67))</f>
        <v/>
      </c>
      <c r="B3" s="11" t="inlineStr">
        <is>
          <t>Banca Generali</t>
        </is>
      </c>
      <c r="C3" s="12" t="inlineStr">
        <is>
          <t>BGN.MI</t>
        </is>
      </c>
      <c r="D3" s="11" t="inlineStr">
        <is>
          <t>Risparmio gestito</t>
        </is>
      </c>
      <c r="E3" s="13" t="inlineStr">
        <is>
          <t>Finanziario</t>
        </is>
      </c>
      <c r="F3" s="14" t="n">
        <v>62.55</v>
      </c>
      <c r="G3" s="15" t="inlineStr">
        <is>
          <t>EUR</t>
        </is>
      </c>
      <c r="H3" s="14" t="n">
        <v>62.55</v>
      </c>
      <c r="I3" s="16" t="n">
        <v>7135.9</v>
      </c>
      <c r="J3" s="16" t="n">
        <v>7135.9</v>
      </c>
      <c r="K3" s="14" t="n">
        <v>4.6</v>
      </c>
      <c r="L3" s="14" t="n">
        <v>3.84504</v>
      </c>
      <c r="M3" s="17">
        <f>IF(OR(F3="",K3="",K3&lt;=0),"",F3/K3)</f>
        <v/>
      </c>
      <c r="N3" s="18" t="n">
        <v>5.0766983</v>
      </c>
      <c r="O3" s="19">
        <f>IF(OR(N3="",M3="",M3&lt;=0),"",N3/M3)</f>
        <v/>
      </c>
      <c r="P3" s="20" t="n">
        <v>0.36488</v>
      </c>
      <c r="Q3" s="20" t="n">
        <v>0.2618840820075273</v>
      </c>
      <c r="R3" s="20" t="n">
        <v>0.03724667157956014</v>
      </c>
      <c r="S3" s="21" t="n">
        <v>4</v>
      </c>
      <c r="T3" s="20" t="n"/>
      <c r="U3" s="20" t="n">
        <v>0.2838222375004775</v>
      </c>
      <c r="V3" s="20" t="n">
        <v>0.2953751670464812</v>
      </c>
      <c r="W3" s="20" t="n">
        <v>0.2688834530025302</v>
      </c>
      <c r="X3" s="20" t="n">
        <v>0.1994554704806203</v>
      </c>
      <c r="Y3" s="14" t="n">
        <v>2.85</v>
      </c>
      <c r="Z3" s="19">
        <f>IF(OR(Y3="",F3="",F3=0),"",Y3/F3)</f>
        <v/>
      </c>
      <c r="AA3" s="22" t="n"/>
      <c r="AB3" s="20" t="n">
        <v>0.464</v>
      </c>
      <c r="AC3" s="20" t="n">
        <v>0.4480063973207802</v>
      </c>
      <c r="AD3" s="17">
        <f>IF(OR(Q3="",M3="",M3&lt;=0),"",ROUND(40*MAX(0,MIN(N(Q3)/0.3,1))+IF(OR(R3="",N(Q3)&lt;=0),10,20*MAX(0,1-MIN(R3/Q3,1)))+30*MAX(0,MIN((PARAMETRI!$B$5-M3)/MAX(PARAMETRI!$B$5-10,1),1))+IF(AB3="",3,10*MAX(0,MIN(AB3/0.15,1)))+IF(AND(P3&lt;&gt;"",N(P3)&lt;N(Q3)*0.6),-8,0),1))</f>
        <v/>
      </c>
      <c r="AE3" s="13">
        <f>IF(AND(P3="",Q3=""),"DATI MANCANTI",IF(AND(N(P3)&gt;=PARAMETRI!$B$4,N(Q3)&gt;=PARAMETRI!$B$4),"OK","NO"))</f>
        <v/>
      </c>
      <c r="AF3" s="13">
        <f>IF(M3="","N/D",IF(M3&lt;PARAMETRI!$B$6,"OTTIMO",IF(M3&lt;PARAMETRI!$B$5,"OK","NO")))</f>
        <v/>
      </c>
      <c r="AG3" s="13">
        <f>IF(OR(AE3="DATI MANCANTI",AF3="N/D"),"DA COMPLETARE",IF(AND(AE3="OK",AF3="OTTIMO"),"PASSA FORTE",IF(AND(AE3="OK",AF3="OK"),"PASSA","SCARTA")))</f>
        <v/>
      </c>
      <c r="AH3" s="11" t="inlineStr">
        <is>
          <t>2026-10-12</t>
        </is>
      </c>
      <c r="AI3" s="11" t="inlineStr">
        <is>
          <t>yahoo</t>
        </is>
      </c>
      <c r="AJ3" s="23" t="inlineStr"/>
    </row>
    <row r="4">
      <c r="A4" s="10">
        <f>IF(AD4="","",RANK(AD4,AD$2:AD$67))</f>
        <v/>
      </c>
      <c r="B4" s="11" t="inlineStr">
        <is>
          <t>Banca Mediolanum</t>
        </is>
      </c>
      <c r="C4" s="12" t="inlineStr">
        <is>
          <t>BMED.MI</t>
        </is>
      </c>
      <c r="D4" s="11" t="inlineStr">
        <is>
          <t>Banca</t>
        </is>
      </c>
      <c r="E4" s="13" t="inlineStr">
        <is>
          <t>Finanziario</t>
        </is>
      </c>
      <c r="F4" s="14" t="n">
        <v>23</v>
      </c>
      <c r="G4" s="15" t="inlineStr">
        <is>
          <t>EUR</t>
        </is>
      </c>
      <c r="H4" s="14" t="n">
        <v>23</v>
      </c>
      <c r="I4" s="16" t="n">
        <v>17004.2</v>
      </c>
      <c r="J4" s="16" t="n">
        <v>17004.2</v>
      </c>
      <c r="K4" s="14" t="n">
        <v>1.77</v>
      </c>
      <c r="L4" s="14" t="n">
        <v>1.57559</v>
      </c>
      <c r="M4" s="17">
        <f>IF(OR(F4="",K4="",K4&lt;=0),"",F4/K4)</f>
        <v/>
      </c>
      <c r="N4" s="18" t="n">
        <v>3.7210805</v>
      </c>
      <c r="O4" s="19">
        <f>IF(OR(N4="",M4="",M4&lt;=0),"",N4/M4)</f>
        <v/>
      </c>
      <c r="P4" s="20" t="n">
        <v>0.30062</v>
      </c>
      <c r="Q4" s="20" t="n">
        <v>0.2408436712214453</v>
      </c>
      <c r="R4" s="20" t="n">
        <v>0.04285069479521749</v>
      </c>
      <c r="S4" s="21" t="n">
        <v>4</v>
      </c>
      <c r="T4" s="20" t="n"/>
      <c r="U4" s="20" t="n">
        <v>0.2754358183510404</v>
      </c>
      <c r="V4" s="20" t="n">
        <v>0.2781189451824767</v>
      </c>
      <c r="W4" s="20" t="n">
        <v>0.2378963395219322</v>
      </c>
      <c r="X4" s="20" t="n">
        <v>0.1719235818303319</v>
      </c>
      <c r="Y4" s="14" t="n">
        <v>1.3</v>
      </c>
      <c r="Z4" s="19">
        <f>IF(OR(Y4="",F4="",F4=0),"",Y4/F4)</f>
        <v/>
      </c>
      <c r="AA4" s="22" t="n"/>
      <c r="AB4" s="20" t="n">
        <v>0.29</v>
      </c>
      <c r="AC4" s="20" t="n">
        <v>0.5392967454789669</v>
      </c>
      <c r="AD4" s="17">
        <f>IF(OR(Q4="",M4="",M4&lt;=0),"",ROUND(40*MAX(0,MIN(N(Q4)/0.3,1))+IF(OR(R4="",N(Q4)&lt;=0),10,20*MAX(0,1-MIN(R4/Q4,1)))+30*MAX(0,MIN((PARAMETRI!$B$5-M4)/MAX(PARAMETRI!$B$5-10,1),1))+IF(AB4="",3,10*MAX(0,MIN(AB4/0.15,1)))+IF(AND(P4&lt;&gt;"",N(P4)&lt;N(Q4)*0.6),-8,0),1))</f>
        <v/>
      </c>
      <c r="AE4" s="13">
        <f>IF(AND(P4="",Q4=""),"DATI MANCANTI",IF(AND(N(P4)&gt;=PARAMETRI!$B$4,N(Q4)&gt;=PARAMETRI!$B$4),"OK","NO"))</f>
        <v/>
      </c>
      <c r="AF4" s="13">
        <f>IF(M4="","N/D",IF(M4&lt;PARAMETRI!$B$6,"OTTIMO",IF(M4&lt;PARAMETRI!$B$5,"OK","NO")))</f>
        <v/>
      </c>
      <c r="AG4" s="13">
        <f>IF(OR(AE4="DATI MANCANTI",AF4="N/D"),"DA COMPLETARE",IF(AND(AE4="OK",AF4="OTTIMO"),"PASSA FORTE",IF(AND(AE4="OK",AF4="OK"),"PASSA","SCARTA")))</f>
        <v/>
      </c>
      <c r="AH4" s="11" t="inlineStr">
        <is>
          <t>2026-10-12</t>
        </is>
      </c>
      <c r="AI4" s="11" t="inlineStr">
        <is>
          <t>yahoo</t>
        </is>
      </c>
      <c r="AJ4" s="23" t="inlineStr"/>
    </row>
    <row r="5">
      <c r="A5" s="10">
        <f>IF(AD5="","",RANK(AD5,AD$2:AD$67))</f>
        <v/>
      </c>
      <c r="B5" s="11" t="inlineStr">
        <is>
          <t>Mondadori Editore</t>
        </is>
      </c>
      <c r="C5" s="12" t="inlineStr">
        <is>
          <t>MN.MI</t>
        </is>
      </c>
      <c r="D5" s="11" t="inlineStr">
        <is>
          <t>Editoria / Media</t>
        </is>
      </c>
      <c r="E5" s="13" t="inlineStr">
        <is>
          <t>Industriale</t>
        </is>
      </c>
      <c r="F5" s="14" t="n">
        <v>2.04</v>
      </c>
      <c r="G5" s="15" t="inlineStr">
        <is>
          <t>EUR</t>
        </is>
      </c>
      <c r="H5" s="14" t="n">
        <v>2.04</v>
      </c>
      <c r="I5" s="16" t="n">
        <v>532.1</v>
      </c>
      <c r="J5" s="16" t="n">
        <v>532.1</v>
      </c>
      <c r="K5" s="14" t="n">
        <v>0.2</v>
      </c>
      <c r="L5" s="14" t="n">
        <v>0.23706</v>
      </c>
      <c r="M5" s="17">
        <f>IF(OR(F5="",K5="",K5&lt;=0),"",F5/K5)</f>
        <v/>
      </c>
      <c r="N5" s="18" t="n">
        <v>1.8279569</v>
      </c>
      <c r="O5" s="19">
        <f>IF(OR(N5="",M5="",M5&lt;=0),"",N5/M5)</f>
        <v/>
      </c>
      <c r="P5" s="20" t="n">
        <v>0.18361</v>
      </c>
      <c r="Q5" s="20" t="n">
        <v>0.1927118381206158</v>
      </c>
      <c r="R5" s="20" t="n">
        <v>0.0194685841625853</v>
      </c>
      <c r="S5" s="21" t="n">
        <v>4</v>
      </c>
      <c r="T5" s="20" t="n"/>
      <c r="U5" s="20" t="n">
        <v>0.1631079567581275</v>
      </c>
      <c r="V5" s="20" t="n">
        <v>0.1905013509836553</v>
      </c>
      <c r="W5" s="20" t="n">
        <v>0.2166424259675163</v>
      </c>
      <c r="X5" s="20" t="n">
        <v>0.200595618773164</v>
      </c>
      <c r="Y5" s="14" t="n">
        <v>0.15</v>
      </c>
      <c r="Z5" s="19">
        <f>IF(OR(Y5="",F5="",F5=0),"",Y5/F5)</f>
        <v/>
      </c>
      <c r="AA5" s="22" t="n">
        <v>129.372</v>
      </c>
      <c r="AB5" s="20" t="n">
        <v>0.089</v>
      </c>
      <c r="AC5" s="20" t="n">
        <v>0.05578897424116862</v>
      </c>
      <c r="AD5" s="17">
        <f>IF(OR(Q5="",M5="",M5&lt;=0),"",ROUND(40*MAX(0,MIN(N(Q5)/0.3,1))+IF(OR(R5="",N(Q5)&lt;=0),10,20*MAX(0,1-MIN(R5/Q5,1)))+30*MAX(0,MIN((PARAMETRI!$B$5-M5)/MAX(PARAMETRI!$B$5-10,1),1))+IF(AB5="",3,10*MAX(0,MIN(AB5/0.15,1)))+IF(AND(P5&lt;&gt;"",N(P5)&lt;N(Q5)*0.6),-8,0),1))</f>
        <v/>
      </c>
      <c r="AE5" s="13">
        <f>IF(AND(P5="",Q5=""),"DATI MANCANTI",IF(AND(N(P5)&gt;=PARAMETRI!$B$4,N(Q5)&gt;=PARAMETRI!$B$4),"OK","NO"))</f>
        <v/>
      </c>
      <c r="AF5" s="13">
        <f>IF(M5="","N/D",IF(M5&lt;PARAMETRI!$B$6,"OTTIMO",IF(M5&lt;PARAMETRI!$B$5,"OK","NO")))</f>
        <v/>
      </c>
      <c r="AG5" s="13">
        <f>IF(OR(AE5="DATI MANCANTI",AF5="N/D"),"DA COMPLETARE",IF(AND(AE5="OK",AF5="OTTIMO"),"PASSA FORTE",IF(AND(AE5="OK",AF5="OK"),"PASSA","SCARTA")))</f>
        <v/>
      </c>
      <c r="AH5" s="11" t="inlineStr">
        <is>
          <t>2026-10-12</t>
        </is>
      </c>
      <c r="AI5" s="11" t="inlineStr">
        <is>
          <t>yahoo</t>
        </is>
      </c>
      <c r="AJ5" s="23" t="inlineStr"/>
    </row>
    <row r="6">
      <c r="A6" s="10">
        <f>IF(AD6="","",RANK(AD6,AD$2:AD$67))</f>
        <v/>
      </c>
      <c r="B6" s="11" t="inlineStr">
        <is>
          <t>Italgas</t>
        </is>
      </c>
      <c r="C6" s="12" t="inlineStr">
        <is>
          <t>IG.MI</t>
        </is>
      </c>
      <c r="D6" s="11" t="inlineStr">
        <is>
          <t>Utility / Reti</t>
        </is>
      </c>
      <c r="E6" s="13" t="inlineStr">
        <is>
          <t>Utility</t>
        </is>
      </c>
      <c r="F6" s="14" t="n">
        <v>8.252000000000001</v>
      </c>
      <c r="G6" s="15" t="inlineStr">
        <is>
          <t>EUR</t>
        </is>
      </c>
      <c r="H6" s="14" t="n">
        <v>8.252000000000001</v>
      </c>
      <c r="I6" s="16" t="n">
        <v>8388.299999999999</v>
      </c>
      <c r="J6" s="16" t="n">
        <v>8388.299999999999</v>
      </c>
      <c r="K6" s="14" t="n">
        <v>0.68</v>
      </c>
      <c r="L6" s="14" t="n">
        <v>0.79922</v>
      </c>
      <c r="M6" s="17">
        <f>IF(OR(F6="",K6="",K6&lt;=0),"",F6/K6)</f>
        <v/>
      </c>
      <c r="N6" s="18" t="n">
        <v>2.2248583</v>
      </c>
      <c r="O6" s="19">
        <f>IF(OR(N6="",M6="",M6&lt;=0),"",N6/M6)</f>
        <v/>
      </c>
      <c r="P6" s="20" t="n">
        <v>0.19063</v>
      </c>
      <c r="Q6" s="20" t="n">
        <v>0.1892111669010866</v>
      </c>
      <c r="R6" s="20" t="n">
        <v>0.007636666953879905</v>
      </c>
      <c r="S6" s="21" t="n">
        <v>4</v>
      </c>
      <c r="T6" s="20" t="n"/>
      <c r="U6" s="20" t="n">
        <v>0.1760500959304389</v>
      </c>
      <c r="V6" s="20" t="n">
        <v>0.194821061899161</v>
      </c>
      <c r="W6" s="20" t="n">
        <v>0.1927868944489472</v>
      </c>
      <c r="X6" s="20" t="n">
        <v>0.1931866153257992</v>
      </c>
      <c r="Y6" s="14" t="n">
        <v>0.43</v>
      </c>
      <c r="Z6" s="19">
        <f>IF(OR(Y6="",F6="",F6=0),"",Y6/F6)</f>
        <v/>
      </c>
      <c r="AA6" s="22" t="n">
        <v>294.061</v>
      </c>
      <c r="AB6" s="20" t="n">
        <v>0.306</v>
      </c>
      <c r="AC6" s="20" t="n">
        <v>0.2063045888567778</v>
      </c>
      <c r="AD6" s="17">
        <f>IF(OR(Q6="",M6="",M6&lt;=0),"",ROUND(40*MAX(0,MIN(N(Q6)/0.3,1))+IF(OR(R6="",N(Q6)&lt;=0),10,20*MAX(0,1-MIN(R6/Q6,1)))+30*MAX(0,MIN((PARAMETRI!$B$5-M6)/MAX(PARAMETRI!$B$5-10,1),1))+IF(AB6="",3,10*MAX(0,MIN(AB6/0.15,1)))+IF(AND(P6&lt;&gt;"",N(P6)&lt;N(Q6)*0.6),-8,0),1))</f>
        <v/>
      </c>
      <c r="AE6" s="13">
        <f>IF(AND(P6="",Q6=""),"DATI MANCANTI",IF(AND(N(P6)&gt;=PARAMETRI!$B$4,N(Q6)&gt;=PARAMETRI!$B$4),"OK","NO"))</f>
        <v/>
      </c>
      <c r="AF6" s="13">
        <f>IF(M6="","N/D",IF(M6&lt;PARAMETRI!$B$6,"OTTIMO",IF(M6&lt;PARAMETRI!$B$5,"OK","NO")))</f>
        <v/>
      </c>
      <c r="AG6" s="13">
        <f>IF(OR(AE6="DATI MANCANTI",AF6="N/D"),"DA COMPLETARE",IF(AND(AE6="OK",AF6="OTTIMO"),"PASSA FORTE",IF(AND(AE6="OK",AF6="OK"),"PASSA","SCARTA")))</f>
        <v/>
      </c>
      <c r="AH6" s="11" t="inlineStr">
        <is>
          <t>2026-10-12</t>
        </is>
      </c>
      <c r="AI6" s="11" t="inlineStr">
        <is>
          <t>yahoo</t>
        </is>
      </c>
      <c r="AJ6" s="23" t="inlineStr"/>
    </row>
    <row r="7">
      <c r="A7" s="10">
        <f>IF(AD7="","",RANK(AD7,AD$2:AD$67))</f>
        <v/>
      </c>
      <c r="B7" s="11" t="inlineStr">
        <is>
          <t>A2A</t>
        </is>
      </c>
      <c r="C7" s="12" t="inlineStr">
        <is>
          <t>A2A.MI</t>
        </is>
      </c>
      <c r="D7" s="11" t="inlineStr">
        <is>
          <t>Utility</t>
        </is>
      </c>
      <c r="E7" s="13" t="inlineStr">
        <is>
          <t>Utility</t>
        </is>
      </c>
      <c r="F7" s="14" t="n">
        <v>2.32</v>
      </c>
      <c r="G7" s="15" t="inlineStr">
        <is>
          <t>EUR</t>
        </is>
      </c>
      <c r="H7" s="14" t="n">
        <v>2.32</v>
      </c>
      <c r="I7" s="16" t="n">
        <v>7263.9</v>
      </c>
      <c r="J7" s="16" t="n">
        <v>7263.9</v>
      </c>
      <c r="K7" s="14" t="n">
        <v>0.22</v>
      </c>
      <c r="L7" s="14" t="n">
        <v>0.21117</v>
      </c>
      <c r="M7" s="17">
        <f>IF(OR(F7="",K7="",K7&lt;=0),"",F7/K7)</f>
        <v/>
      </c>
      <c r="N7" s="18" t="n">
        <v>1.3959086</v>
      </c>
      <c r="O7" s="19">
        <f>IF(OR(N7="",M7="",M7&lt;=0),"",N7/M7)</f>
        <v/>
      </c>
      <c r="P7" s="20" t="n">
        <v>0.11337</v>
      </c>
      <c r="Q7" s="20" t="n">
        <v>0.1352876506101037</v>
      </c>
      <c r="R7" s="20" t="n">
        <v>0.02216391989798138</v>
      </c>
      <c r="S7" s="21" t="n">
        <v>4</v>
      </c>
      <c r="T7" s="20" t="n"/>
      <c r="U7" s="20" t="n">
        <v>0.1267534223424032</v>
      </c>
      <c r="V7" s="20" t="n">
        <v>0.1561257679797615</v>
      </c>
      <c r="W7" s="20" t="n">
        <v>0.1554245283018868</v>
      </c>
      <c r="X7" s="20" t="n">
        <v>0.1028468838163632</v>
      </c>
      <c r="Y7" s="14" t="n">
        <v>0.1</v>
      </c>
      <c r="Z7" s="19">
        <f>IF(OR(Y7="",F7="",F7=0),"",Y7/F7)</f>
        <v/>
      </c>
      <c r="AA7" s="22" t="n">
        <v>113.764</v>
      </c>
      <c r="AB7" s="20" t="n">
        <v>0.314</v>
      </c>
      <c r="AC7" s="20" t="n">
        <v>0.05000363927505641</v>
      </c>
      <c r="AD7" s="17">
        <f>IF(OR(Q7="",M7="",M7&lt;=0),"",ROUND(40*MAX(0,MIN(N(Q7)/0.3,1))+IF(OR(R7="",N(Q7)&lt;=0),10,20*MAX(0,1-MIN(R7/Q7,1)))+30*MAX(0,MIN((PARAMETRI!$B$5-M7)/MAX(PARAMETRI!$B$5-10,1),1))+IF(AB7="",3,10*MAX(0,MIN(AB7/0.15,1)))+IF(AND(P7&lt;&gt;"",N(P7)&lt;N(Q7)*0.6),-8,0),1))</f>
        <v/>
      </c>
      <c r="AE7" s="13">
        <f>IF(AND(P7="",Q7=""),"DATI MANCANTI",IF(AND(N(P7)&gt;=PARAMETRI!$B$4,N(Q7)&gt;=PARAMETRI!$B$4),"OK","NO"))</f>
        <v/>
      </c>
      <c r="AF7" s="13">
        <f>IF(M7="","N/D",IF(M7&lt;PARAMETRI!$B$6,"OTTIMO",IF(M7&lt;PARAMETRI!$B$5,"OK","NO")))</f>
        <v/>
      </c>
      <c r="AG7" s="13">
        <f>IF(OR(AE7="DATI MANCANTI",AF7="N/D"),"DA COMPLETARE",IF(AND(AE7="OK",AF7="OTTIMO"),"PASSA FORTE",IF(AND(AE7="OK",AF7="OK"),"PASSA","SCARTA")))</f>
        <v/>
      </c>
      <c r="AH7" s="11" t="inlineStr">
        <is>
          <t>2026-10-12</t>
        </is>
      </c>
      <c r="AI7" s="11" t="inlineStr">
        <is>
          <t>yahoo</t>
        </is>
      </c>
      <c r="AJ7" s="23" t="inlineStr"/>
    </row>
    <row r="8">
      <c r="A8" s="10">
        <f>IF(AD8="","",RANK(AD8,AD$2:AD$67))</f>
        <v/>
      </c>
      <c r="B8" s="11" t="inlineStr">
        <is>
          <t>Maire</t>
        </is>
      </c>
      <c r="C8" s="12" t="inlineStr">
        <is>
          <t>MAIRE.MI</t>
        </is>
      </c>
      <c r="D8" s="11" t="inlineStr">
        <is>
          <t>Impiantistica</t>
        </is>
      </c>
      <c r="E8" s="13" t="inlineStr">
        <is>
          <t>Industriale</t>
        </is>
      </c>
      <c r="F8" s="14" t="n">
        <v>12.72</v>
      </c>
      <c r="G8" s="15" t="inlineStr">
        <is>
          <t>EUR</t>
        </is>
      </c>
      <c r="H8" s="14" t="n">
        <v>12.72</v>
      </c>
      <c r="I8" s="16" t="n">
        <v>4155.3</v>
      </c>
      <c r="J8" s="16" t="n">
        <v>4155.3</v>
      </c>
      <c r="K8" s="14" t="n">
        <v>0.83</v>
      </c>
      <c r="L8" s="14" t="n">
        <v>1.02473</v>
      </c>
      <c r="M8" s="17">
        <f>IF(OR(F8="",K8="",K8&lt;=0),"",F8/K8)</f>
        <v/>
      </c>
      <c r="N8" s="18" t="n">
        <v>7.1702366</v>
      </c>
      <c r="O8" s="19">
        <f>IF(OR(N8="",M8="",M8&lt;=0),"",N8/M8)</f>
        <v/>
      </c>
      <c r="P8" s="20" t="n">
        <v>0.48770002</v>
      </c>
      <c r="Q8" s="20" t="n">
        <v>0.2798475537626282</v>
      </c>
      <c r="R8" s="20" t="n">
        <v>0.07298807403400039</v>
      </c>
      <c r="S8" s="21" t="n">
        <v>4</v>
      </c>
      <c r="T8" s="20" t="n"/>
      <c r="U8" s="20" t="n">
        <v>0.3651153492743763</v>
      </c>
      <c r="V8" s="20" t="n">
        <v>0.3334743216615139</v>
      </c>
      <c r="W8" s="20" t="n">
        <v>0.2379389607111064</v>
      </c>
      <c r="X8" s="20" t="n">
        <v>0.182861583403516</v>
      </c>
      <c r="Y8" s="14" t="n">
        <v>0.59</v>
      </c>
      <c r="Z8" s="19">
        <f>IF(OR(Y8="",F8="",F8=0),"",Y8/F8)</f>
        <v/>
      </c>
      <c r="AA8" s="22" t="n">
        <v>235.473</v>
      </c>
      <c r="AB8" s="20" t="n">
        <v>0.095</v>
      </c>
      <c r="AC8" s="20" t="n">
        <v>0.03901697042341981</v>
      </c>
      <c r="AD8" s="17">
        <f>IF(OR(Q8="",M8="",M8&lt;=0),"",ROUND(40*MAX(0,MIN(N(Q8)/0.3,1))+IF(OR(R8="",N(Q8)&lt;=0),10,20*MAX(0,1-MIN(R8/Q8,1)))+30*MAX(0,MIN((PARAMETRI!$B$5-M8)/MAX(PARAMETRI!$B$5-10,1),1))+IF(AB8="",3,10*MAX(0,MIN(AB8/0.15,1)))+IF(AND(P8&lt;&gt;"",N(P8)&lt;N(Q8)*0.6),-8,0),1))</f>
        <v/>
      </c>
      <c r="AE8" s="13">
        <f>IF(AND(P8="",Q8=""),"DATI MANCANTI",IF(AND(N(P8)&gt;=PARAMETRI!$B$4,N(Q8)&gt;=PARAMETRI!$B$4),"OK","NO"))</f>
        <v/>
      </c>
      <c r="AF8" s="13">
        <f>IF(M8="","N/D",IF(M8&lt;PARAMETRI!$B$6,"OTTIMO",IF(M8&lt;PARAMETRI!$B$5,"OK","NO")))</f>
        <v/>
      </c>
      <c r="AG8" s="13">
        <f>IF(OR(AE8="DATI MANCANTI",AF8="N/D"),"DA COMPLETARE",IF(AND(AE8="OK",AF8="OTTIMO"),"PASSA FORTE",IF(AND(AE8="OK",AF8="OK"),"PASSA","SCARTA")))</f>
        <v/>
      </c>
      <c r="AH8" s="11" t="inlineStr">
        <is>
          <t>2026-10-12</t>
        </is>
      </c>
      <c r="AI8" s="11" t="inlineStr">
        <is>
          <t>yahoo</t>
        </is>
      </c>
      <c r="AJ8" s="23" t="inlineStr"/>
    </row>
    <row r="9">
      <c r="A9" s="10">
        <f>IF(AD9="","",RANK(AD9,AD$2:AD$67))</f>
        <v/>
      </c>
      <c r="B9" s="11" t="inlineStr">
        <is>
          <t>Unipol</t>
        </is>
      </c>
      <c r="C9" s="12" t="inlineStr">
        <is>
          <t>UNI.MI</t>
        </is>
      </c>
      <c r="D9" s="11" t="inlineStr">
        <is>
          <t>Assicurazione</t>
        </is>
      </c>
      <c r="E9" s="13" t="inlineStr">
        <is>
          <t>Finanziario</t>
        </is>
      </c>
      <c r="F9" s="14" t="n">
        <v>24.92</v>
      </c>
      <c r="G9" s="15" t="inlineStr">
        <is>
          <t>EUR</t>
        </is>
      </c>
      <c r="H9" s="14" t="n">
        <v>24.92</v>
      </c>
      <c r="I9" s="16" t="n">
        <v>18380.4</v>
      </c>
      <c r="J9" s="16" t="n">
        <v>18380.4</v>
      </c>
      <c r="K9" s="14" t="n">
        <v>2.39</v>
      </c>
      <c r="L9" s="14" t="n">
        <v>2.26656</v>
      </c>
      <c r="M9" s="17">
        <f>IF(OR(F9="",K9="",K9&lt;=0),"",F9/K9)</f>
        <v/>
      </c>
      <c r="N9" s="18" t="n">
        <v>1.7794917</v>
      </c>
      <c r="O9" s="19">
        <f>IF(OR(N9="",M9="",M9&lt;=0),"",N9/M9)</f>
        <v/>
      </c>
      <c r="P9" s="20" t="n">
        <v>0.16938</v>
      </c>
      <c r="Q9" s="20" t="n">
        <v>0.1181376184447107</v>
      </c>
      <c r="R9" s="20" t="n">
        <v>0.02618848036787977</v>
      </c>
      <c r="S9" s="21" t="n">
        <v>4</v>
      </c>
      <c r="T9" s="20" t="n"/>
      <c r="U9" s="20" t="n">
        <v>0.1426234241170244</v>
      </c>
      <c r="V9" s="20" t="n">
        <v>0.1152236884454458</v>
      </c>
      <c r="W9" s="20" t="n">
        <v>0.1381950546002259</v>
      </c>
      <c r="X9" s="20" t="n">
        <v>0.0765083066161469</v>
      </c>
      <c r="Y9" s="14" t="n">
        <v>1.12</v>
      </c>
      <c r="Z9" s="19">
        <f>IF(OR(Y9="",F9="",F9=0),"",Y9/F9)</f>
        <v/>
      </c>
      <c r="AA9" s="22" t="n">
        <v>40.819</v>
      </c>
      <c r="AB9" s="20" t="n">
        <v>0.232</v>
      </c>
      <c r="AC9" s="20" t="n">
        <v>0.1254284255815649</v>
      </c>
      <c r="AD9" s="17">
        <f>IF(OR(Q9="",M9="",M9&lt;=0),"",ROUND(40*MAX(0,MIN(N(Q9)/0.3,1))+IF(OR(R9="",N(Q9)&lt;=0),10,20*MAX(0,1-MIN(R9/Q9,1)))+30*MAX(0,MIN((PARAMETRI!$B$5-M9)/MAX(PARAMETRI!$B$5-10,1),1))+IF(AB9="",3,10*MAX(0,MIN(AB9/0.15,1)))+IF(AND(P9&lt;&gt;"",N(P9)&lt;N(Q9)*0.6),-8,0),1))</f>
        <v/>
      </c>
      <c r="AE9" s="13">
        <f>IF(AND(P9="",Q9=""),"DATI MANCANTI",IF(AND(N(P9)&gt;=PARAMETRI!$B$4,N(Q9)&gt;=PARAMETRI!$B$4),"OK","NO"))</f>
        <v/>
      </c>
      <c r="AF9" s="13">
        <f>IF(M9="","N/D",IF(M9&lt;PARAMETRI!$B$6,"OTTIMO",IF(M9&lt;PARAMETRI!$B$5,"OK","NO")))</f>
        <v/>
      </c>
      <c r="AG9" s="13">
        <f>IF(OR(AE9="DATI MANCANTI",AF9="N/D"),"DA COMPLETARE",IF(AND(AE9="OK",AF9="OTTIMO"),"PASSA FORTE",IF(AND(AE9="OK",AF9="OK"),"PASSA","SCARTA")))</f>
        <v/>
      </c>
      <c r="AH9" s="11" t="inlineStr">
        <is>
          <t>2026-10-12</t>
        </is>
      </c>
      <c r="AI9" s="11" t="inlineStr">
        <is>
          <t>yahoo</t>
        </is>
      </c>
      <c r="AJ9" s="23" t="inlineStr"/>
    </row>
    <row r="10">
      <c r="A10" s="10">
        <f>IF(AD10="","",RANK(AD10,AD$2:AD$67))</f>
        <v/>
      </c>
      <c r="B10" s="11" t="inlineStr">
        <is>
          <t>BPER Banca</t>
        </is>
      </c>
      <c r="C10" s="12" t="inlineStr">
        <is>
          <t>BPE.MI</t>
        </is>
      </c>
      <c r="D10" s="11" t="inlineStr">
        <is>
          <t>Banca</t>
        </is>
      </c>
      <c r="E10" s="13" t="inlineStr">
        <is>
          <t>Finanziario</t>
        </is>
      </c>
      <c r="F10" s="14" t="n">
        <v>13.584</v>
      </c>
      <c r="G10" s="15" t="inlineStr">
        <is>
          <t>EUR</t>
        </is>
      </c>
      <c r="H10" s="14" t="n">
        <v>13.584</v>
      </c>
      <c r="I10" s="16" t="n">
        <v>28419.5</v>
      </c>
      <c r="J10" s="16" t="n">
        <v>28419.5</v>
      </c>
      <c r="K10" s="14" t="n">
        <v>1.12</v>
      </c>
      <c r="L10" s="14" t="n">
        <v>1.30349</v>
      </c>
      <c r="M10" s="17">
        <f>IF(OR(F10="",K10="",K10&lt;=0),"",F10/K10)</f>
        <v/>
      </c>
      <c r="N10" s="18" t="n">
        <v>1.5729505</v>
      </c>
      <c r="O10" s="19">
        <f>IF(OR(N10="",M10="",M10&lt;=0),"",N10/M10)</f>
        <v/>
      </c>
      <c r="P10" s="20" t="n">
        <v>0.15279001</v>
      </c>
      <c r="Q10" s="20" t="n">
        <v>0.1445086984556243</v>
      </c>
      <c r="R10" s="20" t="n">
        <v>0.02916558394996791</v>
      </c>
      <c r="S10" s="21" t="n">
        <v>4</v>
      </c>
      <c r="T10" s="20" t="n"/>
      <c r="U10" s="20" t="n">
        <v>0.1097761581692051</v>
      </c>
      <c r="V10" s="20" t="n">
        <v>0.1235393192469138</v>
      </c>
      <c r="W10" s="20" t="n">
        <v>0.1622327383431547</v>
      </c>
      <c r="X10" s="20" t="n">
        <v>0.1824865780632235</v>
      </c>
      <c r="Y10" s="14" t="n">
        <v>0.66</v>
      </c>
      <c r="Z10" s="19">
        <f>IF(OR(Y10="",F10="",F10=0),"",Y10/F10)</f>
        <v/>
      </c>
      <c r="AA10" s="22" t="n"/>
      <c r="AB10" s="20" t="n">
        <v>0.54</v>
      </c>
      <c r="AC10" s="20" t="n">
        <v>0.3142613117453214</v>
      </c>
      <c r="AD10" s="17">
        <f>IF(OR(Q10="",M10="",M10&lt;=0),"",ROUND(40*MAX(0,MIN(N(Q10)/0.3,1))+IF(OR(R10="",N(Q10)&lt;=0),10,20*MAX(0,1-MIN(R10/Q10,1)))+30*MAX(0,MIN((PARAMETRI!$B$5-M10)/MAX(PARAMETRI!$B$5-10,1),1))+IF(AB10="",3,10*MAX(0,MIN(AB10/0.15,1)))+IF(AND(P10&lt;&gt;"",N(P10)&lt;N(Q10)*0.6),-8,0),1))</f>
        <v/>
      </c>
      <c r="AE10" s="13">
        <f>IF(AND(P10="",Q10=""),"DATI MANCANTI",IF(AND(N(P10)&gt;=PARAMETRI!$B$4,N(Q10)&gt;=PARAMETRI!$B$4),"OK","NO"))</f>
        <v/>
      </c>
      <c r="AF10" s="13">
        <f>IF(M10="","N/D",IF(M10&lt;PARAMETRI!$B$6,"OTTIMO",IF(M10&lt;PARAMETRI!$B$5,"OK","NO")))</f>
        <v/>
      </c>
      <c r="AG10" s="13">
        <f>IF(OR(AE10="DATI MANCANTI",AF10="N/D"),"DA COMPLETARE",IF(AND(AE10="OK",AF10="OTTIMO"),"PASSA FORTE",IF(AND(AE10="OK",AF10="OK"),"PASSA","SCARTA")))</f>
        <v/>
      </c>
      <c r="AH10" s="11" t="inlineStr">
        <is>
          <t>2026-10-12</t>
        </is>
      </c>
      <c r="AI10" s="11" t="inlineStr">
        <is>
          <t>yahoo</t>
        </is>
      </c>
      <c r="AJ10" s="23" t="inlineStr"/>
    </row>
    <row r="11">
      <c r="A11" s="10">
        <f>IF(AD11="","",RANK(AD11,AD$2:AD$67))</f>
        <v/>
      </c>
      <c r="B11" s="11" t="inlineStr">
        <is>
          <t>Hera</t>
        </is>
      </c>
      <c r="C11" s="12" t="inlineStr">
        <is>
          <t>HER.MI</t>
        </is>
      </c>
      <c r="D11" s="11" t="inlineStr">
        <is>
          <t>Utility</t>
        </is>
      </c>
      <c r="E11" s="13" t="inlineStr">
        <is>
          <t>Utility</t>
        </is>
      </c>
      <c r="F11" s="14" t="n">
        <v>3.48</v>
      </c>
      <c r="G11" s="15" t="inlineStr">
        <is>
          <t>EUR</t>
        </is>
      </c>
      <c r="H11" s="14" t="n">
        <v>3.48</v>
      </c>
      <c r="I11" s="16" t="n">
        <v>5144.7</v>
      </c>
      <c r="J11" s="16" t="n">
        <v>5144.7</v>
      </c>
      <c r="K11" s="14" t="n">
        <v>0.32</v>
      </c>
      <c r="L11" s="14" t="n">
        <v>0.33202</v>
      </c>
      <c r="M11" s="17">
        <f>IF(OR(F11="",K11="",K11&lt;=0),"",F11/K11)</f>
        <v/>
      </c>
      <c r="N11" s="18" t="n">
        <v>1.2599565</v>
      </c>
      <c r="O11" s="19">
        <f>IF(OR(N11="",M11="",M11&lt;=0),"",N11/M11)</f>
        <v/>
      </c>
      <c r="P11" s="20" t="n">
        <v>0.121079996</v>
      </c>
      <c r="Q11" s="20" t="n">
        <v>0.1129016561358004</v>
      </c>
      <c r="R11" s="20" t="n">
        <v>0.02307978086200269</v>
      </c>
      <c r="S11" s="21" t="n">
        <v>4</v>
      </c>
      <c r="T11" s="20" t="n"/>
      <c r="U11" s="20" t="n">
        <v>0.1137599843191062</v>
      </c>
      <c r="V11" s="20" t="n">
        <v>0.1343713486046575</v>
      </c>
      <c r="W11" s="20" t="n">
        <v>0.1283811296608691</v>
      </c>
      <c r="X11" s="20" t="n">
        <v>0.07509416195856874</v>
      </c>
      <c r="Y11" s="14" t="n">
        <v>0.16</v>
      </c>
      <c r="Z11" s="19">
        <f>IF(OR(Y11="",F11="",F11=0),"",Y11/F11)</f>
        <v/>
      </c>
      <c r="AA11" s="22" t="n">
        <v>133.318</v>
      </c>
      <c r="AB11" s="20" t="n">
        <v>0.217</v>
      </c>
      <c r="AC11" s="20" t="n">
        <v>0.03629365073242979</v>
      </c>
      <c r="AD11" s="17">
        <f>IF(OR(Q11="",M11="",M11&lt;=0),"",ROUND(40*MAX(0,MIN(N(Q11)/0.3,1))+IF(OR(R11="",N(Q11)&lt;=0),10,20*MAX(0,1-MIN(R11/Q11,1)))+30*MAX(0,MIN((PARAMETRI!$B$5-M11)/MAX(PARAMETRI!$B$5-10,1),1))+IF(AB11="",3,10*MAX(0,MIN(AB11/0.15,1)))+IF(AND(P11&lt;&gt;"",N(P11)&lt;N(Q11)*0.6),-8,0),1))</f>
        <v/>
      </c>
      <c r="AE11" s="13">
        <f>IF(AND(P11="",Q11=""),"DATI MANCANTI",IF(AND(N(P11)&gt;=PARAMETRI!$B$4,N(Q11)&gt;=PARAMETRI!$B$4),"OK","NO"))</f>
        <v/>
      </c>
      <c r="AF11" s="13">
        <f>IF(M11="","N/D",IF(M11&lt;PARAMETRI!$B$6,"OTTIMO",IF(M11&lt;PARAMETRI!$B$5,"OK","NO")))</f>
        <v/>
      </c>
      <c r="AG11" s="13">
        <f>IF(OR(AE11="DATI MANCANTI",AF11="N/D"),"DA COMPLETARE",IF(AND(AE11="OK",AF11="OTTIMO"),"PASSA FORTE",IF(AND(AE11="OK",AF11="OK"),"PASSA","SCARTA")))</f>
        <v/>
      </c>
      <c r="AH11" s="11" t="inlineStr">
        <is>
          <t>2026-10-12</t>
        </is>
      </c>
      <c r="AI11" s="11" t="inlineStr">
        <is>
          <t>yahoo</t>
        </is>
      </c>
      <c r="AJ11" s="23" t="inlineStr"/>
    </row>
    <row r="12">
      <c r="A12" s="10">
        <f>IF(AD12="","",RANK(AD12,AD$2:AD$67))</f>
        <v/>
      </c>
      <c r="B12" s="11" t="inlineStr">
        <is>
          <t>Credito Emiliano</t>
        </is>
      </c>
      <c r="C12" s="12" t="inlineStr">
        <is>
          <t>CE.MI</t>
        </is>
      </c>
      <c r="D12" s="11" t="inlineStr">
        <is>
          <t>Banca</t>
        </is>
      </c>
      <c r="E12" s="13" t="inlineStr">
        <is>
          <t>Finanziario</t>
        </is>
      </c>
      <c r="F12" s="14" t="n">
        <v>20.04</v>
      </c>
      <c r="G12" s="15" t="inlineStr">
        <is>
          <t>EUR</t>
        </is>
      </c>
      <c r="H12" s="14" t="n">
        <v>20.04</v>
      </c>
      <c r="I12" s="16" t="n">
        <v>6815.3</v>
      </c>
      <c r="J12" s="16" t="n">
        <v>6815.3</v>
      </c>
      <c r="K12" s="14" t="n">
        <v>1.66</v>
      </c>
      <c r="L12" s="14" t="n">
        <v>1.70798</v>
      </c>
      <c r="M12" s="17">
        <f>IF(OR(F12="",K12="",K12&lt;=0),"",F12/K12)</f>
        <v/>
      </c>
      <c r="N12" s="18" t="n">
        <v>1.4429724</v>
      </c>
      <c r="O12" s="19">
        <f>IF(OR(N12="",M12="",M12&lt;=0),"",N12/M12)</f>
        <v/>
      </c>
      <c r="P12" s="20" t="n">
        <v>0.12286</v>
      </c>
      <c r="Q12" s="20" t="n">
        <v>0.1300062824285416</v>
      </c>
      <c r="R12" s="20" t="n">
        <v>0.01959756211205863</v>
      </c>
      <c r="S12" s="21" t="n">
        <v>4</v>
      </c>
      <c r="T12" s="20" t="n"/>
      <c r="U12" s="20" t="n">
        <v>0.1332810045412384</v>
      </c>
      <c r="V12" s="20" t="n">
        <v>0.1444498517998922</v>
      </c>
      <c r="W12" s="20" t="n">
        <v>0.1452297895230177</v>
      </c>
      <c r="X12" s="20" t="n">
        <v>0.09706448385001806</v>
      </c>
      <c r="Y12" s="14" t="n">
        <v>0.75</v>
      </c>
      <c r="Z12" s="19">
        <f>IF(OR(Y12="",F12="",F12=0),"",Y12/F12)</f>
        <v/>
      </c>
      <c r="AA12" s="22" t="n"/>
      <c r="AB12" s="20" t="n">
        <v>0.165</v>
      </c>
      <c r="AC12" s="20" t="n">
        <v>0.2710626925445219</v>
      </c>
      <c r="AD12" s="17">
        <f>IF(OR(Q12="",M12="",M12&lt;=0),"",ROUND(40*MAX(0,MIN(N(Q12)/0.3,1))+IF(OR(R12="",N(Q12)&lt;=0),10,20*MAX(0,1-MIN(R12/Q12,1)))+30*MAX(0,MIN((PARAMETRI!$B$5-M12)/MAX(PARAMETRI!$B$5-10,1),1))+IF(AB12="",3,10*MAX(0,MIN(AB12/0.15,1)))+IF(AND(P12&lt;&gt;"",N(P12)&lt;N(Q12)*0.6),-8,0),1))</f>
        <v/>
      </c>
      <c r="AE12" s="13">
        <f>IF(AND(P12="",Q12=""),"DATI MANCANTI",IF(AND(N(P12)&gt;=PARAMETRI!$B$4,N(Q12)&gt;=PARAMETRI!$B$4),"OK","NO"))</f>
        <v/>
      </c>
      <c r="AF12" s="13">
        <f>IF(M12="","N/D",IF(M12&lt;PARAMETRI!$B$6,"OTTIMO",IF(M12&lt;PARAMETRI!$B$5,"OK","NO")))</f>
        <v/>
      </c>
      <c r="AG12" s="13">
        <f>IF(OR(AE12="DATI MANCANTI",AF12="N/D"),"DA COMPLETARE",IF(AND(AE12="OK",AF12="OTTIMO"),"PASSA FORTE",IF(AND(AE12="OK",AF12="OK"),"PASSA","SCARTA")))</f>
        <v/>
      </c>
      <c r="AH12" s="11" t="inlineStr">
        <is>
          <t>2026-10-12</t>
        </is>
      </c>
      <c r="AI12" s="11" t="inlineStr">
        <is>
          <t>yahoo</t>
        </is>
      </c>
      <c r="AJ12" s="23" t="inlineStr"/>
    </row>
    <row r="13">
      <c r="A13" s="10">
        <f>IF(AD13="","",RANK(AD13,AD$2:AD$67))</f>
        <v/>
      </c>
      <c r="B13" s="11" t="inlineStr">
        <is>
          <t>RCS MediaGroup</t>
        </is>
      </c>
      <c r="C13" s="12" t="inlineStr">
        <is>
          <t>RCS.MI</t>
        </is>
      </c>
      <c r="D13" s="11" t="inlineStr">
        <is>
          <t>Editoria / Media</t>
        </is>
      </c>
      <c r="E13" s="13" t="inlineStr">
        <is>
          <t>Industriale</t>
        </is>
      </c>
      <c r="F13" s="14" t="n">
        <v>0.831</v>
      </c>
      <c r="G13" s="15" t="inlineStr">
        <is>
          <t>EUR</t>
        </is>
      </c>
      <c r="H13" s="14" t="n">
        <v>0.831</v>
      </c>
      <c r="I13" s="16" t="n">
        <v>429.9</v>
      </c>
      <c r="J13" s="16" t="n">
        <v>429.9</v>
      </c>
      <c r="K13" s="14" t="n">
        <v>0.11</v>
      </c>
      <c r="L13" s="14" t="n">
        <v>0.11</v>
      </c>
      <c r="M13" s="17">
        <f>IF(OR(F13="",K13="",K13&lt;=0),"",F13/K13)</f>
        <v/>
      </c>
      <c r="N13" s="18" t="n">
        <v>0.9347581</v>
      </c>
      <c r="O13" s="19">
        <f>IF(OR(N13="",M13="",M13&lt;=0),"",N13/M13)</f>
        <v/>
      </c>
      <c r="P13" s="20" t="n">
        <v>0.119799994</v>
      </c>
      <c r="Q13" s="20" t="n">
        <v>0.1313459415807887</v>
      </c>
      <c r="R13" s="20" t="n">
        <v>0.008353501327388812</v>
      </c>
      <c r="S13" s="21" t="n">
        <v>4</v>
      </c>
      <c r="T13" s="20" t="n"/>
      <c r="U13" s="20" t="n">
        <v>0.1190786614515428</v>
      </c>
      <c r="V13" s="20" t="n">
        <v>0.1404939950147292</v>
      </c>
      <c r="W13" s="20" t="n">
        <v>0.1373825018076645</v>
      </c>
      <c r="X13" s="20" t="n">
        <v>0.1284286080492182</v>
      </c>
      <c r="Y13" s="14" t="n">
        <v>0.07000000000000001</v>
      </c>
      <c r="Z13" s="19">
        <f>IF(OR(Y13="",F13="",F13=0),"",Y13/F13)</f>
        <v/>
      </c>
      <c r="AA13" s="22" t="n">
        <v>29.396</v>
      </c>
      <c r="AB13" s="20" t="n">
        <v>0.004</v>
      </c>
      <c r="AC13" s="20" t="n">
        <v>0.06842706614193221</v>
      </c>
      <c r="AD13" s="17">
        <f>IF(OR(Q13="",M13="",M13&lt;=0),"",ROUND(40*MAX(0,MIN(N(Q13)/0.3,1))+IF(OR(R13="",N(Q13)&lt;=0),10,20*MAX(0,1-MIN(R13/Q13,1)))+30*MAX(0,MIN((PARAMETRI!$B$5-M13)/MAX(PARAMETRI!$B$5-10,1),1))+IF(AB13="",3,10*MAX(0,MIN(AB13/0.15,1)))+IF(AND(P13&lt;&gt;"",N(P13)&lt;N(Q13)*0.6),-8,0),1))</f>
        <v/>
      </c>
      <c r="AE13" s="13">
        <f>IF(AND(P13="",Q13=""),"DATI MANCANTI",IF(AND(N(P13)&gt;=PARAMETRI!$B$4,N(Q13)&gt;=PARAMETRI!$B$4),"OK","NO"))</f>
        <v/>
      </c>
      <c r="AF13" s="13">
        <f>IF(M13="","N/D",IF(M13&lt;PARAMETRI!$B$6,"OTTIMO",IF(M13&lt;PARAMETRI!$B$5,"OK","NO")))</f>
        <v/>
      </c>
      <c r="AG13" s="13">
        <f>IF(OR(AE13="DATI MANCANTI",AF13="N/D"),"DA COMPLETARE",IF(AND(AE13="OK",AF13="OTTIMO"),"PASSA FORTE",IF(AND(AE13="OK",AF13="OK"),"PASSA","SCARTA")))</f>
        <v/>
      </c>
      <c r="AH13" s="11" t="inlineStr">
        <is>
          <t>2026-10-12</t>
        </is>
      </c>
      <c r="AI13" s="11" t="inlineStr">
        <is>
          <t>yahoo</t>
        </is>
      </c>
      <c r="AJ13" s="23" t="inlineStr"/>
    </row>
    <row r="14">
      <c r="A14" s="10">
        <f>IF(AD14="","",RANK(AD14,AD$2:AD$67))</f>
        <v/>
      </c>
      <c r="B14" s="11" t="inlineStr">
        <is>
          <t>Poste Italiane</t>
        </is>
      </c>
      <c r="C14" s="12" t="inlineStr">
        <is>
          <t>PST.MI</t>
        </is>
      </c>
      <c r="D14" s="11" t="inlineStr">
        <is>
          <t>Servizi finanziari</t>
        </is>
      </c>
      <c r="E14" s="13" t="inlineStr">
        <is>
          <t>Finanziario</t>
        </is>
      </c>
      <c r="F14" s="14" t="n">
        <v>24.35</v>
      </c>
      <c r="G14" s="15" t="inlineStr">
        <is>
          <t>EUR</t>
        </is>
      </c>
      <c r="H14" s="14" t="n">
        <v>24.35</v>
      </c>
      <c r="I14" s="16" t="n">
        <v>38895.6</v>
      </c>
      <c r="J14" s="16" t="n">
        <v>38895.6</v>
      </c>
      <c r="K14" s="14" t="n">
        <v>1.85</v>
      </c>
      <c r="L14" s="14" t="n">
        <v>1.98583</v>
      </c>
      <c r="M14" s="17">
        <f>IF(OR(F14="",K14="",K14&lt;=0),"",F14/K14)</f>
        <v/>
      </c>
      <c r="N14" s="18" t="n">
        <v>2.4553797</v>
      </c>
      <c r="O14" s="19">
        <f>IF(OR(N14="",M14="",M14&lt;=0),"",N14/M14)</f>
        <v/>
      </c>
      <c r="P14" s="20" t="n">
        <v>0.18174</v>
      </c>
      <c r="Q14" s="20" t="n">
        <v>0.1799413465174911</v>
      </c>
      <c r="R14" s="20" t="n">
        <v>0.01549228779776163</v>
      </c>
      <c r="S14" s="21" t="n">
        <v>4</v>
      </c>
      <c r="T14" s="20" t="n"/>
      <c r="U14" s="20" t="n">
        <v>0.1599826577064817</v>
      </c>
      <c r="V14" s="20" t="n">
        <v>0.1721488388155055</v>
      </c>
      <c r="W14" s="20" t="n">
        <v>0.1862042239875993</v>
      </c>
      <c r="X14" s="20" t="n">
        <v>0.2014296655603778</v>
      </c>
      <c r="Y14" s="14" t="n">
        <v>1.25</v>
      </c>
      <c r="Z14" s="19">
        <f>IF(OR(Y14="",F14="",F14=0),"",Y14/F14)</f>
        <v/>
      </c>
      <c r="AA14" s="22" t="n">
        <v>631.496</v>
      </c>
      <c r="AB14" s="20" t="n">
        <v>0.034</v>
      </c>
      <c r="AC14" s="20" t="n">
        <v>0.1031947370684095</v>
      </c>
      <c r="AD14" s="17">
        <f>IF(OR(Q14="",M14="",M14&lt;=0),"",ROUND(40*MAX(0,MIN(N(Q14)/0.3,1))+IF(OR(R14="",N(Q14)&lt;=0),10,20*MAX(0,1-MIN(R14/Q14,1)))+30*MAX(0,MIN((PARAMETRI!$B$5-M14)/MAX(PARAMETRI!$B$5-10,1),1))+IF(AB14="",3,10*MAX(0,MIN(AB14/0.15,1)))+IF(AND(P14&lt;&gt;"",N(P14)&lt;N(Q14)*0.6),-8,0),1))</f>
        <v/>
      </c>
      <c r="AE14" s="13">
        <f>IF(AND(P14="",Q14=""),"DATI MANCANTI",IF(AND(N(P14)&gt;=PARAMETRI!$B$4,N(Q14)&gt;=PARAMETRI!$B$4),"OK","NO"))</f>
        <v/>
      </c>
      <c r="AF14" s="13">
        <f>IF(M14="","N/D",IF(M14&lt;PARAMETRI!$B$6,"OTTIMO",IF(M14&lt;PARAMETRI!$B$5,"OK","NO")))</f>
        <v/>
      </c>
      <c r="AG14" s="13">
        <f>IF(OR(AE14="DATI MANCANTI",AF14="N/D"),"DA COMPLETARE",IF(AND(AE14="OK",AF14="OTTIMO"),"PASSA FORTE",IF(AND(AE14="OK",AF14="OK"),"PASSA","SCARTA")))</f>
        <v/>
      </c>
      <c r="AH14" s="11" t="inlineStr">
        <is>
          <t>2026-10-12</t>
        </is>
      </c>
      <c r="AI14" s="11" t="inlineStr">
        <is>
          <t>yahoo</t>
        </is>
      </c>
      <c r="AJ14" s="23" t="inlineStr"/>
    </row>
    <row r="15">
      <c r="A15" s="10">
        <f>IF(AD15="","",RANK(AD15,AD$2:AD$67))</f>
        <v/>
      </c>
      <c r="B15" s="11" t="inlineStr">
        <is>
          <t>FinecoBank</t>
        </is>
      </c>
      <c r="C15" s="12" t="inlineStr">
        <is>
          <t>FBK.MI</t>
        </is>
      </c>
      <c r="D15" s="11" t="inlineStr">
        <is>
          <t>Banca</t>
        </is>
      </c>
      <c r="E15" s="13" t="inlineStr">
        <is>
          <t>Finanziario</t>
        </is>
      </c>
      <c r="F15" s="14" t="n">
        <v>21.3</v>
      </c>
      <c r="G15" s="15" t="inlineStr">
        <is>
          <t>EUR</t>
        </is>
      </c>
      <c r="H15" s="14" t="n">
        <v>21.3</v>
      </c>
      <c r="I15" s="16" t="n">
        <v>13031.7</v>
      </c>
      <c r="J15" s="16" t="n">
        <v>13031.7</v>
      </c>
      <c r="K15" s="14" t="n">
        <v>1.1</v>
      </c>
      <c r="L15" s="14" t="n">
        <v>1.28801</v>
      </c>
      <c r="M15" s="17">
        <f>IF(OR(F15="",K15="",K15&lt;=0),"",F15/K15)</f>
        <v/>
      </c>
      <c r="N15" s="18" t="n">
        <v>5.4378347</v>
      </c>
      <c r="O15" s="19">
        <f>IF(OR(N15="",M15="",M15&lt;=0),"",N15/M15)</f>
        <v/>
      </c>
      <c r="P15" s="20" t="n">
        <v>0.28855</v>
      </c>
      <c r="Q15" s="20" t="n">
        <v>0.2570624236556285</v>
      </c>
      <c r="R15" s="20" t="n">
        <v>0.02097502353736271</v>
      </c>
      <c r="S15" s="21" t="n">
        <v>4</v>
      </c>
      <c r="T15" s="20" t="n"/>
      <c r="U15" s="20" t="n">
        <v>0.2534112396233302</v>
      </c>
      <c r="V15" s="20" t="n">
        <v>0.2730011819301958</v>
      </c>
      <c r="W15" s="20" t="n">
        <v>0.2775357273693247</v>
      </c>
      <c r="X15" s="20" t="n">
        <v>0.2243015456996635</v>
      </c>
      <c r="Y15" s="14" t="n">
        <v>0.79</v>
      </c>
      <c r="Z15" s="19">
        <f>IF(OR(Y15="",F15="",F15=0),"",Y15/F15)</f>
        <v/>
      </c>
      <c r="AA15" s="22" t="n"/>
      <c r="AB15" s="20" t="n">
        <v>0.18</v>
      </c>
      <c r="AC15" s="20" t="n">
        <v>0.4311898534625156</v>
      </c>
      <c r="AD15" s="17">
        <f>IF(OR(Q15="",M15="",M15&lt;=0),"",ROUND(40*MAX(0,MIN(N(Q15)/0.3,1))+IF(OR(R15="",N(Q15)&lt;=0),10,20*MAX(0,1-MIN(R15/Q15,1)))+30*MAX(0,MIN((PARAMETRI!$B$5-M15)/MAX(PARAMETRI!$B$5-10,1),1))+IF(AB15="",3,10*MAX(0,MIN(AB15/0.15,1)))+IF(AND(P15&lt;&gt;"",N(P15)&lt;N(Q15)*0.6),-8,0),1))</f>
        <v/>
      </c>
      <c r="AE15" s="13">
        <f>IF(AND(P15="",Q15=""),"DATI MANCANTI",IF(AND(N(P15)&gt;=PARAMETRI!$B$4,N(Q15)&gt;=PARAMETRI!$B$4),"OK","NO"))</f>
        <v/>
      </c>
      <c r="AF15" s="13">
        <f>IF(M15="","N/D",IF(M15&lt;PARAMETRI!$B$6,"OTTIMO",IF(M15&lt;PARAMETRI!$B$5,"OK","NO")))</f>
        <v/>
      </c>
      <c r="AG15" s="13">
        <f>IF(OR(AE15="DATI MANCANTI",AF15="N/D"),"DA COMPLETARE",IF(AND(AE15="OK",AF15="OTTIMO"),"PASSA FORTE",IF(AND(AE15="OK",AF15="OK"),"PASSA","SCARTA")))</f>
        <v/>
      </c>
      <c r="AH15" s="11" t="inlineStr">
        <is>
          <t>2026-10-12</t>
        </is>
      </c>
      <c r="AI15" s="11" t="inlineStr">
        <is>
          <t>yahoo</t>
        </is>
      </c>
      <c r="AJ15" s="23" t="inlineStr"/>
    </row>
    <row r="16">
      <c r="A16" s="10">
        <f>IF(AD16="","",RANK(AD16,AD$2:AD$67))</f>
        <v/>
      </c>
      <c r="B16" s="11" t="inlineStr">
        <is>
          <t>Ferrari</t>
        </is>
      </c>
      <c r="C16" s="12" t="inlineStr">
        <is>
          <t>RACE.MI</t>
        </is>
      </c>
      <c r="D16" s="11" t="inlineStr">
        <is>
          <t>Lusso / Auto</t>
        </is>
      </c>
      <c r="E16" s="13" t="inlineStr">
        <is>
          <t>Consumi</t>
        </is>
      </c>
      <c r="F16" s="14" t="n">
        <v>351</v>
      </c>
      <c r="G16" s="15" t="inlineStr">
        <is>
          <t>EUR</t>
        </is>
      </c>
      <c r="H16" s="14" t="n">
        <v>351</v>
      </c>
      <c r="I16" s="16" t="n">
        <v>61565.4</v>
      </c>
      <c r="J16" s="16" t="n">
        <v>61565.4</v>
      </c>
      <c r="K16" s="14" t="n">
        <v>9.23</v>
      </c>
      <c r="L16" s="14" t="n">
        <v>11.05319</v>
      </c>
      <c r="M16" s="17">
        <f>IF(OR(F16="",K16="",K16&lt;=0),"",F16/K16)</f>
        <v/>
      </c>
      <c r="N16" s="18" t="n">
        <v>16.878246</v>
      </c>
      <c r="O16" s="19">
        <f>IF(OR(N16="",M16="",M16&lt;=0),"",N16/M16)</f>
        <v/>
      </c>
      <c r="P16" s="20" t="n">
        <v>0.45439997</v>
      </c>
      <c r="Q16" s="20" t="n">
        <v>0.4020305960143391</v>
      </c>
      <c r="R16" s="20" t="n">
        <v>0.02601046878287762</v>
      </c>
      <c r="S16" s="21" t="n">
        <v>4</v>
      </c>
      <c r="T16" s="20" t="n"/>
      <c r="U16" s="20" t="n">
        <v>0.4087439814706981</v>
      </c>
      <c r="V16" s="20" t="n">
        <v>0.4306452334019818</v>
      </c>
      <c r="W16" s="20" t="n">
        <v>0.4090473091468881</v>
      </c>
      <c r="X16" s="20" t="n">
        <v>0.3596858600377884</v>
      </c>
      <c r="Y16" s="14" t="n">
        <v>3.62</v>
      </c>
      <c r="Z16" s="19">
        <f>IF(OR(Y16="",F16="",F16=0),"",Y16/F16)</f>
        <v/>
      </c>
      <c r="AA16" s="22" t="n">
        <v>86.386</v>
      </c>
      <c r="AB16" s="20" t="n">
        <v>0.08400000000000001</v>
      </c>
      <c r="AC16" s="20" t="n">
        <v>0.2289629285473584</v>
      </c>
      <c r="AD16" s="17">
        <f>IF(OR(Q16="",M16="",M16&lt;=0),"",ROUND(40*MAX(0,MIN(N(Q16)/0.3,1))+IF(OR(R16="",N(Q16)&lt;=0),10,20*MAX(0,1-MIN(R16/Q16,1)))+30*MAX(0,MIN((PARAMETRI!$B$5-M16)/MAX(PARAMETRI!$B$5-10,1),1))+IF(AB16="",3,10*MAX(0,MIN(AB16/0.15,1)))+IF(AND(P16&lt;&gt;"",N(P16)&lt;N(Q16)*0.6),-8,0),1))</f>
        <v/>
      </c>
      <c r="AE16" s="13">
        <f>IF(AND(P16="",Q16=""),"DATI MANCANTI",IF(AND(N(P16)&gt;=PARAMETRI!$B$4,N(Q16)&gt;=PARAMETRI!$B$4),"OK","NO"))</f>
        <v/>
      </c>
      <c r="AF16" s="13">
        <f>IF(M16="","N/D",IF(M16&lt;PARAMETRI!$B$6,"OTTIMO",IF(M16&lt;PARAMETRI!$B$5,"OK","NO")))</f>
        <v/>
      </c>
      <c r="AG16" s="13">
        <f>IF(OR(AE16="DATI MANCANTI",AF16="N/D"),"DA COMPLETARE",IF(AND(AE16="OK",AF16="OTTIMO"),"PASSA FORTE",IF(AND(AE16="OK",AF16="OK"),"PASSA","SCARTA")))</f>
        <v/>
      </c>
      <c r="AH16" s="11" t="inlineStr">
        <is>
          <t>2026-10-12</t>
        </is>
      </c>
      <c r="AI16" s="11" t="inlineStr">
        <is>
          <t>yahoo</t>
        </is>
      </c>
      <c r="AJ16" s="23" t="inlineStr"/>
    </row>
    <row r="17">
      <c r="A17" s="10">
        <f>IF(AD17="","",RANK(AD17,AD$2:AD$67))</f>
        <v/>
      </c>
      <c r="B17" s="11" t="inlineStr">
        <is>
          <t>Acea</t>
        </is>
      </c>
      <c r="C17" s="12" t="inlineStr">
        <is>
          <t>ACE.MI</t>
        </is>
      </c>
      <c r="D17" s="11" t="inlineStr">
        <is>
          <t>Utility</t>
        </is>
      </c>
      <c r="E17" s="13" t="inlineStr">
        <is>
          <t>Utility</t>
        </is>
      </c>
      <c r="F17" s="14" t="n">
        <v>20.24</v>
      </c>
      <c r="G17" s="15" t="inlineStr">
        <is>
          <t>EUR</t>
        </is>
      </c>
      <c r="H17" s="14" t="n">
        <v>20.24</v>
      </c>
      <c r="I17" s="16" t="n">
        <v>4302</v>
      </c>
      <c r="J17" s="16" t="n">
        <v>4302</v>
      </c>
      <c r="K17" s="14" t="n">
        <v>1.7</v>
      </c>
      <c r="L17" s="14" t="n">
        <v>1.58975</v>
      </c>
      <c r="M17" s="17">
        <f>IF(OR(F17="",K17="",K17&lt;=0),"",F17/K17)</f>
        <v/>
      </c>
      <c r="N17" s="18" t="n">
        <v>1.4436519</v>
      </c>
      <c r="O17" s="19">
        <f>IF(OR(N17="",M17="",M17&lt;=0),"",N17/M17)</f>
        <v/>
      </c>
      <c r="P17" s="20" t="n">
        <v>0.124309994</v>
      </c>
      <c r="Q17" s="20" t="n">
        <v>0.1377274020186562</v>
      </c>
      <c r="R17" s="20" t="n">
        <v>0.02063562538189108</v>
      </c>
      <c r="S17" s="21" t="n">
        <v>4</v>
      </c>
      <c r="T17" s="20" t="n"/>
      <c r="U17" s="20" t="n">
        <v>0.172816869044327</v>
      </c>
      <c r="V17" s="20" t="n">
        <v>0.1323776847677043</v>
      </c>
      <c r="W17" s="20" t="n">
        <v>0.1236319980683815</v>
      </c>
      <c r="X17" s="20" t="n">
        <v>0.1220830561942121</v>
      </c>
      <c r="Y17" s="14" t="n">
        <v>0.95</v>
      </c>
      <c r="Z17" s="19">
        <f>IF(OR(Y17="",F17="",F17=0),"",Y17/F17)</f>
        <v/>
      </c>
      <c r="AA17" s="22" t="n">
        <v>169.549</v>
      </c>
      <c r="AB17" s="20" t="n">
        <v>0.063</v>
      </c>
      <c r="AC17" s="20" t="n">
        <v>0.1313480180950612</v>
      </c>
      <c r="AD17" s="17">
        <f>IF(OR(Q17="",M17="",M17&lt;=0),"",ROUND(40*MAX(0,MIN(N(Q17)/0.3,1))+IF(OR(R17="",N(Q17)&lt;=0),10,20*MAX(0,1-MIN(R17/Q17,1)))+30*MAX(0,MIN((PARAMETRI!$B$5-M17)/MAX(PARAMETRI!$B$5-10,1),1))+IF(AB17="",3,10*MAX(0,MIN(AB17/0.15,1)))+IF(AND(P17&lt;&gt;"",N(P17)&lt;N(Q17)*0.6),-8,0),1))</f>
        <v/>
      </c>
      <c r="AE17" s="13">
        <f>IF(AND(P17="",Q17=""),"DATI MANCANTI",IF(AND(N(P17)&gt;=PARAMETRI!$B$4,N(Q17)&gt;=PARAMETRI!$B$4),"OK","NO"))</f>
        <v/>
      </c>
      <c r="AF17" s="13">
        <f>IF(M17="","N/D",IF(M17&lt;PARAMETRI!$B$6,"OTTIMO",IF(M17&lt;PARAMETRI!$B$5,"OK","NO")))</f>
        <v/>
      </c>
      <c r="AG17" s="13">
        <f>IF(OR(AE17="DATI MANCANTI",AF17="N/D"),"DA COMPLETARE",IF(AND(AE17="OK",AF17="OTTIMO"),"PASSA FORTE",IF(AND(AE17="OK",AF17="OK"),"PASSA","SCARTA")))</f>
        <v/>
      </c>
      <c r="AH17" s="11" t="inlineStr">
        <is>
          <t>2026-10-12</t>
        </is>
      </c>
      <c r="AI17" s="11" t="inlineStr">
        <is>
          <t>yahoo</t>
        </is>
      </c>
      <c r="AJ17" s="23" t="inlineStr"/>
    </row>
    <row r="18">
      <c r="A18" s="10">
        <f>IF(AD18="","",RANK(AD18,AD$2:AD$67))</f>
        <v/>
      </c>
      <c r="B18" s="11" t="inlineStr">
        <is>
          <t>Buzzi</t>
        </is>
      </c>
      <c r="C18" s="12" t="inlineStr">
        <is>
          <t>BZU.MI</t>
        </is>
      </c>
      <c r="D18" s="11" t="inlineStr">
        <is>
          <t>Materiali / Cemento</t>
        </is>
      </c>
      <c r="E18" s="13" t="inlineStr">
        <is>
          <t>Materiali</t>
        </is>
      </c>
      <c r="F18" s="14" t="n">
        <v>37.14</v>
      </c>
      <c r="G18" s="15" t="inlineStr">
        <is>
          <t>EUR</t>
        </is>
      </c>
      <c r="H18" s="14" t="n">
        <v>37.14</v>
      </c>
      <c r="I18" s="16" t="n">
        <v>6552</v>
      </c>
      <c r="J18" s="16" t="n">
        <v>6552</v>
      </c>
      <c r="K18" s="14" t="n">
        <v>4.76</v>
      </c>
      <c r="L18" s="14" t="n">
        <v>4.83455</v>
      </c>
      <c r="M18" s="17">
        <f>IF(OR(F18="",K18="",K18&lt;=0),"",F18/K18)</f>
        <v/>
      </c>
      <c r="N18" s="18" t="n">
        <v>0.9003636</v>
      </c>
      <c r="O18" s="19">
        <f>IF(OR(N18="",M18="",M18&lt;=0),"",N18/M18)</f>
        <v/>
      </c>
      <c r="P18" s="20" t="n">
        <v>0.12303001</v>
      </c>
      <c r="Q18" s="20" t="n">
        <v>0.1345063151175203</v>
      </c>
      <c r="R18" s="20" t="n">
        <v>0.02809718446027663</v>
      </c>
      <c r="S18" s="21" t="n">
        <v>4</v>
      </c>
      <c r="T18" s="20" t="n"/>
      <c r="U18" s="20" t="n">
        <v>0.1300000564412122</v>
      </c>
      <c r="V18" s="20" t="n">
        <v>0.1427187127514725</v>
      </c>
      <c r="W18" s="20" t="n">
        <v>0.1717888401993831</v>
      </c>
      <c r="X18" s="20" t="n">
        <v>0.09351765107801338</v>
      </c>
      <c r="Y18" s="14" t="n">
        <v>0.7</v>
      </c>
      <c r="Z18" s="19">
        <f>IF(OR(Y18="",F18="",F18=0),"",Y18/F18)</f>
        <v/>
      </c>
      <c r="AA18" s="22" t="n">
        <v>6.827</v>
      </c>
      <c r="AB18" s="20" t="n">
        <v>0.001</v>
      </c>
      <c r="AC18" s="20" t="n">
        <v>0.1900980348895133</v>
      </c>
      <c r="AD18" s="17">
        <f>IF(OR(Q18="",M18="",M18&lt;=0),"",ROUND(40*MAX(0,MIN(N(Q18)/0.3,1))+IF(OR(R18="",N(Q18)&lt;=0),10,20*MAX(0,1-MIN(R18/Q18,1)))+30*MAX(0,MIN((PARAMETRI!$B$5-M18)/MAX(PARAMETRI!$B$5-10,1),1))+IF(AB18="",3,10*MAX(0,MIN(AB18/0.15,1)))+IF(AND(P18&lt;&gt;"",N(P18)&lt;N(Q18)*0.6),-8,0),1))</f>
        <v/>
      </c>
      <c r="AE18" s="13">
        <f>IF(AND(P18="",Q18=""),"DATI MANCANTI",IF(AND(N(P18)&gt;=PARAMETRI!$B$4,N(Q18)&gt;=PARAMETRI!$B$4),"OK","NO"))</f>
        <v/>
      </c>
      <c r="AF18" s="13">
        <f>IF(M18="","N/D",IF(M18&lt;PARAMETRI!$B$6,"OTTIMO",IF(M18&lt;PARAMETRI!$B$5,"OK","NO")))</f>
        <v/>
      </c>
      <c r="AG18" s="13">
        <f>IF(OR(AE18="DATI MANCANTI",AF18="N/D"),"DA COMPLETARE",IF(AND(AE18="OK",AF18="OTTIMO"),"PASSA FORTE",IF(AND(AE18="OK",AF18="OK"),"PASSA","SCARTA")))</f>
        <v/>
      </c>
      <c r="AH18" s="11" t="inlineStr">
        <is>
          <t>2026-10-12</t>
        </is>
      </c>
      <c r="AI18" s="11" t="inlineStr">
        <is>
          <t>yahoo</t>
        </is>
      </c>
      <c r="AJ18" s="23" t="inlineStr"/>
    </row>
    <row r="19">
      <c r="A19" s="10">
        <f>IF(AD19="","",RANK(AD19,AD$2:AD$67))</f>
        <v/>
      </c>
      <c r="B19" s="11" t="inlineStr">
        <is>
          <t>UniCredit</t>
        </is>
      </c>
      <c r="C19" s="12" t="inlineStr">
        <is>
          <t>UCG.MI</t>
        </is>
      </c>
      <c r="D19" s="11" t="inlineStr">
        <is>
          <t>Banca</t>
        </is>
      </c>
      <c r="E19" s="13" t="inlineStr">
        <is>
          <t>Finanziario</t>
        </is>
      </c>
      <c r="F19" s="14" t="n">
        <v>76.25</v>
      </c>
      <c r="G19" s="15" t="inlineStr">
        <is>
          <t>EUR</t>
        </is>
      </c>
      <c r="H19" s="14" t="n">
        <v>76.25</v>
      </c>
      <c r="I19" s="16" t="n">
        <v>114981.4</v>
      </c>
      <c r="J19" s="16" t="n">
        <v>114981.4</v>
      </c>
      <c r="K19" s="14" t="n">
        <v>6.98</v>
      </c>
      <c r="L19" s="14" t="n">
        <v>8.41137</v>
      </c>
      <c r="M19" s="17">
        <f>IF(OR(F19="",K19="",K19&lt;=0),"",F19/K19)</f>
        <v/>
      </c>
      <c r="N19" s="18" t="n">
        <v>1.6223059</v>
      </c>
      <c r="O19" s="19">
        <f>IF(OR(N19="",M19="",M19&lt;=0),"",N19/M19)</f>
        <v/>
      </c>
      <c r="P19" s="20" t="n">
        <v>0.15779</v>
      </c>
      <c r="Q19" s="20" t="n">
        <v>0.1417934441062063</v>
      </c>
      <c r="R19" s="20" t="n">
        <v>0.02344442801155508</v>
      </c>
      <c r="S19" s="21" t="n">
        <v>4</v>
      </c>
      <c r="T19" s="20" t="n"/>
      <c r="U19" s="20" t="n">
        <v>0.1611998050538317</v>
      </c>
      <c r="V19" s="20" t="n">
        <v>0.1556509344821511</v>
      </c>
      <c r="W19" s="20" t="n">
        <v>0.1483637385102764</v>
      </c>
      <c r="X19" s="20" t="n">
        <v>0.1019592983785661</v>
      </c>
      <c r="Y19" s="14" t="n">
        <v>3.15</v>
      </c>
      <c r="Z19" s="19">
        <f>IF(OR(Y19="",F19="",F19=0),"",Y19/F19)</f>
        <v/>
      </c>
      <c r="AA19" s="22" t="n"/>
      <c r="AB19" s="20" t="n">
        <v>-0.092</v>
      </c>
      <c r="AC19" s="20" t="n">
        <v>0.4284915506210312</v>
      </c>
      <c r="AD19" s="17">
        <f>IF(OR(Q19="",M19="",M19&lt;=0),"",ROUND(40*MAX(0,MIN(N(Q19)/0.3,1))+IF(OR(R19="",N(Q19)&lt;=0),10,20*MAX(0,1-MIN(R19/Q19,1)))+30*MAX(0,MIN((PARAMETRI!$B$5-M19)/MAX(PARAMETRI!$B$5-10,1),1))+IF(AB19="",3,10*MAX(0,MIN(AB19/0.15,1)))+IF(AND(P19&lt;&gt;"",N(P19)&lt;N(Q19)*0.6),-8,0),1))</f>
        <v/>
      </c>
      <c r="AE19" s="13">
        <f>IF(AND(P19="",Q19=""),"DATI MANCANTI",IF(AND(N(P19)&gt;=PARAMETRI!$B$4,N(Q19)&gt;=PARAMETRI!$B$4),"OK","NO"))</f>
        <v/>
      </c>
      <c r="AF19" s="13">
        <f>IF(M19="","N/D",IF(M19&lt;PARAMETRI!$B$6,"OTTIMO",IF(M19&lt;PARAMETRI!$B$5,"OK","NO")))</f>
        <v/>
      </c>
      <c r="AG19" s="13">
        <f>IF(OR(AE19="DATI MANCANTI",AF19="N/D"),"DA COMPLETARE",IF(AND(AE19="OK",AF19="OTTIMO"),"PASSA FORTE",IF(AND(AE19="OK",AF19="OK"),"PASSA","SCARTA")))</f>
        <v/>
      </c>
      <c r="AH19" s="11" t="inlineStr">
        <is>
          <t>2026-10-12</t>
        </is>
      </c>
      <c r="AI19" s="11" t="inlineStr">
        <is>
          <t>yahoo</t>
        </is>
      </c>
      <c r="AJ19" s="23" t="inlineStr"/>
    </row>
    <row r="20">
      <c r="A20" s="10">
        <f>IF(AD20="","",RANK(AD20,AD$2:AD$67))</f>
        <v/>
      </c>
      <c r="B20" s="11" t="inlineStr">
        <is>
          <t>MFE-MediaForEurope A</t>
        </is>
      </c>
      <c r="C20" s="12" t="inlineStr">
        <is>
          <t>MFEA.MI</t>
        </is>
      </c>
      <c r="D20" s="11" t="inlineStr">
        <is>
          <t>Media / TV</t>
        </is>
      </c>
      <c r="E20" s="13" t="inlineStr">
        <is>
          <t>Industriale</t>
        </is>
      </c>
      <c r="F20" s="14" t="n">
        <v>2.086</v>
      </c>
      <c r="G20" s="15" t="inlineStr">
        <is>
          <t>EUR</t>
        </is>
      </c>
      <c r="H20" s="14" t="n">
        <v>2.086</v>
      </c>
      <c r="I20" s="16" t="n">
        <v>1462</v>
      </c>
      <c r="J20" s="16" t="n">
        <v>1462</v>
      </c>
      <c r="K20" s="14" t="n">
        <v>0.19</v>
      </c>
      <c r="L20" s="14" t="n">
        <v>0.48792</v>
      </c>
      <c r="M20" s="17">
        <f>IF(OR(F20="",K20="",K20&lt;=0),"",F20/K20)</f>
        <v/>
      </c>
      <c r="N20" s="18" t="n">
        <v>0.41895962</v>
      </c>
      <c r="O20" s="19">
        <f>IF(OR(N20="",M20="",M20&lt;=0),"",N20/M20)</f>
        <v/>
      </c>
      <c r="P20" s="20" t="n">
        <v>0.055760004</v>
      </c>
      <c r="Q20" s="20" t="n">
        <v>0.07215163334997049</v>
      </c>
      <c r="R20" s="20" t="n">
        <v>0.01470500804818441</v>
      </c>
      <c r="S20" s="21" t="n">
        <v>4</v>
      </c>
      <c r="T20" s="20" t="n"/>
      <c r="U20" s="20" t="n">
        <v>0.08632122864934692</v>
      </c>
      <c r="V20" s="20" t="n">
        <v>0.04807055460661624</v>
      </c>
      <c r="W20" s="20" t="n">
        <v>0.07291485134711234</v>
      </c>
      <c r="X20" s="20" t="n">
        <v>0.08129989879680648</v>
      </c>
      <c r="Y20" s="14" t="n">
        <v>0.22</v>
      </c>
      <c r="Z20" s="19">
        <f>IF(OR(Y20="",F20="",F20=0),"",Y20/F20)</f>
        <v/>
      </c>
      <c r="AA20" s="22" t="n">
        <v>88.622</v>
      </c>
      <c r="AB20" s="20" t="n">
        <v>0.945</v>
      </c>
      <c r="AC20" s="20" t="n">
        <v>0.0410969196093163</v>
      </c>
      <c r="AD20" s="17">
        <f>IF(OR(Q20="",M20="",M20&lt;=0),"",ROUND(40*MAX(0,MIN(N(Q20)/0.3,1))+IF(OR(R20="",N(Q20)&lt;=0),10,20*MAX(0,1-MIN(R20/Q20,1)))+30*MAX(0,MIN((PARAMETRI!$B$5-M20)/MAX(PARAMETRI!$B$5-10,1),1))+IF(AB20="",3,10*MAX(0,MIN(AB20/0.15,1)))+IF(AND(P20&lt;&gt;"",N(P20)&lt;N(Q20)*0.6),-8,0),1))</f>
        <v/>
      </c>
      <c r="AE20" s="13">
        <f>IF(AND(P20="",Q20=""),"DATI MANCANTI",IF(AND(N(P20)&gt;=PARAMETRI!$B$4,N(Q20)&gt;=PARAMETRI!$B$4),"OK","NO"))</f>
        <v/>
      </c>
      <c r="AF20" s="13">
        <f>IF(M20="","N/D",IF(M20&lt;PARAMETRI!$B$6,"OTTIMO",IF(M20&lt;PARAMETRI!$B$5,"OK","NO")))</f>
        <v/>
      </c>
      <c r="AG20" s="13">
        <f>IF(OR(AE20="DATI MANCANTI",AF20="N/D"),"DA COMPLETARE",IF(AND(AE20="OK",AF20="OTTIMO"),"PASSA FORTE",IF(AND(AE20="OK",AF20="OK"),"PASSA","SCARTA")))</f>
        <v/>
      </c>
      <c r="AH20" s="11" t="inlineStr">
        <is>
          <t>2026-10-12</t>
        </is>
      </c>
      <c r="AI20" s="11" t="inlineStr">
        <is>
          <t>yahoo</t>
        </is>
      </c>
      <c r="AJ20" s="23" t="inlineStr"/>
    </row>
    <row r="21">
      <c r="A21" s="10">
        <f>IF(AD21="","",RANK(AD21,AD$2:AD$67))</f>
        <v/>
      </c>
      <c r="B21" s="11" t="inlineStr">
        <is>
          <t>Intesa Sanpaolo</t>
        </is>
      </c>
      <c r="C21" s="12" t="inlineStr">
        <is>
          <t>ISP.MI</t>
        </is>
      </c>
      <c r="D21" s="11" t="inlineStr">
        <is>
          <t>Banca</t>
        </is>
      </c>
      <c r="E21" s="13" t="inlineStr">
        <is>
          <t>Finanziario</t>
        </is>
      </c>
      <c r="F21" s="14" t="n">
        <v>6.184</v>
      </c>
      <c r="G21" s="15" t="inlineStr">
        <is>
          <t>EUR</t>
        </is>
      </c>
      <c r="H21" s="14" t="n">
        <v>6.184</v>
      </c>
      <c r="I21" s="16" t="n">
        <v>106934.3</v>
      </c>
      <c r="J21" s="16" t="n">
        <v>106934.3</v>
      </c>
      <c r="K21" s="14" t="n">
        <v>0.5600000000000001</v>
      </c>
      <c r="L21" s="14" t="n">
        <v>0.65382</v>
      </c>
      <c r="M21" s="17">
        <f>IF(OR(F21="",K21="",K21&lt;=0),"",F21/K21)</f>
        <v/>
      </c>
      <c r="N21" s="18" t="n">
        <v>1.5815856</v>
      </c>
      <c r="O21" s="19">
        <f>IF(OR(N21="",M21="",M21&lt;=0),"",N21/M21)</f>
        <v/>
      </c>
      <c r="P21" s="20" t="n">
        <v>0.14261</v>
      </c>
      <c r="Q21" s="20" t="n">
        <v>0.1170723447862178</v>
      </c>
      <c r="R21" s="20" t="n">
        <v>0.0273636203726556</v>
      </c>
      <c r="S21" s="21" t="n">
        <v>4</v>
      </c>
      <c r="T21" s="20" t="n"/>
      <c r="U21" s="20" t="n">
        <v>0.1429031367859443</v>
      </c>
      <c r="V21" s="20" t="n">
        <v>0.1329630538848656</v>
      </c>
      <c r="W21" s="20" t="n">
        <v>0.1207573128214749</v>
      </c>
      <c r="X21" s="20" t="n">
        <v>0.07166587565258661</v>
      </c>
      <c r="Y21" s="14" t="n">
        <v>0.38</v>
      </c>
      <c r="Z21" s="19">
        <f>IF(OR(Y21="",F21="",F21=0),"",Y21/F21)</f>
        <v/>
      </c>
      <c r="AA21" s="22" t="n"/>
      <c r="AB21" s="20" t="n">
        <v>0.064</v>
      </c>
      <c r="AC21" s="20" t="n">
        <v>0.3385677664131235</v>
      </c>
      <c r="AD21" s="17">
        <f>IF(OR(Q21="",M21="",M21&lt;=0),"",ROUND(40*MAX(0,MIN(N(Q21)/0.3,1))+IF(OR(R21="",N(Q21)&lt;=0),10,20*MAX(0,1-MIN(R21/Q21,1)))+30*MAX(0,MIN((PARAMETRI!$B$5-M21)/MAX(PARAMETRI!$B$5-10,1),1))+IF(AB21="",3,10*MAX(0,MIN(AB21/0.15,1)))+IF(AND(P21&lt;&gt;"",N(P21)&lt;N(Q21)*0.6),-8,0),1))</f>
        <v/>
      </c>
      <c r="AE21" s="13">
        <f>IF(AND(P21="",Q21=""),"DATI MANCANTI",IF(AND(N(P21)&gt;=PARAMETRI!$B$4,N(Q21)&gt;=PARAMETRI!$B$4),"OK","NO"))</f>
        <v/>
      </c>
      <c r="AF21" s="13">
        <f>IF(M21="","N/D",IF(M21&lt;PARAMETRI!$B$6,"OTTIMO",IF(M21&lt;PARAMETRI!$B$5,"OK","NO")))</f>
        <v/>
      </c>
      <c r="AG21" s="13">
        <f>IF(OR(AE21="DATI MANCANTI",AF21="N/D"),"DA COMPLETARE",IF(AND(AE21="OK",AF21="OTTIMO"),"PASSA FORTE",IF(AND(AE21="OK",AF21="OK"),"PASSA","SCARTA")))</f>
        <v/>
      </c>
      <c r="AH21" s="11" t="inlineStr">
        <is>
          <t>2026-10-12</t>
        </is>
      </c>
      <c r="AI21" s="11" t="inlineStr">
        <is>
          <t>yahoo</t>
        </is>
      </c>
      <c r="AJ21" s="23" t="inlineStr"/>
    </row>
    <row r="22">
      <c r="A22" s="10">
        <f>IF(AD22="","",RANK(AD22,AD$2:AD$67))</f>
        <v/>
      </c>
      <c r="B22" s="11" t="inlineStr">
        <is>
          <t>Iren</t>
        </is>
      </c>
      <c r="C22" s="12" t="inlineStr">
        <is>
          <t>IRE.MI</t>
        </is>
      </c>
      <c r="D22" s="11" t="inlineStr">
        <is>
          <t>Utility</t>
        </is>
      </c>
      <c r="E22" s="13" t="inlineStr">
        <is>
          <t>Utility</t>
        </is>
      </c>
      <c r="F22" s="14" t="n">
        <v>2.402</v>
      </c>
      <c r="G22" s="15" t="inlineStr">
        <is>
          <t>EUR</t>
        </is>
      </c>
      <c r="H22" s="14" t="n">
        <v>2.402</v>
      </c>
      <c r="I22" s="16" t="n">
        <v>3081.9</v>
      </c>
      <c r="J22" s="16" t="n">
        <v>3081.9</v>
      </c>
      <c r="K22" s="14" t="n">
        <v>0.23</v>
      </c>
      <c r="L22" s="14" t="n">
        <v>0.24707</v>
      </c>
      <c r="M22" s="17">
        <f>IF(OR(F22="",K22="",K22&lt;=0),"",F22/K22)</f>
        <v/>
      </c>
      <c r="N22" s="18" t="n">
        <v>1.0452567</v>
      </c>
      <c r="O22" s="19">
        <f>IF(OR(N22="",M22="",M22&lt;=0),"",N22/M22)</f>
        <v/>
      </c>
      <c r="P22" s="20" t="n">
        <v>0.08586001</v>
      </c>
      <c r="Q22" s="20" t="n">
        <v>0.08833789201631842</v>
      </c>
      <c r="R22" s="20" t="n">
        <v>0.004159652247824652</v>
      </c>
      <c r="S22" s="21" t="n">
        <v>4</v>
      </c>
      <c r="T22" s="20" t="n"/>
      <c r="U22" s="20" t="n">
        <v>0.086886861999682</v>
      </c>
      <c r="V22" s="20" t="n">
        <v>0.09334796927981129</v>
      </c>
      <c r="W22" s="20" t="n">
        <v>0.09078158140807809</v>
      </c>
      <c r="X22" s="20" t="n">
        <v>0.08233515537770233</v>
      </c>
      <c r="Y22" s="14" t="n">
        <v>0.14</v>
      </c>
      <c r="Z22" s="19">
        <f>IF(OR(Y22="",F22="",F22=0),"",Y22/F22)</f>
        <v/>
      </c>
      <c r="AA22" s="22" t="n">
        <v>129.504</v>
      </c>
      <c r="AB22" s="20" t="n">
        <v>0.028</v>
      </c>
      <c r="AC22" s="20" t="n">
        <v>0.04642093273543158</v>
      </c>
      <c r="AD22" s="17">
        <f>IF(OR(Q22="",M22="",M22&lt;=0),"",ROUND(40*MAX(0,MIN(N(Q22)/0.3,1))+IF(OR(R22="",N(Q22)&lt;=0),10,20*MAX(0,1-MIN(R22/Q22,1)))+30*MAX(0,MIN((PARAMETRI!$B$5-M22)/MAX(PARAMETRI!$B$5-10,1),1))+IF(AB22="",3,10*MAX(0,MIN(AB22/0.15,1)))+IF(AND(P22&lt;&gt;"",N(P22)&lt;N(Q22)*0.6),-8,0),1))</f>
        <v/>
      </c>
      <c r="AE22" s="13">
        <f>IF(AND(P22="",Q22=""),"DATI MANCANTI",IF(AND(N(P22)&gt;=PARAMETRI!$B$4,N(Q22)&gt;=PARAMETRI!$B$4),"OK","NO"))</f>
        <v/>
      </c>
      <c r="AF22" s="13">
        <f>IF(M22="","N/D",IF(M22&lt;PARAMETRI!$B$6,"OTTIMO",IF(M22&lt;PARAMETRI!$B$5,"OK","NO")))</f>
        <v/>
      </c>
      <c r="AG22" s="13">
        <f>IF(OR(AE22="DATI MANCANTI",AF22="N/D"),"DA COMPLETARE",IF(AND(AE22="OK",AF22="OTTIMO"),"PASSA FORTE",IF(AND(AE22="OK",AF22="OK"),"PASSA","SCARTA")))</f>
        <v/>
      </c>
      <c r="AH22" s="11" t="inlineStr">
        <is>
          <t>2026-10-12</t>
        </is>
      </c>
      <c r="AI22" s="11" t="inlineStr">
        <is>
          <t>yahoo</t>
        </is>
      </c>
      <c r="AJ22" s="23" t="inlineStr"/>
    </row>
    <row r="23">
      <c r="A23" s="10">
        <f>IF(AD23="","",RANK(AD23,AD$2:AD$67))</f>
        <v/>
      </c>
      <c r="B23" s="11" t="inlineStr">
        <is>
          <t>Banca Ifis</t>
        </is>
      </c>
      <c r="C23" s="12" t="inlineStr">
        <is>
          <t>IF.MI</t>
        </is>
      </c>
      <c r="D23" s="11" t="inlineStr">
        <is>
          <t>Banca</t>
        </is>
      </c>
      <c r="E23" s="13" t="inlineStr">
        <is>
          <t>Finanziario</t>
        </is>
      </c>
      <c r="F23" s="14" t="n">
        <v>10.15</v>
      </c>
      <c r="G23" s="15" t="inlineStr">
        <is>
          <t>EUR</t>
        </is>
      </c>
      <c r="H23" s="14" t="n">
        <v>10.15</v>
      </c>
      <c r="I23" s="16" t="n">
        <v>620</v>
      </c>
      <c r="J23" s="16" t="n">
        <v>620</v>
      </c>
      <c r="K23" s="14" t="n">
        <v>4.22</v>
      </c>
      <c r="L23" s="14" t="n">
        <v>1.95776</v>
      </c>
      <c r="M23" s="17">
        <f>IF(OR(F23="",K23="",K23&lt;=0),"",F23/K23)</f>
        <v/>
      </c>
      <c r="N23" s="18" t="n">
        <v>0.30243436</v>
      </c>
      <c r="O23" s="19">
        <f>IF(OR(N23="",M23="",M23&lt;=0),"",N23/M23)</f>
        <v/>
      </c>
      <c r="P23" s="20" t="n">
        <v>0.12864</v>
      </c>
      <c r="Q23" s="20" t="n">
        <v>0.1080837120556844</v>
      </c>
      <c r="R23" s="20" t="n">
        <v>0.02703035448321747</v>
      </c>
      <c r="S23" s="21" t="n">
        <v>4</v>
      </c>
      <c r="T23" s="20" t="n"/>
      <c r="U23" s="20" t="n">
        <v>0.1547337791733341</v>
      </c>
      <c r="V23" s="20" t="n">
        <v>0.09327314395229491</v>
      </c>
      <c r="W23" s="20" t="n">
        <v>0.09533427133380451</v>
      </c>
      <c r="X23" s="20" t="n">
        <v>0.08899365376330386</v>
      </c>
      <c r="Y23" s="14" t="n">
        <v>2.12</v>
      </c>
      <c r="Z23" s="19">
        <f>IF(OR(Y23="",F23="",F23=0),"",Y23/F23)</f>
        <v/>
      </c>
      <c r="AA23" s="22" t="n"/>
      <c r="AB23" s="20" t="n">
        <v>-0.253</v>
      </c>
      <c r="AC23" s="20" t="n">
        <v>0.3467575509543882</v>
      </c>
      <c r="AD23" s="17">
        <f>IF(OR(Q23="",M23="",M23&lt;=0),"",ROUND(40*MAX(0,MIN(N(Q23)/0.3,1))+IF(OR(R23="",N(Q23)&lt;=0),10,20*MAX(0,1-MIN(R23/Q23,1)))+30*MAX(0,MIN((PARAMETRI!$B$5-M23)/MAX(PARAMETRI!$B$5-10,1),1))+IF(AB23="",3,10*MAX(0,MIN(AB23/0.15,1)))+IF(AND(P23&lt;&gt;"",N(P23)&lt;N(Q23)*0.6),-8,0),1))</f>
        <v/>
      </c>
      <c r="AE23" s="13">
        <f>IF(AND(P23="",Q23=""),"DATI MANCANTI",IF(AND(N(P23)&gt;=PARAMETRI!$B$4,N(Q23)&gt;=PARAMETRI!$B$4),"OK","NO"))</f>
        <v/>
      </c>
      <c r="AF23" s="13">
        <f>IF(M23="","N/D",IF(M23&lt;PARAMETRI!$B$6,"OTTIMO",IF(M23&lt;PARAMETRI!$B$5,"OK","NO")))</f>
        <v/>
      </c>
      <c r="AG23" s="13">
        <f>IF(OR(AE23="DATI MANCANTI",AF23="N/D"),"DA COMPLETARE",IF(AND(AE23="OK",AF23="OTTIMO"),"PASSA FORTE",IF(AND(AE23="OK",AF23="OK"),"PASSA","SCARTA")))</f>
        <v/>
      </c>
      <c r="AH23" s="11" t="inlineStr">
        <is>
          <t>2026-10-12</t>
        </is>
      </c>
      <c r="AI23" s="11" t="inlineStr">
        <is>
          <t>yahoo</t>
        </is>
      </c>
      <c r="AJ23" s="23" t="inlineStr"/>
    </row>
    <row r="24">
      <c r="A24" s="10">
        <f>IF(AD24="","",RANK(AD24,AD$2:AD$67))</f>
        <v/>
      </c>
      <c r="B24" s="11" t="inlineStr">
        <is>
          <t>Banca Monte dei Paschi</t>
        </is>
      </c>
      <c r="C24" s="12" t="inlineStr">
        <is>
          <t>BMPS.MI</t>
        </is>
      </c>
      <c r="D24" s="11" t="inlineStr">
        <is>
          <t>Banca</t>
        </is>
      </c>
      <c r="E24" s="13" t="inlineStr">
        <is>
          <t>Finanziario</t>
        </is>
      </c>
      <c r="F24" s="14" t="n">
        <v>11.15</v>
      </c>
      <c r="G24" s="15" t="inlineStr">
        <is>
          <t>EUR</t>
        </is>
      </c>
      <c r="H24" s="14" t="n">
        <v>11.15</v>
      </c>
      <c r="I24" s="16" t="n">
        <v>33878.4</v>
      </c>
      <c r="J24" s="16" t="n">
        <v>33878.4</v>
      </c>
      <c r="K24" s="14" t="n">
        <v>1.19</v>
      </c>
      <c r="L24" s="14" t="n">
        <v>0.89188</v>
      </c>
      <c r="M24" s="17">
        <f>IF(OR(F24="",K24="",K24&lt;=0),"",F24/K24)</f>
        <v/>
      </c>
      <c r="N24" s="18" t="n">
        <v>1.283084</v>
      </c>
      <c r="O24" s="19">
        <f>IF(OR(N24="",M24="",M24&lt;=0),"",N24/M24)</f>
        <v/>
      </c>
      <c r="P24" s="20" t="n">
        <v>0.15022</v>
      </c>
      <c r="Q24" s="20" t="n">
        <v>0.1118793043818977</v>
      </c>
      <c r="R24" s="20" t="n">
        <v>0.08689710531060152</v>
      </c>
      <c r="S24" s="21" t="n">
        <v>4</v>
      </c>
      <c r="T24" s="20" t="n"/>
      <c r="U24" s="20" t="n">
        <v>0.09712411852409344</v>
      </c>
      <c r="V24" s="20" t="n">
        <v>0.1674643066481196</v>
      </c>
      <c r="W24" s="20" t="n">
        <v>0.2056210488634617</v>
      </c>
      <c r="X24" s="20" t="n">
        <v>-0.02269225650808385</v>
      </c>
      <c r="Y24" s="14" t="n">
        <v>0.86</v>
      </c>
      <c r="Z24" s="19">
        <f>IF(OR(Y24="",F24="",F24=0),"",Y24/F24)</f>
        <v/>
      </c>
      <c r="AA24" s="22" t="n"/>
      <c r="AB24" s="20" t="n">
        <v>0.995</v>
      </c>
      <c r="AC24" s="20" t="n">
        <v>0.5880412296273519</v>
      </c>
      <c r="AD24" s="17">
        <f>IF(OR(Q24="",M24="",M24&lt;=0),"",ROUND(40*MAX(0,MIN(N(Q24)/0.3,1))+IF(OR(R24="",N(Q24)&lt;=0),10,20*MAX(0,1-MIN(R24/Q24,1)))+30*MAX(0,MIN((PARAMETRI!$B$5-M24)/MAX(PARAMETRI!$B$5-10,1),1))+IF(AB24="",3,10*MAX(0,MIN(AB24/0.15,1)))+IF(AND(P24&lt;&gt;"",N(P24)&lt;N(Q24)*0.6),-8,0),1))</f>
        <v/>
      </c>
      <c r="AE24" s="13">
        <f>IF(AND(P24="",Q24=""),"DATI MANCANTI",IF(AND(N(P24)&gt;=PARAMETRI!$B$4,N(Q24)&gt;=PARAMETRI!$B$4),"OK","NO"))</f>
        <v/>
      </c>
      <c r="AF24" s="13">
        <f>IF(M24="","N/D",IF(M24&lt;PARAMETRI!$B$6,"OTTIMO",IF(M24&lt;PARAMETRI!$B$5,"OK","NO")))</f>
        <v/>
      </c>
      <c r="AG24" s="13">
        <f>IF(OR(AE24="DATI MANCANTI",AF24="N/D"),"DA COMPLETARE",IF(AND(AE24="OK",AF24="OTTIMO"),"PASSA FORTE",IF(AND(AE24="OK",AF24="OK"),"PASSA","SCARTA")))</f>
        <v/>
      </c>
      <c r="AH24" s="11" t="inlineStr">
        <is>
          <t>2026-10-12</t>
        </is>
      </c>
      <c r="AI24" s="11" t="inlineStr">
        <is>
          <t>yahoo</t>
        </is>
      </c>
      <c r="AJ24" s="23" t="inlineStr"/>
    </row>
    <row r="25">
      <c r="A25" s="10">
        <f>IF(AD25="","",RANK(AD25,AD$2:AD$67))</f>
        <v/>
      </c>
      <c r="B25" s="11" t="inlineStr">
        <is>
          <t>Brunello Cucinelli</t>
        </is>
      </c>
      <c r="C25" s="12" t="inlineStr">
        <is>
          <t>BC.MI</t>
        </is>
      </c>
      <c r="D25" s="11" t="inlineStr">
        <is>
          <t>Lusso</t>
        </is>
      </c>
      <c r="E25" s="13" t="inlineStr">
        <is>
          <t>Consumi</t>
        </is>
      </c>
      <c r="F25" s="14" t="n">
        <v>81.2</v>
      </c>
      <c r="G25" s="15" t="inlineStr">
        <is>
          <t>EUR</t>
        </is>
      </c>
      <c r="H25" s="14" t="n">
        <v>81.2</v>
      </c>
      <c r="I25" s="16" t="n">
        <v>5521.6</v>
      </c>
      <c r="J25" s="16" t="n">
        <v>5521.6</v>
      </c>
      <c r="K25" s="14" t="n">
        <v>2.03</v>
      </c>
      <c r="L25" s="14" t="n">
        <v>2.62682</v>
      </c>
      <c r="M25" s="17">
        <f>IF(OR(F25="",K25="",K25&lt;=0),"",F25/K25)</f>
        <v/>
      </c>
      <c r="N25" s="18" t="n">
        <v>10.076942</v>
      </c>
      <c r="O25" s="19">
        <f>IF(OR(N25="",M25="",M25&lt;=0),"",N25/M25)</f>
        <v/>
      </c>
      <c r="P25" s="20" t="n">
        <v>0.26791</v>
      </c>
      <c r="Q25" s="20" t="n">
        <v>0.2403248193952109</v>
      </c>
      <c r="R25" s="20" t="n">
        <v>0.01805965959882995</v>
      </c>
      <c r="S25" s="21" t="n">
        <v>4</v>
      </c>
      <c r="T25" s="20" t="n"/>
      <c r="U25" s="20" t="n">
        <v>0.2473059594886634</v>
      </c>
      <c r="V25" s="20" t="n">
        <v>0.2438635092603554</v>
      </c>
      <c r="W25" s="20" t="n">
        <v>0.2594371546726846</v>
      </c>
      <c r="X25" s="20" t="n">
        <v>0.2106926541591403</v>
      </c>
      <c r="Y25" s="14" t="n">
        <v>1.04</v>
      </c>
      <c r="Z25" s="19">
        <f>IF(OR(Y25="",F25="",F25=0),"",Y25/F25)</f>
        <v/>
      </c>
      <c r="AA25" s="22" t="n">
        <v>217.133</v>
      </c>
      <c r="AB25" s="20" t="n">
        <v>0.095</v>
      </c>
      <c r="AC25" s="20" t="n">
        <v>0.09793877201692389</v>
      </c>
      <c r="AD25" s="17">
        <f>IF(OR(Q25="",M25="",M25&lt;=0),"",ROUND(40*MAX(0,MIN(N(Q25)/0.3,1))+IF(OR(R25="",N(Q25)&lt;=0),10,20*MAX(0,1-MIN(R25/Q25,1)))+30*MAX(0,MIN((PARAMETRI!$B$5-M25)/MAX(PARAMETRI!$B$5-10,1),1))+IF(AB25="",3,10*MAX(0,MIN(AB25/0.15,1)))+IF(AND(P25&lt;&gt;"",N(P25)&lt;N(Q25)*0.6),-8,0),1))</f>
        <v/>
      </c>
      <c r="AE25" s="13">
        <f>IF(AND(P25="",Q25=""),"DATI MANCANTI",IF(AND(N(P25)&gt;=PARAMETRI!$B$4,N(Q25)&gt;=PARAMETRI!$B$4),"OK","NO"))</f>
        <v/>
      </c>
      <c r="AF25" s="13">
        <f>IF(M25="","N/D",IF(M25&lt;PARAMETRI!$B$6,"OTTIMO",IF(M25&lt;PARAMETRI!$B$5,"OK","NO")))</f>
        <v/>
      </c>
      <c r="AG25" s="13">
        <f>IF(OR(AE25="DATI MANCANTI",AF25="N/D"),"DA COMPLETARE",IF(AND(AE25="OK",AF25="OTTIMO"),"PASSA FORTE",IF(AND(AE25="OK",AF25="OK"),"PASSA","SCARTA")))</f>
        <v/>
      </c>
      <c r="AH25" s="11" t="inlineStr">
        <is>
          <t>2026-10-12</t>
        </is>
      </c>
      <c r="AI25" s="11" t="inlineStr">
        <is>
          <t>yahoo</t>
        </is>
      </c>
      <c r="AJ25" s="23" t="inlineStr"/>
    </row>
    <row r="26">
      <c r="A26" s="10">
        <f>IF(AD26="","",RANK(AD26,AD$2:AD$67))</f>
        <v/>
      </c>
      <c r="B26" s="11" t="inlineStr">
        <is>
          <t>Brembo</t>
        </is>
      </c>
      <c r="C26" s="12" t="inlineStr">
        <is>
          <t>BRE.MI</t>
        </is>
      </c>
      <c r="D26" s="11" t="inlineStr">
        <is>
          <t>Componentistica auto</t>
        </is>
      </c>
      <c r="E26" s="13" t="inlineStr">
        <is>
          <t>Industriale</t>
        </is>
      </c>
      <c r="F26" s="14" t="n">
        <v>9.94</v>
      </c>
      <c r="G26" s="15" t="inlineStr">
        <is>
          <t>EUR</t>
        </is>
      </c>
      <c r="H26" s="14" t="n">
        <v>9.94</v>
      </c>
      <c r="I26" s="16" t="n">
        <v>3162</v>
      </c>
      <c r="J26" s="16" t="n">
        <v>3162</v>
      </c>
      <c r="K26" s="14" t="n">
        <v>0.72</v>
      </c>
      <c r="L26" s="14" t="n">
        <v>0.84929</v>
      </c>
      <c r="M26" s="17">
        <f>IF(OR(F26="",K26="",K26&lt;=0),"",F26/K26)</f>
        <v/>
      </c>
      <c r="N26" s="18" t="n">
        <v>1.3496265</v>
      </c>
      <c r="O26" s="19">
        <f>IF(OR(N26="",M26="",M26&lt;=0),"",N26/M26)</f>
        <v/>
      </c>
      <c r="P26" s="20" t="n">
        <v>0.101330005</v>
      </c>
      <c r="Q26" s="20" t="n">
        <v>0.1265656568780933</v>
      </c>
      <c r="R26" s="20" t="n">
        <v>0.02514618444892005</v>
      </c>
      <c r="S26" s="21" t="n">
        <v>4</v>
      </c>
      <c r="T26" s="20" t="n"/>
      <c r="U26" s="20" t="n">
        <v>0.09128864491291784</v>
      </c>
      <c r="V26" s="20" t="n">
        <v>0.1144501964284625</v>
      </c>
      <c r="W26" s="20" t="n">
        <v>0.1475189755270711</v>
      </c>
      <c r="X26" s="20" t="n">
        <v>0.153004810643922</v>
      </c>
      <c r="Y26" s="14" t="n">
        <v>0.3</v>
      </c>
      <c r="Z26" s="19">
        <f>IF(OR(Y26="",F26="",F26=0),"",Y26/F26)</f>
        <v/>
      </c>
      <c r="AA26" s="22" t="n">
        <v>58.738</v>
      </c>
      <c r="AB26" s="20" t="n">
        <v>0.061</v>
      </c>
      <c r="AC26" s="20" t="n">
        <v>0.06153502074835945</v>
      </c>
      <c r="AD26" s="17">
        <f>IF(OR(Q26="",M26="",M26&lt;=0),"",ROUND(40*MAX(0,MIN(N(Q26)/0.3,1))+IF(OR(R26="",N(Q26)&lt;=0),10,20*MAX(0,1-MIN(R26/Q26,1)))+30*MAX(0,MIN((PARAMETRI!$B$5-M26)/MAX(PARAMETRI!$B$5-10,1),1))+IF(AB26="",3,10*MAX(0,MIN(AB26/0.15,1)))+IF(AND(P26&lt;&gt;"",N(P26)&lt;N(Q26)*0.6),-8,0),1))</f>
        <v/>
      </c>
      <c r="AE26" s="13">
        <f>IF(AND(P26="",Q26=""),"DATI MANCANTI",IF(AND(N(P26)&gt;=PARAMETRI!$B$4,N(Q26)&gt;=PARAMETRI!$B$4),"OK","NO"))</f>
        <v/>
      </c>
      <c r="AF26" s="13">
        <f>IF(M26="","N/D",IF(M26&lt;PARAMETRI!$B$6,"OTTIMO",IF(M26&lt;PARAMETRI!$B$5,"OK","NO")))</f>
        <v/>
      </c>
      <c r="AG26" s="13">
        <f>IF(OR(AE26="DATI MANCANTI",AF26="N/D"),"DA COMPLETARE",IF(AND(AE26="OK",AF26="OTTIMO"),"PASSA FORTE",IF(AND(AE26="OK",AF26="OK"),"PASSA","SCARTA")))</f>
        <v/>
      </c>
      <c r="AH26" s="11" t="inlineStr">
        <is>
          <t>2026-10-12</t>
        </is>
      </c>
      <c r="AI26" s="11" t="inlineStr">
        <is>
          <t>yahoo</t>
        </is>
      </c>
      <c r="AJ26" s="23" t="inlineStr"/>
    </row>
    <row r="27">
      <c r="A27" s="10">
        <f>IF(AD27="","",RANK(AD27,AD$2:AD$67))</f>
        <v/>
      </c>
      <c r="B27" s="11" t="inlineStr">
        <is>
          <t>Recordati</t>
        </is>
      </c>
      <c r="C27" s="12" t="inlineStr">
        <is>
          <t>REC.MI</t>
        </is>
      </c>
      <c r="D27" s="11" t="inlineStr">
        <is>
          <t>Farmaceutica</t>
        </is>
      </c>
      <c r="E27" s="13" t="inlineStr">
        <is>
          <t>Salute</t>
        </is>
      </c>
      <c r="F27" s="14" t="n">
        <v>52.95</v>
      </c>
      <c r="G27" s="15" t="inlineStr">
        <is>
          <t>EUR</t>
        </is>
      </c>
      <c r="H27" s="14" t="n">
        <v>52.95</v>
      </c>
      <c r="I27" s="16" t="n">
        <v>11013.6</v>
      </c>
      <c r="J27" s="16" t="n">
        <v>11013.6</v>
      </c>
      <c r="K27" s="14" t="n">
        <v>2.38</v>
      </c>
      <c r="L27" s="14" t="n">
        <v>3.7615</v>
      </c>
      <c r="M27" s="17">
        <f>IF(OR(F27="",K27="",K27&lt;=0),"",F27/K27)</f>
        <v/>
      </c>
      <c r="N27" s="18" t="n">
        <v>5.089878</v>
      </c>
      <c r="O27" s="19">
        <f>IF(OR(N27="",M27="",M27&lt;=0),"",N27/M27)</f>
        <v/>
      </c>
      <c r="P27" s="20" t="n">
        <v>0.24851999</v>
      </c>
      <c r="Q27" s="20" t="n">
        <v>0.2214495065575219</v>
      </c>
      <c r="R27" s="20" t="n">
        <v>0.01181960198165553</v>
      </c>
      <c r="S27" s="21" t="n">
        <v>4</v>
      </c>
      <c r="T27" s="20" t="n"/>
      <c r="U27" s="20" t="n">
        <v>0.2310816076075701</v>
      </c>
      <c r="V27" s="20" t="n">
        <v>0.2219234882185667</v>
      </c>
      <c r="W27" s="20" t="n">
        <v>0.2307968728504405</v>
      </c>
      <c r="X27" s="20" t="n">
        <v>0.2019960575535102</v>
      </c>
      <c r="Y27" s="14" t="n">
        <v>1.42</v>
      </c>
      <c r="Z27" s="19">
        <f>IF(OR(Y27="",F27="",F27=0),"",Y27/F27)</f>
        <v/>
      </c>
      <c r="AA27" s="22" t="n">
        <v>108.586</v>
      </c>
      <c r="AB27" s="20" t="n">
        <v>0.083</v>
      </c>
      <c r="AC27" s="20" t="n">
        <v>0.1898793996141894</v>
      </c>
      <c r="AD27" s="17">
        <f>IF(OR(Q27="",M27="",M27&lt;=0),"",ROUND(40*MAX(0,MIN(N(Q27)/0.3,1))+IF(OR(R27="",N(Q27)&lt;=0),10,20*MAX(0,1-MIN(R27/Q27,1)))+30*MAX(0,MIN((PARAMETRI!$B$5-M27)/MAX(PARAMETRI!$B$5-10,1),1))+IF(AB27="",3,10*MAX(0,MIN(AB27/0.15,1)))+IF(AND(P27&lt;&gt;"",N(P27)&lt;N(Q27)*0.6),-8,0),1))</f>
        <v/>
      </c>
      <c r="AE27" s="13">
        <f>IF(AND(P27="",Q27=""),"DATI MANCANTI",IF(AND(N(P27)&gt;=PARAMETRI!$B$4,N(Q27)&gt;=PARAMETRI!$B$4),"OK","NO"))</f>
        <v/>
      </c>
      <c r="AF27" s="13">
        <f>IF(M27="","N/D",IF(M27&lt;PARAMETRI!$B$6,"OTTIMO",IF(M27&lt;PARAMETRI!$B$5,"OK","NO")))</f>
        <v/>
      </c>
      <c r="AG27" s="13">
        <f>IF(OR(AE27="DATI MANCANTI",AF27="N/D"),"DA COMPLETARE",IF(AND(AE27="OK",AF27="OTTIMO"),"PASSA FORTE",IF(AND(AE27="OK",AF27="OK"),"PASSA","SCARTA")))</f>
        <v/>
      </c>
      <c r="AH27" s="11" t="inlineStr">
        <is>
          <t>2026-10-12</t>
        </is>
      </c>
      <c r="AI27" s="11" t="inlineStr">
        <is>
          <t>yahoo</t>
        </is>
      </c>
      <c r="AJ27" s="23" t="inlineStr"/>
    </row>
    <row r="28">
      <c r="A28" s="10">
        <f>IF(AD28="","",RANK(AD28,AD$2:AD$67))</f>
        <v/>
      </c>
      <c r="B28" s="11" t="inlineStr">
        <is>
          <t>Assicurazioni Generali</t>
        </is>
      </c>
      <c r="C28" s="12" t="inlineStr">
        <is>
          <t>G.MI</t>
        </is>
      </c>
      <c r="D28" s="11" t="inlineStr">
        <is>
          <t>Assicurazione</t>
        </is>
      </c>
      <c r="E28" s="13" t="inlineStr">
        <is>
          <t>Finanziario</t>
        </is>
      </c>
      <c r="F28" s="14" t="n">
        <v>42.06</v>
      </c>
      <c r="G28" s="15" t="inlineStr">
        <is>
          <t>EUR</t>
        </is>
      </c>
      <c r="H28" s="14" t="n">
        <v>42.06</v>
      </c>
      <c r="I28" s="16" t="n">
        <v>63182.9</v>
      </c>
      <c r="J28" s="16" t="n">
        <v>63182.9</v>
      </c>
      <c r="K28" s="14" t="n">
        <v>2.95</v>
      </c>
      <c r="L28" s="14" t="n">
        <v>3.40268</v>
      </c>
      <c r="M28" s="17">
        <f>IF(OR(F28="",K28="",K28&lt;=0),"",F28/K28)</f>
        <v/>
      </c>
      <c r="N28" s="18" t="n">
        <v>1.9810654</v>
      </c>
      <c r="O28" s="19">
        <f>IF(OR(N28="",M28="",M28&lt;=0),"",N28/M28)</f>
        <v/>
      </c>
      <c r="P28" s="20" t="n">
        <v>0.1514</v>
      </c>
      <c r="Q28" s="20" t="n">
        <v>0.1164672974509258</v>
      </c>
      <c r="R28" s="20" t="n">
        <v>0.01905215662104418</v>
      </c>
      <c r="S28" s="21" t="n">
        <v>4</v>
      </c>
      <c r="T28" s="20" t="n"/>
      <c r="U28" s="20" t="n">
        <v>0.1301147704590818</v>
      </c>
      <c r="V28" s="20" t="n">
        <v>0.1225443417025898</v>
      </c>
      <c r="W28" s="20" t="n">
        <v>0.1293451620697988</v>
      </c>
      <c r="X28" s="20" t="n">
        <v>0.08386491557223265</v>
      </c>
      <c r="Y28" s="14" t="n">
        <v>1.64</v>
      </c>
      <c r="Z28" s="19">
        <f>IF(OR(Y28="",F28="",F28=0),"",Y28/F28)</f>
        <v/>
      </c>
      <c r="AA28" s="22" t="n">
        <v>118.93</v>
      </c>
      <c r="AB28" s="20" t="n">
        <v>0.054</v>
      </c>
      <c r="AC28" s="20" t="n">
        <v>0.06105243451634225</v>
      </c>
      <c r="AD28" s="17">
        <f>IF(OR(Q28="",M28="",M28&lt;=0),"",ROUND(40*MAX(0,MIN(N(Q28)/0.3,1))+IF(OR(R28="",N(Q28)&lt;=0),10,20*MAX(0,1-MIN(R28/Q28,1)))+30*MAX(0,MIN((PARAMETRI!$B$5-M28)/MAX(PARAMETRI!$B$5-10,1),1))+IF(AB28="",3,10*MAX(0,MIN(AB28/0.15,1)))+IF(AND(P28&lt;&gt;"",N(P28)&lt;N(Q28)*0.6),-8,0),1))</f>
        <v/>
      </c>
      <c r="AE28" s="13">
        <f>IF(AND(P28="",Q28=""),"DATI MANCANTI",IF(AND(N(P28)&gt;=PARAMETRI!$B$4,N(Q28)&gt;=PARAMETRI!$B$4),"OK","NO"))</f>
        <v/>
      </c>
      <c r="AF28" s="13">
        <f>IF(M28="","N/D",IF(M28&lt;PARAMETRI!$B$6,"OTTIMO",IF(M28&lt;PARAMETRI!$B$5,"OK","NO")))</f>
        <v/>
      </c>
      <c r="AG28" s="13">
        <f>IF(OR(AE28="DATI MANCANTI",AF28="N/D"),"DA COMPLETARE",IF(AND(AE28="OK",AF28="OTTIMO"),"PASSA FORTE",IF(AND(AE28="OK",AF28="OK"),"PASSA","SCARTA")))</f>
        <v/>
      </c>
      <c r="AH28" s="11" t="inlineStr">
        <is>
          <t>2026-10-12</t>
        </is>
      </c>
      <c r="AI28" s="11" t="inlineStr">
        <is>
          <t>yahoo</t>
        </is>
      </c>
      <c r="AJ28" s="23" t="inlineStr"/>
    </row>
    <row r="29">
      <c r="A29" s="10">
        <f>IF(AD29="","",RANK(AD29,AD$2:AD$67))</f>
        <v/>
      </c>
      <c r="B29" s="11" t="inlineStr">
        <is>
          <t>Banca Profilo</t>
        </is>
      </c>
      <c r="C29" s="12" t="inlineStr">
        <is>
          <t>PRO.MI</t>
        </is>
      </c>
      <c r="D29" s="11" t="inlineStr">
        <is>
          <t>Banca</t>
        </is>
      </c>
      <c r="E29" s="13" t="inlineStr">
        <is>
          <t>Finanziario</t>
        </is>
      </c>
      <c r="F29" s="14" t="n">
        <v>1.482</v>
      </c>
      <c r="G29" s="15" t="inlineStr">
        <is>
          <t>EUR</t>
        </is>
      </c>
      <c r="H29" s="14" t="n">
        <v>1.482</v>
      </c>
      <c r="I29" s="16" t="n">
        <v>97.90000000000001</v>
      </c>
      <c r="J29" s="16" t="n">
        <v>97.90000000000001</v>
      </c>
      <c r="K29" s="14" t="n">
        <v>0.13</v>
      </c>
      <c r="L29" s="14" t="n">
        <v>0.158</v>
      </c>
      <c r="M29" s="17">
        <f>IF(OR(F29="",K29="",K29&lt;=0),"",F29/K29)</f>
        <v/>
      </c>
      <c r="N29" s="18" t="n">
        <v>0.6066311599999999</v>
      </c>
      <c r="O29" s="19">
        <f>IF(OR(N29="",M29="",M29&lt;=0),"",N29/M29)</f>
        <v/>
      </c>
      <c r="P29" s="20" t="n">
        <v>0.05441</v>
      </c>
      <c r="Q29" s="20" t="n">
        <v>0.06503077574268615</v>
      </c>
      <c r="R29" s="20" t="n">
        <v>0.006357036968247848</v>
      </c>
      <c r="S29" s="21" t="n">
        <v>4</v>
      </c>
      <c r="T29" s="20" t="n"/>
      <c r="U29" s="20" t="n">
        <v>0.060088543950598</v>
      </c>
      <c r="V29" s="20" t="n">
        <v>0.05765696403735347</v>
      </c>
      <c r="W29" s="20" t="n">
        <v>0.07306048899843912</v>
      </c>
      <c r="X29" s="20" t="n">
        <v>0.06931710598435398</v>
      </c>
      <c r="Y29" s="14" t="n">
        <v>0.07000000000000001</v>
      </c>
      <c r="Z29" s="19">
        <f>IF(OR(Y29="",F29="",F29=0),"",Y29/F29)</f>
        <v/>
      </c>
      <c r="AA29" s="22" t="n"/>
      <c r="AB29" s="20" t="n">
        <v>-0.28</v>
      </c>
      <c r="AC29" s="20" t="n">
        <v>0.127950402243708</v>
      </c>
      <c r="AD29" s="17">
        <f>IF(OR(Q29="",M29="",M29&lt;=0),"",ROUND(40*MAX(0,MIN(N(Q29)/0.3,1))+IF(OR(R29="",N(Q29)&lt;=0),10,20*MAX(0,1-MIN(R29/Q29,1)))+30*MAX(0,MIN((PARAMETRI!$B$5-M29)/MAX(PARAMETRI!$B$5-10,1),1))+IF(AB29="",3,10*MAX(0,MIN(AB29/0.15,1)))+IF(AND(P29&lt;&gt;"",N(P29)&lt;N(Q29)*0.6),-8,0),1))</f>
        <v/>
      </c>
      <c r="AE29" s="13">
        <f>IF(AND(P29="",Q29=""),"DATI MANCANTI",IF(AND(N(P29)&gt;=PARAMETRI!$B$4,N(Q29)&gt;=PARAMETRI!$B$4),"OK","NO"))</f>
        <v/>
      </c>
      <c r="AF29" s="13">
        <f>IF(M29="","N/D",IF(M29&lt;PARAMETRI!$B$6,"OTTIMO",IF(M29&lt;PARAMETRI!$B$5,"OK","NO")))</f>
        <v/>
      </c>
      <c r="AG29" s="13">
        <f>IF(OR(AE29="DATI MANCANTI",AF29="N/D"),"DA COMPLETARE",IF(AND(AE29="OK",AF29="OTTIMO"),"PASSA FORTE",IF(AND(AE29="OK",AF29="OK"),"PASSA","SCARTA")))</f>
        <v/>
      </c>
      <c r="AH29" s="11" t="inlineStr">
        <is>
          <t>2026-10-12</t>
        </is>
      </c>
      <c r="AI29" s="11" t="inlineStr">
        <is>
          <t>yahoo</t>
        </is>
      </c>
      <c r="AJ29" s="23" t="inlineStr"/>
    </row>
    <row r="30">
      <c r="A30" s="10">
        <f>IF(AD30="","",RANK(AD30,AD$2:AD$67))</f>
        <v/>
      </c>
      <c r="B30" s="11" t="inlineStr">
        <is>
          <t>Banco BPM</t>
        </is>
      </c>
      <c r="C30" s="12" t="inlineStr">
        <is>
          <t>BAMI.MI</t>
        </is>
      </c>
      <c r="D30" s="11" t="inlineStr">
        <is>
          <t>Banca</t>
        </is>
      </c>
      <c r="E30" s="13" t="inlineStr">
        <is>
          <t>Finanziario</t>
        </is>
      </c>
      <c r="F30" s="14" t="n">
        <v>14.735</v>
      </c>
      <c r="G30" s="15" t="inlineStr">
        <is>
          <t>EUR</t>
        </is>
      </c>
      <c r="H30" s="14" t="n">
        <v>14.735</v>
      </c>
      <c r="I30" s="16" t="n">
        <v>22182.1</v>
      </c>
      <c r="J30" s="16" t="n">
        <v>22182.1</v>
      </c>
      <c r="K30" s="14" t="n">
        <v>1.27</v>
      </c>
      <c r="L30" s="14" t="n">
        <v>1.42879</v>
      </c>
      <c r="M30" s="17">
        <f>IF(OR(F30="",K30="",K30&lt;=0),"",F30/K30)</f>
        <v/>
      </c>
      <c r="N30" s="18" t="n">
        <v>1.4202409</v>
      </c>
      <c r="O30" s="19">
        <f>IF(OR(N30="",M30="",M30&lt;=0),"",N30/M30)</f>
        <v/>
      </c>
      <c r="P30" s="20" t="n">
        <v>0.12613</v>
      </c>
      <c r="Q30" s="20" t="n">
        <v>0.1021211334100729</v>
      </c>
      <c r="R30" s="20" t="n">
        <v>0.03350975211730548</v>
      </c>
      <c r="S30" s="21" t="n">
        <v>4</v>
      </c>
      <c r="T30" s="20" t="n"/>
      <c r="U30" s="20" t="n">
        <v>0.1342812323198498</v>
      </c>
      <c r="V30" s="20" t="n">
        <v>0.1314982535880892</v>
      </c>
      <c r="W30" s="20" t="n">
        <v>0.09007299567491081</v>
      </c>
      <c r="X30" s="20" t="n">
        <v>0.05263205205744168</v>
      </c>
      <c r="Y30" s="14" t="n">
        <v>1</v>
      </c>
      <c r="Z30" s="19">
        <f>IF(OR(Y30="",F30="",F30=0),"",Y30/F30)</f>
        <v/>
      </c>
      <c r="AA30" s="22" t="n"/>
      <c r="AB30" s="20" t="n">
        <v>-0.055</v>
      </c>
      <c r="AC30" s="20" t="n">
        <v>0.2903556501009414</v>
      </c>
      <c r="AD30" s="17">
        <f>IF(OR(Q30="",M30="",M30&lt;=0),"",ROUND(40*MAX(0,MIN(N(Q30)/0.3,1))+IF(OR(R30="",N(Q30)&lt;=0),10,20*MAX(0,1-MIN(R30/Q30,1)))+30*MAX(0,MIN((PARAMETRI!$B$5-M30)/MAX(PARAMETRI!$B$5-10,1),1))+IF(AB30="",3,10*MAX(0,MIN(AB30/0.15,1)))+IF(AND(P30&lt;&gt;"",N(P30)&lt;N(Q30)*0.6),-8,0),1))</f>
        <v/>
      </c>
      <c r="AE30" s="13">
        <f>IF(AND(P30="",Q30=""),"DATI MANCANTI",IF(AND(N(P30)&gt;=PARAMETRI!$B$4,N(Q30)&gt;=PARAMETRI!$B$4),"OK","NO"))</f>
        <v/>
      </c>
      <c r="AF30" s="13">
        <f>IF(M30="","N/D",IF(M30&lt;PARAMETRI!$B$6,"OTTIMO",IF(M30&lt;PARAMETRI!$B$5,"OK","NO")))</f>
        <v/>
      </c>
      <c r="AG30" s="13">
        <f>IF(OR(AE30="DATI MANCANTI",AF30="N/D"),"DA COMPLETARE",IF(AND(AE30="OK",AF30="OTTIMO"),"PASSA FORTE",IF(AND(AE30="OK",AF30="OK"),"PASSA","SCARTA")))</f>
        <v/>
      </c>
      <c r="AH30" s="11" t="inlineStr">
        <is>
          <t>2026-10-09</t>
        </is>
      </c>
      <c r="AI30" s="11" t="inlineStr">
        <is>
          <t>yahoo</t>
        </is>
      </c>
      <c r="AJ30" s="23" t="inlineStr"/>
    </row>
    <row r="31">
      <c r="A31" s="10">
        <f>IF(AD31="","",RANK(AD31,AD$2:AD$67))</f>
        <v/>
      </c>
      <c r="B31" s="11" t="inlineStr">
        <is>
          <t>Terna</t>
        </is>
      </c>
      <c r="C31" s="12" t="inlineStr">
        <is>
          <t>TRN.MI</t>
        </is>
      </c>
      <c r="D31" s="11" t="inlineStr">
        <is>
          <t>Utility / Reti</t>
        </is>
      </c>
      <c r="E31" s="13" t="inlineStr">
        <is>
          <t>Utility</t>
        </is>
      </c>
      <c r="F31" s="14" t="n">
        <v>9.173999999999999</v>
      </c>
      <c r="G31" s="15" t="inlineStr">
        <is>
          <t>EUR</t>
        </is>
      </c>
      <c r="H31" s="14" t="n">
        <v>9.173999999999999</v>
      </c>
      <c r="I31" s="16" t="n">
        <v>18399.1</v>
      </c>
      <c r="J31" s="16" t="n">
        <v>18399.1</v>
      </c>
      <c r="K31" s="14" t="n">
        <v>0.51</v>
      </c>
      <c r="L31" s="14" t="n">
        <v>0.55945</v>
      </c>
      <c r="M31" s="17">
        <f>IF(OR(F31="",K31="",K31&lt;=0),"",F31/K31)</f>
        <v/>
      </c>
      <c r="N31" s="18" t="n">
        <v>3.0951416</v>
      </c>
      <c r="O31" s="19">
        <f>IF(OR(N31="",M31="",M31&lt;=0),"",N31/M31)</f>
        <v/>
      </c>
      <c r="P31" s="20" t="n">
        <v>0.13828</v>
      </c>
      <c r="Q31" s="20" t="n">
        <v>0.1473166531875201</v>
      </c>
      <c r="R31" s="20" t="n">
        <v>0.01230561727656675</v>
      </c>
      <c r="S31" s="21" t="n">
        <v>4</v>
      </c>
      <c r="T31" s="20" t="n"/>
      <c r="U31" s="20" t="n"/>
      <c r="V31" s="20" t="n">
        <v>0.1411312830599931</v>
      </c>
      <c r="W31" s="20" t="n">
        <v>0.1399974701157422</v>
      </c>
      <c r="X31" s="20" t="n">
        <v>0.1395310973624227</v>
      </c>
      <c r="Y31" s="14" t="n">
        <v>0.4</v>
      </c>
      <c r="Z31" s="19">
        <f>IF(OR(Y31="",F31="",F31=0),"",Y31/F31)</f>
        <v/>
      </c>
      <c r="AA31" s="22" t="n">
        <v>172.37</v>
      </c>
      <c r="AB31" s="20" t="n">
        <v>0.123</v>
      </c>
      <c r="AC31" s="20" t="n">
        <v>0.291854893908282</v>
      </c>
      <c r="AD31" s="17">
        <f>IF(OR(Q31="",M31="",M31&lt;=0),"",ROUND(40*MAX(0,MIN(N(Q31)/0.3,1))+IF(OR(R31="",N(Q31)&lt;=0),10,20*MAX(0,1-MIN(R31/Q31,1)))+30*MAX(0,MIN((PARAMETRI!$B$5-M31)/MAX(PARAMETRI!$B$5-10,1),1))+IF(AB31="",3,10*MAX(0,MIN(AB31/0.15,1)))+IF(AND(P31&lt;&gt;"",N(P31)&lt;N(Q31)*0.6),-8,0),1))</f>
        <v/>
      </c>
      <c r="AE31" s="13">
        <f>IF(AND(P31="",Q31=""),"DATI MANCANTI",IF(AND(N(P31)&gt;=PARAMETRI!$B$4,N(Q31)&gt;=PARAMETRI!$B$4),"OK","NO"))</f>
        <v/>
      </c>
      <c r="AF31" s="13">
        <f>IF(M31="","N/D",IF(M31&lt;PARAMETRI!$B$6,"OTTIMO",IF(M31&lt;PARAMETRI!$B$5,"OK","NO")))</f>
        <v/>
      </c>
      <c r="AG31" s="13">
        <f>IF(OR(AE31="DATI MANCANTI",AF31="N/D"),"DA COMPLETARE",IF(AND(AE31="OK",AF31="OTTIMO"),"PASSA FORTE",IF(AND(AE31="OK",AF31="OK"),"PASSA","SCARTA")))</f>
        <v/>
      </c>
      <c r="AH31" s="11" t="inlineStr">
        <is>
          <t>2026-10-12</t>
        </is>
      </c>
      <c r="AI31" s="11" t="inlineStr">
        <is>
          <t>yahoo</t>
        </is>
      </c>
      <c r="AJ31" s="23" t="inlineStr"/>
    </row>
    <row r="32">
      <c r="A32" s="10">
        <f>IF(AD32="","",RANK(AD32,AD$2:AD$67))</f>
        <v/>
      </c>
      <c r="B32" s="11" t="inlineStr">
        <is>
          <t>MFE-MediaForEurope B</t>
        </is>
      </c>
      <c r="C32" s="12" t="inlineStr">
        <is>
          <t>MFEB.MI</t>
        </is>
      </c>
      <c r="D32" s="11" t="inlineStr">
        <is>
          <t>Media / TV</t>
        </is>
      </c>
      <c r="E32" s="13" t="inlineStr">
        <is>
          <t>Industriale</t>
        </is>
      </c>
      <c r="F32" s="14" t="n">
        <v>2.78</v>
      </c>
      <c r="G32" s="15" t="inlineStr">
        <is>
          <t>EUR</t>
        </is>
      </c>
      <c r="H32" s="14" t="n">
        <v>2.78</v>
      </c>
      <c r="I32" s="16" t="n">
        <v>1945</v>
      </c>
      <c r="J32" s="16" t="n">
        <v>1945</v>
      </c>
      <c r="K32" s="14" t="n">
        <v>0.19</v>
      </c>
      <c r="L32" s="14" t="n">
        <v>0.5222</v>
      </c>
      <c r="M32" s="17">
        <f>IF(OR(F32="",K32="",K32&lt;=0),"",F32/K32)</f>
        <v/>
      </c>
      <c r="N32" s="18" t="n">
        <v>0.558345</v>
      </c>
      <c r="O32" s="19">
        <f>IF(OR(N32="",M32="",M32&lt;=0),"",N32/M32)</f>
        <v/>
      </c>
      <c r="P32" s="20" t="n">
        <v>0.055760004</v>
      </c>
      <c r="Q32" s="20" t="n">
        <v>0.07215163334997049</v>
      </c>
      <c r="R32" s="20" t="n">
        <v>0.01470500804818441</v>
      </c>
      <c r="S32" s="21" t="n">
        <v>4</v>
      </c>
      <c r="T32" s="20" t="n"/>
      <c r="U32" s="20" t="n">
        <v>0.08632122864934692</v>
      </c>
      <c r="V32" s="20" t="n">
        <v>0.04807055460661624</v>
      </c>
      <c r="W32" s="20" t="n">
        <v>0.07291485134711234</v>
      </c>
      <c r="X32" s="20" t="n">
        <v>0.08129989879680648</v>
      </c>
      <c r="Y32" s="14" t="n">
        <v>0.22</v>
      </c>
      <c r="Z32" s="19">
        <f>IF(OR(Y32="",F32="",F32=0),"",Y32/F32)</f>
        <v/>
      </c>
      <c r="AA32" s="22" t="n">
        <v>88.622</v>
      </c>
      <c r="AB32" s="20" t="n">
        <v>0.945</v>
      </c>
      <c r="AC32" s="20" t="n">
        <v>0.0410969196093163</v>
      </c>
      <c r="AD32" s="17">
        <f>IF(OR(Q32="",M32="",M32&lt;=0),"",ROUND(40*MAX(0,MIN(N(Q32)/0.3,1))+IF(OR(R32="",N(Q32)&lt;=0),10,20*MAX(0,1-MIN(R32/Q32,1)))+30*MAX(0,MIN((PARAMETRI!$B$5-M32)/MAX(PARAMETRI!$B$5-10,1),1))+IF(AB32="",3,10*MAX(0,MIN(AB32/0.15,1)))+IF(AND(P32&lt;&gt;"",N(P32)&lt;N(Q32)*0.6),-8,0),1))</f>
        <v/>
      </c>
      <c r="AE32" s="13">
        <f>IF(AND(P32="",Q32=""),"DATI MANCANTI",IF(AND(N(P32)&gt;=PARAMETRI!$B$4,N(Q32)&gt;=PARAMETRI!$B$4),"OK","NO"))</f>
        <v/>
      </c>
      <c r="AF32" s="13">
        <f>IF(M32="","N/D",IF(M32&lt;PARAMETRI!$B$6,"OTTIMO",IF(M32&lt;PARAMETRI!$B$5,"OK","NO")))</f>
        <v/>
      </c>
      <c r="AG32" s="13">
        <f>IF(OR(AE32="DATI MANCANTI",AF32="N/D"),"DA COMPLETARE",IF(AND(AE32="OK",AF32="OTTIMO"),"PASSA FORTE",IF(AND(AE32="OK",AF32="OK"),"PASSA","SCARTA")))</f>
        <v/>
      </c>
      <c r="AH32" s="11" t="inlineStr">
        <is>
          <t>2026-10-12</t>
        </is>
      </c>
      <c r="AI32" s="11" t="inlineStr">
        <is>
          <t>yahoo</t>
        </is>
      </c>
      <c r="AJ32" s="23" t="inlineStr">
        <is>
          <t>Stessa societa' di MFEA, voto multiplo</t>
        </is>
      </c>
    </row>
    <row r="33">
      <c r="A33" s="10">
        <f>IF(AD33="","",RANK(AD33,AD$2:AD$67))</f>
        <v/>
      </c>
      <c r="B33" s="11" t="inlineStr">
        <is>
          <t>Pirelli &amp; C.</t>
        </is>
      </c>
      <c r="C33" s="12" t="inlineStr">
        <is>
          <t>PIRC.MI</t>
        </is>
      </c>
      <c r="D33" s="11" t="inlineStr">
        <is>
          <t>Componentistica auto</t>
        </is>
      </c>
      <c r="E33" s="13" t="inlineStr">
        <is>
          <t>Industriale</t>
        </is>
      </c>
      <c r="F33" s="14" t="n">
        <v>6.63</v>
      </c>
      <c r="G33" s="15" t="inlineStr">
        <is>
          <t>EUR</t>
        </is>
      </c>
      <c r="H33" s="14" t="n">
        <v>6.63</v>
      </c>
      <c r="I33" s="16" t="n">
        <v>7192.8</v>
      </c>
      <c r="J33" s="16" t="n">
        <v>7192.8</v>
      </c>
      <c r="K33" s="14" t="n">
        <v>0.5</v>
      </c>
      <c r="L33" s="14" t="n">
        <v>0.57562</v>
      </c>
      <c r="M33" s="17">
        <f>IF(OR(F33="",K33="",K33&lt;=0),"",F33/K33)</f>
        <v/>
      </c>
      <c r="N33" s="18" t="n">
        <v>1.1244912</v>
      </c>
      <c r="O33" s="19">
        <f>IF(OR(N33="",M33="",M33&lt;=0),"",N33/M33)</f>
        <v/>
      </c>
      <c r="P33" s="20" t="n">
        <v>0.09134</v>
      </c>
      <c r="Q33" s="20" t="n">
        <v>0.08155451507945152</v>
      </c>
      <c r="R33" s="20" t="n">
        <v>0.003416455326785165</v>
      </c>
      <c r="S33" s="21" t="n">
        <v>4</v>
      </c>
      <c r="T33" s="20" t="n"/>
      <c r="U33" s="20" t="n">
        <v>0.07925120200425369</v>
      </c>
      <c r="V33" s="20" t="n">
        <v>0.08130215905953905</v>
      </c>
      <c r="W33" s="20" t="n">
        <v>0.08719434521702397</v>
      </c>
      <c r="X33" s="20" t="n">
        <v>0.0784703540369894</v>
      </c>
      <c r="Y33" s="14" t="n">
        <v>0.24</v>
      </c>
      <c r="Z33" s="19">
        <f>IF(OR(Y33="",F33="",F33=0),"",Y33/F33)</f>
        <v/>
      </c>
      <c r="AA33" s="22" t="n">
        <v>46.887</v>
      </c>
      <c r="AB33" s="20" t="n">
        <v>0.005</v>
      </c>
      <c r="AC33" s="20" t="n">
        <v>0.07636557921605651</v>
      </c>
      <c r="AD33" s="17">
        <f>IF(OR(Q33="",M33="",M33&lt;=0),"",ROUND(40*MAX(0,MIN(N(Q33)/0.3,1))+IF(OR(R33="",N(Q33)&lt;=0),10,20*MAX(0,1-MIN(R33/Q33,1)))+30*MAX(0,MIN((PARAMETRI!$B$5-M33)/MAX(PARAMETRI!$B$5-10,1),1))+IF(AB33="",3,10*MAX(0,MIN(AB33/0.15,1)))+IF(AND(P33&lt;&gt;"",N(P33)&lt;N(Q33)*0.6),-8,0),1))</f>
        <v/>
      </c>
      <c r="AE33" s="13">
        <f>IF(AND(P33="",Q33=""),"DATI MANCANTI",IF(AND(N(P33)&gt;=PARAMETRI!$B$4,N(Q33)&gt;=PARAMETRI!$B$4),"OK","NO"))</f>
        <v/>
      </c>
      <c r="AF33" s="13">
        <f>IF(M33="","N/D",IF(M33&lt;PARAMETRI!$B$6,"OTTIMO",IF(M33&lt;PARAMETRI!$B$5,"OK","NO")))</f>
        <v/>
      </c>
      <c r="AG33" s="13">
        <f>IF(OR(AE33="DATI MANCANTI",AF33="N/D"),"DA COMPLETARE",IF(AND(AE33="OK",AF33="OTTIMO"),"PASSA FORTE",IF(AND(AE33="OK",AF33="OK"),"PASSA","SCARTA")))</f>
        <v/>
      </c>
      <c r="AH33" s="11" t="inlineStr">
        <is>
          <t>2026-10-12</t>
        </is>
      </c>
      <c r="AI33" s="11" t="inlineStr">
        <is>
          <t>yahoo</t>
        </is>
      </c>
      <c r="AJ33" s="23" t="inlineStr"/>
    </row>
    <row r="34">
      <c r="A34" s="10">
        <f>IF(AD34="","",RANK(AD34,AD$2:AD$67))</f>
        <v/>
      </c>
      <c r="B34" s="11" t="inlineStr">
        <is>
          <t>Mediobanca</t>
        </is>
      </c>
      <c r="C34" s="12" t="inlineStr">
        <is>
          <t>MB.MI</t>
        </is>
      </c>
      <c r="D34" s="11" t="inlineStr">
        <is>
          <t>Banca</t>
        </is>
      </c>
      <c r="E34" s="13" t="inlineStr">
        <is>
          <t>Finanziario</t>
        </is>
      </c>
      <c r="F34" s="14" t="n">
        <v>25.57</v>
      </c>
      <c r="G34" s="15" t="inlineStr">
        <is>
          <t>EUR</t>
        </is>
      </c>
      <c r="H34" s="14" t="n">
        <v>25.57</v>
      </c>
      <c r="I34" s="16" t="n">
        <v>20623.1</v>
      </c>
      <c r="J34" s="16" t="n">
        <v>20623.1</v>
      </c>
      <c r="K34" s="14" t="n">
        <v>1.51</v>
      </c>
      <c r="L34" s="14" t="n">
        <v>1.86656</v>
      </c>
      <c r="M34" s="17">
        <f>IF(OR(F34="",K34="",K34&lt;=0),"",F34/K34)</f>
        <v/>
      </c>
      <c r="N34" s="18" t="n">
        <v>1.781261</v>
      </c>
      <c r="O34" s="19">
        <f>IF(OR(N34="",M34="",M34&lt;=0),"",N34/M34)</f>
        <v/>
      </c>
      <c r="P34" s="20" t="n">
        <v>0.0919960661733171</v>
      </c>
      <c r="Q34" s="20" t="n">
        <v>0.1017707532112722</v>
      </c>
      <c r="R34" s="20" t="n">
        <v>0.01405535340424778</v>
      </c>
      <c r="S34" s="21" t="n">
        <v>4</v>
      </c>
      <c r="T34" s="20" t="n"/>
      <c r="U34" s="20" t="n">
        <v>0.1171754223438182</v>
      </c>
      <c r="V34" s="20" t="n">
        <v>0.1141322843602949</v>
      </c>
      <c r="W34" s="20" t="n">
        <v>0.09059131861966614</v>
      </c>
      <c r="X34" s="20" t="n">
        <v>0.08518398752130946</v>
      </c>
      <c r="Y34" s="14" t="n">
        <v>1.26</v>
      </c>
      <c r="Z34" s="19">
        <f>IF(OR(Y34="",F34="",F34=0),"",Y34/F34)</f>
        <v/>
      </c>
      <c r="AA34" s="22" t="n"/>
      <c r="AB34" s="20" t="n">
        <v>0.151</v>
      </c>
      <c r="AC34" s="20" t="n">
        <v>0.3277628735719196</v>
      </c>
      <c r="AD34" s="17">
        <f>IF(OR(Q34="",M34="",M34&lt;=0),"",ROUND(40*MAX(0,MIN(N(Q34)/0.3,1))+IF(OR(R34="",N(Q34)&lt;=0),10,20*MAX(0,1-MIN(R34/Q34,1)))+30*MAX(0,MIN((PARAMETRI!$B$5-M34)/MAX(PARAMETRI!$B$5-10,1),1))+IF(AB34="",3,10*MAX(0,MIN(AB34/0.15,1)))+IF(AND(P34&lt;&gt;"",N(P34)&lt;N(Q34)*0.6),-8,0),1))</f>
        <v/>
      </c>
      <c r="AE34" s="13">
        <f>IF(AND(P34="",Q34=""),"DATI MANCANTI",IF(AND(N(P34)&gt;=PARAMETRI!$B$4,N(Q34)&gt;=PARAMETRI!$B$4),"OK","NO"))</f>
        <v/>
      </c>
      <c r="AF34" s="13">
        <f>IF(M34="","N/D",IF(M34&lt;PARAMETRI!$B$6,"OTTIMO",IF(M34&lt;PARAMETRI!$B$5,"OK","NO")))</f>
        <v/>
      </c>
      <c r="AG34" s="13">
        <f>IF(OR(AE34="DATI MANCANTI",AF34="N/D"),"DA COMPLETARE",IF(AND(AE34="OK",AF34="OTTIMO"),"PASSA FORTE",IF(AND(AE34="OK",AF34="OK"),"PASSA","SCARTA")))</f>
        <v/>
      </c>
      <c r="AH34" s="11" t="inlineStr">
        <is>
          <t>2026-10-12</t>
        </is>
      </c>
      <c r="AI34" s="11" t="inlineStr">
        <is>
          <t>yahoo</t>
        </is>
      </c>
      <c r="AJ34" s="23" t="inlineStr">
        <is>
          <t>Coinvolta nel risiko bancario: verificare se ancora quotata</t>
        </is>
      </c>
    </row>
    <row r="35">
      <c r="A35" s="10">
        <f>IF(AD35="","",RANK(AD35,AD$2:AD$67))</f>
        <v/>
      </c>
      <c r="B35" s="11" t="inlineStr">
        <is>
          <t>Moncler</t>
        </is>
      </c>
      <c r="C35" s="12" t="inlineStr">
        <is>
          <t>MONC.MI</t>
        </is>
      </c>
      <c r="D35" s="11" t="inlineStr">
        <is>
          <t>Lusso</t>
        </is>
      </c>
      <c r="E35" s="13" t="inlineStr">
        <is>
          <t>Consumi</t>
        </is>
      </c>
      <c r="F35" s="14" t="n">
        <v>44.09</v>
      </c>
      <c r="G35" s="15" t="inlineStr">
        <is>
          <t>EUR</t>
        </is>
      </c>
      <c r="H35" s="14" t="n">
        <v>44.09</v>
      </c>
      <c r="I35" s="16" t="n">
        <v>11992</v>
      </c>
      <c r="J35" s="16" t="n">
        <v>11992</v>
      </c>
      <c r="K35" s="14" t="n">
        <v>2.35</v>
      </c>
      <c r="L35" s="14" t="n">
        <v>2.54811</v>
      </c>
      <c r="M35" s="17">
        <f>IF(OR(F35="",K35="",K35&lt;=0),"",F35/K35)</f>
        <v/>
      </c>
      <c r="N35" s="18" t="n">
        <v>3.2866194</v>
      </c>
      <c r="O35" s="19">
        <f>IF(OR(N35="",M35="",M35&lt;=0),"",N35/M35)</f>
        <v/>
      </c>
      <c r="P35" s="20" t="n">
        <v>0.18122</v>
      </c>
      <c r="Q35" s="20" t="n">
        <v>0.1851349369556408</v>
      </c>
      <c r="R35" s="20" t="n">
        <v>0.01692053914808814</v>
      </c>
      <c r="S35" s="21" t="n">
        <v>4</v>
      </c>
      <c r="T35" s="20" t="n"/>
      <c r="U35" s="20" t="n">
        <v>0.1627843667574618</v>
      </c>
      <c r="V35" s="20" t="n">
        <v>0.1783303314020599</v>
      </c>
      <c r="W35" s="20" t="n">
        <v>0.1903756142405816</v>
      </c>
      <c r="X35" s="20" t="n">
        <v>0.2090494354224597</v>
      </c>
      <c r="Y35" s="14" t="n">
        <v>1.4</v>
      </c>
      <c r="Z35" s="19">
        <f>IF(OR(Y35="",F35="",F35=0),"",Y35/F35)</f>
        <v/>
      </c>
      <c r="AA35" s="22" t="n">
        <v>33.88</v>
      </c>
      <c r="AB35" s="20" t="n">
        <v>0.052</v>
      </c>
      <c r="AC35" s="20" t="n">
        <v>0.2036704706831905</v>
      </c>
      <c r="AD35" s="17">
        <f>IF(OR(Q35="",M35="",M35&lt;=0),"",ROUND(40*MAX(0,MIN(N(Q35)/0.3,1))+IF(OR(R35="",N(Q35)&lt;=0),10,20*MAX(0,1-MIN(R35/Q35,1)))+30*MAX(0,MIN((PARAMETRI!$B$5-M35)/MAX(PARAMETRI!$B$5-10,1),1))+IF(AB35="",3,10*MAX(0,MIN(AB35/0.15,1)))+IF(AND(P35&lt;&gt;"",N(P35)&lt;N(Q35)*0.6),-8,0),1))</f>
        <v/>
      </c>
      <c r="AE35" s="13">
        <f>IF(AND(P35="",Q35=""),"DATI MANCANTI",IF(AND(N(P35)&gt;=PARAMETRI!$B$4,N(Q35)&gt;=PARAMETRI!$B$4),"OK","NO"))</f>
        <v/>
      </c>
      <c r="AF35" s="13">
        <f>IF(M35="","N/D",IF(M35&lt;PARAMETRI!$B$6,"OTTIMO",IF(M35&lt;PARAMETRI!$B$5,"OK","NO")))</f>
        <v/>
      </c>
      <c r="AG35" s="13">
        <f>IF(OR(AE35="DATI MANCANTI",AF35="N/D"),"DA COMPLETARE",IF(AND(AE35="OK",AF35="OTTIMO"),"PASSA FORTE",IF(AND(AE35="OK",AF35="OK"),"PASSA","SCARTA")))</f>
        <v/>
      </c>
      <c r="AH35" s="11" t="inlineStr">
        <is>
          <t>2026-10-12</t>
        </is>
      </c>
      <c r="AI35" s="11" t="inlineStr">
        <is>
          <t>yahoo</t>
        </is>
      </c>
      <c r="AJ35" s="23" t="inlineStr"/>
    </row>
    <row r="36">
      <c r="A36" s="10">
        <f>IF(AD36="","",RANK(AD36,AD$2:AD$67))</f>
        <v/>
      </c>
      <c r="B36" s="11" t="inlineStr">
        <is>
          <t>Webuild</t>
        </is>
      </c>
      <c r="C36" s="12" t="inlineStr">
        <is>
          <t>WBD.MI</t>
        </is>
      </c>
      <c r="D36" s="11" t="inlineStr">
        <is>
          <t>Costruzioni</t>
        </is>
      </c>
      <c r="E36" s="13" t="inlineStr">
        <is>
          <t>Industriale</t>
        </is>
      </c>
      <c r="F36" s="14" t="n">
        <v>1.912</v>
      </c>
      <c r="G36" s="15" t="inlineStr">
        <is>
          <t>EUR</t>
        </is>
      </c>
      <c r="H36" s="14" t="n">
        <v>1.912</v>
      </c>
      <c r="I36" s="16" t="n">
        <v>1890.6</v>
      </c>
      <c r="J36" s="16" t="n">
        <v>1890.6</v>
      </c>
      <c r="K36" s="14" t="n">
        <v>0.25</v>
      </c>
      <c r="L36" s="14" t="n">
        <v>0.35671</v>
      </c>
      <c r="M36" s="17">
        <f>IF(OR(F36="",K36="",K36&lt;=0),"",F36/K36)</f>
        <v/>
      </c>
      <c r="N36" s="18" t="n">
        <v>1.0765765</v>
      </c>
      <c r="O36" s="19">
        <f>IF(OR(N36="",M36="",M36&lt;=0),"",N36/M36)</f>
        <v/>
      </c>
      <c r="P36" s="20" t="n">
        <v>0.11915</v>
      </c>
      <c r="Q36" s="20" t="n">
        <v>0.08623905340303167</v>
      </c>
      <c r="R36" s="20" t="n">
        <v>0.05099301347626185</v>
      </c>
      <c r="S36" s="21" t="n">
        <v>4</v>
      </c>
      <c r="T36" s="20" t="n"/>
      <c r="U36" s="20" t="n">
        <v>0.1431968553016038</v>
      </c>
      <c r="V36" s="20" t="n">
        <v>0.1135025665119075</v>
      </c>
      <c r="W36" s="20" t="n">
        <v>0.08199027909741466</v>
      </c>
      <c r="X36" s="20" t="n">
        <v>0.006266512701200791</v>
      </c>
      <c r="Y36" s="14" t="n">
        <v>0.08</v>
      </c>
      <c r="Z36" s="19">
        <f>IF(OR(Y36="",F36="",F36=0),"",Y36/F36)</f>
        <v/>
      </c>
      <c r="AA36" s="22" t="n">
        <v>175.257</v>
      </c>
      <c r="AB36" s="20" t="n">
        <v>-0.034</v>
      </c>
      <c r="AC36" s="20" t="n">
        <v>0.01923260372838383</v>
      </c>
      <c r="AD36" s="17">
        <f>IF(OR(Q36="",M36="",M36&lt;=0),"",ROUND(40*MAX(0,MIN(N(Q36)/0.3,1))+IF(OR(R36="",N(Q36)&lt;=0),10,20*MAX(0,1-MIN(R36/Q36,1)))+30*MAX(0,MIN((PARAMETRI!$B$5-M36)/MAX(PARAMETRI!$B$5-10,1),1))+IF(AB36="",3,10*MAX(0,MIN(AB36/0.15,1)))+IF(AND(P36&lt;&gt;"",N(P36)&lt;N(Q36)*0.6),-8,0),1))</f>
        <v/>
      </c>
      <c r="AE36" s="13">
        <f>IF(AND(P36="",Q36=""),"DATI MANCANTI",IF(AND(N(P36)&gt;=PARAMETRI!$B$4,N(Q36)&gt;=PARAMETRI!$B$4),"OK","NO"))</f>
        <v/>
      </c>
      <c r="AF36" s="13">
        <f>IF(M36="","N/D",IF(M36&lt;PARAMETRI!$B$6,"OTTIMO",IF(M36&lt;PARAMETRI!$B$5,"OK","NO")))</f>
        <v/>
      </c>
      <c r="AG36" s="13">
        <f>IF(OR(AE36="DATI MANCANTI",AF36="N/D"),"DA COMPLETARE",IF(AND(AE36="OK",AF36="OTTIMO"),"PASSA FORTE",IF(AND(AE36="OK",AF36="OK"),"PASSA","SCARTA")))</f>
        <v/>
      </c>
      <c r="AH36" s="11" t="inlineStr">
        <is>
          <t>2026-10-12</t>
        </is>
      </c>
      <c r="AI36" s="11" t="inlineStr">
        <is>
          <t>yahoo</t>
        </is>
      </c>
      <c r="AJ36" s="23" t="inlineStr"/>
    </row>
    <row r="37">
      <c r="A37" s="10">
        <f>IF(AD37="","",RANK(AD37,AD$2:AD$67))</f>
        <v/>
      </c>
      <c r="B37" s="11" t="inlineStr">
        <is>
          <t>Snam</t>
        </is>
      </c>
      <c r="C37" s="12" t="inlineStr">
        <is>
          <t>SRG.MI</t>
        </is>
      </c>
      <c r="D37" s="11" t="inlineStr">
        <is>
          <t>Utility / Reti</t>
        </is>
      </c>
      <c r="E37" s="13" t="inlineStr">
        <is>
          <t>Utility</t>
        </is>
      </c>
      <c r="F37" s="14" t="n">
        <v>5.664</v>
      </c>
      <c r="G37" s="15" t="inlineStr">
        <is>
          <t>EUR</t>
        </is>
      </c>
      <c r="H37" s="14" t="n">
        <v>5.664</v>
      </c>
      <c r="I37" s="16" t="n">
        <v>19010.7</v>
      </c>
      <c r="J37" s="16" t="n">
        <v>19010.7</v>
      </c>
      <c r="K37" s="14" t="n">
        <v>0.33</v>
      </c>
      <c r="L37" s="14" t="n">
        <v>0.43643</v>
      </c>
      <c r="M37" s="17">
        <f>IF(OR(F37="",K37="",K37&lt;=0),"",F37/K37)</f>
        <v/>
      </c>
      <c r="N37" s="18" t="n">
        <v>2.2977688</v>
      </c>
      <c r="O37" s="19">
        <f>IF(OR(N37="",M37="",M37&lt;=0),"",N37/M37)</f>
        <v/>
      </c>
      <c r="P37" s="20" t="n">
        <v>0.1238</v>
      </c>
      <c r="Q37" s="20" t="n">
        <v>0.1292498210780141</v>
      </c>
      <c r="R37" s="20" t="n">
        <v>0.02310306594021611</v>
      </c>
      <c r="S37" s="21" t="n">
        <v>4</v>
      </c>
      <c r="T37" s="20" t="n"/>
      <c r="U37" s="20" t="n">
        <v>0.1374905272274548</v>
      </c>
      <c r="V37" s="20" t="n">
        <v>0.1410012319408668</v>
      </c>
      <c r="W37" s="20" t="n">
        <v>0.1486574983628029</v>
      </c>
      <c r="X37" s="20" t="n">
        <v>0.08985002678093197</v>
      </c>
      <c r="Y37" s="14" t="n">
        <v>0.3</v>
      </c>
      <c r="Z37" s="19">
        <f>IF(OR(Y37="",F37="",F37=0),"",Y37/F37)</f>
        <v/>
      </c>
      <c r="AA37" s="22" t="n">
        <v>234.16</v>
      </c>
      <c r="AB37" s="20" t="n">
        <v>0.097</v>
      </c>
      <c r="AC37" s="20" t="n">
        <v>0.2889407933541018</v>
      </c>
      <c r="AD37" s="17">
        <f>IF(OR(Q37="",M37="",M37&lt;=0),"",ROUND(40*MAX(0,MIN(N(Q37)/0.3,1))+IF(OR(R37="",N(Q37)&lt;=0),10,20*MAX(0,1-MIN(R37/Q37,1)))+30*MAX(0,MIN((PARAMETRI!$B$5-M37)/MAX(PARAMETRI!$B$5-10,1),1))+IF(AB37="",3,10*MAX(0,MIN(AB37/0.15,1)))+IF(AND(P37&lt;&gt;"",N(P37)&lt;N(Q37)*0.6),-8,0),1))</f>
        <v/>
      </c>
      <c r="AE37" s="13">
        <f>IF(AND(P37="",Q37=""),"DATI MANCANTI",IF(AND(N(P37)&gt;=PARAMETRI!$B$4,N(Q37)&gt;=PARAMETRI!$B$4),"OK","NO"))</f>
        <v/>
      </c>
      <c r="AF37" s="13">
        <f>IF(M37="","N/D",IF(M37&lt;PARAMETRI!$B$6,"OTTIMO",IF(M37&lt;PARAMETRI!$B$5,"OK","NO")))</f>
        <v/>
      </c>
      <c r="AG37" s="13">
        <f>IF(OR(AE37="DATI MANCANTI",AF37="N/D"),"DA COMPLETARE",IF(AND(AE37="OK",AF37="OTTIMO"),"PASSA FORTE",IF(AND(AE37="OK",AF37="OK"),"PASSA","SCARTA")))</f>
        <v/>
      </c>
      <c r="AH37" s="11" t="inlineStr">
        <is>
          <t>2026-10-12</t>
        </is>
      </c>
      <c r="AI37" s="11" t="inlineStr">
        <is>
          <t>yahoo</t>
        </is>
      </c>
      <c r="AJ37" s="23" t="inlineStr"/>
    </row>
    <row r="38">
      <c r="A38" s="10">
        <f>IF(AD38="","",RANK(AD38,AD$2:AD$67))</f>
        <v/>
      </c>
      <c r="B38" s="11" t="inlineStr">
        <is>
          <t>Prysmian</t>
        </is>
      </c>
      <c r="C38" s="12" t="inlineStr">
        <is>
          <t>PRY.MI</t>
        </is>
      </c>
      <c r="D38" s="11" t="inlineStr">
        <is>
          <t>Cavi / Elettrificazione</t>
        </is>
      </c>
      <c r="E38" s="13" t="inlineStr">
        <is>
          <t>Industriale</t>
        </is>
      </c>
      <c r="F38" s="14" t="n">
        <v>122.45</v>
      </c>
      <c r="G38" s="15" t="inlineStr">
        <is>
          <t>EUR</t>
        </is>
      </c>
      <c r="H38" s="14" t="n">
        <v>122.45</v>
      </c>
      <c r="I38" s="16" t="n">
        <v>36646.1</v>
      </c>
      <c r="J38" s="16" t="n">
        <v>36646.1</v>
      </c>
      <c r="K38" s="14" t="n">
        <v>4.7</v>
      </c>
      <c r="L38" s="14" t="n">
        <v>6.14147</v>
      </c>
      <c r="M38" s="17">
        <f>IF(OR(F38="",K38="",K38&lt;=0),"",F38/K38)</f>
        <v/>
      </c>
      <c r="N38" s="18" t="n">
        <v>5.0453234</v>
      </c>
      <c r="O38" s="19">
        <f>IF(OR(N38="",M38="",M38&lt;=0),"",N38/M38)</f>
        <v/>
      </c>
      <c r="P38" s="20" t="n">
        <v>0.22361</v>
      </c>
      <c r="Q38" s="20" t="n">
        <v>0.154992902694697</v>
      </c>
      <c r="R38" s="20" t="n">
        <v>0.02380716722865209</v>
      </c>
      <c r="S38" s="21" t="n">
        <v>4</v>
      </c>
      <c r="T38" s="20" t="n"/>
      <c r="U38" s="20" t="n">
        <v>0.1961692925548347</v>
      </c>
      <c r="V38" s="20" t="n">
        <v>0.14330646746609</v>
      </c>
      <c r="W38" s="20" t="n">
        <v>0.1399100766992859</v>
      </c>
      <c r="X38" s="20" t="n">
        <v>0.1405857740585774</v>
      </c>
      <c r="Y38" s="14" t="n">
        <v>0.9</v>
      </c>
      <c r="Z38" s="19">
        <f>IF(OR(Y38="",F38="",F38=0),"",Y38/F38)</f>
        <v/>
      </c>
      <c r="AA38" s="22" t="n">
        <v>74.976</v>
      </c>
      <c r="AB38" s="20" t="n">
        <v>0.226</v>
      </c>
      <c r="AC38" s="20" t="n">
        <v>0.06936387094147582</v>
      </c>
      <c r="AD38" s="17">
        <f>IF(OR(Q38="",M38="",M38&lt;=0),"",ROUND(40*MAX(0,MIN(N(Q38)/0.3,1))+IF(OR(R38="",N(Q38)&lt;=0),10,20*MAX(0,1-MIN(R38/Q38,1)))+30*MAX(0,MIN((PARAMETRI!$B$5-M38)/MAX(PARAMETRI!$B$5-10,1),1))+IF(AB38="",3,10*MAX(0,MIN(AB38/0.15,1)))+IF(AND(P38&lt;&gt;"",N(P38)&lt;N(Q38)*0.6),-8,0),1))</f>
        <v/>
      </c>
      <c r="AE38" s="13">
        <f>IF(AND(P38="",Q38=""),"DATI MANCANTI",IF(AND(N(P38)&gt;=PARAMETRI!$B$4,N(Q38)&gt;=PARAMETRI!$B$4),"OK","NO"))</f>
        <v/>
      </c>
      <c r="AF38" s="13">
        <f>IF(M38="","N/D",IF(M38&lt;PARAMETRI!$B$6,"OTTIMO",IF(M38&lt;PARAMETRI!$B$5,"OK","NO")))</f>
        <v/>
      </c>
      <c r="AG38" s="13">
        <f>IF(OR(AE38="DATI MANCANTI",AF38="N/D"),"DA COMPLETARE",IF(AND(AE38="OK",AF38="OTTIMO"),"PASSA FORTE",IF(AND(AE38="OK",AF38="OK"),"PASSA","SCARTA")))</f>
        <v/>
      </c>
      <c r="AH38" s="11" t="inlineStr">
        <is>
          <t>2026-10-12</t>
        </is>
      </c>
      <c r="AI38" s="11" t="inlineStr">
        <is>
          <t>yahoo</t>
        </is>
      </c>
      <c r="AJ38" s="23" t="inlineStr"/>
    </row>
    <row r="39">
      <c r="A39" s="10">
        <f>IF(AD39="","",RANK(AD39,AD$2:AD$67))</f>
        <v/>
      </c>
      <c r="B39" s="11" t="inlineStr">
        <is>
          <t>Tenaris</t>
        </is>
      </c>
      <c r="C39" s="12" t="inlineStr">
        <is>
          <t>TEN.MI</t>
        </is>
      </c>
      <c r="D39" s="11" t="inlineStr">
        <is>
          <t>Oil service</t>
        </is>
      </c>
      <c r="E39" s="13" t="inlineStr">
        <is>
          <t>Energia</t>
        </is>
      </c>
      <c r="F39" s="14" t="n">
        <v>25.97</v>
      </c>
      <c r="G39" s="15" t="inlineStr">
        <is>
          <t>EUR</t>
        </is>
      </c>
      <c r="H39" s="14" t="n">
        <v>25.97</v>
      </c>
      <c r="I39" s="16" t="n">
        <v>26220.3</v>
      </c>
      <c r="J39" s="16" t="n">
        <v>26220.3</v>
      </c>
      <c r="K39" s="14" t="n">
        <v>1.61</v>
      </c>
      <c r="L39" s="14" t="n">
        <v>1.9102482</v>
      </c>
      <c r="M39" s="17">
        <f>IF(OR(F39="",K39="",K39&lt;=0),"",F39/K39)</f>
        <v/>
      </c>
      <c r="N39" s="18" t="n">
        <v>1.733116</v>
      </c>
      <c r="O39" s="19">
        <f>IF(OR(N39="",M39="",M39&lt;=0),"",N39/M39)</f>
        <v/>
      </c>
      <c r="P39" s="20" t="n">
        <v>0.115839995</v>
      </c>
      <c r="Q39" s="20" t="n">
        <v>0.163851096927405</v>
      </c>
      <c r="R39" s="20" t="n">
        <v>0.04758970868898593</v>
      </c>
      <c r="S39" s="21" t="n">
        <v>4</v>
      </c>
      <c r="T39" s="20" t="n"/>
      <c r="U39" s="20" t="n">
        <v>0.1164401927780697</v>
      </c>
      <c r="V39" s="20" t="n">
        <v>0.1227272620438531</v>
      </c>
      <c r="W39" s="20" t="n">
        <v>0.2326231380067603</v>
      </c>
      <c r="X39" s="20" t="n">
        <v>0.183613794880937</v>
      </c>
      <c r="Y39" s="14" t="n">
        <v>0.77</v>
      </c>
      <c r="Z39" s="19">
        <f>IF(OR(Y39="",F39="",F39=0),"",Y39/F39)</f>
        <v/>
      </c>
      <c r="AA39" s="22" t="n">
        <v>2.596</v>
      </c>
      <c r="AB39" s="20" t="n">
        <v>-0.039</v>
      </c>
      <c r="AC39" s="20" t="n">
        <v>0.1596170600218326</v>
      </c>
      <c r="AD39" s="17">
        <f>IF(OR(Q39="",M39="",M39&lt;=0),"",ROUND(40*MAX(0,MIN(N(Q39)/0.3,1))+IF(OR(R39="",N(Q39)&lt;=0),10,20*MAX(0,1-MIN(R39/Q39,1)))+30*MAX(0,MIN((PARAMETRI!$B$5-M39)/MAX(PARAMETRI!$B$5-10,1),1))+IF(AB39="",3,10*MAX(0,MIN(AB39/0.15,1)))+IF(AND(P39&lt;&gt;"",N(P39)&lt;N(Q39)*0.6),-8,0),1))</f>
        <v/>
      </c>
      <c r="AE39" s="13">
        <f>IF(AND(P39="",Q39=""),"DATI MANCANTI",IF(AND(N(P39)&gt;=PARAMETRI!$B$4,N(Q39)&gt;=PARAMETRI!$B$4),"OK","NO"))</f>
        <v/>
      </c>
      <c r="AF39" s="13">
        <f>IF(M39="","N/D",IF(M39&lt;PARAMETRI!$B$6,"OTTIMO",IF(M39&lt;PARAMETRI!$B$5,"OK","NO")))</f>
        <v/>
      </c>
      <c r="AG39" s="13">
        <f>IF(OR(AE39="DATI MANCANTI",AF39="N/D"),"DA COMPLETARE",IF(AND(AE39="OK",AF39="OTTIMO"),"PASSA FORTE",IF(AND(AE39="OK",AF39="OK"),"PASSA","SCARTA")))</f>
        <v/>
      </c>
      <c r="AH39" s="11" t="inlineStr">
        <is>
          <t>2026-10-12</t>
        </is>
      </c>
      <c r="AI39" s="11" t="inlineStr">
        <is>
          <t>yahoo</t>
        </is>
      </c>
      <c r="AJ39" s="23" t="inlineStr">
        <is>
          <t>Bilancio in USD</t>
        </is>
      </c>
    </row>
    <row r="40">
      <c r="A40" s="10">
        <f>IF(AD40="","",RANK(AD40,AD$2:AD$67))</f>
        <v/>
      </c>
      <c r="B40" s="11" t="inlineStr">
        <is>
          <t>Danieli &amp; C. ord.</t>
        </is>
      </c>
      <c r="C40" s="12" t="inlineStr">
        <is>
          <t>DAN.MI</t>
        </is>
      </c>
      <c r="D40" s="11" t="inlineStr">
        <is>
          <t>Impiantistica</t>
        </is>
      </c>
      <c r="E40" s="13" t="inlineStr">
        <is>
          <t>Industriale</t>
        </is>
      </c>
      <c r="F40" s="14" t="n">
        <v>49.56</v>
      </c>
      <c r="G40" s="15" t="inlineStr">
        <is>
          <t>EUR</t>
        </is>
      </c>
      <c r="H40" s="14" t="n">
        <v>49.56</v>
      </c>
      <c r="I40" s="16" t="n">
        <v>3547.1</v>
      </c>
      <c r="J40" s="16" t="n">
        <v>3547.1</v>
      </c>
      <c r="K40" s="14" t="n">
        <v>3.21</v>
      </c>
      <c r="L40" s="14" t="n">
        <v>4.40998</v>
      </c>
      <c r="M40" s="17">
        <f>IF(OR(F40="",K40="",K40&lt;=0),"",F40/K40)</f>
        <v/>
      </c>
      <c r="N40" s="18" t="n">
        <v>1.2427282</v>
      </c>
      <c r="O40" s="19">
        <f>IF(OR(N40="",M40="",M40&lt;=0),"",N40/M40)</f>
        <v/>
      </c>
      <c r="P40" s="20" t="n">
        <v>0.08036</v>
      </c>
      <c r="Q40" s="20" t="n">
        <v>0.0968440934016148</v>
      </c>
      <c r="R40" s="20" t="n">
        <v>0.00397470844110338</v>
      </c>
      <c r="S40" s="21" t="n">
        <v>3</v>
      </c>
      <c r="T40" s="20" t="n"/>
      <c r="U40" s="20" t="n"/>
      <c r="V40" s="20" t="n">
        <v>0.09166035137508417</v>
      </c>
      <c r="W40" s="20" t="n">
        <v>0.1013185357254691</v>
      </c>
      <c r="X40" s="20" t="n">
        <v>0.09755339310429112</v>
      </c>
      <c r="Y40" s="14" t="n">
        <v>0.31</v>
      </c>
      <c r="Z40" s="19">
        <f>IF(OR(Y40="",F40="",F40=0),"",Y40/F40)</f>
        <v/>
      </c>
      <c r="AA40" s="22" t="n">
        <v>29.397</v>
      </c>
      <c r="AB40" s="20" t="n">
        <v>-0.048</v>
      </c>
      <c r="AC40" s="20" t="n">
        <v>0.05336443329885146</v>
      </c>
      <c r="AD40" s="17">
        <f>IF(OR(Q40="",M40="",M40&lt;=0),"",ROUND(40*MAX(0,MIN(N(Q40)/0.3,1))+IF(OR(R40="",N(Q40)&lt;=0),10,20*MAX(0,1-MIN(R40/Q40,1)))+30*MAX(0,MIN((PARAMETRI!$B$5-M40)/MAX(PARAMETRI!$B$5-10,1),1))+IF(AB40="",3,10*MAX(0,MIN(AB40/0.15,1)))+IF(AND(P40&lt;&gt;"",N(P40)&lt;N(Q40)*0.6),-8,0),1))</f>
        <v/>
      </c>
      <c r="AE40" s="13">
        <f>IF(AND(P40="",Q40=""),"DATI MANCANTI",IF(AND(N(P40)&gt;=PARAMETRI!$B$4,N(Q40)&gt;=PARAMETRI!$B$4),"OK","NO"))</f>
        <v/>
      </c>
      <c r="AF40" s="13">
        <f>IF(M40="","N/D",IF(M40&lt;PARAMETRI!$B$6,"OTTIMO",IF(M40&lt;PARAMETRI!$B$5,"OK","NO")))</f>
        <v/>
      </c>
      <c r="AG40" s="13">
        <f>IF(OR(AE40="DATI MANCANTI",AF40="N/D"),"DA COMPLETARE",IF(AND(AE40="OK",AF40="OTTIMO"),"PASSA FORTE",IF(AND(AE40="OK",AF40="OK"),"PASSA","SCARTA")))</f>
        <v/>
      </c>
      <c r="AH40" s="11" t="inlineStr">
        <is>
          <t>2026-10-12</t>
        </is>
      </c>
      <c r="AI40" s="11" t="inlineStr">
        <is>
          <t>yahoo</t>
        </is>
      </c>
      <c r="AJ40" s="23" t="inlineStr">
        <is>
          <t>Verificare se posizione e' su risparmio (DANR.MI)</t>
        </is>
      </c>
    </row>
    <row r="41">
      <c r="A41" s="10">
        <f>IF(AD41="","",RANK(AD41,AD$2:AD$67))</f>
        <v/>
      </c>
      <c r="B41" s="11" t="inlineStr">
        <is>
          <t>Lottomatica Group</t>
        </is>
      </c>
      <c r="C41" s="12" t="inlineStr">
        <is>
          <t>LTMC.MI</t>
        </is>
      </c>
      <c r="D41" s="11" t="inlineStr">
        <is>
          <t>Gaming / Concessioni</t>
        </is>
      </c>
      <c r="E41" s="13" t="inlineStr">
        <is>
          <t>Consumi</t>
        </is>
      </c>
      <c r="F41" s="14" t="n">
        <v>24.36</v>
      </c>
      <c r="G41" s="15" t="inlineStr">
        <is>
          <t>EUR</t>
        </is>
      </c>
      <c r="H41" s="14" t="n">
        <v>24.36</v>
      </c>
      <c r="I41" s="16" t="n">
        <v>5627.8</v>
      </c>
      <c r="J41" s="16" t="n">
        <v>5627.8</v>
      </c>
      <c r="K41" s="14" t="n">
        <v>0.9</v>
      </c>
      <c r="L41" s="14" t="n">
        <v>2.24474</v>
      </c>
      <c r="M41" s="17">
        <f>IF(OR(F41="",K41="",K41&lt;=0),"",F41/K41)</f>
        <v/>
      </c>
      <c r="N41" s="18" t="n">
        <v>25.29595</v>
      </c>
      <c r="O41" s="19">
        <f>IF(OR(N41="",M41="",M41&lt;=0),"",N41/M41)</f>
        <v/>
      </c>
      <c r="P41" s="20" t="n">
        <v>0.54611</v>
      </c>
      <c r="Q41" s="20" t="n">
        <v>0.5665811918142258</v>
      </c>
      <c r="R41" s="20" t="n">
        <v>0.5068808803966198</v>
      </c>
      <c r="S41" s="21" t="n">
        <v>4</v>
      </c>
      <c r="T41" s="20" t="n"/>
      <c r="U41" s="20" t="n">
        <v>0.53617682345341</v>
      </c>
      <c r="V41" s="20" t="n">
        <v>0.1903530906289759</v>
      </c>
      <c r="W41" s="20" t="n">
        <v>0.136428439475354</v>
      </c>
      <c r="X41" s="20" t="n">
        <v>1.403366413699163</v>
      </c>
      <c r="Y41" s="14" t="n">
        <v>0.44</v>
      </c>
      <c r="Z41" s="19">
        <f>IF(OR(Y41="",F41="",F41=0),"",Y41/F41)</f>
        <v/>
      </c>
      <c r="AA41" s="22" t="n">
        <v>889.71</v>
      </c>
      <c r="AB41" s="20" t="n">
        <v>0.043</v>
      </c>
      <c r="AC41" s="20" t="n">
        <v>0.09803410237833739</v>
      </c>
      <c r="AD41" s="17">
        <f>IF(OR(Q41="",M41="",M41&lt;=0),"",ROUND(40*MAX(0,MIN(N(Q41)/0.3,1))+IF(OR(R41="",N(Q41)&lt;=0),10,20*MAX(0,1-MIN(R41/Q41,1)))+30*MAX(0,MIN((PARAMETRI!$B$5-M41)/MAX(PARAMETRI!$B$5-10,1),1))+IF(AB41="",3,10*MAX(0,MIN(AB41/0.15,1)))+IF(AND(P41&lt;&gt;"",N(P41)&lt;N(Q41)*0.6),-8,0),1))</f>
        <v/>
      </c>
      <c r="AE41" s="13">
        <f>IF(AND(P41="",Q41=""),"DATI MANCANTI",IF(AND(N(P41)&gt;=PARAMETRI!$B$4,N(Q41)&gt;=PARAMETRI!$B$4),"OK","NO"))</f>
        <v/>
      </c>
      <c r="AF41" s="13">
        <f>IF(M41="","N/D",IF(M41&lt;PARAMETRI!$B$6,"OTTIMO",IF(M41&lt;PARAMETRI!$B$5,"OK","NO")))</f>
        <v/>
      </c>
      <c r="AG41" s="13">
        <f>IF(OR(AE41="DATI MANCANTI",AF41="N/D"),"DA COMPLETARE",IF(AND(AE41="OK",AF41="OTTIMO"),"PASSA FORTE",IF(AND(AE41="OK",AF41="OK"),"PASSA","SCARTA")))</f>
        <v/>
      </c>
      <c r="AH41" s="11" t="inlineStr">
        <is>
          <t>2026-10-12</t>
        </is>
      </c>
      <c r="AI41" s="11" t="inlineStr">
        <is>
          <t>yahoo</t>
        </is>
      </c>
      <c r="AJ41" s="23" t="inlineStr"/>
    </row>
    <row r="42">
      <c r="A42" s="10">
        <f>IF(AD42="","",RANK(AD42,AD$2:AD$67))</f>
        <v/>
      </c>
      <c r="B42" s="11" t="inlineStr">
        <is>
          <t>Banco Desio e Brianza</t>
        </is>
      </c>
      <c r="C42" s="12" t="inlineStr">
        <is>
          <t>BDB.MI</t>
        </is>
      </c>
      <c r="D42" s="11" t="inlineStr">
        <is>
          <t>Banca</t>
        </is>
      </c>
      <c r="E42" s="13" t="inlineStr">
        <is>
          <t>Finanziario</t>
        </is>
      </c>
      <c r="F42" s="14" t="n">
        <v>16.62</v>
      </c>
      <c r="G42" s="15" t="inlineStr">
        <is>
          <t>EUR</t>
        </is>
      </c>
      <c r="H42" s="14" t="n">
        <v>16.62</v>
      </c>
      <c r="I42" s="16" t="n">
        <v>2185.1</v>
      </c>
      <c r="J42" s="16" t="n">
        <v>2185.1</v>
      </c>
      <c r="K42" s="14" t="n">
        <v>1.02</v>
      </c>
      <c r="L42" s="14" t="n"/>
      <c r="M42" s="17">
        <f>IF(OR(F42="",K42="",K42&lt;=0),"",F42/K42)</f>
        <v/>
      </c>
      <c r="N42" s="18" t="n">
        <v>1.4598156</v>
      </c>
      <c r="O42" s="19">
        <f>IF(OR(N42="",M42="",M42&lt;=0),"",N42/M42)</f>
        <v/>
      </c>
      <c r="P42" s="20" t="n">
        <v>0.09042</v>
      </c>
      <c r="Q42" s="20" t="n">
        <v>0.1057732555853402</v>
      </c>
      <c r="R42" s="20" t="n">
        <v>0.04181671720819548</v>
      </c>
      <c r="S42" s="21" t="n">
        <v>4</v>
      </c>
      <c r="T42" s="20" t="n"/>
      <c r="U42" s="20" t="n">
        <v>0.08541270271503291</v>
      </c>
      <c r="V42" s="20" t="n">
        <v>0.08758728118881172</v>
      </c>
      <c r="W42" s="20" t="n">
        <v>0.1775172357765608</v>
      </c>
      <c r="X42" s="20" t="n">
        <v>0.07257580266095537</v>
      </c>
      <c r="Y42" s="14" t="n">
        <v>0.51</v>
      </c>
      <c r="Z42" s="19">
        <f>IF(OR(Y42="",F42="",F42=0),"",Y42/F42)</f>
        <v/>
      </c>
      <c r="AA42" s="22" t="n"/>
      <c r="AB42" s="20" t="n">
        <v>0.079</v>
      </c>
      <c r="AC42" s="20" t="n">
        <v>0.2061490474278459</v>
      </c>
      <c r="AD42" s="17">
        <f>IF(OR(Q42="",M42="",M42&lt;=0),"",ROUND(40*MAX(0,MIN(N(Q42)/0.3,1))+IF(OR(R42="",N(Q42)&lt;=0),10,20*MAX(0,1-MIN(R42/Q42,1)))+30*MAX(0,MIN((PARAMETRI!$B$5-M42)/MAX(PARAMETRI!$B$5-10,1),1))+IF(AB42="",3,10*MAX(0,MIN(AB42/0.15,1)))+IF(AND(P42&lt;&gt;"",N(P42)&lt;N(Q42)*0.6),-8,0),1))</f>
        <v/>
      </c>
      <c r="AE42" s="13">
        <f>IF(AND(P42="",Q42=""),"DATI MANCANTI",IF(AND(N(P42)&gt;=PARAMETRI!$B$4,N(Q42)&gt;=PARAMETRI!$B$4),"OK","NO"))</f>
        <v/>
      </c>
      <c r="AF42" s="13">
        <f>IF(M42="","N/D",IF(M42&lt;PARAMETRI!$B$6,"OTTIMO",IF(M42&lt;PARAMETRI!$B$5,"OK","NO")))</f>
        <v/>
      </c>
      <c r="AG42" s="13">
        <f>IF(OR(AE42="DATI MANCANTI",AF42="N/D"),"DA COMPLETARE",IF(AND(AE42="OK",AF42="OTTIMO"),"PASSA FORTE",IF(AND(AE42="OK",AF42="OK"),"PASSA","SCARTA")))</f>
        <v/>
      </c>
      <c r="AH42" s="11" t="inlineStr">
        <is>
          <t>2026-10-12</t>
        </is>
      </c>
      <c r="AI42" s="11" t="inlineStr">
        <is>
          <t>yahoo</t>
        </is>
      </c>
      <c r="AJ42" s="23" t="inlineStr"/>
    </row>
    <row r="43">
      <c r="A43" s="10">
        <f>IF(AD43="","",RANK(AD43,AD$2:AD$67))</f>
        <v/>
      </c>
      <c r="B43" s="11" t="inlineStr">
        <is>
          <t>Leonardo</t>
        </is>
      </c>
      <c r="C43" s="12" t="inlineStr">
        <is>
          <t>LDO.MI</t>
        </is>
      </c>
      <c r="D43" s="11" t="inlineStr">
        <is>
          <t>Difesa / Aerospazio</t>
        </is>
      </c>
      <c r="E43" s="13" t="inlineStr">
        <is>
          <t>Industriale</t>
        </is>
      </c>
      <c r="F43" s="14" t="n">
        <v>47.64</v>
      </c>
      <c r="G43" s="15" t="inlineStr">
        <is>
          <t>EUR</t>
        </is>
      </c>
      <c r="H43" s="14" t="n">
        <v>47.64</v>
      </c>
      <c r="I43" s="16" t="n">
        <v>27478.6</v>
      </c>
      <c r="J43" s="16" t="n">
        <v>27478.6</v>
      </c>
      <c r="K43" s="14" t="n">
        <v>2</v>
      </c>
      <c r="L43" s="14" t="n">
        <v>2.86701</v>
      </c>
      <c r="M43" s="17">
        <f>IF(OR(F43="",K43="",K43&lt;=0),"",F43/K43)</f>
        <v/>
      </c>
      <c r="N43" s="18" t="n">
        <v>2.8463883</v>
      </c>
      <c r="O43" s="19">
        <f>IF(OR(N43="",M43="",M43&lt;=0),"",N43/M43)</f>
        <v/>
      </c>
      <c r="P43" s="20" t="n">
        <v>0.11893</v>
      </c>
      <c r="Q43" s="20" t="n">
        <v>0.1152283082732223</v>
      </c>
      <c r="R43" s="20" t="n">
        <v>0.01820725214457366</v>
      </c>
      <c r="S43" s="21" t="n">
        <v>4</v>
      </c>
      <c r="T43" s="20" t="n"/>
      <c r="U43" s="20" t="n">
        <v>0.1280334728033473</v>
      </c>
      <c r="V43" s="20" t="n">
        <v>0.1194660734149054</v>
      </c>
      <c r="W43" s="20" t="n">
        <v>0.08435897435897435</v>
      </c>
      <c r="X43" s="20" t="n">
        <v>0.129054712515662</v>
      </c>
      <c r="Y43" s="14" t="n">
        <v>0.63</v>
      </c>
      <c r="Z43" s="19">
        <f>IF(OR(Y43="",F43="",F43=0),"",Y43/F43)</f>
        <v/>
      </c>
      <c r="AA43" s="22" t="n">
        <v>41.533</v>
      </c>
      <c r="AB43" s="20" t="n">
        <v>0.167</v>
      </c>
      <c r="AC43" s="20" t="n">
        <v>0.05773470748090037</v>
      </c>
      <c r="AD43" s="17">
        <f>IF(OR(Q43="",M43="",M43&lt;=0),"",ROUND(40*MAX(0,MIN(N(Q43)/0.3,1))+IF(OR(R43="",N(Q43)&lt;=0),10,20*MAX(0,1-MIN(R43/Q43,1)))+30*MAX(0,MIN((PARAMETRI!$B$5-M43)/MAX(PARAMETRI!$B$5-10,1),1))+IF(AB43="",3,10*MAX(0,MIN(AB43/0.15,1)))+IF(AND(P43&lt;&gt;"",N(P43)&lt;N(Q43)*0.6),-8,0),1))</f>
        <v/>
      </c>
      <c r="AE43" s="13">
        <f>IF(AND(P43="",Q43=""),"DATI MANCANTI",IF(AND(N(P43)&gt;=PARAMETRI!$B$4,N(Q43)&gt;=PARAMETRI!$B$4),"OK","NO"))</f>
        <v/>
      </c>
      <c r="AF43" s="13">
        <f>IF(M43="","N/D",IF(M43&lt;PARAMETRI!$B$6,"OTTIMO",IF(M43&lt;PARAMETRI!$B$5,"OK","NO")))</f>
        <v/>
      </c>
      <c r="AG43" s="13">
        <f>IF(OR(AE43="DATI MANCANTI",AF43="N/D"),"DA COMPLETARE",IF(AND(AE43="OK",AF43="OTTIMO"),"PASSA FORTE",IF(AND(AE43="OK",AF43="OK"),"PASSA","SCARTA")))</f>
        <v/>
      </c>
      <c r="AH43" s="11" t="inlineStr">
        <is>
          <t>2026-10-12</t>
        </is>
      </c>
      <c r="AI43" s="11" t="inlineStr">
        <is>
          <t>yahoo</t>
        </is>
      </c>
      <c r="AJ43" s="23" t="inlineStr"/>
    </row>
    <row r="44">
      <c r="A44" s="10">
        <f>IF(AD44="","",RANK(AD44,AD$2:AD$67))</f>
        <v/>
      </c>
      <c r="B44" s="11" t="inlineStr">
        <is>
          <t>Interpump Group</t>
        </is>
      </c>
      <c r="C44" s="12" t="inlineStr">
        <is>
          <t>IP.MI</t>
        </is>
      </c>
      <c r="D44" s="11" t="inlineStr">
        <is>
          <t>Meccanica</t>
        </is>
      </c>
      <c r="E44" s="13" t="inlineStr">
        <is>
          <t>Industriale</t>
        </is>
      </c>
      <c r="F44" s="14" t="n">
        <v>35.7</v>
      </c>
      <c r="G44" s="15" t="inlineStr">
        <is>
          <t>EUR</t>
        </is>
      </c>
      <c r="H44" s="14" t="n">
        <v>35.7</v>
      </c>
      <c r="I44" s="16" t="n">
        <v>3751.9</v>
      </c>
      <c r="J44" s="16" t="n">
        <v>3751.9</v>
      </c>
      <c r="K44" s="14" t="n">
        <v>2</v>
      </c>
      <c r="L44" s="14" t="n">
        <v>2.38908</v>
      </c>
      <c r="M44" s="17">
        <f>IF(OR(F44="",K44="",K44&lt;=0),"",F44/K44)</f>
        <v/>
      </c>
      <c r="N44" s="18" t="n">
        <v>1.7415483</v>
      </c>
      <c r="O44" s="19">
        <f>IF(OR(N44="",M44="",M44&lt;=0),"",N44/M44)</f>
        <v/>
      </c>
      <c r="P44" s="20" t="n">
        <v>0.102510005</v>
      </c>
      <c r="Q44" s="20" t="n">
        <v>0.1341707417514897</v>
      </c>
      <c r="R44" s="20" t="n">
        <v>0.02923547445248708</v>
      </c>
      <c r="S44" s="21" t="n">
        <v>4</v>
      </c>
      <c r="T44" s="20" t="n"/>
      <c r="U44" s="20" t="n">
        <v>0.09917145079023811</v>
      </c>
      <c r="V44" s="20" t="n">
        <v>0.1130533890473383</v>
      </c>
      <c r="W44" s="20" t="n">
        <v>0.1529172414023812</v>
      </c>
      <c r="X44" s="20" t="n">
        <v>0.1715408857660014</v>
      </c>
      <c r="Y44" s="14" t="n">
        <v>0.35</v>
      </c>
      <c r="Z44" s="19">
        <f>IF(OR(Y44="",F44="",F44=0),"",Y44/F44)</f>
        <v/>
      </c>
      <c r="AA44" s="22" t="n">
        <v>31.196</v>
      </c>
      <c r="AB44" s="20" t="n">
        <v>0.011</v>
      </c>
      <c r="AC44" s="20" t="n">
        <v>0.1026409592192725</v>
      </c>
      <c r="AD44" s="17">
        <f>IF(OR(Q44="",M44="",M44&lt;=0),"",ROUND(40*MAX(0,MIN(N(Q44)/0.3,1))+IF(OR(R44="",N(Q44)&lt;=0),10,20*MAX(0,1-MIN(R44/Q44,1)))+30*MAX(0,MIN((PARAMETRI!$B$5-M44)/MAX(PARAMETRI!$B$5-10,1),1))+IF(AB44="",3,10*MAX(0,MIN(AB44/0.15,1)))+IF(AND(P44&lt;&gt;"",N(P44)&lt;N(Q44)*0.6),-8,0),1))</f>
        <v/>
      </c>
      <c r="AE44" s="13">
        <f>IF(AND(P44="",Q44=""),"DATI MANCANTI",IF(AND(N(P44)&gt;=PARAMETRI!$B$4,N(Q44)&gt;=PARAMETRI!$B$4),"OK","NO"))</f>
        <v/>
      </c>
      <c r="AF44" s="13">
        <f>IF(M44="","N/D",IF(M44&lt;PARAMETRI!$B$6,"OTTIMO",IF(M44&lt;PARAMETRI!$B$5,"OK","NO")))</f>
        <v/>
      </c>
      <c r="AG44" s="13">
        <f>IF(OR(AE44="DATI MANCANTI",AF44="N/D"),"DA COMPLETARE",IF(AND(AE44="OK",AF44="OTTIMO"),"PASSA FORTE",IF(AND(AE44="OK",AF44="OK"),"PASSA","SCARTA")))</f>
        <v/>
      </c>
      <c r="AH44" s="11" t="inlineStr">
        <is>
          <t>2026-10-12</t>
        </is>
      </c>
      <c r="AI44" s="11" t="inlineStr">
        <is>
          <t>yahoo</t>
        </is>
      </c>
      <c r="AJ44" s="23" t="inlineStr"/>
    </row>
    <row r="45">
      <c r="A45" s="10">
        <f>IF(AD45="","",RANK(AD45,AD$2:AD$67))</f>
        <v/>
      </c>
      <c r="B45" s="11" t="inlineStr">
        <is>
          <t>BB Biotech</t>
        </is>
      </c>
      <c r="C45" s="12" t="inlineStr">
        <is>
          <t>BION.SW</t>
        </is>
      </c>
      <c r="D45" s="11" t="inlineStr">
        <is>
          <t>Veicolo biotech</t>
        </is>
      </c>
      <c r="E45" s="13" t="inlineStr">
        <is>
          <t>Veicolo</t>
        </is>
      </c>
      <c r="F45" s="14" t="n">
        <v>49.5</v>
      </c>
      <c r="G45" s="15" t="inlineStr">
        <is>
          <t>CHF</t>
        </is>
      </c>
      <c r="H45" s="14" t="n">
        <v>53.15036722071898</v>
      </c>
      <c r="I45" s="16" t="n">
        <v>2931.215908602844</v>
      </c>
      <c r="J45" s="16" t="n">
        <v>2729.9</v>
      </c>
      <c r="K45" s="14" t="n">
        <v>24.55</v>
      </c>
      <c r="L45" s="14" t="n">
        <v>-0.65777</v>
      </c>
      <c r="M45" s="17">
        <f>IF(OR(F45="",K45="",K45&lt;=0),"",F45/K45)</f>
        <v/>
      </c>
      <c r="N45" s="18" t="n">
        <v>0.88503486</v>
      </c>
      <c r="O45" s="19">
        <f>IF(OR(N45="",M45="",M45&lt;=0),"",N45/M45)</f>
        <v/>
      </c>
      <c r="P45" s="20" t="n">
        <v>0.54764</v>
      </c>
      <c r="Q45" s="20" t="n">
        <v>0.004777857685230683</v>
      </c>
      <c r="R45" s="20" t="n">
        <v>0.1322398198407014</v>
      </c>
      <c r="S45" s="21" t="n">
        <v>4</v>
      </c>
      <c r="T45" s="20" t="n"/>
      <c r="U45" s="20" t="n">
        <v>0.2080524401851888</v>
      </c>
      <c r="V45" s="20" t="n">
        <v>0.033197421851627</v>
      </c>
      <c r="W45" s="20" t="n">
        <v>-0.08893142569118598</v>
      </c>
      <c r="X45" s="20" t="n">
        <v>-0.1332070056047071</v>
      </c>
      <c r="Y45" s="14" t="n">
        <v>2.25</v>
      </c>
      <c r="Z45" s="19">
        <f>IF(OR(Y45="",F45="",F45=0),"",Y45/F45)</f>
        <v/>
      </c>
      <c r="AA45" s="22" t="n"/>
      <c r="AB45" s="20" t="n">
        <v>1162.577</v>
      </c>
      <c r="AC45" s="20" t="n">
        <v>2.29826056588763</v>
      </c>
      <c r="AD45" s="17">
        <f>IF(OR(Q45="",M45="",M45&lt;=0),"",ROUND(40*MAX(0,MIN(N(Q45)/0.3,1))+IF(OR(R45="",N(Q45)&lt;=0),10,20*MAX(0,1-MIN(R45/Q45,1)))+30*MAX(0,MIN((PARAMETRI!$B$5-M45)/MAX(PARAMETRI!$B$5-10,1),1))+IF(AB45="",3,10*MAX(0,MIN(AB45/0.15,1)))+IF(AND(P45&lt;&gt;"",N(P45)&lt;N(Q45)*0.6),-8,0),1))</f>
        <v/>
      </c>
      <c r="AE45" s="13">
        <f>IF(AND(P45="",Q45=""),"DATI MANCANTI",IF(AND(N(P45)&gt;=PARAMETRI!$B$4,N(Q45)&gt;=PARAMETRI!$B$4),"OK","NO"))</f>
        <v/>
      </c>
      <c r="AF45" s="13">
        <f>IF(M45="","N/D",IF(M45&lt;PARAMETRI!$B$6,"OTTIMO",IF(M45&lt;PARAMETRI!$B$5,"OK","NO")))</f>
        <v/>
      </c>
      <c r="AG45" s="13">
        <f>IF(OR(AE45="DATI MANCANTI",AF45="N/D"),"DA COMPLETARE",IF(AND(AE45="OK",AF45="OTTIMO"),"PASSA FORTE",IF(AND(AE45="OK",AF45="OK"),"PASSA","SCARTA")))</f>
        <v/>
      </c>
      <c r="AH45" s="11" t="inlineStr">
        <is>
          <t>2026-10-12</t>
        </is>
      </c>
      <c r="AI45" s="11" t="inlineStr">
        <is>
          <t>yahoo</t>
        </is>
      </c>
      <c r="AJ45" s="23" t="inlineStr">
        <is>
          <t>Quotata Zurigo/Xetra, NAV-driven: ROE poco significativo</t>
        </is>
      </c>
    </row>
    <row r="46">
      <c r="A46" s="10">
        <f>IF(AD46="","",RANK(AD46,AD$2:AD$67))</f>
        <v/>
      </c>
      <c r="B46" s="11" t="inlineStr">
        <is>
          <t>Enel</t>
        </is>
      </c>
      <c r="C46" s="12" t="inlineStr">
        <is>
          <t>ENEL.MI</t>
        </is>
      </c>
      <c r="D46" s="11" t="inlineStr">
        <is>
          <t>Utility</t>
        </is>
      </c>
      <c r="E46" s="13" t="inlineStr">
        <is>
          <t>Utility</t>
        </is>
      </c>
      <c r="F46" s="14" t="n">
        <v>8.917999999999999</v>
      </c>
      <c r="G46" s="15" t="inlineStr">
        <is>
          <t>EUR</t>
        </is>
      </c>
      <c r="H46" s="14" t="n">
        <v>8.917999999999999</v>
      </c>
      <c r="I46" s="16" t="n">
        <v>88472.5</v>
      </c>
      <c r="J46" s="16" t="n">
        <v>88472.5</v>
      </c>
      <c r="K46" s="14" t="n">
        <v>0.42</v>
      </c>
      <c r="L46" s="14" t="n">
        <v>0.75591</v>
      </c>
      <c r="M46" s="17">
        <f>IF(OR(F46="",K46="",K46&lt;=0),"",F46/K46)</f>
        <v/>
      </c>
      <c r="N46" s="18" t="n">
        <v>3.5844054</v>
      </c>
      <c r="O46" s="19">
        <f>IF(OR(N46="",M46="",M46&lt;=0),"",N46/M46)</f>
        <v/>
      </c>
      <c r="P46" s="20" t="n">
        <v>0.122559994</v>
      </c>
      <c r="Q46" s="20" t="n">
        <v>0.1266786444245822</v>
      </c>
      <c r="R46" s="20" t="n">
        <v>0.05384932558582804</v>
      </c>
      <c r="S46" s="21" t="n">
        <v>4</v>
      </c>
      <c r="T46" s="20" t="n"/>
      <c r="U46" s="20" t="n">
        <v>0.1317512785331171</v>
      </c>
      <c r="V46" s="20" t="n">
        <v>0.2079985769766683</v>
      </c>
      <c r="W46" s="20" t="n">
        <v>0.1082664147378366</v>
      </c>
      <c r="X46" s="20" t="n">
        <v>0.05869830745070669</v>
      </c>
      <c r="Y46" s="14" t="n">
        <v>0.52</v>
      </c>
      <c r="Z46" s="19">
        <f>IF(OR(Y46="",F46="",F46=0),"",Y46/F46)</f>
        <v/>
      </c>
      <c r="AA46" s="22" t="n">
        <v>147.743</v>
      </c>
      <c r="AB46" s="20" t="n">
        <v>0.08500000000000001</v>
      </c>
      <c r="AC46" s="20" t="n">
        <v>0.0630967206309672</v>
      </c>
      <c r="AD46" s="17">
        <f>IF(OR(Q46="",M46="",M46&lt;=0),"",ROUND(40*MAX(0,MIN(N(Q46)/0.3,1))+IF(OR(R46="",N(Q46)&lt;=0),10,20*MAX(0,1-MIN(R46/Q46,1)))+30*MAX(0,MIN((PARAMETRI!$B$5-M46)/MAX(PARAMETRI!$B$5-10,1),1))+IF(AB46="",3,10*MAX(0,MIN(AB46/0.15,1)))+IF(AND(P46&lt;&gt;"",N(P46)&lt;N(Q46)*0.6),-8,0),1))</f>
        <v/>
      </c>
      <c r="AE46" s="13">
        <f>IF(AND(P46="",Q46=""),"DATI MANCANTI",IF(AND(N(P46)&gt;=PARAMETRI!$B$4,N(Q46)&gt;=PARAMETRI!$B$4),"OK","NO"))</f>
        <v/>
      </c>
      <c r="AF46" s="13">
        <f>IF(M46="","N/D",IF(M46&lt;PARAMETRI!$B$6,"OTTIMO",IF(M46&lt;PARAMETRI!$B$5,"OK","NO")))</f>
        <v/>
      </c>
      <c r="AG46" s="13">
        <f>IF(OR(AE46="DATI MANCANTI",AF46="N/D"),"DA COMPLETARE",IF(AND(AE46="OK",AF46="OTTIMO"),"PASSA FORTE",IF(AND(AE46="OK",AF46="OK"),"PASSA","SCARTA")))</f>
        <v/>
      </c>
      <c r="AH46" s="11" t="inlineStr">
        <is>
          <t>2026-10-12</t>
        </is>
      </c>
      <c r="AI46" s="11" t="inlineStr">
        <is>
          <t>yahoo</t>
        </is>
      </c>
      <c r="AJ46" s="23" t="inlineStr"/>
    </row>
    <row r="47">
      <c r="A47" s="10">
        <f>IF(AD47="","",RANK(AD47,AD$2:AD$67))</f>
        <v/>
      </c>
      <c r="B47" s="11" t="inlineStr">
        <is>
          <t>DiaSorin</t>
        </is>
      </c>
      <c r="C47" s="12" t="inlineStr">
        <is>
          <t>DIA.MI</t>
        </is>
      </c>
      <c r="D47" s="11" t="inlineStr">
        <is>
          <t>Diagnostica</t>
        </is>
      </c>
      <c r="E47" s="13" t="inlineStr">
        <is>
          <t>Salute</t>
        </is>
      </c>
      <c r="F47" s="14" t="n">
        <v>77.8</v>
      </c>
      <c r="G47" s="15" t="inlineStr">
        <is>
          <t>EUR</t>
        </is>
      </c>
      <c r="H47" s="14" t="n">
        <v>77.8</v>
      </c>
      <c r="I47" s="16" t="n">
        <v>3832.8</v>
      </c>
      <c r="J47" s="16" t="n">
        <v>3832.8</v>
      </c>
      <c r="K47" s="14" t="n">
        <v>2.72</v>
      </c>
      <c r="L47" s="14" t="n">
        <v>4.3364</v>
      </c>
      <c r="M47" s="17">
        <f>IF(OR(F47="",K47="",K47&lt;=0),"",F47/K47)</f>
        <v/>
      </c>
      <c r="N47" s="18" t="n">
        <v>2.7053344</v>
      </c>
      <c r="O47" s="19">
        <f>IF(OR(N47="",M47="",M47&lt;=0),"",N47/M47)</f>
        <v/>
      </c>
      <c r="P47" s="20" t="n">
        <v>0.091630004</v>
      </c>
      <c r="Q47" s="20" t="n">
        <v>0.116288776654548</v>
      </c>
      <c r="R47" s="20" t="n">
        <v>0.02454805062203687</v>
      </c>
      <c r="S47" s="21" t="n">
        <v>4</v>
      </c>
      <c r="T47" s="20" t="n"/>
      <c r="U47" s="20" t="n">
        <v>0.09821690597560229</v>
      </c>
      <c r="V47" s="20" t="n">
        <v>0.1044495085284283</v>
      </c>
      <c r="W47" s="20" t="n">
        <v>0.1038917569158156</v>
      </c>
      <c r="X47" s="20" t="n">
        <v>0.1585969351983458</v>
      </c>
      <c r="Y47" s="14" t="n">
        <v>1.3</v>
      </c>
      <c r="Z47" s="19">
        <f>IF(OR(Y47="",F47="",F47=0),"",Y47/F47)</f>
        <v/>
      </c>
      <c r="AA47" s="22" t="n">
        <v>68.18300000000001</v>
      </c>
      <c r="AB47" s="20" t="n">
        <v>0.027</v>
      </c>
      <c r="AC47" s="20" t="n">
        <v>0.1176280589596295</v>
      </c>
      <c r="AD47" s="17">
        <f>IF(OR(Q47="",M47="",M47&lt;=0),"",ROUND(40*MAX(0,MIN(N(Q47)/0.3,1))+IF(OR(R47="",N(Q47)&lt;=0),10,20*MAX(0,1-MIN(R47/Q47,1)))+30*MAX(0,MIN((PARAMETRI!$B$5-M47)/MAX(PARAMETRI!$B$5-10,1),1))+IF(AB47="",3,10*MAX(0,MIN(AB47/0.15,1)))+IF(AND(P47&lt;&gt;"",N(P47)&lt;N(Q47)*0.6),-8,0),1))</f>
        <v/>
      </c>
      <c r="AE47" s="13">
        <f>IF(AND(P47="",Q47=""),"DATI MANCANTI",IF(AND(N(P47)&gt;=PARAMETRI!$B$4,N(Q47)&gt;=PARAMETRI!$B$4),"OK","NO"))</f>
        <v/>
      </c>
      <c r="AF47" s="13">
        <f>IF(M47="","N/D",IF(M47&lt;PARAMETRI!$B$6,"OTTIMO",IF(M47&lt;PARAMETRI!$B$5,"OK","NO")))</f>
        <v/>
      </c>
      <c r="AG47" s="13">
        <f>IF(OR(AE47="DATI MANCANTI",AF47="N/D"),"DA COMPLETARE",IF(AND(AE47="OK",AF47="OTTIMO"),"PASSA FORTE",IF(AND(AE47="OK",AF47="OK"),"PASSA","SCARTA")))</f>
        <v/>
      </c>
      <c r="AH47" s="11" t="inlineStr">
        <is>
          <t>2026-10-12</t>
        </is>
      </c>
      <c r="AI47" s="11" t="inlineStr">
        <is>
          <t>yahoo</t>
        </is>
      </c>
      <c r="AJ47" s="23" t="inlineStr"/>
    </row>
    <row r="48">
      <c r="A48" s="10">
        <f>IF(AD48="","",RANK(AD48,AD$2:AD$67))</f>
        <v/>
      </c>
      <c r="B48" s="11" t="inlineStr">
        <is>
          <t>CNH Industrial</t>
        </is>
      </c>
      <c r="C48" s="12" t="inlineStr">
        <is>
          <t>CNH</t>
        </is>
      </c>
      <c r="D48" s="11" t="inlineStr">
        <is>
          <t>Industria pesante</t>
        </is>
      </c>
      <c r="E48" s="13" t="inlineStr">
        <is>
          <t>Industriale</t>
        </is>
      </c>
      <c r="F48" s="14" t="n">
        <v>11.645</v>
      </c>
      <c r="G48" s="15" t="inlineStr">
        <is>
          <t>USD</t>
        </is>
      </c>
      <c r="H48" s="14" t="n">
        <v>10.43159106801397</v>
      </c>
      <c r="I48" s="16" t="n">
        <v>16775.64670937722</v>
      </c>
      <c r="J48" s="16" t="n">
        <v>18727</v>
      </c>
      <c r="K48" s="14" t="n">
        <v>0.25</v>
      </c>
      <c r="L48" s="14" t="n">
        <v>0.68691</v>
      </c>
      <c r="M48" s="17">
        <f>IF(OR(F48="",K48="",K48&lt;=0),"",F48/K48)</f>
        <v/>
      </c>
      <c r="N48" s="18" t="n">
        <v>1.8584425</v>
      </c>
      <c r="O48" s="19">
        <f>IF(OR(N48="",M48="",M48&lt;=0),"",N48/M48)</f>
        <v/>
      </c>
      <c r="P48" s="20" t="n">
        <v>0.03914</v>
      </c>
      <c r="Q48" s="20" t="n">
        <v>0.2012639037953489</v>
      </c>
      <c r="R48" s="20" t="n">
        <v>0.09342005211694962</v>
      </c>
      <c r="S48" s="21" t="n">
        <v>4</v>
      </c>
      <c r="T48" s="20" t="n"/>
      <c r="U48" s="20" t="n">
        <v>0.06597671410090557</v>
      </c>
      <c r="V48" s="20" t="n">
        <v>0.1628545288197621</v>
      </c>
      <c r="W48" s="20" t="n">
        <v>0.2833125778331258</v>
      </c>
      <c r="X48" s="20" t="n">
        <v>0.2929117944276021</v>
      </c>
      <c r="Y48" s="14" t="n">
        <v>0.1</v>
      </c>
      <c r="Z48" s="19">
        <f>IF(OR(Y48="",F48="",F48=0),"",Y48/F48)</f>
        <v/>
      </c>
      <c r="AA48" s="22" t="n">
        <v>335.044</v>
      </c>
      <c r="AB48" s="20" t="n">
        <v>0.02</v>
      </c>
      <c r="AC48" s="20" t="n">
        <v>0.01718706825089804</v>
      </c>
      <c r="AD48" s="17">
        <f>IF(OR(Q48="",M48="",M48&lt;=0),"",ROUND(40*MAX(0,MIN(N(Q48)/0.3,1))+IF(OR(R48="",N(Q48)&lt;=0),10,20*MAX(0,1-MIN(R48/Q48,1)))+30*MAX(0,MIN((PARAMETRI!$B$5-M48)/MAX(PARAMETRI!$B$5-10,1),1))+IF(AB48="",3,10*MAX(0,MIN(AB48/0.15,1)))+IF(AND(P48&lt;&gt;"",N(P48)&lt;N(Q48)*0.6),-8,0),1))</f>
        <v/>
      </c>
      <c r="AE48" s="13">
        <f>IF(AND(P48="",Q48=""),"DATI MANCANTI",IF(AND(N(P48)&gt;=PARAMETRI!$B$4,N(Q48)&gt;=PARAMETRI!$B$4),"OK","NO"))</f>
        <v/>
      </c>
      <c r="AF48" s="13">
        <f>IF(M48="","N/D",IF(M48&lt;PARAMETRI!$B$6,"OTTIMO",IF(M48&lt;PARAMETRI!$B$5,"OK","NO")))</f>
        <v/>
      </c>
      <c r="AG48" s="13">
        <f>IF(OR(AE48="DATI MANCANTI",AF48="N/D"),"DA COMPLETARE",IF(AND(AE48="OK",AF48="OTTIMO"),"PASSA FORTE",IF(AND(AE48="OK",AF48="OK"),"PASSA","SCARTA")))</f>
        <v/>
      </c>
      <c r="AH48" s="11" t="inlineStr">
        <is>
          <t>2026-10-12</t>
        </is>
      </c>
      <c r="AI48" s="11" t="inlineStr">
        <is>
          <t>yahoo</t>
        </is>
      </c>
      <c r="AJ48" s="23" t="inlineStr">
        <is>
          <t>Delistata da Milano (gen-2024), quota solo NYSE in USD</t>
        </is>
      </c>
    </row>
    <row r="49">
      <c r="A49" s="10">
        <f>IF(AD49="","",RANK(AD49,AD$2:AD$67))</f>
        <v/>
      </c>
      <c r="B49" s="11" t="inlineStr">
        <is>
          <t>Eni</t>
        </is>
      </c>
      <c r="C49" s="12" t="inlineStr">
        <is>
          <t>ENI.MI</t>
        </is>
      </c>
      <c r="D49" s="11" t="inlineStr">
        <is>
          <t>Energia</t>
        </is>
      </c>
      <c r="E49" s="13" t="inlineStr">
        <is>
          <t>Energia</t>
        </is>
      </c>
      <c r="F49" s="14" t="n">
        <v>25.405</v>
      </c>
      <c r="G49" s="15" t="inlineStr">
        <is>
          <t>EUR</t>
        </is>
      </c>
      <c r="H49" s="14" t="n">
        <v>25.405</v>
      </c>
      <c r="I49" s="16" t="n">
        <v>72756.8</v>
      </c>
      <c r="J49" s="16" t="n">
        <v>72756.8</v>
      </c>
      <c r="K49" s="14" t="n">
        <v>1.23</v>
      </c>
      <c r="L49" s="14" t="n">
        <v>2.62823</v>
      </c>
      <c r="M49" s="17">
        <f>IF(OR(F49="",K49="",K49&lt;=0),"",F49/K49)</f>
        <v/>
      </c>
      <c r="N49" s="18" t="n">
        <v>1.6095413</v>
      </c>
      <c r="O49" s="19">
        <f>IF(OR(N49="",M49="",M49&lt;=0),"",N49/M49)</f>
        <v/>
      </c>
      <c r="P49" s="20" t="n">
        <v>0.10901</v>
      </c>
      <c r="Q49" s="20" t="n">
        <v>0.1118555013917138</v>
      </c>
      <c r="R49" s="20" t="n">
        <v>0.08328498900347517</v>
      </c>
      <c r="S49" s="21" t="n">
        <v>4</v>
      </c>
      <c r="T49" s="20" t="n"/>
      <c r="U49" s="20" t="n">
        <v>0.05440133500208594</v>
      </c>
      <c r="V49" s="20" t="n">
        <v>0.04971109216633513</v>
      </c>
      <c r="W49" s="20" t="n">
        <v>0.08970743080625752</v>
      </c>
      <c r="X49" s="20" t="n">
        <v>0.2536021475921766</v>
      </c>
      <c r="Y49" s="14" t="n">
        <v>1.08</v>
      </c>
      <c r="Z49" s="19">
        <f>IF(OR(Y49="",F49="",F49=0),"",Y49/F49)</f>
        <v/>
      </c>
      <c r="AA49" s="22" t="n">
        <v>64.97499999999999</v>
      </c>
      <c r="AB49" s="20" t="n">
        <v>0.185</v>
      </c>
      <c r="AC49" s="20" t="n">
        <v>0.070419105500846</v>
      </c>
      <c r="AD49" s="17">
        <f>IF(OR(Q49="",M49="",M49&lt;=0),"",ROUND(40*MAX(0,MIN(N(Q49)/0.3,1))+IF(OR(R49="",N(Q49)&lt;=0),10,20*MAX(0,1-MIN(R49/Q49,1)))+30*MAX(0,MIN((PARAMETRI!$B$5-M49)/MAX(PARAMETRI!$B$5-10,1),1))+IF(AB49="",3,10*MAX(0,MIN(AB49/0.15,1)))+IF(AND(P49&lt;&gt;"",N(P49)&lt;N(Q49)*0.6),-8,0),1))</f>
        <v/>
      </c>
      <c r="AE49" s="13">
        <f>IF(AND(P49="",Q49=""),"DATI MANCANTI",IF(AND(N(P49)&gt;=PARAMETRI!$B$4,N(Q49)&gt;=PARAMETRI!$B$4),"OK","NO"))</f>
        <v/>
      </c>
      <c r="AF49" s="13">
        <f>IF(M49="","N/D",IF(M49&lt;PARAMETRI!$B$6,"OTTIMO",IF(M49&lt;PARAMETRI!$B$5,"OK","NO")))</f>
        <v/>
      </c>
      <c r="AG49" s="13">
        <f>IF(OR(AE49="DATI MANCANTI",AF49="N/D"),"DA COMPLETARE",IF(AND(AE49="OK",AF49="OTTIMO"),"PASSA FORTE",IF(AND(AE49="OK",AF49="OK"),"PASSA","SCARTA")))</f>
        <v/>
      </c>
      <c r="AH49" s="11" t="inlineStr">
        <is>
          <t>2026-10-12</t>
        </is>
      </c>
      <c r="AI49" s="11" t="inlineStr">
        <is>
          <t>yahoo</t>
        </is>
      </c>
      <c r="AJ49" s="23" t="inlineStr"/>
    </row>
    <row r="50">
      <c r="A50" s="10">
        <f>IF(AD50="","",RANK(AD50,AD$2:AD$67))</f>
        <v/>
      </c>
      <c r="B50" s="11" t="inlineStr">
        <is>
          <t>INWIT</t>
        </is>
      </c>
      <c r="C50" s="12" t="inlineStr">
        <is>
          <t>INW.MI</t>
        </is>
      </c>
      <c r="D50" s="11" t="inlineStr">
        <is>
          <t>Torri / Infrastrutture</t>
        </is>
      </c>
      <c r="E50" s="13" t="inlineStr">
        <is>
          <t>Industriale</t>
        </is>
      </c>
      <c r="F50" s="14" t="n">
        <v>7.15</v>
      </c>
      <c r="G50" s="15" t="inlineStr">
        <is>
          <t>EUR</t>
        </is>
      </c>
      <c r="H50" s="14" t="n">
        <v>7.15</v>
      </c>
      <c r="I50" s="16" t="n">
        <v>6452.8</v>
      </c>
      <c r="J50" s="16" t="n">
        <v>6452.8</v>
      </c>
      <c r="K50" s="14" t="n">
        <v>0.37</v>
      </c>
      <c r="L50" s="14" t="n">
        <v>0.35595</v>
      </c>
      <c r="M50" s="17">
        <f>IF(OR(F50="",K50="",K50&lt;=0),"",F50/K50)</f>
        <v/>
      </c>
      <c r="N50" s="18" t="n">
        <v>2.1254458</v>
      </c>
      <c r="O50" s="19">
        <f>IF(OR(N50="",M50="",M50&lt;=0),"",N50/M50)</f>
        <v/>
      </c>
      <c r="P50" s="20" t="n">
        <v>0.098620005</v>
      </c>
      <c r="Q50" s="20" t="n">
        <v>0.08375718905919846</v>
      </c>
      <c r="R50" s="20" t="n">
        <v>0.01401549999798546</v>
      </c>
      <c r="S50" s="21" t="n">
        <v>4</v>
      </c>
      <c r="T50" s="20" t="n"/>
      <c r="U50" s="20" t="n">
        <v>0.1042395007229944</v>
      </c>
      <c r="V50" s="20" t="n">
        <v>0.0868230114415488</v>
      </c>
      <c r="W50" s="20" t="n">
        <v>0.0782900743220354</v>
      </c>
      <c r="X50" s="20" t="n">
        <v>0.06567616975021522</v>
      </c>
      <c r="Y50" s="14" t="n">
        <v>0.55</v>
      </c>
      <c r="Z50" s="19">
        <f>IF(OR(Y50="",F50="",F50=0),"",Y50/F50)</f>
        <v/>
      </c>
      <c r="AA50" s="22" t="n">
        <v>176.713</v>
      </c>
      <c r="AB50" s="20" t="n">
        <v>-0.008</v>
      </c>
      <c r="AC50" s="20" t="n">
        <v>0.3133351145555501</v>
      </c>
      <c r="AD50" s="17">
        <f>IF(OR(Q50="",M50="",M50&lt;=0),"",ROUND(40*MAX(0,MIN(N(Q50)/0.3,1))+IF(OR(R50="",N(Q50)&lt;=0),10,20*MAX(0,1-MIN(R50/Q50,1)))+30*MAX(0,MIN((PARAMETRI!$B$5-M50)/MAX(PARAMETRI!$B$5-10,1),1))+IF(AB50="",3,10*MAX(0,MIN(AB50/0.15,1)))+IF(AND(P50&lt;&gt;"",N(P50)&lt;N(Q50)*0.6),-8,0),1))</f>
        <v/>
      </c>
      <c r="AE50" s="13">
        <f>IF(AND(P50="",Q50=""),"DATI MANCANTI",IF(AND(N(P50)&gt;=PARAMETRI!$B$4,N(Q50)&gt;=PARAMETRI!$B$4),"OK","NO"))</f>
        <v/>
      </c>
      <c r="AF50" s="13">
        <f>IF(M50="","N/D",IF(M50&lt;PARAMETRI!$B$6,"OTTIMO",IF(M50&lt;PARAMETRI!$B$5,"OK","NO")))</f>
        <v/>
      </c>
      <c r="AG50" s="13">
        <f>IF(OR(AE50="DATI MANCANTI",AF50="N/D"),"DA COMPLETARE",IF(AND(AE50="OK",AF50="OTTIMO"),"PASSA FORTE",IF(AND(AE50="OK",AF50="OK"),"PASSA","SCARTA")))</f>
        <v/>
      </c>
      <c r="AH50" s="11" t="inlineStr">
        <is>
          <t>2026-10-12</t>
        </is>
      </c>
      <c r="AI50" s="11" t="inlineStr">
        <is>
          <t>yahoo</t>
        </is>
      </c>
      <c r="AJ50" s="23" t="inlineStr"/>
    </row>
    <row r="51">
      <c r="A51" s="10">
        <f>IF(AD51="","",RANK(AD51,AD$2:AD$67))</f>
        <v/>
      </c>
      <c r="B51" s="11" t="inlineStr">
        <is>
          <t>STMicroelectronics</t>
        </is>
      </c>
      <c r="C51" s="12" t="inlineStr">
        <is>
          <t>STMMI.MI</t>
        </is>
      </c>
      <c r="D51" s="11" t="inlineStr">
        <is>
          <t>Semiconduttori</t>
        </is>
      </c>
      <c r="E51" s="13" t="inlineStr">
        <is>
          <t>Tecnologia</t>
        </is>
      </c>
      <c r="F51" s="14" t="n">
        <v>45.575</v>
      </c>
      <c r="G51" s="15" t="inlineStr">
        <is>
          <t>EUR</t>
        </is>
      </c>
      <c r="H51" s="14" t="n">
        <v>45.575</v>
      </c>
      <c r="I51" s="16" t="n">
        <v>40821.5</v>
      </c>
      <c r="J51" s="16" t="n">
        <v>40821.5</v>
      </c>
      <c r="K51" s="14" t="n">
        <v>0.03</v>
      </c>
      <c r="L51" s="14" t="n">
        <v>1.42</v>
      </c>
      <c r="M51" s="17">
        <f>IF(OR(F51="",K51="",K51&lt;=0),"",F51/K51)</f>
        <v/>
      </c>
      <c r="N51" s="18" t="n">
        <v>2.6806207</v>
      </c>
      <c r="O51" s="19">
        <f>IF(OR(N51="",M51="",M51&lt;=0),"",N51/M51)</f>
        <v/>
      </c>
      <c r="P51" s="20" t="n">
        <v>0.02686</v>
      </c>
      <c r="Q51" s="20" t="n">
        <v>0.1655610564349585</v>
      </c>
      <c r="R51" s="20" t="n">
        <v>0.1215552570620177</v>
      </c>
      <c r="S51" s="21" t="n">
        <v>4</v>
      </c>
      <c r="T51" s="20" t="n"/>
      <c r="U51" s="20" t="n">
        <v>0.009311195871662552</v>
      </c>
      <c r="V51" s="20" t="n">
        <v>0.08923147458307067</v>
      </c>
      <c r="W51" s="20" t="n">
        <v>0.2517185725387052</v>
      </c>
      <c r="X51" s="20" t="n">
        <v>0.3119829827463956</v>
      </c>
      <c r="Y51" s="14" t="n">
        <v>0.32</v>
      </c>
      <c r="Z51" s="19">
        <f>IF(OR(Y51="",F51="",F51=0),"",Y51/F51)</f>
        <v/>
      </c>
      <c r="AA51" s="22" t="n">
        <v>23.446</v>
      </c>
      <c r="AB51" s="20" t="n">
        <v>0.261</v>
      </c>
      <c r="AC51" s="20" t="n">
        <v>0.03949152542372882</v>
      </c>
      <c r="AD51" s="17">
        <f>IF(OR(Q51="",M51="",M51&lt;=0),"",ROUND(40*MAX(0,MIN(N(Q51)/0.3,1))+IF(OR(R51="",N(Q51)&lt;=0),10,20*MAX(0,1-MIN(R51/Q51,1)))+30*MAX(0,MIN((PARAMETRI!$B$5-M51)/MAX(PARAMETRI!$B$5-10,1),1))+IF(AB51="",3,10*MAX(0,MIN(AB51/0.15,1)))+IF(AND(P51&lt;&gt;"",N(P51)&lt;N(Q51)*0.6),-8,0),1))</f>
        <v/>
      </c>
      <c r="AE51" s="13">
        <f>IF(AND(P51="",Q51=""),"DATI MANCANTI",IF(AND(N(P51)&gt;=PARAMETRI!$B$4,N(Q51)&gt;=PARAMETRI!$B$4),"OK","NO"))</f>
        <v/>
      </c>
      <c r="AF51" s="13">
        <f>IF(M51="","N/D",IF(M51&lt;PARAMETRI!$B$6,"OTTIMO",IF(M51&lt;PARAMETRI!$B$5,"OK","NO")))</f>
        <v/>
      </c>
      <c r="AG51" s="13">
        <f>IF(OR(AE51="DATI MANCANTI",AF51="N/D"),"DA COMPLETARE",IF(AND(AE51="OK",AF51="OTTIMO"),"PASSA FORTE",IF(AND(AE51="OK",AF51="OK"),"PASSA","SCARTA")))</f>
        <v/>
      </c>
      <c r="AH51" s="11" t="inlineStr">
        <is>
          <t>2026-10-12</t>
        </is>
      </c>
      <c r="AI51" s="11" t="inlineStr">
        <is>
          <t>yahoo</t>
        </is>
      </c>
      <c r="AJ51" s="23" t="inlineStr">
        <is>
          <t>Bilancio in USD</t>
        </is>
      </c>
    </row>
    <row r="52">
      <c r="A52" s="10">
        <f>IF(AD52="","",RANK(AD52,AD$2:AD$67))</f>
        <v/>
      </c>
      <c r="B52" s="11" t="inlineStr">
        <is>
          <t>Amplifon</t>
        </is>
      </c>
      <c r="C52" s="12" t="inlineStr">
        <is>
          <t>AMP.MI</t>
        </is>
      </c>
      <c r="D52" s="11" t="inlineStr">
        <is>
          <t>Dispositivi medicali</t>
        </is>
      </c>
      <c r="E52" s="13" t="inlineStr">
        <is>
          <t>Salute</t>
        </is>
      </c>
      <c r="F52" s="14" t="n">
        <v>12.65</v>
      </c>
      <c r="G52" s="15" t="inlineStr">
        <is>
          <t>EUR</t>
        </is>
      </c>
      <c r="H52" s="14" t="n">
        <v>12.65</v>
      </c>
      <c r="I52" s="16" t="n">
        <v>3361.7</v>
      </c>
      <c r="J52" s="16" t="n">
        <v>3361.7</v>
      </c>
      <c r="K52" s="14" t="n">
        <v>0.31</v>
      </c>
      <c r="L52" s="14" t="n">
        <v>0.87932</v>
      </c>
      <c r="M52" s="17">
        <f>IF(OR(F52="",K52="",K52&lt;=0),"",F52/K52)</f>
        <v/>
      </c>
      <c r="N52" s="18" t="n">
        <v>2.2208567</v>
      </c>
      <c r="O52" s="19">
        <f>IF(OR(N52="",M52="",M52&lt;=0),"",N52/M52)</f>
        <v/>
      </c>
      <c r="P52" s="20" t="n">
        <v>0.05737</v>
      </c>
      <c r="Q52" s="20" t="n">
        <v>0.1326830497258543</v>
      </c>
      <c r="R52" s="20" t="n">
        <v>0.02890399099608494</v>
      </c>
      <c r="S52" s="21" t="n">
        <v>4</v>
      </c>
      <c r="T52" s="20" t="n"/>
      <c r="U52" s="20" t="n">
        <v>0.0914974143820864</v>
      </c>
      <c r="V52" s="20" t="n">
        <v>0.1264119540661668</v>
      </c>
      <c r="W52" s="20" t="n">
        <v>0.140917724192243</v>
      </c>
      <c r="X52" s="20" t="n">
        <v>0.1719051062629212</v>
      </c>
      <c r="Y52" s="14" t="n">
        <v>0.29</v>
      </c>
      <c r="Z52" s="19">
        <f>IF(OR(Y52="",F52="",F52=0),"",Y52/F52)</f>
        <v/>
      </c>
      <c r="AA52" s="22" t="n">
        <v>117.681</v>
      </c>
      <c r="AB52" s="20" t="n">
        <v>0.022</v>
      </c>
      <c r="AC52" s="20" t="n">
        <v>0.03017399888550552</v>
      </c>
      <c r="AD52" s="17">
        <f>IF(OR(Q52="",M52="",M52&lt;=0),"",ROUND(40*MAX(0,MIN(N(Q52)/0.3,1))+IF(OR(R52="",N(Q52)&lt;=0),10,20*MAX(0,1-MIN(R52/Q52,1)))+30*MAX(0,MIN((PARAMETRI!$B$5-M52)/MAX(PARAMETRI!$B$5-10,1),1))+IF(AB52="",3,10*MAX(0,MIN(AB52/0.15,1)))+IF(AND(P52&lt;&gt;"",N(P52)&lt;N(Q52)*0.6),-8,0),1))</f>
        <v/>
      </c>
      <c r="AE52" s="13">
        <f>IF(AND(P52="",Q52=""),"DATI MANCANTI",IF(AND(N(P52)&gt;=PARAMETRI!$B$4,N(Q52)&gt;=PARAMETRI!$B$4),"OK","NO"))</f>
        <v/>
      </c>
      <c r="AF52" s="13">
        <f>IF(M52="","N/D",IF(M52&lt;PARAMETRI!$B$6,"OTTIMO",IF(M52&lt;PARAMETRI!$B$5,"OK","NO")))</f>
        <v/>
      </c>
      <c r="AG52" s="13">
        <f>IF(OR(AE52="DATI MANCANTI",AF52="N/D"),"DA COMPLETARE",IF(AND(AE52="OK",AF52="OTTIMO"),"PASSA FORTE",IF(AND(AE52="OK",AF52="OK"),"PASSA","SCARTA")))</f>
        <v/>
      </c>
      <c r="AH52" s="11" t="inlineStr">
        <is>
          <t>2026-10-12</t>
        </is>
      </c>
      <c r="AI52" s="11" t="inlineStr">
        <is>
          <t>yahoo</t>
        </is>
      </c>
      <c r="AJ52" s="23" t="inlineStr"/>
    </row>
    <row r="53">
      <c r="A53" s="10">
        <f>IF(AD53="","",RANK(AD53,AD$2:AD$67))</f>
        <v/>
      </c>
      <c r="B53" s="11" t="inlineStr">
        <is>
          <t>Davide Campari-Milano</t>
        </is>
      </c>
      <c r="C53" s="12" t="inlineStr">
        <is>
          <t>CPR.MI</t>
        </is>
      </c>
      <c r="D53" s="11" t="inlineStr">
        <is>
          <t>Bevande</t>
        </is>
      </c>
      <c r="E53" s="13" t="inlineStr">
        <is>
          <t>Consumi</t>
        </is>
      </c>
      <c r="F53" s="14" t="n">
        <v>6.274</v>
      </c>
      <c r="G53" s="15" t="inlineStr">
        <is>
          <t>EUR</t>
        </is>
      </c>
      <c r="H53" s="14" t="n">
        <v>6.274</v>
      </c>
      <c r="I53" s="16" t="n">
        <v>7524.8</v>
      </c>
      <c r="J53" s="16" t="n">
        <v>7524.8</v>
      </c>
      <c r="K53" s="14" t="n">
        <v>0.15</v>
      </c>
      <c r="L53" s="14" t="n">
        <v>0.35152</v>
      </c>
      <c r="M53" s="17">
        <f>IF(OR(F53="",K53="",K53&lt;=0),"",F53/K53)</f>
        <v/>
      </c>
      <c r="N53" s="18" t="n">
        <v>1.8852164</v>
      </c>
      <c r="O53" s="19">
        <f>IF(OR(N53="",M53="",M53&lt;=0),"",N53/M53)</f>
        <v/>
      </c>
      <c r="P53" s="20" t="n">
        <v>0.06676</v>
      </c>
      <c r="Q53" s="20" t="n">
        <v>0.09484329341283899</v>
      </c>
      <c r="R53" s="20" t="n">
        <v>0.02757068204192986</v>
      </c>
      <c r="S53" s="21" t="n">
        <v>4</v>
      </c>
      <c r="T53" s="20" t="n"/>
      <c r="U53" s="20" t="n">
        <v>0.08964999482240861</v>
      </c>
      <c r="V53" s="20" t="n">
        <v>0.05230928905033731</v>
      </c>
      <c r="W53" s="20" t="n">
        <v>0.1129837276083687</v>
      </c>
      <c r="X53" s="20" t="n">
        <v>0.1244301621702414</v>
      </c>
      <c r="Y53" s="14" t="n">
        <v>0.1</v>
      </c>
      <c r="Z53" s="19">
        <f>IF(OR(Y53="",F53="",F53=0),"",Y53/F53)</f>
        <v/>
      </c>
      <c r="AA53" s="22" t="n">
        <v>70.273</v>
      </c>
      <c r="AB53" s="20" t="n">
        <v>-0.01</v>
      </c>
      <c r="AC53" s="20" t="n">
        <v>0.0882632493199174</v>
      </c>
      <c r="AD53" s="17">
        <f>IF(OR(Q53="",M53="",M53&lt;=0),"",ROUND(40*MAX(0,MIN(N(Q53)/0.3,1))+IF(OR(R53="",N(Q53)&lt;=0),10,20*MAX(0,1-MIN(R53/Q53,1)))+30*MAX(0,MIN((PARAMETRI!$B$5-M53)/MAX(PARAMETRI!$B$5-10,1),1))+IF(AB53="",3,10*MAX(0,MIN(AB53/0.15,1)))+IF(AND(P53&lt;&gt;"",N(P53)&lt;N(Q53)*0.6),-8,0),1))</f>
        <v/>
      </c>
      <c r="AE53" s="13">
        <f>IF(AND(P53="",Q53=""),"DATI MANCANTI",IF(AND(N(P53)&gt;=PARAMETRI!$B$4,N(Q53)&gt;=PARAMETRI!$B$4),"OK","NO"))</f>
        <v/>
      </c>
      <c r="AF53" s="13">
        <f>IF(M53="","N/D",IF(M53&lt;PARAMETRI!$B$6,"OTTIMO",IF(M53&lt;PARAMETRI!$B$5,"OK","NO")))</f>
        <v/>
      </c>
      <c r="AG53" s="13">
        <f>IF(OR(AE53="DATI MANCANTI",AF53="N/D"),"DA COMPLETARE",IF(AND(AE53="OK",AF53="OTTIMO"),"PASSA FORTE",IF(AND(AE53="OK",AF53="OK"),"PASSA","SCARTA")))</f>
        <v/>
      </c>
      <c r="AH53" s="11" t="inlineStr">
        <is>
          <t>2026-10-12</t>
        </is>
      </c>
      <c r="AI53" s="11" t="inlineStr">
        <is>
          <t>yahoo</t>
        </is>
      </c>
      <c r="AJ53" s="23" t="inlineStr"/>
    </row>
    <row r="54">
      <c r="A54" s="10">
        <f>IF(AD54="","",RANK(AD54,AD$2:AD$67))</f>
        <v/>
      </c>
      <c r="B54" s="11" t="inlineStr">
        <is>
          <t>Iveco Group</t>
        </is>
      </c>
      <c r="C54" s="12" t="inlineStr">
        <is>
          <t>IVG.MI</t>
        </is>
      </c>
      <c r="D54" s="11" t="inlineStr">
        <is>
          <t>Veicoli industriali</t>
        </is>
      </c>
      <c r="E54" s="13" t="inlineStr">
        <is>
          <t>Industriale</t>
        </is>
      </c>
      <c r="F54" s="14" t="n">
        <v>14.335</v>
      </c>
      <c r="G54" s="15" t="inlineStr">
        <is>
          <t>EUR</t>
        </is>
      </c>
      <c r="H54" s="14" t="n">
        <v>14.335</v>
      </c>
      <c r="I54" s="16" t="n">
        <v>3818.1</v>
      </c>
      <c r="J54" s="16" t="n">
        <v>3818.1</v>
      </c>
      <c r="K54" s="14" t="n">
        <v>0.23</v>
      </c>
      <c r="L54" s="14" t="n">
        <v>2.04691</v>
      </c>
      <c r="M54" s="17">
        <f>IF(OR(F54="",K54="",K54&lt;=0),"",F54/K54)</f>
        <v/>
      </c>
      <c r="N54" s="18" t="n">
        <v>1.5470538</v>
      </c>
      <c r="O54" s="19">
        <f>IF(OR(N54="",M54="",M54&lt;=0),"",N54/M54)</f>
        <v/>
      </c>
      <c r="P54" s="20" t="n">
        <v>0.02429</v>
      </c>
      <c r="Q54" s="20" t="n">
        <v>0.09726813021820266</v>
      </c>
      <c r="R54" s="20" t="n">
        <v>0.02406301283286296</v>
      </c>
      <c r="S54" s="21" t="n">
        <v>4</v>
      </c>
      <c r="T54" s="20" t="n"/>
      <c r="U54" s="20" t="n">
        <v>0.1047101449275362</v>
      </c>
      <c r="V54" s="20" t="n">
        <v>0.1293071507965913</v>
      </c>
      <c r="W54" s="20" t="n">
        <v>0.09260832625318606</v>
      </c>
      <c r="X54" s="20" t="n">
        <v>0.06244689889549702</v>
      </c>
      <c r="Y54" s="14" t="n">
        <v>0.33</v>
      </c>
      <c r="Z54" s="19">
        <f>IF(OR(Y54="",F54="",F54=0),"",Y54/F54)</f>
        <v/>
      </c>
      <c r="AA54" s="22" t="n">
        <v>233.426</v>
      </c>
      <c r="AB54" s="20" t="n">
        <v>0.073</v>
      </c>
      <c r="AC54" s="20" t="n">
        <v>0.004691689008042895</v>
      </c>
      <c r="AD54" s="17">
        <f>IF(OR(Q54="",M54="",M54&lt;=0),"",ROUND(40*MAX(0,MIN(N(Q54)/0.3,1))+IF(OR(R54="",N(Q54)&lt;=0),10,20*MAX(0,1-MIN(R54/Q54,1)))+30*MAX(0,MIN((PARAMETRI!$B$5-M54)/MAX(PARAMETRI!$B$5-10,1),1))+IF(AB54="",3,10*MAX(0,MIN(AB54/0.15,1)))+IF(AND(P54&lt;&gt;"",N(P54)&lt;N(Q54)*0.6),-8,0),1))</f>
        <v/>
      </c>
      <c r="AE54" s="13">
        <f>IF(AND(P54="",Q54=""),"DATI MANCANTI",IF(AND(N(P54)&gt;=PARAMETRI!$B$4,N(Q54)&gt;=PARAMETRI!$B$4),"OK","NO"))</f>
        <v/>
      </c>
      <c r="AF54" s="13">
        <f>IF(M54="","N/D",IF(M54&lt;PARAMETRI!$B$6,"OTTIMO",IF(M54&lt;PARAMETRI!$B$5,"OK","NO")))</f>
        <v/>
      </c>
      <c r="AG54" s="13">
        <f>IF(OR(AE54="DATI MANCANTI",AF54="N/D"),"DA COMPLETARE",IF(AND(AE54="OK",AF54="OTTIMO"),"PASSA FORTE",IF(AND(AE54="OK",AF54="OK"),"PASSA","SCARTA")))</f>
        <v/>
      </c>
      <c r="AH54" s="11" t="inlineStr">
        <is>
          <t>2026-10-12</t>
        </is>
      </c>
      <c r="AI54" s="11" t="inlineStr">
        <is>
          <t>yahoo</t>
        </is>
      </c>
      <c r="AJ54" s="23" t="inlineStr"/>
    </row>
    <row r="55">
      <c r="A55" s="10">
        <f>IF(AD55="","",RANK(AD55,AD$2:AD$67))</f>
        <v/>
      </c>
      <c r="B55" s="11" t="inlineStr">
        <is>
          <t>ERG</t>
        </is>
      </c>
      <c r="C55" s="12" t="inlineStr">
        <is>
          <t>ERG.MI</t>
        </is>
      </c>
      <c r="D55" s="11" t="inlineStr">
        <is>
          <t>Utility / Rinnovabili</t>
        </is>
      </c>
      <c r="E55" s="13" t="inlineStr">
        <is>
          <t>Utility</t>
        </is>
      </c>
      <c r="F55" s="14" t="n">
        <v>22.2</v>
      </c>
      <c r="G55" s="15" t="inlineStr">
        <is>
          <t>EUR</t>
        </is>
      </c>
      <c r="H55" s="14" t="n">
        <v>22.2</v>
      </c>
      <c r="I55" s="16" t="n">
        <v>3226.9</v>
      </c>
      <c r="J55" s="16" t="n">
        <v>3226.9</v>
      </c>
      <c r="K55" s="14" t="n">
        <v>0.55</v>
      </c>
      <c r="L55" s="14" t="n">
        <v>1.16663</v>
      </c>
      <c r="M55" s="17">
        <f>IF(OR(F55="",K55="",K55&lt;=0),"",F55/K55)</f>
        <v/>
      </c>
      <c r="N55" s="18" t="n">
        <v>1.7078238</v>
      </c>
      <c r="O55" s="19">
        <f>IF(OR(N55="",M55="",M55&lt;=0),"",N55/M55)</f>
        <v/>
      </c>
      <c r="P55" s="20" t="n">
        <v>0.04065</v>
      </c>
      <c r="Q55" s="20" t="n">
        <v>0.09724741336023976</v>
      </c>
      <c r="R55" s="20" t="n">
        <v>0.05519134116901761</v>
      </c>
      <c r="S55" s="21" t="n">
        <v>4</v>
      </c>
      <c r="T55" s="20" t="n"/>
      <c r="U55" s="20" t="n">
        <v>0.03280439526475774</v>
      </c>
      <c r="V55" s="20" t="n">
        <v>0.08715430505101514</v>
      </c>
      <c r="W55" s="20" t="n">
        <v>0.08376241717779331</v>
      </c>
      <c r="X55" s="20" t="n">
        <v>0.1852685359473929</v>
      </c>
      <c r="Y55" s="14" t="n">
        <v>1</v>
      </c>
      <c r="Z55" s="19">
        <f>IF(OR(Y55="",F55="",F55=0),"",Y55/F55)</f>
        <v/>
      </c>
      <c r="AA55" s="22" t="n">
        <v>137.035</v>
      </c>
      <c r="AB55" s="20" t="n"/>
      <c r="AC55" s="20" t="n">
        <v>0.1046401699804334</v>
      </c>
      <c r="AD55" s="17">
        <f>IF(OR(Q55="",M55="",M55&lt;=0),"",ROUND(40*MAX(0,MIN(N(Q55)/0.3,1))+IF(OR(R55="",N(Q55)&lt;=0),10,20*MAX(0,1-MIN(R55/Q55,1)))+30*MAX(0,MIN((PARAMETRI!$B$5-M55)/MAX(PARAMETRI!$B$5-10,1),1))+IF(AB55="",3,10*MAX(0,MIN(AB55/0.15,1)))+IF(AND(P55&lt;&gt;"",N(P55)&lt;N(Q55)*0.6),-8,0),1))</f>
        <v/>
      </c>
      <c r="AE55" s="13">
        <f>IF(AND(P55="",Q55=""),"DATI MANCANTI",IF(AND(N(P55)&gt;=PARAMETRI!$B$4,N(Q55)&gt;=PARAMETRI!$B$4),"OK","NO"))</f>
        <v/>
      </c>
      <c r="AF55" s="13">
        <f>IF(M55="","N/D",IF(M55&lt;PARAMETRI!$B$6,"OTTIMO",IF(M55&lt;PARAMETRI!$B$5,"OK","NO")))</f>
        <v/>
      </c>
      <c r="AG55" s="13">
        <f>IF(OR(AE55="DATI MANCANTI",AF55="N/D"),"DA COMPLETARE",IF(AND(AE55="OK",AF55="OTTIMO"),"PASSA FORTE",IF(AND(AE55="OK",AF55="OK"),"PASSA","SCARTA")))</f>
        <v/>
      </c>
      <c r="AH55" s="11" t="inlineStr">
        <is>
          <t>2026-10-12</t>
        </is>
      </c>
      <c r="AI55" s="11" t="inlineStr">
        <is>
          <t>yahoo</t>
        </is>
      </c>
      <c r="AJ55" s="23" t="inlineStr"/>
    </row>
    <row r="56">
      <c r="A56" s="10">
        <f>IF(AD56="","",RANK(AD56,AD$2:AD$67))</f>
        <v/>
      </c>
      <c r="B56" s="11" t="inlineStr">
        <is>
          <t>Esprinet</t>
        </is>
      </c>
      <c r="C56" s="12" t="inlineStr">
        <is>
          <t>PRT.MI</t>
        </is>
      </c>
      <c r="D56" s="11" t="inlineStr">
        <is>
          <t>Distribuzione IT</t>
        </is>
      </c>
      <c r="E56" s="13" t="inlineStr">
        <is>
          <t>Tecnologia</t>
        </is>
      </c>
      <c r="F56" s="14" t="n">
        <v>7.925</v>
      </c>
      <c r="G56" s="15" t="inlineStr">
        <is>
          <t>EUR</t>
        </is>
      </c>
      <c r="H56" s="14" t="n">
        <v>7.925</v>
      </c>
      <c r="I56" s="16" t="n">
        <v>391.8</v>
      </c>
      <c r="J56" s="16" t="n">
        <v>391.8</v>
      </c>
      <c r="K56" s="14" t="n">
        <v>0.44</v>
      </c>
      <c r="L56" s="14" t="n">
        <v>0.63139</v>
      </c>
      <c r="M56" s="17">
        <f>IF(OR(F56="",K56="",K56&lt;=0),"",F56/K56)</f>
        <v/>
      </c>
      <c r="N56" s="18" t="n">
        <v>1.0397533</v>
      </c>
      <c r="O56" s="19">
        <f>IF(OR(N56="",M56="",M56&lt;=0),"",N56/M56)</f>
        <v/>
      </c>
      <c r="P56" s="20" t="n">
        <v>0.05738</v>
      </c>
      <c r="Q56" s="20" t="n">
        <v>0.04761574922132365</v>
      </c>
      <c r="R56" s="20" t="n">
        <v>0.05268191971291874</v>
      </c>
      <c r="S56" s="21" t="n">
        <v>4</v>
      </c>
      <c r="T56" s="20" t="n"/>
      <c r="U56" s="20" t="n">
        <v>0.05179603050299125</v>
      </c>
      <c r="V56" s="20" t="n">
        <v>0.0552888011982109</v>
      </c>
      <c r="W56" s="20" t="n">
        <v>-0.03232084047794018</v>
      </c>
      <c r="X56" s="20" t="n">
        <v>0.1156990056620326</v>
      </c>
      <c r="Y56" s="14" t="n">
        <v>0.35</v>
      </c>
      <c r="Z56" s="19">
        <f>IF(OR(Y56="",F56="",F56=0),"",Y56/F56)</f>
        <v/>
      </c>
      <c r="AA56" s="22" t="n">
        <v>118.59</v>
      </c>
      <c r="AB56" s="20" t="n">
        <v>0.057</v>
      </c>
      <c r="AC56" s="20" t="n">
        <v>0.005013921086660221</v>
      </c>
      <c r="AD56" s="17">
        <f>IF(OR(Q56="",M56="",M56&lt;=0),"",ROUND(40*MAX(0,MIN(N(Q56)/0.3,1))+IF(OR(R56="",N(Q56)&lt;=0),10,20*MAX(0,1-MIN(R56/Q56,1)))+30*MAX(0,MIN((PARAMETRI!$B$5-M56)/MAX(PARAMETRI!$B$5-10,1),1))+IF(AB56="",3,10*MAX(0,MIN(AB56/0.15,1)))+IF(AND(P56&lt;&gt;"",N(P56)&lt;N(Q56)*0.6),-8,0),1))</f>
        <v/>
      </c>
      <c r="AE56" s="13">
        <f>IF(AND(P56="",Q56=""),"DATI MANCANTI",IF(AND(N(P56)&gt;=PARAMETRI!$B$4,N(Q56)&gt;=PARAMETRI!$B$4),"OK","NO"))</f>
        <v/>
      </c>
      <c r="AF56" s="13">
        <f>IF(M56="","N/D",IF(M56&lt;PARAMETRI!$B$6,"OTTIMO",IF(M56&lt;PARAMETRI!$B$5,"OK","NO")))</f>
        <v/>
      </c>
      <c r="AG56" s="13">
        <f>IF(OR(AE56="DATI MANCANTI",AF56="N/D"),"DA COMPLETARE",IF(AND(AE56="OK",AF56="OTTIMO"),"PASSA FORTE",IF(AND(AE56="OK",AF56="OK"),"PASSA","SCARTA")))</f>
        <v/>
      </c>
      <c r="AH56" s="11" t="inlineStr">
        <is>
          <t>2026-10-12</t>
        </is>
      </c>
      <c r="AI56" s="11" t="inlineStr">
        <is>
          <t>yahoo</t>
        </is>
      </c>
      <c r="AJ56" s="23" t="inlineStr"/>
    </row>
    <row r="57">
      <c r="A57" s="10">
        <f>IF(AD57="","",RANK(AD57,AD$2:AD$67))</f>
        <v/>
      </c>
      <c r="B57" s="11" t="inlineStr">
        <is>
          <t>Telecom Italia ord.</t>
        </is>
      </c>
      <c r="C57" s="12" t="inlineStr">
        <is>
          <t>TIT.MI</t>
        </is>
      </c>
      <c r="D57" s="11" t="inlineStr">
        <is>
          <t>Telecomunicazioni</t>
        </is>
      </c>
      <c r="E57" s="13" t="inlineStr">
        <is>
          <t>Industriale</t>
        </is>
      </c>
      <c r="F57" s="14" t="n">
        <v>5.486</v>
      </c>
      <c r="G57" s="15" t="inlineStr">
        <is>
          <t>EUR</t>
        </is>
      </c>
      <c r="H57" s="14" t="n">
        <v>5.486</v>
      </c>
      <c r="I57" s="16" t="n">
        <v>11703.1</v>
      </c>
      <c r="J57" s="16" t="n">
        <v>11703.1</v>
      </c>
      <c r="K57" s="14" t="n">
        <v>0.21</v>
      </c>
      <c r="L57" s="14" t="n">
        <v>0.28418</v>
      </c>
      <c r="M57" s="17">
        <f>IF(OR(F57="",K57="",K57&lt;=0),"",F57/K57)</f>
        <v/>
      </c>
      <c r="N57" s="18" t="n">
        <v>1.0123639</v>
      </c>
      <c r="O57" s="19">
        <f>IF(OR(N57="",M57="",M57&lt;=0),"",N57/M57)</f>
        <v/>
      </c>
      <c r="P57" s="20" t="n">
        <v>0.03897</v>
      </c>
      <c r="Q57" s="20" t="n">
        <v>-0.08162966379239703</v>
      </c>
      <c r="R57" s="20" t="n">
        <v>0.07970027299822047</v>
      </c>
      <c r="S57" s="21" t="n">
        <v>4</v>
      </c>
      <c r="T57" s="20" t="n"/>
      <c r="U57" s="20" t="n">
        <v>0.02430640805303216</v>
      </c>
      <c r="V57" s="20" t="n">
        <v>-0.05101614117253492</v>
      </c>
      <c r="W57" s="20" t="n">
        <v>-0.1055987102447604</v>
      </c>
      <c r="X57" s="20" t="n">
        <v>-0.194210211805325</v>
      </c>
      <c r="Y57" s="14" t="n"/>
      <c r="Z57" s="19">
        <f>IF(OR(Y57="",F57="",F57=0),"",Y57/F57)</f>
        <v/>
      </c>
      <c r="AA57" s="22" t="n">
        <v>104.611</v>
      </c>
      <c r="AB57" s="20" t="n">
        <v>0.064</v>
      </c>
      <c r="AC57" s="20" t="n">
        <v>0.02067860783457114</v>
      </c>
      <c r="AD57" s="17">
        <f>IF(OR(Q57="",M57="",M57&lt;=0),"",ROUND(40*MAX(0,MIN(N(Q57)/0.3,1))+IF(OR(R57="",N(Q57)&lt;=0),10,20*MAX(0,1-MIN(R57/Q57,1)))+30*MAX(0,MIN((PARAMETRI!$B$5-M57)/MAX(PARAMETRI!$B$5-10,1),1))+IF(AB57="",3,10*MAX(0,MIN(AB57/0.15,1)))+IF(AND(P57&lt;&gt;"",N(P57)&lt;N(Q57)*0.6),-8,0),1))</f>
        <v/>
      </c>
      <c r="AE57" s="13">
        <f>IF(AND(P57="",Q57=""),"DATI MANCANTI",IF(AND(N(P57)&gt;=PARAMETRI!$B$4,N(Q57)&gt;=PARAMETRI!$B$4),"OK","NO"))</f>
        <v/>
      </c>
      <c r="AF57" s="13">
        <f>IF(M57="","N/D",IF(M57&lt;PARAMETRI!$B$6,"OTTIMO",IF(M57&lt;PARAMETRI!$B$5,"OK","NO")))</f>
        <v/>
      </c>
      <c r="AG57" s="13">
        <f>IF(OR(AE57="DATI MANCANTI",AF57="N/D"),"DA COMPLETARE",IF(AND(AE57="OK",AF57="OTTIMO"),"PASSA FORTE",IF(AND(AE57="OK",AF57="OK"),"PASSA","SCARTA")))</f>
        <v/>
      </c>
      <c r="AH57" s="11" t="inlineStr">
        <is>
          <t>2026-10-12</t>
        </is>
      </c>
      <c r="AI57" s="11" t="inlineStr">
        <is>
          <t>yahoo</t>
        </is>
      </c>
      <c r="AJ57" s="23" t="inlineStr"/>
    </row>
    <row r="58">
      <c r="A58" s="10">
        <f>IF(AD58="","",RANK(AD58,AD$2:AD$67))</f>
        <v/>
      </c>
      <c r="B58" s="11" t="inlineStr">
        <is>
          <t>Fincantieri</t>
        </is>
      </c>
      <c r="C58" s="12" t="inlineStr">
        <is>
          <t>FCT.MI</t>
        </is>
      </c>
      <c r="D58" s="11" t="inlineStr">
        <is>
          <t>Cantieristica</t>
        </is>
      </c>
      <c r="E58" s="13" t="inlineStr">
        <is>
          <t>Industriale</t>
        </is>
      </c>
      <c r="F58" s="14" t="n">
        <v>12.57</v>
      </c>
      <c r="G58" s="15" t="inlineStr">
        <is>
          <t>EUR</t>
        </is>
      </c>
      <c r="H58" s="14" t="n">
        <v>12.57</v>
      </c>
      <c r="I58" s="16" t="n">
        <v>4760.4</v>
      </c>
      <c r="J58" s="16" t="n">
        <v>4760.4</v>
      </c>
      <c r="K58" s="14" t="n">
        <v>0.53</v>
      </c>
      <c r="L58" s="14" t="n">
        <v>0.82133</v>
      </c>
      <c r="M58" s="17">
        <f>IF(OR(F58="",K58="",K58&lt;=0),"",F58/K58)</f>
        <v/>
      </c>
      <c r="N58" s="18" t="n">
        <v>2.7883763</v>
      </c>
      <c r="O58" s="19">
        <f>IF(OR(N58="",M58="",M58&lt;=0),"",N58/M58)</f>
        <v/>
      </c>
      <c r="P58" s="20" t="n">
        <v>0.14936</v>
      </c>
      <c r="Q58" s="20" t="n">
        <v>-0.1218811329227864</v>
      </c>
      <c r="R58" s="20" t="n">
        <v>0.2502291189215625</v>
      </c>
      <c r="S58" s="21" t="n">
        <v>4</v>
      </c>
      <c r="T58" s="20" t="n"/>
      <c r="U58" s="20" t="n">
        <v>0.1233359538258522</v>
      </c>
      <c r="V58" s="20" t="n">
        <v>0.03865147746282063</v>
      </c>
      <c r="W58" s="20" t="n">
        <v>-0.1219754340598448</v>
      </c>
      <c r="X58" s="20" t="n">
        <v>-0.5275365289199737</v>
      </c>
      <c r="Y58" s="14" t="n"/>
      <c r="Z58" s="19">
        <f>IF(OR(Y58="",F58="",F58=0),"",Y58/F58)</f>
        <v/>
      </c>
      <c r="AA58" s="22" t="n">
        <v>157.274</v>
      </c>
      <c r="AB58" s="20" t="n">
        <v>-0.027</v>
      </c>
      <c r="AC58" s="20" t="n">
        <v>0.02139350050264248</v>
      </c>
      <c r="AD58" s="17">
        <f>IF(OR(Q58="",M58="",M58&lt;=0),"",ROUND(40*MAX(0,MIN(N(Q58)/0.3,1))+IF(OR(R58="",N(Q58)&lt;=0),10,20*MAX(0,1-MIN(R58/Q58,1)))+30*MAX(0,MIN((PARAMETRI!$B$5-M58)/MAX(PARAMETRI!$B$5-10,1),1))+IF(AB58="",3,10*MAX(0,MIN(AB58/0.15,1)))+IF(AND(P58&lt;&gt;"",N(P58)&lt;N(Q58)*0.6),-8,0),1))</f>
        <v/>
      </c>
      <c r="AE58" s="13">
        <f>IF(AND(P58="",Q58=""),"DATI MANCANTI",IF(AND(N(P58)&gt;=PARAMETRI!$B$4,N(Q58)&gt;=PARAMETRI!$B$4),"OK","NO"))</f>
        <v/>
      </c>
      <c r="AF58" s="13">
        <f>IF(M58="","N/D",IF(M58&lt;PARAMETRI!$B$6,"OTTIMO",IF(M58&lt;PARAMETRI!$B$5,"OK","NO")))</f>
        <v/>
      </c>
      <c r="AG58" s="13">
        <f>IF(OR(AE58="DATI MANCANTI",AF58="N/D"),"DA COMPLETARE",IF(AND(AE58="OK",AF58="OTTIMO"),"PASSA FORTE",IF(AND(AE58="OK",AF58="OK"),"PASSA","SCARTA")))</f>
        <v/>
      </c>
      <c r="AH58" s="11" t="inlineStr">
        <is>
          <t>2026-10-12</t>
        </is>
      </c>
      <c r="AI58" s="11" t="inlineStr">
        <is>
          <t>yahoo</t>
        </is>
      </c>
      <c r="AJ58" s="23" t="inlineStr">
        <is>
          <t>Prezzo storico pre-raggruppamento 2025</t>
        </is>
      </c>
    </row>
    <row r="59">
      <c r="A59" s="10">
        <f>IF(AD59="","",RANK(AD59,AD$2:AD$67))</f>
        <v/>
      </c>
      <c r="B59" s="11" t="inlineStr">
        <is>
          <t>Salvatore Ferragamo</t>
        </is>
      </c>
      <c r="C59" s="12" t="inlineStr">
        <is>
          <t>SFER.MI</t>
        </is>
      </c>
      <c r="D59" s="11" t="inlineStr">
        <is>
          <t>Lusso</t>
        </is>
      </c>
      <c r="E59" s="13" t="inlineStr">
        <is>
          <t>Consumi</t>
        </is>
      </c>
      <c r="F59" s="14" t="n">
        <v>6.85</v>
      </c>
      <c r="G59" s="15" t="inlineStr">
        <is>
          <t>EUR</t>
        </is>
      </c>
      <c r="H59" s="14" t="n">
        <v>6.85</v>
      </c>
      <c r="I59" s="16" t="n">
        <v>1128.1</v>
      </c>
      <c r="J59" s="16" t="n">
        <v>1128.1</v>
      </c>
      <c r="K59" s="14" t="n">
        <v>0.06</v>
      </c>
      <c r="L59" s="14" t="n">
        <v>0.17709</v>
      </c>
      <c r="M59" s="17">
        <f>IF(OR(F59="",K59="",K59&lt;=0),"",F59/K59)</f>
        <v/>
      </c>
      <c r="N59" s="18" t="n">
        <v>1.9361221</v>
      </c>
      <c r="O59" s="19">
        <f>IF(OR(N59="",M59="",M59&lt;=0),"",N59/M59)</f>
        <v/>
      </c>
      <c r="P59" s="20" t="n">
        <v>0.01652</v>
      </c>
      <c r="Q59" s="20" t="n">
        <v>-0.01621397710321158</v>
      </c>
      <c r="R59" s="20" t="n">
        <v>0.08353359250645503</v>
      </c>
      <c r="S59" s="21" t="n">
        <v>4</v>
      </c>
      <c r="T59" s="20" t="n"/>
      <c r="U59" s="20" t="n">
        <v>-0.08360140037546299</v>
      </c>
      <c r="V59" s="20" t="n">
        <v>-0.109978985318798</v>
      </c>
      <c r="W59" s="20" t="n">
        <v>0.03613592432255542</v>
      </c>
      <c r="X59" s="20" t="n">
        <v>0.09258855295885929</v>
      </c>
      <c r="Y59" s="14" t="n"/>
      <c r="Z59" s="19">
        <f>IF(OR(Y59="",F59="",F59=0),"",Y59/F59)</f>
        <v/>
      </c>
      <c r="AA59" s="22" t="n">
        <v>111.111</v>
      </c>
      <c r="AB59" s="20" t="n">
        <v>-0.013</v>
      </c>
      <c r="AC59" s="20" t="n">
        <v>0.009930048303638082</v>
      </c>
      <c r="AD59" s="17">
        <f>IF(OR(Q59="",M59="",M59&lt;=0),"",ROUND(40*MAX(0,MIN(N(Q59)/0.3,1))+IF(OR(R59="",N(Q59)&lt;=0),10,20*MAX(0,1-MIN(R59/Q59,1)))+30*MAX(0,MIN((PARAMETRI!$B$5-M59)/MAX(PARAMETRI!$B$5-10,1),1))+IF(AB59="",3,10*MAX(0,MIN(AB59/0.15,1)))+IF(AND(P59&lt;&gt;"",N(P59)&lt;N(Q59)*0.6),-8,0),1))</f>
        <v/>
      </c>
      <c r="AE59" s="13">
        <f>IF(AND(P59="",Q59=""),"DATI MANCANTI",IF(AND(N(P59)&gt;=PARAMETRI!$B$4,N(Q59)&gt;=PARAMETRI!$B$4),"OK","NO"))</f>
        <v/>
      </c>
      <c r="AF59" s="13">
        <f>IF(M59="","N/D",IF(M59&lt;PARAMETRI!$B$6,"OTTIMO",IF(M59&lt;PARAMETRI!$B$5,"OK","NO")))</f>
        <v/>
      </c>
      <c r="AG59" s="13">
        <f>IF(OR(AE59="DATI MANCANTI",AF59="N/D"),"DA COMPLETARE",IF(AND(AE59="OK",AF59="OTTIMO"),"PASSA FORTE",IF(AND(AE59="OK",AF59="OK"),"PASSA","SCARTA")))</f>
        <v/>
      </c>
      <c r="AH59" s="11" t="inlineStr">
        <is>
          <t>2026-10-12</t>
        </is>
      </c>
      <c r="AI59" s="11" t="inlineStr">
        <is>
          <t>yahoo</t>
        </is>
      </c>
      <c r="AJ59" s="23" t="inlineStr"/>
    </row>
    <row r="60">
      <c r="A60" s="10">
        <f>IF(AD60="","",RANK(AD60,AD$2:AD$67))</f>
        <v/>
      </c>
      <c r="B60" s="11" t="inlineStr">
        <is>
          <t>Saipem</t>
        </is>
      </c>
      <c r="C60" s="12" t="inlineStr">
        <is>
          <t>SPM.MI</t>
        </is>
      </c>
      <c r="D60" s="11" t="inlineStr">
        <is>
          <t>Oil service</t>
        </is>
      </c>
      <c r="E60" s="13" t="inlineStr">
        <is>
          <t>Energia</t>
        </is>
      </c>
      <c r="F60" s="14" t="n">
        <v>4.647</v>
      </c>
      <c r="G60" s="15" t="inlineStr">
        <is>
          <t>EUR</t>
        </is>
      </c>
      <c r="H60" s="14" t="n">
        <v>4.647</v>
      </c>
      <c r="I60" s="16" t="n">
        <v>9016.5</v>
      </c>
      <c r="J60" s="16" t="n">
        <v>9016.5</v>
      </c>
      <c r="K60" s="14" t="n">
        <v>0.13</v>
      </c>
      <c r="L60" s="14" t="n">
        <v>0.3006</v>
      </c>
      <c r="M60" s="17">
        <f>IF(OR(F60="",K60="",K60&lt;=0),"",F60/K60)</f>
        <v/>
      </c>
      <c r="N60" s="18" t="n">
        <v>3.8984897</v>
      </c>
      <c r="O60" s="19">
        <f>IF(OR(N60="",M60="",M60&lt;=0),"",N60/M60)</f>
        <v/>
      </c>
      <c r="P60" s="20" t="n">
        <v>0.108509995</v>
      </c>
      <c r="Q60" s="20" t="n">
        <v>0.05312509829599771</v>
      </c>
      <c r="R60" s="20" t="n">
        <v>0.0908755035974316</v>
      </c>
      <c r="S60" s="21" t="n">
        <v>4</v>
      </c>
      <c r="T60" s="20" t="n"/>
      <c r="U60" s="20" t="n">
        <v>0.1175578308684111</v>
      </c>
      <c r="V60" s="20" t="n">
        <v>0.1212361331220285</v>
      </c>
      <c r="W60" s="20" t="n">
        <v>0.07477025898078529</v>
      </c>
      <c r="X60" s="20" t="n">
        <v>-0.101063829787234</v>
      </c>
      <c r="Y60" s="14" t="n">
        <v>0.17</v>
      </c>
      <c r="Z60" s="19">
        <f>IF(OR(Y60="",F60="",F60=0),"",Y60/F60)</f>
        <v/>
      </c>
      <c r="AA60" s="22" t="n">
        <v>128.967</v>
      </c>
      <c r="AB60" s="20" t="n">
        <v>0.035</v>
      </c>
      <c r="AC60" s="20" t="n">
        <v>0.01722136222910217</v>
      </c>
      <c r="AD60" s="17">
        <f>IF(OR(Q60="",M60="",M60&lt;=0),"",ROUND(40*MAX(0,MIN(N(Q60)/0.3,1))+IF(OR(R60="",N(Q60)&lt;=0),10,20*MAX(0,1-MIN(R60/Q60,1)))+30*MAX(0,MIN((PARAMETRI!$B$5-M60)/MAX(PARAMETRI!$B$5-10,1),1))+IF(AB60="",3,10*MAX(0,MIN(AB60/0.15,1)))+IF(AND(P60&lt;&gt;"",N(P60)&lt;N(Q60)*0.6),-8,0),1))</f>
        <v/>
      </c>
      <c r="AE60" s="13">
        <f>IF(AND(P60="",Q60=""),"DATI MANCANTI",IF(AND(N(P60)&gt;=PARAMETRI!$B$4,N(Q60)&gt;=PARAMETRI!$B$4),"OK","NO"))</f>
        <v/>
      </c>
      <c r="AF60" s="13">
        <f>IF(M60="","N/D",IF(M60&lt;PARAMETRI!$B$6,"OTTIMO",IF(M60&lt;PARAMETRI!$B$5,"OK","NO")))</f>
        <v/>
      </c>
      <c r="AG60" s="13">
        <f>IF(OR(AE60="DATI MANCANTI",AF60="N/D"),"DA COMPLETARE",IF(AND(AE60="OK",AF60="OTTIMO"),"PASSA FORTE",IF(AND(AE60="OK",AF60="OK"),"PASSA","SCARTA")))</f>
        <v/>
      </c>
      <c r="AH60" s="11" t="inlineStr">
        <is>
          <t>2026-10-12</t>
        </is>
      </c>
      <c r="AI60" s="11" t="inlineStr">
        <is>
          <t>yahoo</t>
        </is>
      </c>
      <c r="AJ60" s="23" t="inlineStr"/>
    </row>
    <row r="61">
      <c r="A61" s="10">
        <f>IF(AD61="","",RANK(AD61,AD$2:AD$67))</f>
        <v/>
      </c>
      <c r="B61" s="11" t="inlineStr">
        <is>
          <t>Exor</t>
        </is>
      </c>
      <c r="C61" s="12" t="inlineStr">
        <is>
          <t>EXO.AS</t>
        </is>
      </c>
      <c r="D61" s="11" t="inlineStr">
        <is>
          <t>Holding</t>
        </is>
      </c>
      <c r="E61" s="13" t="inlineStr">
        <is>
          <t>Finanziario</t>
        </is>
      </c>
      <c r="F61" s="14" t="n">
        <v>69.5</v>
      </c>
      <c r="G61" s="15" t="inlineStr">
        <is>
          <t>EUR</t>
        </is>
      </c>
      <c r="H61" s="14" t="n">
        <v>69.5</v>
      </c>
      <c r="I61" s="16" t="n">
        <v>22878</v>
      </c>
      <c r="J61" s="16" t="n">
        <v>22878</v>
      </c>
      <c r="K61" s="14" t="n">
        <v>-21.02</v>
      </c>
      <c r="L61" s="14" t="n">
        <v>1.19258</v>
      </c>
      <c r="M61" s="17">
        <f>IF(OR(F61="",K61="",K61&lt;=0),"",F61/K61)</f>
        <v/>
      </c>
      <c r="N61" s="18" t="n">
        <v>0.44019103</v>
      </c>
      <c r="O61" s="19">
        <f>IF(OR(N61="",M61="",M61&lt;=0),"",N61/M61)</f>
        <v/>
      </c>
      <c r="P61" s="20" t="n">
        <v>-0.12553</v>
      </c>
      <c r="Q61" s="20" t="n">
        <v>0.1637510106448963</v>
      </c>
      <c r="R61" s="20" t="n">
        <v>0.1786434319411815</v>
      </c>
      <c r="S61" s="21" t="n">
        <v>4</v>
      </c>
      <c r="T61" s="20" t="n"/>
      <c r="U61" s="20" t="n">
        <v>-0.1141060738244939</v>
      </c>
      <c r="V61" s="20" t="n">
        <v>0.3839369831466555</v>
      </c>
      <c r="W61" s="20" t="n">
        <v>0.1802475502836514</v>
      </c>
      <c r="X61" s="20" t="n">
        <v>0.2049255829737723</v>
      </c>
      <c r="Y61" s="14" t="n">
        <v>0.49</v>
      </c>
      <c r="Z61" s="19">
        <f>IF(OR(Y61="",F61="",F61=0),"",Y61/F61)</f>
        <v/>
      </c>
      <c r="AA61" s="22" t="n">
        <v>11.531</v>
      </c>
      <c r="AB61" s="20" t="n"/>
      <c r="AC61" s="20" t="n">
        <v>1.194931791701476</v>
      </c>
      <c r="AD61" s="17">
        <f>IF(OR(Q61="",M61="",M61&lt;=0),"",ROUND(40*MAX(0,MIN(N(Q61)/0.3,1))+IF(OR(R61="",N(Q61)&lt;=0),10,20*MAX(0,1-MIN(R61/Q61,1)))+30*MAX(0,MIN((PARAMETRI!$B$5-M61)/MAX(PARAMETRI!$B$5-10,1),1))+IF(AB61="",3,10*MAX(0,MIN(AB61/0.15,1)))+IF(AND(P61&lt;&gt;"",N(P61)&lt;N(Q61)*0.6),-8,0),1))</f>
        <v/>
      </c>
      <c r="AE61" s="13">
        <f>IF(AND(P61="",Q61=""),"DATI MANCANTI",IF(AND(N(P61)&gt;=PARAMETRI!$B$4,N(Q61)&gt;=PARAMETRI!$B$4),"OK","NO"))</f>
        <v/>
      </c>
      <c r="AF61" s="13">
        <f>IF(M61="","N/D",IF(M61&lt;PARAMETRI!$B$6,"OTTIMO",IF(M61&lt;PARAMETRI!$B$5,"OK","NO")))</f>
        <v/>
      </c>
      <c r="AG61" s="13">
        <f>IF(OR(AE61="DATI MANCANTI",AF61="N/D"),"DA COMPLETARE",IF(AND(AE61="OK",AF61="OTTIMO"),"PASSA FORTE",IF(AND(AE61="OK",AF61="OK"),"PASSA","SCARTA")))</f>
        <v/>
      </c>
      <c r="AH61" s="11" t="inlineStr">
        <is>
          <t>2026-10-12</t>
        </is>
      </c>
      <c r="AI61" s="11" t="inlineStr">
        <is>
          <t>yahoo</t>
        </is>
      </c>
      <c r="AJ61" s="23" t="inlineStr">
        <is>
          <t>Quotata ad Amsterdam</t>
        </is>
      </c>
    </row>
    <row r="62">
      <c r="A62" s="10">
        <f>IF(AD62="","",RANK(AD62,AD$2:AD$67))</f>
        <v/>
      </c>
      <c r="B62" s="11" t="inlineStr">
        <is>
          <t>Forvia (ex Faurecia)</t>
        </is>
      </c>
      <c r="C62" s="12" t="inlineStr">
        <is>
          <t>FRVIA.PA</t>
        </is>
      </c>
      <c r="D62" s="11" t="inlineStr">
        <is>
          <t>Componentistica auto</t>
        </is>
      </c>
      <c r="E62" s="13" t="inlineStr">
        <is>
          <t>Industriale</t>
        </is>
      </c>
      <c r="F62" s="14" t="n">
        <v>8.550000000000001</v>
      </c>
      <c r="G62" s="15" t="inlineStr">
        <is>
          <t>EUR</t>
        </is>
      </c>
      <c r="H62" s="14" t="n">
        <v>8.550000000000001</v>
      </c>
      <c r="I62" s="16" t="n">
        <v>1573.7</v>
      </c>
      <c r="J62" s="16" t="n">
        <v>1573.7</v>
      </c>
      <c r="K62" s="14" t="n">
        <v>-6.23</v>
      </c>
      <c r="L62" s="14" t="n">
        <v>2.305</v>
      </c>
      <c r="M62" s="17">
        <f>IF(OR(F62="",K62="",K62&lt;=0),"",F62/K62)</f>
        <v/>
      </c>
      <c r="N62" s="18" t="n">
        <v>0.8248119</v>
      </c>
      <c r="O62" s="19">
        <f>IF(OR(N62="",M62="",M62&lt;=0),"",N62/M62)</f>
        <v/>
      </c>
      <c r="P62" s="20" t="n">
        <v>-0.2566</v>
      </c>
      <c r="Q62" s="20" t="n">
        <v>-0.297041108489524</v>
      </c>
      <c r="R62" s="20" t="n">
        <v>0.4720314770633242</v>
      </c>
      <c r="S62" s="21" t="n">
        <v>4</v>
      </c>
      <c r="T62" s="20" t="n"/>
      <c r="U62" s="20" t="n">
        <v>-1.110338236074975</v>
      </c>
      <c r="V62" s="20" t="n">
        <v>-0.04315205741180857</v>
      </c>
      <c r="W62" s="20" t="n">
        <v>0.04927484809509026</v>
      </c>
      <c r="X62" s="20" t="n">
        <v>-0.08394898856640282</v>
      </c>
      <c r="Y62" s="14" t="n"/>
      <c r="Z62" s="19">
        <f>IF(OR(Y62="",F62="",F62=0),"",Y62/F62)</f>
        <v/>
      </c>
      <c r="AA62" s="22" t="n">
        <v>254.917</v>
      </c>
      <c r="AB62" s="20" t="n">
        <v>-0.043</v>
      </c>
      <c r="AC62" s="20" t="n">
        <v>-0.0595217988644668</v>
      </c>
      <c r="AD62" s="17">
        <f>IF(OR(Q62="",M62="",M62&lt;=0),"",ROUND(40*MAX(0,MIN(N(Q62)/0.3,1))+IF(OR(R62="",N(Q62)&lt;=0),10,20*MAX(0,1-MIN(R62/Q62,1)))+30*MAX(0,MIN((PARAMETRI!$B$5-M62)/MAX(PARAMETRI!$B$5-10,1),1))+IF(AB62="",3,10*MAX(0,MIN(AB62/0.15,1)))+IF(AND(P62&lt;&gt;"",N(P62)&lt;N(Q62)*0.6),-8,0),1))</f>
        <v/>
      </c>
      <c r="AE62" s="13">
        <f>IF(AND(P62="",Q62=""),"DATI MANCANTI",IF(AND(N(P62)&gt;=PARAMETRI!$B$4,N(Q62)&gt;=PARAMETRI!$B$4),"OK","NO"))</f>
        <v/>
      </c>
      <c r="AF62" s="13">
        <f>IF(M62="","N/D",IF(M62&lt;PARAMETRI!$B$6,"OTTIMO",IF(M62&lt;PARAMETRI!$B$5,"OK","NO")))</f>
        <v/>
      </c>
      <c r="AG62" s="13">
        <f>IF(OR(AE62="DATI MANCANTI",AF62="N/D"),"DA COMPLETARE",IF(AND(AE62="OK",AF62="OTTIMO"),"PASSA FORTE",IF(AND(AE62="OK",AF62="OK"),"PASSA","SCARTA")))</f>
        <v/>
      </c>
      <c r="AH62" s="11" t="inlineStr">
        <is>
          <t>2026-10-12</t>
        </is>
      </c>
      <c r="AI62" s="11" t="inlineStr">
        <is>
          <t>yahoo</t>
        </is>
      </c>
      <c r="AJ62" s="23" t="inlineStr">
        <is>
          <t>Quotata a Parigi</t>
        </is>
      </c>
    </row>
    <row r="63">
      <c r="A63" s="10">
        <f>IF(AD63="","",RANK(AD63,AD$2:AD$67))</f>
        <v/>
      </c>
      <c r="B63" s="11" t="inlineStr">
        <is>
          <t>Geox</t>
        </is>
      </c>
      <c r="C63" s="12" t="inlineStr">
        <is>
          <t>GEO.MI</t>
        </is>
      </c>
      <c r="D63" s="11" t="inlineStr">
        <is>
          <t>Abbigliamento</t>
        </is>
      </c>
      <c r="E63" s="13" t="inlineStr">
        <is>
          <t>Consumi</t>
        </is>
      </c>
      <c r="F63" s="14" t="n">
        <v>0.26</v>
      </c>
      <c r="G63" s="15" t="inlineStr">
        <is>
          <t>EUR</t>
        </is>
      </c>
      <c r="H63" s="14" t="n">
        <v>0.26</v>
      </c>
      <c r="I63" s="16" t="n">
        <v>95.2</v>
      </c>
      <c r="J63" s="16" t="n">
        <v>95.2</v>
      </c>
      <c r="K63" s="14" t="n">
        <v>-0.04</v>
      </c>
      <c r="L63" s="14" t="n">
        <v>0.01</v>
      </c>
      <c r="M63" s="17">
        <f>IF(OR(F63="",K63="",K63&lt;=0),"",F63/K63)</f>
        <v/>
      </c>
      <c r="N63" s="18" t="n">
        <v>1.2560385</v>
      </c>
      <c r="O63" s="19">
        <f>IF(OR(N63="",M63="",M63&lt;=0),"",N63/M63)</f>
        <v/>
      </c>
      <c r="P63" s="20" t="n">
        <v>-0.19634001</v>
      </c>
      <c r="Q63" s="20" t="n">
        <v>-0.2135655708912357</v>
      </c>
      <c r="R63" s="20" t="n">
        <v>0.1443956009267138</v>
      </c>
      <c r="S63" s="21" t="n">
        <v>4</v>
      </c>
      <c r="T63" s="20" t="n"/>
      <c r="U63" s="20" t="n">
        <v>-0.2158361520227981</v>
      </c>
      <c r="V63" s="20" t="n">
        <v>-0.4468843429211034</v>
      </c>
      <c r="W63" s="20" t="n">
        <v>-0.07121095043603047</v>
      </c>
      <c r="X63" s="20" t="n">
        <v>-0.1203308381850106</v>
      </c>
      <c r="Y63" s="14" t="n"/>
      <c r="Z63" s="19">
        <f>IF(OR(Y63="",F63="",F63=0),"",Y63/F63)</f>
        <v/>
      </c>
      <c r="AA63" s="22" t="n">
        <v>395.272</v>
      </c>
      <c r="AB63" s="20" t="n">
        <v>-0.114</v>
      </c>
      <c r="AC63" s="20" t="n">
        <v>-0.02501589575669552</v>
      </c>
      <c r="AD63" s="17">
        <f>IF(OR(Q63="",M63="",M63&lt;=0),"",ROUND(40*MAX(0,MIN(N(Q63)/0.3,1))+IF(OR(R63="",N(Q63)&lt;=0),10,20*MAX(0,1-MIN(R63/Q63,1)))+30*MAX(0,MIN((PARAMETRI!$B$5-M63)/MAX(PARAMETRI!$B$5-10,1),1))+IF(AB63="",3,10*MAX(0,MIN(AB63/0.15,1)))+IF(AND(P63&lt;&gt;"",N(P63)&lt;N(Q63)*0.6),-8,0),1))</f>
        <v/>
      </c>
      <c r="AE63" s="13">
        <f>IF(AND(P63="",Q63=""),"DATI MANCANTI",IF(AND(N(P63)&gt;=PARAMETRI!$B$4,N(Q63)&gt;=PARAMETRI!$B$4),"OK","NO"))</f>
        <v/>
      </c>
      <c r="AF63" s="13">
        <f>IF(M63="","N/D",IF(M63&lt;PARAMETRI!$B$6,"OTTIMO",IF(M63&lt;PARAMETRI!$B$5,"OK","NO")))</f>
        <v/>
      </c>
      <c r="AG63" s="13">
        <f>IF(OR(AE63="DATI MANCANTI",AF63="N/D"),"DA COMPLETARE",IF(AND(AE63="OK",AF63="OTTIMO"),"PASSA FORTE",IF(AND(AE63="OK",AF63="OK"),"PASSA","SCARTA")))</f>
        <v/>
      </c>
      <c r="AH63" s="11" t="inlineStr">
        <is>
          <t>2026-10-12</t>
        </is>
      </c>
      <c r="AI63" s="11" t="inlineStr">
        <is>
          <t>yahoo</t>
        </is>
      </c>
      <c r="AJ63" s="23" t="inlineStr"/>
    </row>
    <row r="64">
      <c r="A64" s="10">
        <f>IF(AD64="","",RANK(AD64,AD$2:AD$67))</f>
        <v/>
      </c>
      <c r="B64" s="11" t="inlineStr">
        <is>
          <t>Juventus FC</t>
        </is>
      </c>
      <c r="C64" s="12" t="inlineStr">
        <is>
          <t>JUVE.MI</t>
        </is>
      </c>
      <c r="D64" s="11" t="inlineStr">
        <is>
          <t>Sport / Intrattenimento</t>
        </is>
      </c>
      <c r="E64" s="13" t="inlineStr">
        <is>
          <t>Consumi</t>
        </is>
      </c>
      <c r="F64" s="14" t="n">
        <v>1.737</v>
      </c>
      <c r="G64" s="15" t="inlineStr">
        <is>
          <t>EUR</t>
        </is>
      </c>
      <c r="H64" s="14" t="n">
        <v>1.737</v>
      </c>
      <c r="I64" s="16" t="n">
        <v>724.4</v>
      </c>
      <c r="J64" s="16" t="n">
        <v>724.4</v>
      </c>
      <c r="K64" s="14" t="n">
        <v>-0.17</v>
      </c>
      <c r="L64" s="14" t="n">
        <v>-0.06018</v>
      </c>
      <c r="M64" s="17">
        <f>IF(OR(F64="",K64="",K64&lt;=0),"",F64/K64)</f>
        <v/>
      </c>
      <c r="N64" s="18" t="n">
        <v>62.035713</v>
      </c>
      <c r="O64" s="19">
        <f>IF(OR(N64="",M64="",M64&lt;=0),"",N64/M64)</f>
        <v/>
      </c>
      <c r="P64" s="20" t="n">
        <v>-5.34</v>
      </c>
      <c r="Q64" s="20" t="n">
        <v>-3.115727151459425</v>
      </c>
      <c r="R64" s="20" t="n">
        <v>1.435930396899337</v>
      </c>
      <c r="S64" s="21" t="n">
        <v>3</v>
      </c>
      <c r="T64" s="20" t="n"/>
      <c r="U64" s="20" t="n"/>
      <c r="V64" s="20" t="n">
        <v>-4.956438451587222</v>
      </c>
      <c r="W64" s="20" t="n">
        <v>-2.938123538952883</v>
      </c>
      <c r="X64" s="20" t="n">
        <v>-1.45261946383817</v>
      </c>
      <c r="Y64" s="14" t="n"/>
      <c r="Z64" s="19">
        <f>IF(OR(Y64="",F64="",F64=0),"",Y64/F64)</f>
        <v/>
      </c>
      <c r="AA64" s="22" t="n">
        <v>3159.981</v>
      </c>
      <c r="AB64" s="20" t="n">
        <v>-0.015</v>
      </c>
      <c r="AC64" s="20" t="n">
        <v>-0.1678834530617229</v>
      </c>
      <c r="AD64" s="17">
        <f>IF(OR(Q64="",M64="",M64&lt;=0),"",ROUND(40*MAX(0,MIN(N(Q64)/0.3,1))+IF(OR(R64="",N(Q64)&lt;=0),10,20*MAX(0,1-MIN(R64/Q64,1)))+30*MAX(0,MIN((PARAMETRI!$B$5-M64)/MAX(PARAMETRI!$B$5-10,1),1))+IF(AB64="",3,10*MAX(0,MIN(AB64/0.15,1)))+IF(AND(P64&lt;&gt;"",N(P64)&lt;N(Q64)*0.6),-8,0),1))</f>
        <v/>
      </c>
      <c r="AE64" s="13">
        <f>IF(AND(P64="",Q64=""),"DATI MANCANTI",IF(AND(N(P64)&gt;=PARAMETRI!$B$4,N(Q64)&gt;=PARAMETRI!$B$4),"OK","NO"))</f>
        <v/>
      </c>
      <c r="AF64" s="13">
        <f>IF(M64="","N/D",IF(M64&lt;PARAMETRI!$B$6,"OTTIMO",IF(M64&lt;PARAMETRI!$B$5,"OK","NO")))</f>
        <v/>
      </c>
      <c r="AG64" s="13">
        <f>IF(OR(AE64="DATI MANCANTI",AF64="N/D"),"DA COMPLETARE",IF(AND(AE64="OK",AF64="OTTIMO"),"PASSA FORTE",IF(AND(AE64="OK",AF64="OK"),"PASSA","SCARTA")))</f>
        <v/>
      </c>
      <c r="AH64" s="11" t="inlineStr">
        <is>
          <t>2026-10-12</t>
        </is>
      </c>
      <c r="AI64" s="11" t="inlineStr">
        <is>
          <t>yahoo</t>
        </is>
      </c>
      <c r="AJ64" s="23" t="inlineStr"/>
    </row>
    <row r="65">
      <c r="A65" s="10">
        <f>IF(AD65="","",RANK(AD65,AD$2:AD$67))</f>
        <v/>
      </c>
      <c r="B65" s="11" t="inlineStr">
        <is>
          <t>Nexi</t>
        </is>
      </c>
      <c r="C65" s="12" t="inlineStr">
        <is>
          <t>NEXI.MI</t>
        </is>
      </c>
      <c r="D65" s="11" t="inlineStr">
        <is>
          <t>Pagamenti / Tech</t>
        </is>
      </c>
      <c r="E65" s="13" t="inlineStr">
        <is>
          <t>Tecnologia</t>
        </is>
      </c>
      <c r="F65" s="14" t="n">
        <v>4.308</v>
      </c>
      <c r="G65" s="15" t="inlineStr">
        <is>
          <t>EUR</t>
        </is>
      </c>
      <c r="H65" s="14" t="n">
        <v>4.308</v>
      </c>
      <c r="I65" s="16" t="n">
        <v>5060.7</v>
      </c>
      <c r="J65" s="16" t="n">
        <v>5060.7</v>
      </c>
      <c r="K65" s="14" t="n">
        <v>-2.8</v>
      </c>
      <c r="L65" s="14" t="n">
        <v>0.66339</v>
      </c>
      <c r="M65" s="17">
        <f>IF(OR(F65="",K65="",K65&lt;=0),"",F65/K65)</f>
        <v/>
      </c>
      <c r="N65" s="18" t="n">
        <v>0.74417</v>
      </c>
      <c r="O65" s="19">
        <f>IF(OR(N65="",M65="",M65&lt;=0),"",N65/M65)</f>
        <v/>
      </c>
      <c r="P65" s="20" t="n">
        <v>-0.3861</v>
      </c>
      <c r="Q65" s="20" t="n">
        <v>-0.1352643854154521</v>
      </c>
      <c r="R65" s="20" t="n">
        <v>0.202525332351745</v>
      </c>
      <c r="S65" s="21" t="n">
        <v>4</v>
      </c>
      <c r="T65" s="20" t="n"/>
      <c r="U65" s="20" t="n">
        <v>-0.4784641541513177</v>
      </c>
      <c r="V65" s="20" t="n">
        <v>0.01527345893543077</v>
      </c>
      <c r="W65" s="20" t="n">
        <v>-0.08922760072252085</v>
      </c>
      <c r="X65" s="20" t="n">
        <v>0.0113607542765992</v>
      </c>
      <c r="Y65" s="14" t="n">
        <v>0.3</v>
      </c>
      <c r="Z65" s="19">
        <f>IF(OR(Y65="",F65="",F65=0),"",Y65/F65)</f>
        <v/>
      </c>
      <c r="AA65" s="22" t="n">
        <v>86.669</v>
      </c>
      <c r="AB65" s="20" t="n">
        <v>0.016</v>
      </c>
      <c r="AC65" s="20" t="n">
        <v>-0.5361810647115078</v>
      </c>
      <c r="AD65" s="17">
        <f>IF(OR(Q65="",M65="",M65&lt;=0),"",ROUND(40*MAX(0,MIN(N(Q65)/0.3,1))+IF(OR(R65="",N(Q65)&lt;=0),10,20*MAX(0,1-MIN(R65/Q65,1)))+30*MAX(0,MIN((PARAMETRI!$B$5-M65)/MAX(PARAMETRI!$B$5-10,1),1))+IF(AB65="",3,10*MAX(0,MIN(AB65/0.15,1)))+IF(AND(P65&lt;&gt;"",N(P65)&lt;N(Q65)*0.6),-8,0),1))</f>
        <v/>
      </c>
      <c r="AE65" s="13">
        <f>IF(AND(P65="",Q65=""),"DATI MANCANTI",IF(AND(N(P65)&gt;=PARAMETRI!$B$4,N(Q65)&gt;=PARAMETRI!$B$4),"OK","NO"))</f>
        <v/>
      </c>
      <c r="AF65" s="13">
        <f>IF(M65="","N/D",IF(M65&lt;PARAMETRI!$B$6,"OTTIMO",IF(M65&lt;PARAMETRI!$B$5,"OK","NO")))</f>
        <v/>
      </c>
      <c r="AG65" s="13">
        <f>IF(OR(AE65="DATI MANCANTI",AF65="N/D"),"DA COMPLETARE",IF(AND(AE65="OK",AF65="OTTIMO"),"PASSA FORTE",IF(AND(AE65="OK",AF65="OK"),"PASSA","SCARTA")))</f>
        <v/>
      </c>
      <c r="AH65" s="11" t="inlineStr">
        <is>
          <t>2026-10-12</t>
        </is>
      </c>
      <c r="AI65" s="11" t="inlineStr">
        <is>
          <t>yahoo</t>
        </is>
      </c>
      <c r="AJ65" s="23" t="inlineStr"/>
    </row>
    <row r="66">
      <c r="A66" s="10">
        <f>IF(AD66="","",RANK(AD66,AD$2:AD$67))</f>
        <v/>
      </c>
      <c r="B66" s="11" t="inlineStr">
        <is>
          <t>Risanamento</t>
        </is>
      </c>
      <c r="C66" s="12" t="inlineStr">
        <is>
          <t>RN.MI</t>
        </is>
      </c>
      <c r="D66" s="11" t="inlineStr">
        <is>
          <t>Immobiliare</t>
        </is>
      </c>
      <c r="E66" s="13" t="inlineStr">
        <is>
          <t>Immobiliare</t>
        </is>
      </c>
      <c r="F66" s="14" t="n">
        <v>0.0344</v>
      </c>
      <c r="G66" s="15" t="inlineStr">
        <is>
          <t>EUR</t>
        </is>
      </c>
      <c r="H66" s="14" t="n">
        <v>0.0344</v>
      </c>
      <c r="I66" s="16" t="n">
        <v>61.9</v>
      </c>
      <c r="J66" s="16" t="n">
        <v>61.9</v>
      </c>
      <c r="K66" s="14" t="n">
        <v>-0.01</v>
      </c>
      <c r="L66" s="14" t="n"/>
      <c r="M66" s="17">
        <f>IF(OR(F66="",K66="",K66&lt;=0),"",F66/K66)</f>
        <v/>
      </c>
      <c r="N66" s="18" t="n"/>
      <c r="O66" s="19">
        <f>IF(OR(N66="",M66="",M66&lt;=0),"",N66/M66)</f>
        <v/>
      </c>
      <c r="P66" s="20" t="n">
        <v>-2.12318</v>
      </c>
      <c r="Q66" s="20" t="n">
        <v>-2.631412626629395</v>
      </c>
      <c r="R66" s="20" t="n">
        <v>3.822301984946608</v>
      </c>
      <c r="S66" s="21" t="n">
        <v>4</v>
      </c>
      <c r="T66" s="20" t="n"/>
      <c r="U66" s="20" t="n"/>
      <c r="V66" s="20" t="n">
        <v>-9.186217576461479</v>
      </c>
      <c r="W66" s="20" t="n">
        <v>0.2023488274866026</v>
      </c>
      <c r="X66" s="20" t="n">
        <v>-1.281388478581979</v>
      </c>
      <c r="Y66" s="14" t="n"/>
      <c r="Z66" s="19">
        <f>IF(OR(Y66="",F66="",F66=0),"",Y66/F66)</f>
        <v/>
      </c>
      <c r="AA66" s="22" t="n"/>
      <c r="AB66" s="20" t="n">
        <v>369.333</v>
      </c>
      <c r="AC66" s="20" t="n">
        <v>-193.2014925373134</v>
      </c>
      <c r="AD66" s="17">
        <f>IF(OR(Q66="",M66="",M66&lt;=0),"",ROUND(40*MAX(0,MIN(N(Q66)/0.3,1))+IF(OR(R66="",N(Q66)&lt;=0),10,20*MAX(0,1-MIN(R66/Q66,1)))+30*MAX(0,MIN((PARAMETRI!$B$5-M66)/MAX(PARAMETRI!$B$5-10,1),1))+IF(AB66="",3,10*MAX(0,MIN(AB66/0.15,1)))+IF(AND(P66&lt;&gt;"",N(P66)&lt;N(Q66)*0.6),-8,0),1))</f>
        <v/>
      </c>
      <c r="AE66" s="13">
        <f>IF(AND(P66="",Q66=""),"DATI MANCANTI",IF(AND(N(P66)&gt;=PARAMETRI!$B$4,N(Q66)&gt;=PARAMETRI!$B$4),"OK","NO"))</f>
        <v/>
      </c>
      <c r="AF66" s="13">
        <f>IF(M66="","N/D",IF(M66&lt;PARAMETRI!$B$6,"OTTIMO",IF(M66&lt;PARAMETRI!$B$5,"OK","NO")))</f>
        <v/>
      </c>
      <c r="AG66" s="13">
        <f>IF(OR(AE66="DATI MANCANTI",AF66="N/D"),"DA COMPLETARE",IF(AND(AE66="OK",AF66="OTTIMO"),"PASSA FORTE",IF(AND(AE66="OK",AF66="OK"),"PASSA","SCARTA")))</f>
        <v/>
      </c>
      <c r="AH66" s="11" t="inlineStr">
        <is>
          <t>2026-10-12</t>
        </is>
      </c>
      <c r="AI66" s="11" t="inlineStr">
        <is>
          <t>yahoo</t>
        </is>
      </c>
      <c r="AJ66" s="23" t="inlineStr"/>
    </row>
    <row r="67">
      <c r="A67" s="10">
        <f>IF(AD67="","",RANK(AD67,AD$2:AD$67))</f>
        <v/>
      </c>
      <c r="B67" s="11" t="inlineStr">
        <is>
          <t>Stellantis</t>
        </is>
      </c>
      <c r="C67" s="12" t="inlineStr">
        <is>
          <t>STLAM.MI</t>
        </is>
      </c>
      <c r="D67" s="11" t="inlineStr">
        <is>
          <t>Auto</t>
        </is>
      </c>
      <c r="E67" s="13" t="inlineStr">
        <is>
          <t>Industriale</t>
        </is>
      </c>
      <c r="F67" s="14" t="n">
        <v>3.9695</v>
      </c>
      <c r="G67" s="15" t="inlineStr">
        <is>
          <t>EUR</t>
        </is>
      </c>
      <c r="H67" s="14" t="n">
        <v>3.9695</v>
      </c>
      <c r="I67" s="16" t="n">
        <v>11515.3</v>
      </c>
      <c r="J67" s="16" t="n">
        <v>11515.3</v>
      </c>
      <c r="K67" s="14" t="n">
        <v>-7.49</v>
      </c>
      <c r="L67" s="14" t="n">
        <v>1.07023</v>
      </c>
      <c r="M67" s="17">
        <f>IF(OR(F67="",K67="",K67&lt;=0),"",F67/K67)</f>
        <v/>
      </c>
      <c r="N67" s="18" t="n">
        <v>0.2048457</v>
      </c>
      <c r="O67" s="19">
        <f>IF(OR(N67="",M67="",M67&lt;=0),"",N67/M67)</f>
        <v/>
      </c>
      <c r="P67" s="20" t="n">
        <v>-0.28694</v>
      </c>
      <c r="Q67" s="20" t="n">
        <v>0.02756391766316059</v>
      </c>
      <c r="R67" s="20" t="n">
        <v>0.2656006420888029</v>
      </c>
      <c r="S67" s="21" t="n">
        <v>4</v>
      </c>
      <c r="T67" s="20" t="n"/>
      <c r="U67" s="20" t="n">
        <v>-0.4176952811338724</v>
      </c>
      <c r="V67" s="20" t="n">
        <v>0.066995544239338</v>
      </c>
      <c r="W67" s="20" t="n">
        <v>0.2276327225098846</v>
      </c>
      <c r="X67" s="20" t="n">
        <v>0.2333226850372922</v>
      </c>
      <c r="Y67" s="14" t="n">
        <v>0</v>
      </c>
      <c r="Z67" s="19">
        <f>IF(OR(Y67="",F67="",F67=0),"",Y67/F67)</f>
        <v/>
      </c>
      <c r="AA67" s="22" t="n">
        <v>84.387</v>
      </c>
      <c r="AB67" s="20" t="n">
        <v>0.131</v>
      </c>
      <c r="AC67" s="20" t="n">
        <v>-0.1268468026161503</v>
      </c>
      <c r="AD67" s="17">
        <f>IF(OR(Q67="",M67="",M67&lt;=0),"",ROUND(40*MAX(0,MIN(N(Q67)/0.3,1))+IF(OR(R67="",N(Q67)&lt;=0),10,20*MAX(0,1-MIN(R67/Q67,1)))+30*MAX(0,MIN((PARAMETRI!$B$5-M67)/MAX(PARAMETRI!$B$5-10,1),1))+IF(AB67="",3,10*MAX(0,MIN(AB67/0.15,1)))+IF(AND(P67&lt;&gt;"",N(P67)&lt;N(Q67)*0.6),-8,0),1))</f>
        <v/>
      </c>
      <c r="AE67" s="13">
        <f>IF(AND(P67="",Q67=""),"DATI MANCANTI",IF(AND(N(P67)&gt;=PARAMETRI!$B$4,N(Q67)&gt;=PARAMETRI!$B$4),"OK","NO"))</f>
        <v/>
      </c>
      <c r="AF67" s="13">
        <f>IF(M67="","N/D",IF(M67&lt;PARAMETRI!$B$6,"OTTIMO",IF(M67&lt;PARAMETRI!$B$5,"OK","NO")))</f>
        <v/>
      </c>
      <c r="AG67" s="13">
        <f>IF(OR(AE67="DATI MANCANTI",AF67="N/D"),"DA COMPLETARE",IF(AND(AE67="OK",AF67="OTTIMO"),"PASSA FORTE",IF(AND(AE67="OK",AF67="OK"),"PASSA","SCARTA")))</f>
        <v/>
      </c>
      <c r="AH67" s="11" t="inlineStr">
        <is>
          <t>2026-10-12</t>
        </is>
      </c>
      <c r="AI67" s="11" t="inlineStr">
        <is>
          <t>yahoo</t>
        </is>
      </c>
      <c r="AJ67" s="23" t="inlineStr"/>
    </row>
  </sheetData>
  <autoFilter ref="A1:AJ67"/>
  <conditionalFormatting sqref="AG2:AG67">
    <cfRule type="cellIs" priority="1" operator="equal" dxfId="0">
      <formula>"PASSA FORTE"</formula>
    </cfRule>
    <cfRule type="cellIs" priority="2" operator="equal" dxfId="1">
      <formula>"PASSA"</formula>
    </cfRule>
    <cfRule type="cellIs" priority="3" operator="equal" dxfId="2">
      <formula>"SCARTA"</formula>
    </cfRule>
    <cfRule type="cellIs" priority="4" operator="equal" dxfId="3">
      <formula>"DA COMPLETARE"</formula>
    </cfRule>
  </conditionalFormatting>
  <conditionalFormatting sqref="P2:P67">
    <cfRule type="dataBar" priority="5">
      <dataBar>
        <cfvo type="num" val="0"/>
        <cfvo type="num" val="0.4"/>
        <color rgb="00638EC6"/>
      </dataBar>
    </cfRule>
  </conditionalFormatting>
  <conditionalFormatting sqref="Q2:Q67">
    <cfRule type="dataBar" priority="6">
      <dataBar>
        <cfvo type="num" val="0"/>
        <cfvo type="num" val="0.4"/>
        <color rgb="00638EC6"/>
      </dataBar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1" customWidth="1" min="3" max="3"/>
    <col width="24" customWidth="1" min="4" max="4"/>
    <col width="12" customWidth="1" min="5" max="5"/>
    <col width="10" customWidth="1" min="6" max="6"/>
    <col width="6" customWidth="1" min="7" max="7"/>
    <col width="10" customWidth="1" min="8" max="8"/>
    <col width="12" customWidth="1" min="9" max="9"/>
    <col width="11" customWidth="1" min="10" max="10"/>
    <col width="10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9" customWidth="1" min="17" max="17"/>
    <col width="9" customWidth="1" min="18" max="18"/>
    <col width="6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11" customWidth="1" min="30" max="30"/>
    <col width="10" customWidth="1" min="31" max="31"/>
    <col width="10" customWidth="1" min="32" max="32"/>
    <col width="14" customWidth="1" min="33" max="33"/>
    <col width="12" customWidth="1" min="34" max="34"/>
    <col width="10" customWidth="1" min="35" max="35"/>
    <col width="42" customWidth="1" min="36" max="36"/>
  </cols>
  <sheetData>
    <row r="1" ht="30" customHeight="1">
      <c r="A1" s="9" t="inlineStr">
        <is>
          <t>POS.</t>
        </is>
      </c>
      <c r="B1" s="9" t="inlineStr">
        <is>
          <t>TITOLO</t>
        </is>
      </c>
      <c r="C1" s="9" t="inlineStr">
        <is>
          <t>TICKER</t>
        </is>
      </c>
      <c r="D1" s="9" t="inlineStr">
        <is>
          <t>SETTORE</t>
        </is>
      </c>
      <c r="E1" s="9" t="inlineStr">
        <is>
          <t>CLASSE</t>
        </is>
      </c>
      <c r="F1" s="9" t="inlineStr">
        <is>
          <t>PREZZO</t>
        </is>
      </c>
      <c r="G1" s="9" t="inlineStr">
        <is>
          <t>VAL.</t>
        </is>
      </c>
      <c r="H1" s="9" t="inlineStr">
        <is>
          <t>PREZZO €</t>
        </is>
      </c>
      <c r="I1" s="9" t="inlineStr">
        <is>
          <t>CAP. MLN €</t>
        </is>
      </c>
      <c r="J1" s="9" t="inlineStr">
        <is>
          <t>CAP. MLN
locale</t>
        </is>
      </c>
      <c r="K1" s="9" t="inlineStr">
        <is>
          <t>EPS TTM</t>
        </is>
      </c>
      <c r="L1" s="9" t="inlineStr">
        <is>
          <t>EPS ATTESO</t>
        </is>
      </c>
      <c r="M1" s="9" t="inlineStr">
        <is>
          <t>P/E</t>
        </is>
      </c>
      <c r="N1" s="9" t="inlineStr">
        <is>
          <t>P/B</t>
        </is>
      </c>
      <c r="O1" s="9" t="inlineStr">
        <is>
          <t>ROE IMPL.</t>
        </is>
      </c>
      <c r="P1" s="9" t="inlineStr">
        <is>
          <t>ROE 1a</t>
        </is>
      </c>
      <c r="Q1" s="9" t="inlineStr">
        <is>
          <t>ROE 5a</t>
        </is>
      </c>
      <c r="R1" s="9" t="inlineStr">
        <is>
          <t>VARIAB.
ROE</t>
        </is>
      </c>
      <c r="S1" s="9" t="inlineStr">
        <is>
          <t>ANNI</t>
        </is>
      </c>
      <c r="T1" s="9" t="inlineStr">
        <is>
          <t>2026</t>
        </is>
      </c>
      <c r="U1" s="9" t="inlineStr">
        <is>
          <t>2025</t>
        </is>
      </c>
      <c r="V1" s="9" t="inlineStr">
        <is>
          <t>2024</t>
        </is>
      </c>
      <c r="W1" s="9" t="inlineStr">
        <is>
          <t>2023</t>
        </is>
      </c>
      <c r="X1" s="9" t="inlineStr">
        <is>
          <t>2022</t>
        </is>
      </c>
      <c r="Y1" s="9" t="inlineStr">
        <is>
          <t>DIVID.</t>
        </is>
      </c>
      <c r="Z1" s="9" t="inlineStr">
        <is>
          <t>RENDIM.</t>
        </is>
      </c>
      <c r="AA1" s="9" t="inlineStr">
        <is>
          <t>DEBITO/MP</t>
        </is>
      </c>
      <c r="AB1" s="9" t="inlineStr">
        <is>
          <t>CRESC.
RICAVI</t>
        </is>
      </c>
      <c r="AC1" s="9" t="inlineStr">
        <is>
          <t>MARGINE</t>
        </is>
      </c>
      <c r="AD1" s="9" t="inlineStr">
        <is>
          <t>PUNTEGGIO</t>
        </is>
      </c>
      <c r="AE1" s="9" t="inlineStr">
        <is>
          <t>ESITO ROE</t>
        </is>
      </c>
      <c r="AF1" s="9" t="inlineStr">
        <is>
          <t>ESITO P/E</t>
        </is>
      </c>
      <c r="AG1" s="9" t="inlineStr">
        <is>
          <t>GIUDIZIO</t>
        </is>
      </c>
      <c r="AH1" s="9" t="inlineStr">
        <is>
          <t>RILEVATO</t>
        </is>
      </c>
      <c r="AI1" s="9" t="inlineStr">
        <is>
          <t>FONTE</t>
        </is>
      </c>
      <c r="AJ1" s="9" t="inlineStr">
        <is>
          <t>NOTE</t>
        </is>
      </c>
    </row>
    <row r="2">
      <c r="A2" s="10">
        <f>IF(AD2="","",RANK(AD2,AD$2:AD$44))</f>
        <v/>
      </c>
      <c r="B2" s="11" t="inlineStr">
        <is>
          <t>Munich Re</t>
        </is>
      </c>
      <c r="C2" s="12" t="inlineStr">
        <is>
          <t>MUV2.DE</t>
        </is>
      </c>
      <c r="D2" s="11" t="inlineStr">
        <is>
          <t>Riassicurazione</t>
        </is>
      </c>
      <c r="E2" s="13" t="inlineStr">
        <is>
          <t>Finanziario</t>
        </is>
      </c>
      <c r="F2" s="14" t="n">
        <v>527</v>
      </c>
      <c r="G2" s="15" t="inlineStr">
        <is>
          <t>EUR</t>
        </is>
      </c>
      <c r="H2" s="14" t="n">
        <v>527</v>
      </c>
      <c r="I2" s="16" t="n">
        <v>66304.2</v>
      </c>
      <c r="J2" s="16" t="n">
        <v>66304.2</v>
      </c>
      <c r="K2" s="14" t="n">
        <v>54.03</v>
      </c>
      <c r="L2" s="14" t="n">
        <v>51.61599</v>
      </c>
      <c r="M2" s="17">
        <f>IF(OR(F2="",K2="",K2&lt;=0),"",F2/K2)</f>
        <v/>
      </c>
      <c r="N2" s="18" t="n">
        <v>1.9756327</v>
      </c>
      <c r="O2" s="19">
        <f>IF(OR(N2="",M2="",M2&lt;=0),"",N2/M2)</f>
        <v/>
      </c>
      <c r="P2" s="20" t="n">
        <v>0.21299</v>
      </c>
      <c r="Q2" s="20" t="n">
        <v>0.1773457408185636</v>
      </c>
      <c r="R2" s="20" t="n">
        <v>0.01493367240975441</v>
      </c>
      <c r="S2" s="21" t="n">
        <v>4</v>
      </c>
      <c r="T2" s="20" t="n"/>
      <c r="U2" s="20" t="n">
        <v>0.1840166030017746</v>
      </c>
      <c r="V2" s="20" t="n">
        <v>0.1739183461902003</v>
      </c>
      <c r="W2" s="20" t="n">
        <v>0.1553456998313659</v>
      </c>
      <c r="X2" s="20" t="n">
        <v>0.1961023142509135</v>
      </c>
      <c r="Y2" s="14" t="n">
        <v>24</v>
      </c>
      <c r="Z2" s="19">
        <f>IF(OR(Y2="",F2="",F2=0),"",Y2/F2)</f>
        <v/>
      </c>
      <c r="AA2" s="22" t="n">
        <v>24.378</v>
      </c>
      <c r="AB2" s="20" t="n">
        <v>0.013</v>
      </c>
      <c r="AC2" s="20" t="n">
        <v>0.110255177788477</v>
      </c>
      <c r="AD2" s="17">
        <f>IF(OR(Q2="",M2="",M2&lt;=0),"",ROUND(40*MAX(0,MIN(N(Q2)/0.3,1))+IF(OR(R2="",N(Q2)&lt;=0),10,20*MAX(0,1-MIN(R2/Q2,1)))+30*MAX(0,MIN((PARAMETRI!$B$5-M2)/MAX(PARAMETRI!$B$5-10,1),1))+IF(AB2="",3,10*MAX(0,MIN(AB2/0.15,1)))+IF(AND(P2&lt;&gt;"",N(P2)&lt;N(Q2)*0.6),-8,0),1))</f>
        <v/>
      </c>
      <c r="AE2" s="13">
        <f>IF(AND(P2="",Q2=""),"DATI MANCANTI",IF(AND(N(P2)&gt;=PARAMETRI!$B$4,N(Q2)&gt;=PARAMETRI!$B$4),"OK","NO"))</f>
        <v/>
      </c>
      <c r="AF2" s="13">
        <f>IF(M2="","N/D",IF(M2&lt;PARAMETRI!$B$6,"OTTIMO",IF(M2&lt;PARAMETRI!$B$5,"OK","NO")))</f>
        <v/>
      </c>
      <c r="AG2" s="13">
        <f>IF(OR(AE2="DATI MANCANTI",AF2="N/D"),"DA COMPLETARE",IF(AND(AE2="OK",AF2="OTTIMO"),"PASSA FORTE",IF(AND(AE2="OK",AF2="OK"),"PASSA","SCARTA")))</f>
        <v/>
      </c>
      <c r="AH2" s="11" t="inlineStr">
        <is>
          <t>2026-10-12</t>
        </is>
      </c>
      <c r="AI2" s="11" t="inlineStr">
        <is>
          <t>yahoo</t>
        </is>
      </c>
      <c r="AJ2" s="23" t="inlineStr"/>
    </row>
    <row r="3">
      <c r="A3" s="10">
        <f>IF(AD3="","",RANK(AD3,AD$2:AD$44))</f>
        <v/>
      </c>
      <c r="B3" s="11" t="inlineStr">
        <is>
          <t>Allianz</t>
        </is>
      </c>
      <c r="C3" s="12" t="inlineStr">
        <is>
          <t>ALV.DE</t>
        </is>
      </c>
      <c r="D3" s="11" t="inlineStr">
        <is>
          <t>Assicurazione</t>
        </is>
      </c>
      <c r="E3" s="13" t="inlineStr">
        <is>
          <t>Finanziario</t>
        </is>
      </c>
      <c r="F3" s="14" t="n">
        <v>420.5</v>
      </c>
      <c r="G3" s="15" t="inlineStr">
        <is>
          <t>EUR</t>
        </is>
      </c>
      <c r="H3" s="14" t="n">
        <v>420.5</v>
      </c>
      <c r="I3" s="16" t="n">
        <v>159489.9</v>
      </c>
      <c r="J3" s="16" t="n">
        <v>159489.9</v>
      </c>
      <c r="K3" s="14" t="n">
        <v>30.48</v>
      </c>
      <c r="L3" s="14" t="n">
        <v>33.39562</v>
      </c>
      <c r="M3" s="17">
        <f>IF(OR(F3="",K3="",K3&lt;=0),"",F3/K3)</f>
        <v/>
      </c>
      <c r="N3" s="18" t="n">
        <v>2.5281067</v>
      </c>
      <c r="O3" s="19">
        <f>IF(OR(N3="",M3="",M3&lt;=0),"",N3/M3)</f>
        <v/>
      </c>
      <c r="P3" s="20" t="n">
        <v>0.19612</v>
      </c>
      <c r="Q3" s="20" t="n">
        <v>0.1502933430183023</v>
      </c>
      <c r="R3" s="20" t="n">
        <v>0.02077585571067019</v>
      </c>
      <c r="S3" s="21" t="n">
        <v>4</v>
      </c>
      <c r="T3" s="20" t="n"/>
      <c r="U3" s="20" t="n">
        <v>0.1717898026210899</v>
      </c>
      <c r="V3" s="20" t="n">
        <v>0.1647287143165193</v>
      </c>
      <c r="W3" s="20" t="n">
        <v>0.1466543038170298</v>
      </c>
      <c r="X3" s="20" t="n">
        <v>0.1180005513185702</v>
      </c>
      <c r="Y3" s="14" t="n">
        <v>17.1</v>
      </c>
      <c r="Z3" s="19">
        <f>IF(OR(Y3="",F3="",F3=0),"",Y3/F3)</f>
        <v/>
      </c>
      <c r="AA3" s="22" t="n">
        <v>50.648</v>
      </c>
      <c r="AB3" s="20" t="n">
        <v>0.121</v>
      </c>
      <c r="AC3" s="20" t="n">
        <v>0.08448163154601673</v>
      </c>
      <c r="AD3" s="17">
        <f>IF(OR(Q3="",M3="",M3&lt;=0),"",ROUND(40*MAX(0,MIN(N(Q3)/0.3,1))+IF(OR(R3="",N(Q3)&lt;=0),10,20*MAX(0,1-MIN(R3/Q3,1)))+30*MAX(0,MIN((PARAMETRI!$B$5-M3)/MAX(PARAMETRI!$B$5-10,1),1))+IF(AB3="",3,10*MAX(0,MIN(AB3/0.15,1)))+IF(AND(P3&lt;&gt;"",N(P3)&lt;N(Q3)*0.6),-8,0),1))</f>
        <v/>
      </c>
      <c r="AE3" s="13">
        <f>IF(AND(P3="",Q3=""),"DATI MANCANTI",IF(AND(N(P3)&gt;=PARAMETRI!$B$4,N(Q3)&gt;=PARAMETRI!$B$4),"OK","NO"))</f>
        <v/>
      </c>
      <c r="AF3" s="13">
        <f>IF(M3="","N/D",IF(M3&lt;PARAMETRI!$B$6,"OTTIMO",IF(M3&lt;PARAMETRI!$B$5,"OK","NO")))</f>
        <v/>
      </c>
      <c r="AG3" s="13">
        <f>IF(OR(AE3="DATI MANCANTI",AF3="N/D"),"DA COMPLETARE",IF(AND(AE3="OK",AF3="OTTIMO"),"PASSA FORTE",IF(AND(AE3="OK",AF3="OK"),"PASSA","SCARTA")))</f>
        <v/>
      </c>
      <c r="AH3" s="11" t="inlineStr">
        <is>
          <t>2026-10-12</t>
        </is>
      </c>
      <c r="AI3" s="11" t="inlineStr">
        <is>
          <t>yahoo</t>
        </is>
      </c>
      <c r="AJ3" s="23" t="inlineStr"/>
    </row>
    <row r="4">
      <c r="A4" s="10">
        <f>IF(AD4="","",RANK(AD4,AD$2:AD$44))</f>
        <v/>
      </c>
      <c r="B4" s="11" t="inlineStr">
        <is>
          <t>Hannover Rueck</t>
        </is>
      </c>
      <c r="C4" s="12" t="inlineStr">
        <is>
          <t>HNR1.DE</t>
        </is>
      </c>
      <c r="D4" s="11" t="inlineStr">
        <is>
          <t>Riassicurazione</t>
        </is>
      </c>
      <c r="E4" s="13" t="inlineStr">
        <is>
          <t>Finanziario</t>
        </is>
      </c>
      <c r="F4" s="14" t="n">
        <v>267</v>
      </c>
      <c r="G4" s="15" t="inlineStr">
        <is>
          <t>EUR</t>
        </is>
      </c>
      <c r="H4" s="14" t="n">
        <v>267</v>
      </c>
      <c r="I4" s="16" t="n">
        <v>32199.4</v>
      </c>
      <c r="J4" s="16" t="n">
        <v>32199.4</v>
      </c>
      <c r="K4" s="14" t="n">
        <v>22.77</v>
      </c>
      <c r="L4" s="14" t="n">
        <v>23.62468</v>
      </c>
      <c r="M4" s="17">
        <f>IF(OR(F4="",K4="",K4&lt;=0),"",F4/K4)</f>
        <v/>
      </c>
      <c r="N4" s="18" t="n">
        <v>2.4272065</v>
      </c>
      <c r="O4" s="19">
        <f>IF(OR(N4="",M4="",M4&lt;=0),"",N4/M4)</f>
        <v/>
      </c>
      <c r="P4" s="20" t="n">
        <v>0.22163</v>
      </c>
      <c r="Q4" s="20" t="n">
        <v>0.1670328412048878</v>
      </c>
      <c r="R4" s="20" t="n">
        <v>0.047497809554564</v>
      </c>
      <c r="S4" s="21" t="n">
        <v>4</v>
      </c>
      <c r="T4" s="20" t="n"/>
      <c r="U4" s="20" t="n">
        <v>0.2043128852862237</v>
      </c>
      <c r="V4" s="20" t="n">
        <v>0.1974394845054898</v>
      </c>
      <c r="W4" s="20" t="n">
        <v>0.1801951258047952</v>
      </c>
      <c r="X4" s="20" t="n">
        <v>0.08618386922304271</v>
      </c>
      <c r="Y4" s="14" t="n">
        <v>12.5</v>
      </c>
      <c r="Z4" s="19">
        <f>IF(OR(Y4="",F4="",F4=0),"",Y4/F4)</f>
        <v/>
      </c>
      <c r="AA4" s="22" t="n">
        <v>28.967</v>
      </c>
      <c r="AB4" s="20" t="n">
        <v>-0.233</v>
      </c>
      <c r="AC4" s="20" t="n">
        <v>0.1138114191974286</v>
      </c>
      <c r="AD4" s="17">
        <f>IF(OR(Q4="",M4="",M4&lt;=0),"",ROUND(40*MAX(0,MIN(N(Q4)/0.3,1))+IF(OR(R4="",N(Q4)&lt;=0),10,20*MAX(0,1-MIN(R4/Q4,1)))+30*MAX(0,MIN((PARAMETRI!$B$5-M4)/MAX(PARAMETRI!$B$5-10,1),1))+IF(AB4="",3,10*MAX(0,MIN(AB4/0.15,1)))+IF(AND(P4&lt;&gt;"",N(P4)&lt;N(Q4)*0.6),-8,0),1))</f>
        <v/>
      </c>
      <c r="AE4" s="13">
        <f>IF(AND(P4="",Q4=""),"DATI MANCANTI",IF(AND(N(P4)&gt;=PARAMETRI!$B$4,N(Q4)&gt;=PARAMETRI!$B$4),"OK","NO"))</f>
        <v/>
      </c>
      <c r="AF4" s="13">
        <f>IF(M4="","N/D",IF(M4&lt;PARAMETRI!$B$6,"OTTIMO",IF(M4&lt;PARAMETRI!$B$5,"OK","NO")))</f>
        <v/>
      </c>
      <c r="AG4" s="13">
        <f>IF(OR(AE4="DATI MANCANTI",AF4="N/D"),"DA COMPLETARE",IF(AND(AE4="OK",AF4="OTTIMO"),"PASSA FORTE",IF(AND(AE4="OK",AF4="OK"),"PASSA","SCARTA")))</f>
        <v/>
      </c>
      <c r="AH4" s="11" t="inlineStr">
        <is>
          <t>2026-10-12</t>
        </is>
      </c>
      <c r="AI4" s="11" t="inlineStr">
        <is>
          <t>yahoo</t>
        </is>
      </c>
      <c r="AJ4" s="23" t="inlineStr"/>
    </row>
    <row r="5">
      <c r="A5" s="10">
        <f>IF(AD5="","",RANK(AD5,AD$2:AD$44))</f>
        <v/>
      </c>
      <c r="B5" s="11" t="inlineStr">
        <is>
          <t>Deutsche Bank</t>
        </is>
      </c>
      <c r="C5" s="12" t="inlineStr">
        <is>
          <t>DBK.DE</t>
        </is>
      </c>
      <c r="D5" s="11" t="inlineStr">
        <is>
          <t>Banca</t>
        </is>
      </c>
      <c r="E5" s="13" t="inlineStr">
        <is>
          <t>Finanziario</t>
        </is>
      </c>
      <c r="F5" s="14" t="n">
        <v>30.29</v>
      </c>
      <c r="G5" s="15" t="inlineStr">
        <is>
          <t>EUR</t>
        </is>
      </c>
      <c r="H5" s="14" t="n">
        <v>30.29</v>
      </c>
      <c r="I5" s="16" t="n">
        <v>56914.9</v>
      </c>
      <c r="J5" s="16" t="n">
        <v>56914.9</v>
      </c>
      <c r="K5" s="14" t="n">
        <v>3.29</v>
      </c>
      <c r="L5" s="14" t="n">
        <v>3.84065</v>
      </c>
      <c r="M5" s="17">
        <f>IF(OR(F5="",K5="",K5&lt;=0),"",F5/K5)</f>
        <v/>
      </c>
      <c r="N5" s="18" t="n">
        <v>0.7220501</v>
      </c>
      <c r="O5" s="19">
        <f>IF(OR(N5="",M5="",M5&lt;=0),"",N5/M5)</f>
        <v/>
      </c>
      <c r="P5" s="20" t="n">
        <v>0.08891</v>
      </c>
      <c r="Q5" s="20" t="n">
        <v>0.06875856120342795</v>
      </c>
      <c r="R5" s="20" t="n">
        <v>0.01680390963498571</v>
      </c>
      <c r="S5" s="21" t="n">
        <v>4</v>
      </c>
      <c r="T5" s="20" t="n"/>
      <c r="U5" s="20" t="n">
        <v>0.08813468801261429</v>
      </c>
      <c r="V5" s="20" t="n">
        <v>0.04325032765399738</v>
      </c>
      <c r="W5" s="20" t="n">
        <v>0.0653215429682153</v>
      </c>
      <c r="X5" s="20" t="n">
        <v>0.07832768617888484</v>
      </c>
      <c r="Y5" s="14" t="n">
        <v>1</v>
      </c>
      <c r="Z5" s="19">
        <f>IF(OR(Y5="",F5="",F5=0),"",Y5/F5)</f>
        <v/>
      </c>
      <c r="AA5" s="22" t="n"/>
      <c r="AB5" s="20" t="n">
        <v>0.08699999999999999</v>
      </c>
      <c r="AC5" s="20" t="n">
        <v>0.1897566842580766</v>
      </c>
      <c r="AD5" s="17">
        <f>IF(OR(Q5="",M5="",M5&lt;=0),"",ROUND(40*MAX(0,MIN(N(Q5)/0.3,1))+IF(OR(R5="",N(Q5)&lt;=0),10,20*MAX(0,1-MIN(R5/Q5,1)))+30*MAX(0,MIN((PARAMETRI!$B$5-M5)/MAX(PARAMETRI!$B$5-10,1),1))+IF(AB5="",3,10*MAX(0,MIN(AB5/0.15,1)))+IF(AND(P5&lt;&gt;"",N(P5)&lt;N(Q5)*0.6),-8,0),1))</f>
        <v/>
      </c>
      <c r="AE5" s="13">
        <f>IF(AND(P5="",Q5=""),"DATI MANCANTI",IF(AND(N(P5)&gt;=PARAMETRI!$B$4,N(Q5)&gt;=PARAMETRI!$B$4),"OK","NO"))</f>
        <v/>
      </c>
      <c r="AF5" s="13">
        <f>IF(M5="","N/D",IF(M5&lt;PARAMETRI!$B$6,"OTTIMO",IF(M5&lt;PARAMETRI!$B$5,"OK","NO")))</f>
        <v/>
      </c>
      <c r="AG5" s="13">
        <f>IF(OR(AE5="DATI MANCANTI",AF5="N/D"),"DA COMPLETARE",IF(AND(AE5="OK",AF5="OTTIMO"),"PASSA FORTE",IF(AND(AE5="OK",AF5="OK"),"PASSA","SCARTA")))</f>
        <v/>
      </c>
      <c r="AH5" s="11" t="inlineStr">
        <is>
          <t>2026-10-12</t>
        </is>
      </c>
      <c r="AI5" s="11" t="inlineStr">
        <is>
          <t>yahoo</t>
        </is>
      </c>
      <c r="AJ5" s="23" t="inlineStr"/>
    </row>
    <row r="6">
      <c r="A6" s="10">
        <f>IF(AD6="","",RANK(AD6,AD$2:AD$44))</f>
        <v/>
      </c>
      <c r="B6" s="11" t="inlineStr">
        <is>
          <t>Deutsche Telekom</t>
        </is>
      </c>
      <c r="C6" s="12" t="inlineStr">
        <is>
          <t>DTE.DE</t>
        </is>
      </c>
      <c r="D6" s="11" t="inlineStr">
        <is>
          <t>Telecomunicazioni</t>
        </is>
      </c>
      <c r="E6" s="13" t="inlineStr">
        <is>
          <t>Industriale</t>
        </is>
      </c>
      <c r="F6" s="14" t="n">
        <v>24.98</v>
      </c>
      <c r="G6" s="15" t="inlineStr">
        <is>
          <t>EUR</t>
        </is>
      </c>
      <c r="H6" s="14" t="n">
        <v>24.98</v>
      </c>
      <c r="I6" s="16" t="n">
        <v>119469.6</v>
      </c>
      <c r="J6" s="16" t="n">
        <v>119469.6</v>
      </c>
      <c r="K6" s="14" t="n">
        <v>1.63</v>
      </c>
      <c r="L6" s="14" t="n">
        <v>2.56026</v>
      </c>
      <c r="M6" s="17">
        <f>IF(OR(F6="",K6="",K6&lt;=0),"",F6/K6)</f>
        <v/>
      </c>
      <c r="N6" s="18" t="n">
        <v>1.9961643</v>
      </c>
      <c r="O6" s="19">
        <f>IF(OR(N6="",M6="",M6&lt;=0),"",N6/M6)</f>
        <v/>
      </c>
      <c r="P6" s="20" t="n">
        <v>0.15063</v>
      </c>
      <c r="Q6" s="20" t="n">
        <v>0.2022248877631041</v>
      </c>
      <c r="R6" s="20" t="n">
        <v>0.06415451121921879</v>
      </c>
      <c r="S6" s="21" t="n">
        <v>4</v>
      </c>
      <c r="T6" s="20" t="n"/>
      <c r="U6" s="20" t="n">
        <v>0.1545575911598655</v>
      </c>
      <c r="V6" s="20" t="n">
        <v>0.1770885995955511</v>
      </c>
      <c r="W6" s="20" t="n">
        <v>0.3124813350900307</v>
      </c>
      <c r="X6" s="20" t="n">
        <v>0.164772025206969</v>
      </c>
      <c r="Y6" s="14" t="n">
        <v>1</v>
      </c>
      <c r="Z6" s="19">
        <f>IF(OR(Y6="",F6="",F6=0),"",Y6/F6)</f>
        <v/>
      </c>
      <c r="AA6" s="22" t="n">
        <v>165.297</v>
      </c>
      <c r="AB6" s="20" t="n">
        <v>0.043</v>
      </c>
      <c r="AC6" s="20" t="n">
        <v>0.07302501940968202</v>
      </c>
      <c r="AD6" s="17">
        <f>IF(OR(Q6="",M6="",M6&lt;=0),"",ROUND(40*MAX(0,MIN(N(Q6)/0.3,1))+IF(OR(R6="",N(Q6)&lt;=0),10,20*MAX(0,1-MIN(R6/Q6,1)))+30*MAX(0,MIN((PARAMETRI!$B$5-M6)/MAX(PARAMETRI!$B$5-10,1),1))+IF(AB6="",3,10*MAX(0,MIN(AB6/0.15,1)))+IF(AND(P6&lt;&gt;"",N(P6)&lt;N(Q6)*0.6),-8,0),1))</f>
        <v/>
      </c>
      <c r="AE6" s="13">
        <f>IF(AND(P6="",Q6=""),"DATI MANCANTI",IF(AND(N(P6)&gt;=PARAMETRI!$B$4,N(Q6)&gt;=PARAMETRI!$B$4),"OK","NO"))</f>
        <v/>
      </c>
      <c r="AF6" s="13">
        <f>IF(M6="","N/D",IF(M6&lt;PARAMETRI!$B$6,"OTTIMO",IF(M6&lt;PARAMETRI!$B$5,"OK","NO")))</f>
        <v/>
      </c>
      <c r="AG6" s="13">
        <f>IF(OR(AE6="DATI MANCANTI",AF6="N/D"),"DA COMPLETARE",IF(AND(AE6="OK",AF6="OTTIMO"),"PASSA FORTE",IF(AND(AE6="OK",AF6="OK"),"PASSA","SCARTA")))</f>
        <v/>
      </c>
      <c r="AH6" s="11" t="inlineStr">
        <is>
          <t>2026-10-12</t>
        </is>
      </c>
      <c r="AI6" s="11" t="inlineStr">
        <is>
          <t>yahoo</t>
        </is>
      </c>
      <c r="AJ6" s="23" t="inlineStr"/>
    </row>
    <row r="7">
      <c r="A7" s="10">
        <f>IF(AD7="","",RANK(AD7,AD$2:AD$44))</f>
        <v/>
      </c>
      <c r="B7" s="11" t="inlineStr">
        <is>
          <t>Heidelberg Materials</t>
        </is>
      </c>
      <c r="C7" s="12" t="inlineStr">
        <is>
          <t>HEI.DE</t>
        </is>
      </c>
      <c r="D7" s="11" t="inlineStr">
        <is>
          <t>Cemento</t>
        </is>
      </c>
      <c r="E7" s="13" t="inlineStr">
        <is>
          <t>Materiali</t>
        </is>
      </c>
      <c r="F7" s="14" t="n">
        <v>142.9</v>
      </c>
      <c r="G7" s="15" t="inlineStr">
        <is>
          <t>EUR</t>
        </is>
      </c>
      <c r="H7" s="14" t="n">
        <v>142.9</v>
      </c>
      <c r="I7" s="16" t="n">
        <v>25122.1</v>
      </c>
      <c r="J7" s="16" t="n">
        <v>25122.1</v>
      </c>
      <c r="K7" s="14" t="n">
        <v>11.5</v>
      </c>
      <c r="L7" s="14" t="n">
        <v>14.38566</v>
      </c>
      <c r="M7" s="17">
        <f>IF(OR(F7="",K7="",K7&lt;=0),"",F7/K7)</f>
        <v/>
      </c>
      <c r="N7" s="18" t="n">
        <v>1.3481895</v>
      </c>
      <c r="O7" s="19">
        <f>IF(OR(N7="",M7="",M7&lt;=0),"",N7/M7)</f>
        <v/>
      </c>
      <c r="P7" s="20" t="n">
        <v>0.11698</v>
      </c>
      <c r="Q7" s="20" t="n">
        <v>0.1025170168781795</v>
      </c>
      <c r="R7" s="20" t="n">
        <v>0.007100317118667784</v>
      </c>
      <c r="S7" s="21" t="n">
        <v>4</v>
      </c>
      <c r="T7" s="20" t="n"/>
      <c r="U7" s="20" t="n">
        <v>0.1068506876011583</v>
      </c>
      <c r="V7" s="20" t="n">
        <v>0.09479878269382196</v>
      </c>
      <c r="W7" s="20" t="n">
        <v>0.1118767146328873</v>
      </c>
      <c r="X7" s="20" t="n">
        <v>0.09654188258485055</v>
      </c>
      <c r="Y7" s="14" t="n">
        <v>3.6</v>
      </c>
      <c r="Z7" s="19">
        <f>IF(OR(Y7="",F7="",F7=0),"",Y7/F7)</f>
        <v/>
      </c>
      <c r="AA7" s="22" t="n">
        <v>50.409</v>
      </c>
      <c r="AB7" s="20" t="n">
        <v>0.017</v>
      </c>
      <c r="AC7" s="20" t="n">
        <v>0.09477544626797514</v>
      </c>
      <c r="AD7" s="17">
        <f>IF(OR(Q7="",M7="",M7&lt;=0),"",ROUND(40*MAX(0,MIN(N(Q7)/0.3,1))+IF(OR(R7="",N(Q7)&lt;=0),10,20*MAX(0,1-MIN(R7/Q7,1)))+30*MAX(0,MIN((PARAMETRI!$B$5-M7)/MAX(PARAMETRI!$B$5-10,1),1))+IF(AB7="",3,10*MAX(0,MIN(AB7/0.15,1)))+IF(AND(P7&lt;&gt;"",N(P7)&lt;N(Q7)*0.6),-8,0),1))</f>
        <v/>
      </c>
      <c r="AE7" s="13">
        <f>IF(AND(P7="",Q7=""),"DATI MANCANTI",IF(AND(N(P7)&gt;=PARAMETRI!$B$4,N(Q7)&gt;=PARAMETRI!$B$4),"OK","NO"))</f>
        <v/>
      </c>
      <c r="AF7" s="13">
        <f>IF(M7="","N/D",IF(M7&lt;PARAMETRI!$B$6,"OTTIMO",IF(M7&lt;PARAMETRI!$B$5,"OK","NO")))</f>
        <v/>
      </c>
      <c r="AG7" s="13">
        <f>IF(OR(AE7="DATI MANCANTI",AF7="N/D"),"DA COMPLETARE",IF(AND(AE7="OK",AF7="OTTIMO"),"PASSA FORTE",IF(AND(AE7="OK",AF7="OK"),"PASSA","SCARTA")))</f>
        <v/>
      </c>
      <c r="AH7" s="11" t="inlineStr">
        <is>
          <t>2026-10-12</t>
        </is>
      </c>
      <c r="AI7" s="11" t="inlineStr">
        <is>
          <t>yahoo</t>
        </is>
      </c>
      <c r="AJ7" s="23" t="inlineStr"/>
    </row>
    <row r="8">
      <c r="A8" s="10">
        <f>IF(AD8="","",RANK(AD8,AD$2:AD$44))</f>
        <v/>
      </c>
      <c r="B8" s="11" t="inlineStr">
        <is>
          <t>DHL Group</t>
        </is>
      </c>
      <c r="C8" s="12" t="inlineStr">
        <is>
          <t>DHL.DE</t>
        </is>
      </c>
      <c r="D8" s="11" t="inlineStr">
        <is>
          <t>Logistica</t>
        </is>
      </c>
      <c r="E8" s="13" t="inlineStr">
        <is>
          <t>Industriale</t>
        </is>
      </c>
      <c r="F8" s="14" t="n">
        <v>56.74</v>
      </c>
      <c r="G8" s="15" t="inlineStr">
        <is>
          <t>EUR</t>
        </is>
      </c>
      <c r="H8" s="14" t="n">
        <v>56.74</v>
      </c>
      <c r="I8" s="16" t="n">
        <v>63505.9</v>
      </c>
      <c r="J8" s="16" t="n">
        <v>63505.9</v>
      </c>
      <c r="K8" s="14" t="n">
        <v>3.29</v>
      </c>
      <c r="L8" s="14" t="n">
        <v>3.88552</v>
      </c>
      <c r="M8" s="17">
        <f>IF(OR(F8="",K8="",K8&lt;=0),"",F8/K8)</f>
        <v/>
      </c>
      <c r="N8" s="18" t="n">
        <v>2.8258379</v>
      </c>
      <c r="O8" s="19">
        <f>IF(OR(N8="",M8="",M8&lt;=0),"",N8/M8)</f>
        <v/>
      </c>
      <c r="P8" s="20" t="n">
        <v>0.18090001</v>
      </c>
      <c r="Q8" s="20" t="n">
        <v>0.172925210029454</v>
      </c>
      <c r="R8" s="20" t="n">
        <v>0.03441566145090252</v>
      </c>
      <c r="S8" s="21" t="n">
        <v>4</v>
      </c>
      <c r="T8" s="20" t="n"/>
      <c r="U8" s="20" t="n">
        <v>0.1575111351059522</v>
      </c>
      <c r="V8" s="20" t="n">
        <v>0.1400411885848779</v>
      </c>
      <c r="W8" s="20" t="n">
        <v>0.1635150166852058</v>
      </c>
      <c r="X8" s="20" t="n">
        <v>0.23063349974178</v>
      </c>
      <c r="Y8" s="14" t="n">
        <v>1.9</v>
      </c>
      <c r="Z8" s="19">
        <f>IF(OR(Y8="",F8="",F8=0),"",Y8/F8)</f>
        <v/>
      </c>
      <c r="AA8" s="22" t="n">
        <v>122.614</v>
      </c>
      <c r="AB8" s="20" t="n">
        <v>0.128</v>
      </c>
      <c r="AC8" s="20" t="n">
        <v>0.04486150426648965</v>
      </c>
      <c r="AD8" s="17">
        <f>IF(OR(Q8="",M8="",M8&lt;=0),"",ROUND(40*MAX(0,MIN(N(Q8)/0.3,1))+IF(OR(R8="",N(Q8)&lt;=0),10,20*MAX(0,1-MIN(R8/Q8,1)))+30*MAX(0,MIN((PARAMETRI!$B$5-M8)/MAX(PARAMETRI!$B$5-10,1),1))+IF(AB8="",3,10*MAX(0,MIN(AB8/0.15,1)))+IF(AND(P8&lt;&gt;"",N(P8)&lt;N(Q8)*0.6),-8,0),1))</f>
        <v/>
      </c>
      <c r="AE8" s="13">
        <f>IF(AND(P8="",Q8=""),"DATI MANCANTI",IF(AND(N(P8)&gt;=PARAMETRI!$B$4,N(Q8)&gt;=PARAMETRI!$B$4),"OK","NO"))</f>
        <v/>
      </c>
      <c r="AF8" s="13">
        <f>IF(M8="","N/D",IF(M8&lt;PARAMETRI!$B$6,"OTTIMO",IF(M8&lt;PARAMETRI!$B$5,"OK","NO")))</f>
        <v/>
      </c>
      <c r="AG8" s="13">
        <f>IF(OR(AE8="DATI MANCANTI",AF8="N/D"),"DA COMPLETARE",IF(AND(AE8="OK",AF8="OTTIMO"),"PASSA FORTE",IF(AND(AE8="OK",AF8="OK"),"PASSA","SCARTA")))</f>
        <v/>
      </c>
      <c r="AH8" s="11" t="inlineStr">
        <is>
          <t>2026-10-12</t>
        </is>
      </c>
      <c r="AI8" s="11" t="inlineStr">
        <is>
          <t>yahoo</t>
        </is>
      </c>
      <c r="AJ8" s="23" t="inlineStr"/>
    </row>
    <row r="9">
      <c r="A9" s="10">
        <f>IF(AD9="","",RANK(AD9,AD$2:AD$44))</f>
        <v/>
      </c>
      <c r="B9" s="11" t="inlineStr">
        <is>
          <t>Adidas</t>
        </is>
      </c>
      <c r="C9" s="12" t="inlineStr">
        <is>
          <t>ADS.DE</t>
        </is>
      </c>
      <c r="D9" s="11" t="inlineStr">
        <is>
          <t>Abbigliamento sportivo</t>
        </is>
      </c>
      <c r="E9" s="13" t="inlineStr">
        <is>
          <t>Consumi</t>
        </is>
      </c>
      <c r="F9" s="14" t="n">
        <v>149.6</v>
      </c>
      <c r="G9" s="15" t="inlineStr">
        <is>
          <t>EUR</t>
        </is>
      </c>
      <c r="H9" s="14" t="n">
        <v>149.6</v>
      </c>
      <c r="I9" s="16" t="n">
        <v>26189.4</v>
      </c>
      <c r="J9" s="16" t="n">
        <v>26189.4</v>
      </c>
      <c r="K9" s="14" t="n">
        <v>7.96</v>
      </c>
      <c r="L9" s="14" t="n">
        <v>11.60475</v>
      </c>
      <c r="M9" s="17">
        <f>IF(OR(F9="",K9="",K9&lt;=0),"",F9/K9)</f>
        <v/>
      </c>
      <c r="N9" s="18" t="n">
        <v>4.397155</v>
      </c>
      <c r="O9" s="19">
        <f>IF(OR(N9="",M9="",M9&lt;=0),"",N9/M9)</f>
        <v/>
      </c>
      <c r="P9" s="20" t="n">
        <v>0.24324</v>
      </c>
      <c r="Q9" s="20" t="n">
        <v>0.24324</v>
      </c>
      <c r="R9" s="20" t="n"/>
      <c r="S9" s="21" t="n">
        <v>0</v>
      </c>
      <c r="T9" s="20" t="n"/>
      <c r="U9" s="20" t="n">
        <v>0.231994459833795</v>
      </c>
      <c r="V9" s="20" t="n">
        <v>0.139517896274653</v>
      </c>
      <c r="W9" s="20" t="n">
        <v>-0.01637554585152838</v>
      </c>
      <c r="X9" s="20" t="n">
        <v>0.122620717291124</v>
      </c>
      <c r="Y9" s="14" t="n">
        <v>2.8</v>
      </c>
      <c r="Z9" s="19">
        <f>IF(OR(Y9="",F9="",F9=0),"",Y9/F9)</f>
        <v/>
      </c>
      <c r="AA9" s="22" t="n">
        <v>94.127</v>
      </c>
      <c r="AB9" s="20" t="n">
        <v>0.133</v>
      </c>
      <c r="AC9" s="20" t="n">
        <v>0.05566079303534723</v>
      </c>
      <c r="AD9" s="17">
        <f>IF(OR(Q9="",M9="",M9&lt;=0),"",ROUND(40*MAX(0,MIN(N(Q9)/0.3,1))+IF(OR(R9="",N(Q9)&lt;=0),10,20*MAX(0,1-MIN(R9/Q9,1)))+30*MAX(0,MIN((PARAMETRI!$B$5-M9)/MAX(PARAMETRI!$B$5-10,1),1))+IF(AB9="",3,10*MAX(0,MIN(AB9/0.15,1)))+IF(AND(P9&lt;&gt;"",N(P9)&lt;N(Q9)*0.6),-8,0),1))</f>
        <v/>
      </c>
      <c r="AE9" s="13">
        <f>IF(AND(P9="",Q9=""),"DATI MANCANTI",IF(AND(N(P9)&gt;=PARAMETRI!$B$4,N(Q9)&gt;=PARAMETRI!$B$4),"OK","NO"))</f>
        <v/>
      </c>
      <c r="AF9" s="13">
        <f>IF(M9="","N/D",IF(M9&lt;PARAMETRI!$B$6,"OTTIMO",IF(M9&lt;PARAMETRI!$B$5,"OK","NO")))</f>
        <v/>
      </c>
      <c r="AG9" s="13">
        <f>IF(OR(AE9="DATI MANCANTI",AF9="N/D"),"DA COMPLETARE",IF(AND(AE9="OK",AF9="OTTIMO"),"PASSA FORTE",IF(AND(AE9="OK",AF9="OK"),"PASSA","SCARTA")))</f>
        <v/>
      </c>
      <c r="AH9" s="11" t="inlineStr">
        <is>
          <t>2026-10-12</t>
        </is>
      </c>
      <c r="AI9" s="11" t="inlineStr">
        <is>
          <t>yahoo</t>
        </is>
      </c>
      <c r="AJ9" s="23" t="inlineStr"/>
    </row>
    <row r="10">
      <c r="A10" s="10">
        <f>IF(AD10="","",RANK(AD10,AD$2:AD$44))</f>
        <v/>
      </c>
      <c r="B10" s="11" t="inlineStr">
        <is>
          <t>Deutsche Boerse</t>
        </is>
      </c>
      <c r="C10" s="12" t="inlineStr">
        <is>
          <t>DB1.DE</t>
        </is>
      </c>
      <c r="D10" s="11" t="inlineStr">
        <is>
          <t>Infrastrutture di mercato</t>
        </is>
      </c>
      <c r="E10" s="13" t="inlineStr">
        <is>
          <t>Finanziario</t>
        </is>
      </c>
      <c r="F10" s="14" t="n">
        <v>298.3</v>
      </c>
      <c r="G10" s="15" t="inlineStr">
        <is>
          <t>EUR</t>
        </is>
      </c>
      <c r="H10" s="14" t="n">
        <v>298.3</v>
      </c>
      <c r="I10" s="16" t="n">
        <v>53779.8</v>
      </c>
      <c r="J10" s="16" t="n">
        <v>53779.8</v>
      </c>
      <c r="K10" s="14" t="n">
        <v>11.75</v>
      </c>
      <c r="L10" s="14" t="n">
        <v>13.60433</v>
      </c>
      <c r="M10" s="17">
        <f>IF(OR(F10="",K10="",K10&lt;=0),"",F10/K10)</f>
        <v/>
      </c>
      <c r="N10" s="18" t="n">
        <v>5.193064</v>
      </c>
      <c r="O10" s="19">
        <f>IF(OR(N10="",M10="",M10&lt;=0),"",N10/M10)</f>
        <v/>
      </c>
      <c r="P10" s="20" t="n">
        <v>0.20412001</v>
      </c>
      <c r="Q10" s="20" t="n">
        <v>0.178013644204238</v>
      </c>
      <c r="R10" s="20" t="n">
        <v>0.001844212893269131</v>
      </c>
      <c r="S10" s="21" t="n">
        <v>4</v>
      </c>
      <c r="T10" s="20" t="n"/>
      <c r="U10" s="20" t="n">
        <v>0.1763613861386139</v>
      </c>
      <c r="V10" s="20" t="n">
        <v>0.1808560022282054</v>
      </c>
      <c r="W10" s="20" t="n">
        <v>0.1784402007969777</v>
      </c>
      <c r="X10" s="20" t="n">
        <v>0.1763969876531552</v>
      </c>
      <c r="Y10" s="14" t="n">
        <v>4.2</v>
      </c>
      <c r="Z10" s="19">
        <f>IF(OR(Y10="",F10="",F10=0),"",Y10/F10)</f>
        <v/>
      </c>
      <c r="AA10" s="22" t="n">
        <v>57.645</v>
      </c>
      <c r="AB10" s="20" t="n">
        <v>0.117</v>
      </c>
      <c r="AC10" s="20" t="n">
        <v>0.2865465470803414</v>
      </c>
      <c r="AD10" s="17">
        <f>IF(OR(Q10="",M10="",M10&lt;=0),"",ROUND(40*MAX(0,MIN(N(Q10)/0.3,1))+IF(OR(R10="",N(Q10)&lt;=0),10,20*MAX(0,1-MIN(R10/Q10,1)))+30*MAX(0,MIN((PARAMETRI!$B$5-M10)/MAX(PARAMETRI!$B$5-10,1),1))+IF(AB10="",3,10*MAX(0,MIN(AB10/0.15,1)))+IF(AND(P10&lt;&gt;"",N(P10)&lt;N(Q10)*0.6),-8,0),1))</f>
        <v/>
      </c>
      <c r="AE10" s="13">
        <f>IF(AND(P10="",Q10=""),"DATI MANCANTI",IF(AND(N(P10)&gt;=PARAMETRI!$B$4,N(Q10)&gt;=PARAMETRI!$B$4),"OK","NO"))</f>
        <v/>
      </c>
      <c r="AF10" s="13">
        <f>IF(M10="","N/D",IF(M10&lt;PARAMETRI!$B$6,"OTTIMO",IF(M10&lt;PARAMETRI!$B$5,"OK","NO")))</f>
        <v/>
      </c>
      <c r="AG10" s="13">
        <f>IF(OR(AE10="DATI MANCANTI",AF10="N/D"),"DA COMPLETARE",IF(AND(AE10="OK",AF10="OTTIMO"),"PASSA FORTE",IF(AND(AE10="OK",AF10="OK"),"PASSA","SCARTA")))</f>
        <v/>
      </c>
      <c r="AH10" s="11" t="inlineStr">
        <is>
          <t>2026-10-12</t>
        </is>
      </c>
      <c r="AI10" s="11" t="inlineStr">
        <is>
          <t>yahoo</t>
        </is>
      </c>
      <c r="AJ10" s="23" t="inlineStr"/>
    </row>
    <row r="11">
      <c r="A11" s="10">
        <f>IF(AD11="","",RANK(AD11,AD$2:AD$44))</f>
        <v/>
      </c>
      <c r="B11" s="11" t="inlineStr">
        <is>
          <t>Mercedes-Benz Group</t>
        </is>
      </c>
      <c r="C11" s="12" t="inlineStr">
        <is>
          <t>MBG.DE</t>
        </is>
      </c>
      <c r="D11" s="11" t="inlineStr">
        <is>
          <t>Auto</t>
        </is>
      </c>
      <c r="E11" s="13" t="inlineStr">
        <is>
          <t>Consumi</t>
        </is>
      </c>
      <c r="F11" s="14" t="n">
        <v>39.265</v>
      </c>
      <c r="G11" s="15" t="inlineStr">
        <is>
          <t>EUR</t>
        </is>
      </c>
      <c r="H11" s="14" t="n">
        <v>39.265</v>
      </c>
      <c r="I11" s="16" t="n">
        <v>37271.6</v>
      </c>
      <c r="J11" s="16" t="n">
        <v>37271.6</v>
      </c>
      <c r="K11" s="14" t="n">
        <v>5.28</v>
      </c>
      <c r="L11" s="14" t="n">
        <v>6.74821</v>
      </c>
      <c r="M11" s="17">
        <f>IF(OR(F11="",K11="",K11&lt;=0),"",F11/K11)</f>
        <v/>
      </c>
      <c r="N11" s="18" t="n">
        <v>0.39570883</v>
      </c>
      <c r="O11" s="19">
        <f>IF(OR(N11="",M11="",M11&lt;=0),"",N11/M11)</f>
        <v/>
      </c>
      <c r="P11" s="20" t="n">
        <v>0.055960003</v>
      </c>
      <c r="Q11" s="20" t="n">
        <v>0.1226224164149798</v>
      </c>
      <c r="R11" s="20" t="n">
        <v>0.04474088204186103</v>
      </c>
      <c r="S11" s="21" t="n">
        <v>4</v>
      </c>
      <c r="T11" s="20" t="n"/>
      <c r="U11" s="20" t="n">
        <v>0.05512722905519157</v>
      </c>
      <c r="V11" s="20" t="n">
        <v>0.1101970310391363</v>
      </c>
      <c r="W11" s="20" t="n">
        <v>0.1553942880803722</v>
      </c>
      <c r="X11" s="20" t="n">
        <v>0.1697711174852192</v>
      </c>
      <c r="Y11" s="14" t="n">
        <v>3.5</v>
      </c>
      <c r="Z11" s="19">
        <f>IF(OR(Y11="",F11="",F11=0),"",Y11/F11)</f>
        <v/>
      </c>
      <c r="AA11" s="22" t="n">
        <v>110.208</v>
      </c>
      <c r="AB11" s="20" t="n">
        <v>-0.033</v>
      </c>
      <c r="AC11" s="20" t="n">
        <v>0.03805194657146747</v>
      </c>
      <c r="AD11" s="17">
        <f>IF(OR(Q11="",M11="",M11&lt;=0),"",ROUND(40*MAX(0,MIN(N(Q11)/0.3,1))+IF(OR(R11="",N(Q11)&lt;=0),10,20*MAX(0,1-MIN(R11/Q11,1)))+30*MAX(0,MIN((PARAMETRI!$B$5-M11)/MAX(PARAMETRI!$B$5-10,1),1))+IF(AB11="",3,10*MAX(0,MIN(AB11/0.15,1)))+IF(AND(P11&lt;&gt;"",N(P11)&lt;N(Q11)*0.6),-8,0),1))</f>
        <v/>
      </c>
      <c r="AE11" s="13">
        <f>IF(AND(P11="",Q11=""),"DATI MANCANTI",IF(AND(N(P11)&gt;=PARAMETRI!$B$4,N(Q11)&gt;=PARAMETRI!$B$4),"OK","NO"))</f>
        <v/>
      </c>
      <c r="AF11" s="13">
        <f>IF(M11="","N/D",IF(M11&lt;PARAMETRI!$B$6,"OTTIMO",IF(M11&lt;PARAMETRI!$B$5,"OK","NO")))</f>
        <v/>
      </c>
      <c r="AG11" s="13">
        <f>IF(OR(AE11="DATI MANCANTI",AF11="N/D"),"DA COMPLETARE",IF(AND(AE11="OK",AF11="OTTIMO"),"PASSA FORTE",IF(AND(AE11="OK",AF11="OK"),"PASSA","SCARTA")))</f>
        <v/>
      </c>
      <c r="AH11" s="11" t="inlineStr">
        <is>
          <t>2026-10-12</t>
        </is>
      </c>
      <c r="AI11" s="11" t="inlineStr">
        <is>
          <t>yahoo</t>
        </is>
      </c>
      <c r="AJ11" s="23" t="inlineStr"/>
    </row>
    <row r="12">
      <c r="A12" s="10">
        <f>IF(AD12="","",RANK(AD12,AD$2:AD$44))</f>
        <v/>
      </c>
      <c r="B12" s="11" t="inlineStr">
        <is>
          <t>Rheinmetall</t>
        </is>
      </c>
      <c r="C12" s="12" t="inlineStr">
        <is>
          <t>RHM.DE</t>
        </is>
      </c>
      <c r="D12" s="11" t="inlineStr">
        <is>
          <t>Difesa</t>
        </is>
      </c>
      <c r="E12" s="13" t="inlineStr">
        <is>
          <t>Industriale</t>
        </is>
      </c>
      <c r="F12" s="14" t="n">
        <v>962.2</v>
      </c>
      <c r="G12" s="15" t="inlineStr">
        <is>
          <t>EUR</t>
        </is>
      </c>
      <c r="H12" s="14" t="n">
        <v>962.2</v>
      </c>
      <c r="I12" s="16" t="n">
        <v>44904</v>
      </c>
      <c r="J12" s="16" t="n">
        <v>44904</v>
      </c>
      <c r="K12" s="14" t="n">
        <v>26.11</v>
      </c>
      <c r="L12" s="14" t="n">
        <v>52.99102</v>
      </c>
      <c r="M12" s="17">
        <f>IF(OR(F12="",K12="",K12&lt;=0),"",F12/K12)</f>
        <v/>
      </c>
      <c r="N12" s="18" t="n">
        <v>9.030842</v>
      </c>
      <c r="O12" s="19">
        <f>IF(OR(N12="",M12="",M12&lt;=0),"",N12/M12)</f>
        <v/>
      </c>
      <c r="P12" s="20" t="n">
        <v>0.25688</v>
      </c>
      <c r="Q12" s="20" t="n">
        <v>0.161353791016542</v>
      </c>
      <c r="R12" s="20" t="n">
        <v>0.01411120214297162</v>
      </c>
      <c r="S12" s="21" t="n">
        <v>4</v>
      </c>
      <c r="T12" s="20" t="n"/>
      <c r="U12" s="20" t="n">
        <v>0.1388944322490521</v>
      </c>
      <c r="V12" s="20" t="n">
        <v>0.177037037037037</v>
      </c>
      <c r="W12" s="20" t="n">
        <v>0.1613389626055489</v>
      </c>
      <c r="X12" s="20" t="n">
        <v>0.16814473217453</v>
      </c>
      <c r="Y12" s="14" t="n">
        <v>11.5</v>
      </c>
      <c r="Z12" s="19">
        <f>IF(OR(Y12="",F12="",F12=0),"",Y12/F12)</f>
        <v/>
      </c>
      <c r="AA12" s="22" t="n">
        <v>51.63</v>
      </c>
      <c r="AB12" s="20" t="n">
        <v>0.6879999999999999</v>
      </c>
      <c r="AC12" s="20" t="n">
        <v>0.1217916456970307</v>
      </c>
      <c r="AD12" s="17">
        <f>IF(OR(Q12="",M12="",M12&lt;=0),"",ROUND(40*MAX(0,MIN(N(Q12)/0.3,1))+IF(OR(R12="",N(Q12)&lt;=0),10,20*MAX(0,1-MIN(R12/Q12,1)))+30*MAX(0,MIN((PARAMETRI!$B$5-M12)/MAX(PARAMETRI!$B$5-10,1),1))+IF(AB12="",3,10*MAX(0,MIN(AB12/0.15,1)))+IF(AND(P12&lt;&gt;"",N(P12)&lt;N(Q12)*0.6),-8,0),1))</f>
        <v/>
      </c>
      <c r="AE12" s="13">
        <f>IF(AND(P12="",Q12=""),"DATI MANCANTI",IF(AND(N(P12)&gt;=PARAMETRI!$B$4,N(Q12)&gt;=PARAMETRI!$B$4),"OK","NO"))</f>
        <v/>
      </c>
      <c r="AF12" s="13">
        <f>IF(M12="","N/D",IF(M12&lt;PARAMETRI!$B$6,"OTTIMO",IF(M12&lt;PARAMETRI!$B$5,"OK","NO")))</f>
        <v/>
      </c>
      <c r="AG12" s="13">
        <f>IF(OR(AE12="DATI MANCANTI",AF12="N/D"),"DA COMPLETARE",IF(AND(AE12="OK",AF12="OTTIMO"),"PASSA FORTE",IF(AND(AE12="OK",AF12="OK"),"PASSA","SCARTA")))</f>
        <v/>
      </c>
      <c r="AH12" s="11" t="inlineStr">
        <is>
          <t>2026-10-12</t>
        </is>
      </c>
      <c r="AI12" s="11" t="inlineStr">
        <is>
          <t>yahoo</t>
        </is>
      </c>
      <c r="AJ12" s="23" t="inlineStr"/>
    </row>
    <row r="13">
      <c r="A13" s="10">
        <f>IF(AD13="","",RANK(AD13,AD$2:AD$44))</f>
        <v/>
      </c>
      <c r="B13" s="11" t="inlineStr">
        <is>
          <t>BMW</t>
        </is>
      </c>
      <c r="C13" s="12" t="inlineStr">
        <is>
          <t>BMW.DE</t>
        </is>
      </c>
      <c r="D13" s="11" t="inlineStr">
        <is>
          <t>Auto</t>
        </is>
      </c>
      <c r="E13" s="13" t="inlineStr">
        <is>
          <t>Consumi</t>
        </is>
      </c>
      <c r="F13" s="14" t="n">
        <v>53.06</v>
      </c>
      <c r="G13" s="15" t="inlineStr">
        <is>
          <t>EUR</t>
        </is>
      </c>
      <c r="H13" s="14" t="n">
        <v>53.06</v>
      </c>
      <c r="I13" s="16" t="n">
        <v>31760.4</v>
      </c>
      <c r="J13" s="16" t="n">
        <v>31760.4</v>
      </c>
      <c r="K13" s="14" t="n">
        <v>10.31</v>
      </c>
      <c r="L13" s="14" t="n">
        <v>8.70421</v>
      </c>
      <c r="M13" s="17">
        <f>IF(OR(F13="",K13="",K13&lt;=0),"",F13/K13)</f>
        <v/>
      </c>
      <c r="N13" s="18" t="n">
        <v>0.33326006</v>
      </c>
      <c r="O13" s="19">
        <f>IF(OR(N13="",M13="",M13&lt;=0),"",N13/M13)</f>
        <v/>
      </c>
      <c r="P13" s="20" t="n">
        <v>0.06592000000000001</v>
      </c>
      <c r="Q13" s="20" t="n">
        <v>0.1217802745892722</v>
      </c>
      <c r="R13" s="20" t="n">
        <v>0.05245569366129516</v>
      </c>
      <c r="S13" s="21" t="n">
        <v>4</v>
      </c>
      <c r="T13" s="20" t="n"/>
      <c r="U13" s="20" t="n">
        <v>0.07621973520591033</v>
      </c>
      <c r="V13" s="20" t="n">
        <v>0.07896874830742566</v>
      </c>
      <c r="W13" s="20" t="n">
        <v>0.1260100897361489</v>
      </c>
      <c r="X13" s="20" t="n">
        <v>0.205922525107604</v>
      </c>
      <c r="Y13" s="14" t="n">
        <v>4.4</v>
      </c>
      <c r="Z13" s="19">
        <f>IF(OR(Y13="",F13="",F13=0),"",Y13/F13)</f>
        <v/>
      </c>
      <c r="AA13" s="22" t="n">
        <v>119.855</v>
      </c>
      <c r="AB13" s="20" t="n">
        <v>-0.079</v>
      </c>
      <c r="AC13" s="20" t="n">
        <v>0.04723011145496916</v>
      </c>
      <c r="AD13" s="17">
        <f>IF(OR(Q13="",M13="",M13&lt;=0),"",ROUND(40*MAX(0,MIN(N(Q13)/0.3,1))+IF(OR(R13="",N(Q13)&lt;=0),10,20*MAX(0,1-MIN(R13/Q13,1)))+30*MAX(0,MIN((PARAMETRI!$B$5-M13)/MAX(PARAMETRI!$B$5-10,1),1))+IF(AB13="",3,10*MAX(0,MIN(AB13/0.15,1)))+IF(AND(P13&lt;&gt;"",N(P13)&lt;N(Q13)*0.6),-8,0),1))</f>
        <v/>
      </c>
      <c r="AE13" s="13">
        <f>IF(AND(P13="",Q13=""),"DATI MANCANTI",IF(AND(N(P13)&gt;=PARAMETRI!$B$4,N(Q13)&gt;=PARAMETRI!$B$4),"OK","NO"))</f>
        <v/>
      </c>
      <c r="AF13" s="13">
        <f>IF(M13="","N/D",IF(M13&lt;PARAMETRI!$B$6,"OTTIMO",IF(M13&lt;PARAMETRI!$B$5,"OK","NO")))</f>
        <v/>
      </c>
      <c r="AG13" s="13">
        <f>IF(OR(AE13="DATI MANCANTI",AF13="N/D"),"DA COMPLETARE",IF(AND(AE13="OK",AF13="OTTIMO"),"PASSA FORTE",IF(AND(AE13="OK",AF13="OK"),"PASSA","SCARTA")))</f>
        <v/>
      </c>
      <c r="AH13" s="11" t="inlineStr">
        <is>
          <t>2026-10-12</t>
        </is>
      </c>
      <c r="AI13" s="11" t="inlineStr">
        <is>
          <t>yahoo</t>
        </is>
      </c>
      <c r="AJ13" s="23" t="inlineStr"/>
    </row>
    <row r="14">
      <c r="A14" s="10">
        <f>IF(AD14="","",RANK(AD14,AD$2:AD$44))</f>
        <v/>
      </c>
      <c r="B14" s="11" t="inlineStr">
        <is>
          <t>GEA Group</t>
        </is>
      </c>
      <c r="C14" s="12" t="inlineStr">
        <is>
          <t>G1A.DE</t>
        </is>
      </c>
      <c r="D14" s="11" t="inlineStr">
        <is>
          <t>Impiantistica</t>
        </is>
      </c>
      <c r="E14" s="13" t="inlineStr">
        <is>
          <t>Industriale</t>
        </is>
      </c>
      <c r="F14" s="14" t="n">
        <v>68.75</v>
      </c>
      <c r="G14" s="15" t="inlineStr">
        <is>
          <t>EUR</t>
        </is>
      </c>
      <c r="H14" s="14" t="n">
        <v>68.75</v>
      </c>
      <c r="I14" s="16" t="n">
        <v>11192.6</v>
      </c>
      <c r="J14" s="16" t="n">
        <v>11192.6</v>
      </c>
      <c r="K14" s="14" t="n">
        <v>2.7</v>
      </c>
      <c r="L14" s="14" t="n">
        <v>3.74645</v>
      </c>
      <c r="M14" s="17">
        <f>IF(OR(F14="",K14="",K14&lt;=0),"",F14/K14)</f>
        <v/>
      </c>
      <c r="N14" s="18" t="n">
        <v>4.4724174</v>
      </c>
      <c r="O14" s="19">
        <f>IF(OR(N14="",M14="",M14&lt;=0),"",N14/M14)</f>
        <v/>
      </c>
      <c r="P14" s="20" t="n">
        <v>0.18450001</v>
      </c>
      <c r="Q14" s="20" t="n">
        <v>0.1668752634750149</v>
      </c>
      <c r="R14" s="20" t="n">
        <v>0.006339910260809393</v>
      </c>
      <c r="S14" s="21" t="n">
        <v>4</v>
      </c>
      <c r="T14" s="20" t="n"/>
      <c r="U14" s="20" t="n">
        <v>0.1687777491054856</v>
      </c>
      <c r="V14" s="20" t="n">
        <v>0.1588625719907466</v>
      </c>
      <c r="W14" s="20" t="n">
        <v>0.1638357842063747</v>
      </c>
      <c r="X14" s="20" t="n">
        <v>0.1760249485974526</v>
      </c>
      <c r="Y14" s="14" t="n">
        <v>1.3</v>
      </c>
      <c r="Z14" s="19">
        <f>IF(OR(Y14="",F14="",F14=0),"",Y14/F14)</f>
        <v/>
      </c>
      <c r="AA14" s="22" t="n">
        <v>10.426</v>
      </c>
      <c r="AB14" s="20" t="n">
        <v>0.1</v>
      </c>
      <c r="AC14" s="20" t="n">
        <v>0.07950968344907955</v>
      </c>
      <c r="AD14" s="17">
        <f>IF(OR(Q14="",M14="",M14&lt;=0),"",ROUND(40*MAX(0,MIN(N(Q14)/0.3,1))+IF(OR(R14="",N(Q14)&lt;=0),10,20*MAX(0,1-MIN(R14/Q14,1)))+30*MAX(0,MIN((PARAMETRI!$B$5-M14)/MAX(PARAMETRI!$B$5-10,1),1))+IF(AB14="",3,10*MAX(0,MIN(AB14/0.15,1)))+IF(AND(P14&lt;&gt;"",N(P14)&lt;N(Q14)*0.6),-8,0),1))</f>
        <v/>
      </c>
      <c r="AE14" s="13">
        <f>IF(AND(P14="",Q14=""),"DATI MANCANTI",IF(AND(N(P14)&gt;=PARAMETRI!$B$4,N(Q14)&gt;=PARAMETRI!$B$4),"OK","NO"))</f>
        <v/>
      </c>
      <c r="AF14" s="13">
        <f>IF(M14="","N/D",IF(M14&lt;PARAMETRI!$B$6,"OTTIMO",IF(M14&lt;PARAMETRI!$B$5,"OK","NO")))</f>
        <v/>
      </c>
      <c r="AG14" s="13">
        <f>IF(OR(AE14="DATI MANCANTI",AF14="N/D"),"DA COMPLETARE",IF(AND(AE14="OK",AF14="OTTIMO"),"PASSA FORTE",IF(AND(AE14="OK",AF14="OK"),"PASSA","SCARTA")))</f>
        <v/>
      </c>
      <c r="AH14" s="11" t="inlineStr">
        <is>
          <t>2026-10-12</t>
        </is>
      </c>
      <c r="AI14" s="11" t="inlineStr">
        <is>
          <t>yahoo</t>
        </is>
      </c>
      <c r="AJ14" s="23" t="inlineStr"/>
    </row>
    <row r="15">
      <c r="A15" s="10">
        <f>IF(AD15="","",RANK(AD15,AD$2:AD$44))</f>
        <v/>
      </c>
      <c r="B15" s="11" t="inlineStr">
        <is>
          <t>Commerzbank</t>
        </is>
      </c>
      <c r="C15" s="12" t="inlineStr">
        <is>
          <t>CBK.DE</t>
        </is>
      </c>
      <c r="D15" s="11" t="inlineStr">
        <is>
          <t>Banca</t>
        </is>
      </c>
      <c r="E15" s="13" t="inlineStr">
        <is>
          <t>Finanziario</t>
        </is>
      </c>
      <c r="F15" s="14" t="n">
        <v>38.12</v>
      </c>
      <c r="G15" s="15" t="inlineStr">
        <is>
          <t>EUR</t>
        </is>
      </c>
      <c r="H15" s="14" t="n">
        <v>38.12</v>
      </c>
      <c r="I15" s="16" t="n">
        <v>41201.9</v>
      </c>
      <c r="J15" s="16" t="n">
        <v>41201.9</v>
      </c>
      <c r="K15" s="14" t="n">
        <v>2.57</v>
      </c>
      <c r="L15" s="14" t="n">
        <v>3.91935</v>
      </c>
      <c r="M15" s="17">
        <f>IF(OR(F15="",K15="",K15&lt;=0),"",F15/K15)</f>
        <v/>
      </c>
      <c r="N15" s="18" t="n">
        <v>1.2201914</v>
      </c>
      <c r="O15" s="19">
        <f>IF(OR(N15="",M15="",M15&lt;=0),"",N15/M15)</f>
        <v/>
      </c>
      <c r="P15" s="20" t="n">
        <v>0.09666</v>
      </c>
      <c r="Q15" s="20" t="n">
        <v>0.06813536415307286</v>
      </c>
      <c r="R15" s="20" t="n">
        <v>0.0122202754534199</v>
      </c>
      <c r="S15" s="21" t="n">
        <v>4</v>
      </c>
      <c r="T15" s="20" t="n"/>
      <c r="U15" s="20" t="n">
        <v>0.07759614531910491</v>
      </c>
      <c r="V15" s="20" t="n">
        <v>0.07766624115121272</v>
      </c>
      <c r="W15" s="20" t="n">
        <v>0.06951737934483621</v>
      </c>
      <c r="X15" s="20" t="n">
        <v>0.04776169079713763</v>
      </c>
      <c r="Y15" s="14" t="n">
        <v>1.1</v>
      </c>
      <c r="Z15" s="19">
        <f>IF(OR(Y15="",F15="",F15=0),"",Y15/F15)</f>
        <v/>
      </c>
      <c r="AA15" s="22" t="n"/>
      <c r="AB15" s="20" t="n">
        <v>0.101</v>
      </c>
      <c r="AC15" s="20" t="n">
        <v>0.2217411473635379</v>
      </c>
      <c r="AD15" s="17">
        <f>IF(OR(Q15="",M15="",M15&lt;=0),"",ROUND(40*MAX(0,MIN(N(Q15)/0.3,1))+IF(OR(R15="",N(Q15)&lt;=0),10,20*MAX(0,1-MIN(R15/Q15,1)))+30*MAX(0,MIN((PARAMETRI!$B$5-M15)/MAX(PARAMETRI!$B$5-10,1),1))+IF(AB15="",3,10*MAX(0,MIN(AB15/0.15,1)))+IF(AND(P15&lt;&gt;"",N(P15)&lt;N(Q15)*0.6),-8,0),1))</f>
        <v/>
      </c>
      <c r="AE15" s="13">
        <f>IF(AND(P15="",Q15=""),"DATI MANCANTI",IF(AND(N(P15)&gt;=PARAMETRI!$B$4,N(Q15)&gt;=PARAMETRI!$B$4),"OK","NO"))</f>
        <v/>
      </c>
      <c r="AF15" s="13">
        <f>IF(M15="","N/D",IF(M15&lt;PARAMETRI!$B$6,"OTTIMO",IF(M15&lt;PARAMETRI!$B$5,"OK","NO")))</f>
        <v/>
      </c>
      <c r="AG15" s="13">
        <f>IF(OR(AE15="DATI MANCANTI",AF15="N/D"),"DA COMPLETARE",IF(AND(AE15="OK",AF15="OTTIMO"),"PASSA FORTE",IF(AND(AE15="OK",AF15="OK"),"PASSA","SCARTA")))</f>
        <v/>
      </c>
      <c r="AH15" s="11" t="inlineStr">
        <is>
          <t>2026-10-12</t>
        </is>
      </c>
      <c r="AI15" s="11" t="inlineStr">
        <is>
          <t>yahoo</t>
        </is>
      </c>
      <c r="AJ15" s="23" t="inlineStr"/>
    </row>
    <row r="16">
      <c r="A16" s="10">
        <f>IF(AD16="","",RANK(AD16,AD$2:AD$44))</f>
        <v/>
      </c>
      <c r="B16" s="11" t="inlineStr">
        <is>
          <t>Fresenius Medical Care</t>
        </is>
      </c>
      <c r="C16" s="12" t="inlineStr">
        <is>
          <t>FME.DE</t>
        </is>
      </c>
      <c r="D16" s="11" t="inlineStr">
        <is>
          <t>Dialisi</t>
        </is>
      </c>
      <c r="E16" s="13" t="inlineStr">
        <is>
          <t>Salute</t>
        </is>
      </c>
      <c r="F16" s="14" t="n">
        <v>37.9</v>
      </c>
      <c r="G16" s="15" t="inlineStr">
        <is>
          <t>EUR</t>
        </is>
      </c>
      <c r="H16" s="14" t="n">
        <v>37.9</v>
      </c>
      <c r="I16" s="16" t="n">
        <v>10178.6</v>
      </c>
      <c r="J16" s="16" t="n">
        <v>10178.6</v>
      </c>
      <c r="K16" s="14" t="n">
        <v>3.33</v>
      </c>
      <c r="L16" s="14" t="n">
        <v>4.26488</v>
      </c>
      <c r="M16" s="17">
        <f>IF(OR(F16="",K16="",K16&lt;=0),"",F16/K16)</f>
        <v/>
      </c>
      <c r="N16" s="18" t="n">
        <v>0.80320436</v>
      </c>
      <c r="O16" s="19">
        <f>IF(OR(N16="",M16="",M16&lt;=0),"",N16/M16)</f>
        <v/>
      </c>
      <c r="P16" s="20" t="n">
        <v>0.08524</v>
      </c>
      <c r="Q16" s="20" t="n">
        <v>0.04879567012705373</v>
      </c>
      <c r="R16" s="20" t="n">
        <v>0.01500318486991299</v>
      </c>
      <c r="S16" s="21" t="n">
        <v>4</v>
      </c>
      <c r="T16" s="20" t="n"/>
      <c r="U16" s="20" t="n">
        <v>0.07350708859435641</v>
      </c>
      <c r="V16" s="20" t="n">
        <v>0.03690259493956154</v>
      </c>
      <c r="W16" s="20" t="n">
        <v>0.03663637576401803</v>
      </c>
      <c r="X16" s="20" t="n">
        <v>0.04813662121027892</v>
      </c>
      <c r="Y16" s="14" t="n">
        <v>1.49</v>
      </c>
      <c r="Z16" s="19">
        <f>IF(OR(Y16="",F16="",F16=0),"",Y16/F16)</f>
        <v/>
      </c>
      <c r="AA16" s="22" t="n">
        <v>81.131</v>
      </c>
      <c r="AB16" s="20" t="n">
        <v>0.014</v>
      </c>
      <c r="AC16" s="20" t="n">
        <v>0.04777868391665981</v>
      </c>
      <c r="AD16" s="17">
        <f>IF(OR(Q16="",M16="",M16&lt;=0),"",ROUND(40*MAX(0,MIN(N(Q16)/0.3,1))+IF(OR(R16="",N(Q16)&lt;=0),10,20*MAX(0,1-MIN(R16/Q16,1)))+30*MAX(0,MIN((PARAMETRI!$B$5-M16)/MAX(PARAMETRI!$B$5-10,1),1))+IF(AB16="",3,10*MAX(0,MIN(AB16/0.15,1)))+IF(AND(P16&lt;&gt;"",N(P16)&lt;N(Q16)*0.6),-8,0),1))</f>
        <v/>
      </c>
      <c r="AE16" s="13">
        <f>IF(AND(P16="",Q16=""),"DATI MANCANTI",IF(AND(N(P16)&gt;=PARAMETRI!$B$4,N(Q16)&gt;=PARAMETRI!$B$4),"OK","NO"))</f>
        <v/>
      </c>
      <c r="AF16" s="13">
        <f>IF(M16="","N/D",IF(M16&lt;PARAMETRI!$B$6,"OTTIMO",IF(M16&lt;PARAMETRI!$B$5,"OK","NO")))</f>
        <v/>
      </c>
      <c r="AG16" s="13">
        <f>IF(OR(AE16="DATI MANCANTI",AF16="N/D"),"DA COMPLETARE",IF(AND(AE16="OK",AF16="OTTIMO"),"PASSA FORTE",IF(AND(AE16="OK",AF16="OK"),"PASSA","SCARTA")))</f>
        <v/>
      </c>
      <c r="AH16" s="11" t="inlineStr">
        <is>
          <t>2026-10-12</t>
        </is>
      </c>
      <c r="AI16" s="11" t="inlineStr">
        <is>
          <t>yahoo</t>
        </is>
      </c>
      <c r="AJ16" s="23" t="inlineStr"/>
    </row>
    <row r="17">
      <c r="A17" s="10">
        <f>IF(AD17="","",RANK(AD17,AD$2:AD$44))</f>
        <v/>
      </c>
      <c r="B17" s="11" t="inlineStr">
        <is>
          <t>Volkswagen VZ</t>
        </is>
      </c>
      <c r="C17" s="12" t="inlineStr">
        <is>
          <t>VOW3.DE</t>
        </is>
      </c>
      <c r="D17" s="11" t="inlineStr">
        <is>
          <t>Auto</t>
        </is>
      </c>
      <c r="E17" s="13" t="inlineStr">
        <is>
          <t>Consumi</t>
        </is>
      </c>
      <c r="F17" s="14" t="n">
        <v>68.40000000000001</v>
      </c>
      <c r="G17" s="15" t="inlineStr">
        <is>
          <t>EUR</t>
        </is>
      </c>
      <c r="H17" s="14" t="n">
        <v>68.40000000000001</v>
      </c>
      <c r="I17" s="16" t="n">
        <v>34288.6</v>
      </c>
      <c r="J17" s="16" t="n">
        <v>34288.6</v>
      </c>
      <c r="K17" s="14" t="n">
        <v>10.18</v>
      </c>
      <c r="L17" s="14" t="n">
        <v>21.41173</v>
      </c>
      <c r="M17" s="17">
        <f>IF(OR(F17="",K17="",K17&lt;=0),"",F17/K17)</f>
        <v/>
      </c>
      <c r="N17" s="18" t="n">
        <v>0.1955515</v>
      </c>
      <c r="O17" s="19">
        <f>IF(OR(N17="",M17="",M17&lt;=0),"",N17/M17)</f>
        <v/>
      </c>
      <c r="P17" s="20" t="n">
        <v>0.027609998</v>
      </c>
      <c r="Q17" s="20" t="n">
        <v>0.07227850342214182</v>
      </c>
      <c r="R17" s="20" t="n">
        <v>0.02322045052510603</v>
      </c>
      <c r="S17" s="21" t="n">
        <v>4</v>
      </c>
      <c r="T17" s="20" t="n"/>
      <c r="U17" s="20" t="n">
        <v>0.03889481986647333</v>
      </c>
      <c r="V17" s="20" t="n">
        <v>0.0622675458325562</v>
      </c>
      <c r="W17" s="20" t="n">
        <v>0.09448584884093092</v>
      </c>
      <c r="X17" s="20" t="n">
        <v>0.09346579914860681</v>
      </c>
      <c r="Y17" s="14" t="n">
        <v>5.26</v>
      </c>
      <c r="Z17" s="19">
        <f>IF(OR(Y17="",F17="",F17=0),"",Y17/F17)</f>
        <v/>
      </c>
      <c r="AA17" s="22" t="n">
        <v>138.745</v>
      </c>
      <c r="AB17" s="20" t="n">
        <v>0.02</v>
      </c>
      <c r="AC17" s="20" t="n">
        <v>0.01628390239598898</v>
      </c>
      <c r="AD17" s="17">
        <f>IF(OR(Q17="",M17="",M17&lt;=0),"",ROUND(40*MAX(0,MIN(N(Q17)/0.3,1))+IF(OR(R17="",N(Q17)&lt;=0),10,20*MAX(0,1-MIN(R17/Q17,1)))+30*MAX(0,MIN((PARAMETRI!$B$5-M17)/MAX(PARAMETRI!$B$5-10,1),1))+IF(AB17="",3,10*MAX(0,MIN(AB17/0.15,1)))+IF(AND(P17&lt;&gt;"",N(P17)&lt;N(Q17)*0.6),-8,0),1))</f>
        <v/>
      </c>
      <c r="AE17" s="13">
        <f>IF(AND(P17="",Q17=""),"DATI MANCANTI",IF(AND(N(P17)&gt;=PARAMETRI!$B$4,N(Q17)&gt;=PARAMETRI!$B$4),"OK","NO"))</f>
        <v/>
      </c>
      <c r="AF17" s="13">
        <f>IF(M17="","N/D",IF(M17&lt;PARAMETRI!$B$6,"OTTIMO",IF(M17&lt;PARAMETRI!$B$5,"OK","NO")))</f>
        <v/>
      </c>
      <c r="AG17" s="13">
        <f>IF(OR(AE17="DATI MANCANTI",AF17="N/D"),"DA COMPLETARE",IF(AND(AE17="OK",AF17="OTTIMO"),"PASSA FORTE",IF(AND(AE17="OK",AF17="OK"),"PASSA","SCARTA")))</f>
        <v/>
      </c>
      <c r="AH17" s="11" t="inlineStr">
        <is>
          <t>2026-10-12</t>
        </is>
      </c>
      <c r="AI17" s="11" t="inlineStr">
        <is>
          <t>yahoo</t>
        </is>
      </c>
      <c r="AJ17" s="23" t="inlineStr"/>
    </row>
    <row r="18">
      <c r="A18" s="10">
        <f>IF(AD18="","",RANK(AD18,AD$2:AD$44))</f>
        <v/>
      </c>
      <c r="B18" s="11" t="inlineStr">
        <is>
          <t>RWE</t>
        </is>
      </c>
      <c r="C18" s="12" t="inlineStr">
        <is>
          <t>RWE.DE</t>
        </is>
      </c>
      <c r="D18" s="11" t="inlineStr">
        <is>
          <t>Utility / Generazione</t>
        </is>
      </c>
      <c r="E18" s="13" t="inlineStr">
        <is>
          <t>Utility</t>
        </is>
      </c>
      <c r="F18" s="14" t="n">
        <v>59.26</v>
      </c>
      <c r="G18" s="15" t="inlineStr">
        <is>
          <t>EUR</t>
        </is>
      </c>
      <c r="H18" s="14" t="n">
        <v>59.26</v>
      </c>
      <c r="I18" s="16" t="n">
        <v>46221.9</v>
      </c>
      <c r="J18" s="16" t="n">
        <v>46221.9</v>
      </c>
      <c r="K18" s="14" t="n">
        <v>4.51</v>
      </c>
      <c r="L18" s="14" t="n">
        <v>3.3403</v>
      </c>
      <c r="M18" s="17">
        <f>IF(OR(F18="",K18="",K18&lt;=0),"",F18/K18)</f>
        <v/>
      </c>
      <c r="N18" s="18" t="n">
        <v>1.0628452</v>
      </c>
      <c r="O18" s="19">
        <f>IF(OR(N18="",M18="",M18&lt;=0),"",N18/M18)</f>
        <v/>
      </c>
      <c r="P18" s="20" t="n">
        <v>0.08547</v>
      </c>
      <c r="Q18" s="20" t="n">
        <v>0.09991327745593341</v>
      </c>
      <c r="R18" s="20" t="n">
        <v>0.04122771245141714</v>
      </c>
      <c r="S18" s="21" t="n">
        <v>4</v>
      </c>
      <c r="T18" s="20" t="n"/>
      <c r="U18" s="20" t="n">
        <v>0.09106774090340596</v>
      </c>
      <c r="V18" s="20" t="n">
        <v>0.1627626866144727</v>
      </c>
      <c r="W18" s="20" t="n">
        <v>0.04729497705491212</v>
      </c>
      <c r="X18" s="20" t="n">
        <v>0.09852770525094284</v>
      </c>
      <c r="Y18" s="14" t="n">
        <v>1.2</v>
      </c>
      <c r="Z18" s="19">
        <f>IF(OR(Y18="",F18="",F18=0),"",Y18/F18)</f>
        <v/>
      </c>
      <c r="AA18" s="22" t="n">
        <v>50.366</v>
      </c>
      <c r="AB18" s="20" t="n">
        <v>-0.091</v>
      </c>
      <c r="AC18" s="20" t="n">
        <v>0.183458127524393</v>
      </c>
      <c r="AD18" s="17">
        <f>IF(OR(Q18="",M18="",M18&lt;=0),"",ROUND(40*MAX(0,MIN(N(Q18)/0.3,1))+IF(OR(R18="",N(Q18)&lt;=0),10,20*MAX(0,1-MIN(R18/Q18,1)))+30*MAX(0,MIN((PARAMETRI!$B$5-M18)/MAX(PARAMETRI!$B$5-10,1),1))+IF(AB18="",3,10*MAX(0,MIN(AB18/0.15,1)))+IF(AND(P18&lt;&gt;"",N(P18)&lt;N(Q18)*0.6),-8,0),1))</f>
        <v/>
      </c>
      <c r="AE18" s="13">
        <f>IF(AND(P18="",Q18=""),"DATI MANCANTI",IF(AND(N(P18)&gt;=PARAMETRI!$B$4,N(Q18)&gt;=PARAMETRI!$B$4),"OK","NO"))</f>
        <v/>
      </c>
      <c r="AF18" s="13">
        <f>IF(M18="","N/D",IF(M18&lt;PARAMETRI!$B$6,"OTTIMO",IF(M18&lt;PARAMETRI!$B$5,"OK","NO")))</f>
        <v/>
      </c>
      <c r="AG18" s="13">
        <f>IF(OR(AE18="DATI MANCANTI",AF18="N/D"),"DA COMPLETARE",IF(AND(AE18="OK",AF18="OTTIMO"),"PASSA FORTE",IF(AND(AE18="OK",AF18="OK"),"PASSA","SCARTA")))</f>
        <v/>
      </c>
      <c r="AH18" s="11" t="inlineStr">
        <is>
          <t>2026-10-12</t>
        </is>
      </c>
      <c r="AI18" s="11" t="inlineStr">
        <is>
          <t>yahoo</t>
        </is>
      </c>
      <c r="AJ18" s="23" t="inlineStr"/>
    </row>
    <row r="19">
      <c r="A19" s="10">
        <f>IF(AD19="","",RANK(AD19,AD$2:AD$44))</f>
        <v/>
      </c>
      <c r="B19" s="11" t="inlineStr">
        <is>
          <t>E.ON</t>
        </is>
      </c>
      <c r="C19" s="12" t="inlineStr">
        <is>
          <t>EOAN.DE</t>
        </is>
      </c>
      <c r="D19" s="11" t="inlineStr">
        <is>
          <t>Utility / Reti</t>
        </is>
      </c>
      <c r="E19" s="13" t="inlineStr">
        <is>
          <t>Utility</t>
        </is>
      </c>
      <c r="F19" s="14" t="n">
        <v>17.335</v>
      </c>
      <c r="G19" s="15" t="inlineStr">
        <is>
          <t>EUR</t>
        </is>
      </c>
      <c r="H19" s="14" t="n">
        <v>17.335</v>
      </c>
      <c r="I19" s="16" t="n">
        <v>45318.6</v>
      </c>
      <c r="J19" s="16" t="n">
        <v>45318.6</v>
      </c>
      <c r="K19" s="14" t="n">
        <v>1.29</v>
      </c>
      <c r="L19" s="14" t="n">
        <v>1.24564</v>
      </c>
      <c r="M19" s="17">
        <f>IF(OR(F19="",K19="",K19&lt;=0),"",F19/K19)</f>
        <v/>
      </c>
      <c r="N19" s="18" t="n">
        <v>2.1353781</v>
      </c>
      <c r="O19" s="19">
        <f>IF(OR(N19="",M19="",M19&lt;=0),"",N19/M19)</f>
        <v/>
      </c>
      <c r="P19" s="20" t="n">
        <v>0.15546</v>
      </c>
      <c r="Q19" s="20" t="n">
        <v>0.1239044818430927</v>
      </c>
      <c r="R19" s="20" t="n">
        <v>0.08024887615552885</v>
      </c>
      <c r="S19" s="21" t="n">
        <v>4</v>
      </c>
      <c r="T19" s="20" t="n"/>
      <c r="U19" s="20" t="n">
        <v>0.09003115264797508</v>
      </c>
      <c r="V19" s="20" t="n">
        <v>0.2539655848887394</v>
      </c>
      <c r="W19" s="20" t="n">
        <v>0.03663029615984129</v>
      </c>
      <c r="X19" s="20" t="n">
        <v>0.1149908936758149</v>
      </c>
      <c r="Y19" s="14" t="n">
        <v>0.57</v>
      </c>
      <c r="Z19" s="19">
        <f>IF(OR(Y19="",F19="",F19=0),"",Y19/F19)</f>
        <v/>
      </c>
      <c r="AA19" s="22" t="n">
        <v>152.987</v>
      </c>
      <c r="AB19" s="20" t="n">
        <v>-0.005</v>
      </c>
      <c r="AC19" s="20" t="n">
        <v>0.04285677902012604</v>
      </c>
      <c r="AD19" s="17">
        <f>IF(OR(Q19="",M19="",M19&lt;=0),"",ROUND(40*MAX(0,MIN(N(Q19)/0.3,1))+IF(OR(R19="",N(Q19)&lt;=0),10,20*MAX(0,1-MIN(R19/Q19,1)))+30*MAX(0,MIN((PARAMETRI!$B$5-M19)/MAX(PARAMETRI!$B$5-10,1),1))+IF(AB19="",3,10*MAX(0,MIN(AB19/0.15,1)))+IF(AND(P19&lt;&gt;"",N(P19)&lt;N(Q19)*0.6),-8,0),1))</f>
        <v/>
      </c>
      <c r="AE19" s="13">
        <f>IF(AND(P19="",Q19=""),"DATI MANCANTI",IF(AND(N(P19)&gt;=PARAMETRI!$B$4,N(Q19)&gt;=PARAMETRI!$B$4),"OK","NO"))</f>
        <v/>
      </c>
      <c r="AF19" s="13">
        <f>IF(M19="","N/D",IF(M19&lt;PARAMETRI!$B$6,"OTTIMO",IF(M19&lt;PARAMETRI!$B$5,"OK","NO")))</f>
        <v/>
      </c>
      <c r="AG19" s="13">
        <f>IF(OR(AE19="DATI MANCANTI",AF19="N/D"),"DA COMPLETARE",IF(AND(AE19="OK",AF19="OTTIMO"),"PASSA FORTE",IF(AND(AE19="OK",AF19="OK"),"PASSA","SCARTA")))</f>
        <v/>
      </c>
      <c r="AH19" s="11" t="inlineStr">
        <is>
          <t>2026-10-12</t>
        </is>
      </c>
      <c r="AI19" s="11" t="inlineStr">
        <is>
          <t>yahoo</t>
        </is>
      </c>
      <c r="AJ19" s="23" t="inlineStr"/>
    </row>
    <row r="20">
      <c r="A20" s="10">
        <f>IF(AD20="","",RANK(AD20,AD$2:AD$44))</f>
        <v/>
      </c>
      <c r="B20" s="11" t="inlineStr">
        <is>
          <t>Vonovia</t>
        </is>
      </c>
      <c r="C20" s="12" t="inlineStr">
        <is>
          <t>VNA.DE</t>
        </is>
      </c>
      <c r="D20" s="11" t="inlineStr">
        <is>
          <t>Immobiliare residenziale</t>
        </is>
      </c>
      <c r="E20" s="13" t="inlineStr">
        <is>
          <t>Immobiliare</t>
        </is>
      </c>
      <c r="F20" s="14" t="n">
        <v>16.395</v>
      </c>
      <c r="G20" s="15" t="inlineStr">
        <is>
          <t>EUR</t>
        </is>
      </c>
      <c r="H20" s="14" t="n">
        <v>16.395</v>
      </c>
      <c r="I20" s="16" t="n">
        <v>13910.1</v>
      </c>
      <c r="J20" s="16" t="n">
        <v>13910.1</v>
      </c>
      <c r="K20" s="14" t="n">
        <v>4.39</v>
      </c>
      <c r="L20" s="14" t="n">
        <v>1.83186</v>
      </c>
      <c r="M20" s="17">
        <f>IF(OR(F20="",K20="",K20&lt;=0),"",F20/K20)</f>
        <v/>
      </c>
      <c r="N20" s="18" t="n">
        <v>0.51039785</v>
      </c>
      <c r="O20" s="19">
        <f>IF(OR(N20="",M20="",M20&lt;=0),"",N20/M20)</f>
        <v/>
      </c>
      <c r="P20" s="20" t="n">
        <v>0.14558</v>
      </c>
      <c r="Q20" s="20" t="n">
        <v>-0.04176565175875539</v>
      </c>
      <c r="R20" s="20" t="n">
        <v>0.1351856935006739</v>
      </c>
      <c r="S20" s="21" t="n">
        <v>4</v>
      </c>
      <c r="T20" s="20" t="n"/>
      <c r="U20" s="20" t="n">
        <v>0.1355464455010813</v>
      </c>
      <c r="V20" s="20" t="n">
        <v>-0.03733893417345936</v>
      </c>
      <c r="W20" s="20" t="n">
        <v>-0.2447221075747782</v>
      </c>
      <c r="X20" s="20" t="n">
        <v>-0.02054801078786525</v>
      </c>
      <c r="Y20" s="14" t="n">
        <v>1.25</v>
      </c>
      <c r="Z20" s="19">
        <f>IF(OR(Y20="",F20="",F20=0),"",Y20/F20)</f>
        <v/>
      </c>
      <c r="AA20" s="22" t="n">
        <v>135.1</v>
      </c>
      <c r="AB20" s="20" t="n">
        <v>0.016</v>
      </c>
      <c r="AC20" s="20" t="n">
        <v>0.7151217436320666</v>
      </c>
      <c r="AD20" s="17">
        <f>IF(OR(Q20="",M20="",M20&lt;=0),"",ROUND(40*MAX(0,MIN(N(Q20)/0.3,1))+IF(OR(R20="",N(Q20)&lt;=0),10,20*MAX(0,1-MIN(R20/Q20,1)))+30*MAX(0,MIN((PARAMETRI!$B$5-M20)/MAX(PARAMETRI!$B$5-10,1),1))+IF(AB20="",3,10*MAX(0,MIN(AB20/0.15,1)))+IF(AND(P20&lt;&gt;"",N(P20)&lt;N(Q20)*0.6),-8,0),1))</f>
        <v/>
      </c>
      <c r="AE20" s="13">
        <f>IF(AND(P20="",Q20=""),"DATI MANCANTI",IF(AND(N(P20)&gt;=PARAMETRI!$B$4,N(Q20)&gt;=PARAMETRI!$B$4),"OK","NO"))</f>
        <v/>
      </c>
      <c r="AF20" s="13">
        <f>IF(M20="","N/D",IF(M20&lt;PARAMETRI!$B$6,"OTTIMO",IF(M20&lt;PARAMETRI!$B$5,"OK","NO")))</f>
        <v/>
      </c>
      <c r="AG20" s="13">
        <f>IF(OR(AE20="DATI MANCANTI",AF20="N/D"),"DA COMPLETARE",IF(AND(AE20="OK",AF20="OTTIMO"),"PASSA FORTE",IF(AND(AE20="OK",AF20="OK"),"PASSA","SCARTA")))</f>
        <v/>
      </c>
      <c r="AH20" s="11" t="inlineStr">
        <is>
          <t>2026-10-12</t>
        </is>
      </c>
      <c r="AI20" s="11" t="inlineStr">
        <is>
          <t>yahoo</t>
        </is>
      </c>
      <c r="AJ20" s="23" t="inlineStr"/>
    </row>
    <row r="21">
      <c r="A21" s="10">
        <f>IF(AD21="","",RANK(AD21,AD$2:AD$44))</f>
        <v/>
      </c>
      <c r="B21" s="11" t="inlineStr">
        <is>
          <t>Henkel VZ</t>
        </is>
      </c>
      <c r="C21" s="12" t="inlineStr">
        <is>
          <t>HEN3.DE</t>
        </is>
      </c>
      <c r="D21" s="11" t="inlineStr">
        <is>
          <t>Beni per la casa</t>
        </is>
      </c>
      <c r="E21" s="13" t="inlineStr">
        <is>
          <t>Consumi</t>
        </is>
      </c>
      <c r="F21" s="14" t="n">
        <v>75.31999999999999</v>
      </c>
      <c r="G21" s="15" t="inlineStr">
        <is>
          <t>EUR</t>
        </is>
      </c>
      <c r="H21" s="14" t="n">
        <v>75.31999999999999</v>
      </c>
      <c r="I21" s="16" t="n">
        <v>30493.4</v>
      </c>
      <c r="J21" s="16" t="n">
        <v>30493.4</v>
      </c>
      <c r="K21" s="14" t="n">
        <v>4.71</v>
      </c>
      <c r="L21" s="14" t="n">
        <v>5.88165</v>
      </c>
      <c r="M21" s="17">
        <f>IF(OR(F21="",K21="",K21&lt;=0),"",F21/K21)</f>
        <v/>
      </c>
      <c r="N21" s="18" t="n">
        <v>1.4557685</v>
      </c>
      <c r="O21" s="19">
        <f>IF(OR(N21="",M21="",M21&lt;=0),"",N21/M21)</f>
        <v/>
      </c>
      <c r="P21" s="20" t="n">
        <v>0.09395000000000001</v>
      </c>
      <c r="Q21" s="20" t="n">
        <v>0.08012437507857159</v>
      </c>
      <c r="R21" s="20" t="n">
        <v>0.01593853352087433</v>
      </c>
      <c r="S21" s="21" t="n">
        <v>4</v>
      </c>
      <c r="T21" s="20" t="n"/>
      <c r="U21" s="20" t="n">
        <v>0.09929735532350932</v>
      </c>
      <c r="V21" s="20" t="n">
        <v>0.09235229155162894</v>
      </c>
      <c r="W21" s="20" t="n">
        <v>0.06615801626342736</v>
      </c>
      <c r="X21" s="20" t="n">
        <v>0.06268983717572076</v>
      </c>
      <c r="Y21" s="14" t="n">
        <v>2.07</v>
      </c>
      <c r="Z21" s="19">
        <f>IF(OR(Y21="",F21="",F21=0),"",Y21/F21)</f>
        <v/>
      </c>
      <c r="AA21" s="22" t="n">
        <v>32.159</v>
      </c>
      <c r="AB21" s="20" t="n">
        <v>-0.005</v>
      </c>
      <c r="AC21" s="20" t="n">
        <v>0.09333983586240546</v>
      </c>
      <c r="AD21" s="17">
        <f>IF(OR(Q21="",M21="",M21&lt;=0),"",ROUND(40*MAX(0,MIN(N(Q21)/0.3,1))+IF(OR(R21="",N(Q21)&lt;=0),10,20*MAX(0,1-MIN(R21/Q21,1)))+30*MAX(0,MIN((PARAMETRI!$B$5-M21)/MAX(PARAMETRI!$B$5-10,1),1))+IF(AB21="",3,10*MAX(0,MIN(AB21/0.15,1)))+IF(AND(P21&lt;&gt;"",N(P21)&lt;N(Q21)*0.6),-8,0),1))</f>
        <v/>
      </c>
      <c r="AE21" s="13">
        <f>IF(AND(P21="",Q21=""),"DATI MANCANTI",IF(AND(N(P21)&gt;=PARAMETRI!$B$4,N(Q21)&gt;=PARAMETRI!$B$4),"OK","NO"))</f>
        <v/>
      </c>
      <c r="AF21" s="13">
        <f>IF(M21="","N/D",IF(M21&lt;PARAMETRI!$B$6,"OTTIMO",IF(M21&lt;PARAMETRI!$B$5,"OK","NO")))</f>
        <v/>
      </c>
      <c r="AG21" s="13">
        <f>IF(OR(AE21="DATI MANCANTI",AF21="N/D"),"DA COMPLETARE",IF(AND(AE21="OK",AF21="OTTIMO"),"PASSA FORTE",IF(AND(AE21="OK",AF21="OK"),"PASSA","SCARTA")))</f>
        <v/>
      </c>
      <c r="AH21" s="11" t="inlineStr">
        <is>
          <t>2026-10-12</t>
        </is>
      </c>
      <c r="AI21" s="11" t="inlineStr">
        <is>
          <t>yahoo</t>
        </is>
      </c>
      <c r="AJ21" s="23" t="inlineStr"/>
    </row>
    <row r="22">
      <c r="A22" s="10">
        <f>IF(AD22="","",RANK(AD22,AD$2:AD$44))</f>
        <v/>
      </c>
      <c r="B22" s="11" t="inlineStr">
        <is>
          <t>Siemens</t>
        </is>
      </c>
      <c r="C22" s="12" t="inlineStr">
        <is>
          <t>SIE.DE</t>
        </is>
      </c>
      <c r="D22" s="11" t="inlineStr">
        <is>
          <t>Conglomerata industriale</t>
        </is>
      </c>
      <c r="E22" s="13" t="inlineStr">
        <is>
          <t>Industriale</t>
        </is>
      </c>
      <c r="F22" s="14" t="n">
        <v>275.75</v>
      </c>
      <c r="G22" s="15" t="inlineStr">
        <is>
          <t>EUR</t>
        </is>
      </c>
      <c r="H22" s="14" t="n">
        <v>275.75</v>
      </c>
      <c r="I22" s="16" t="n">
        <v>211076.4</v>
      </c>
      <c r="J22" s="16" t="n">
        <v>211076.4</v>
      </c>
      <c r="K22" s="14" t="n">
        <v>10.03</v>
      </c>
      <c r="L22" s="14" t="n">
        <v>12.90652</v>
      </c>
      <c r="M22" s="17">
        <f>IF(OR(F22="",K22="",K22&lt;=0),"",F22/K22)</f>
        <v/>
      </c>
      <c r="N22" s="18" t="n">
        <v>3.1269138</v>
      </c>
      <c r="O22" s="19">
        <f>IF(OR(N22="",M22="",M22&lt;=0),"",N22/M22)</f>
        <v/>
      </c>
      <c r="P22" s="20" t="n">
        <v>0.12465999</v>
      </c>
      <c r="Q22" s="20" t="n">
        <v>0.1397455048371014</v>
      </c>
      <c r="R22" s="20" t="n">
        <v>0.03696243339330732</v>
      </c>
      <c r="S22" s="21" t="n">
        <v>4</v>
      </c>
      <c r="T22" s="20" t="n"/>
      <c r="U22" s="20" t="n">
        <v>0.1545530492898914</v>
      </c>
      <c r="V22" s="20" t="n">
        <v>0.1619264981273408</v>
      </c>
      <c r="W22" s="20" t="n">
        <v>0.1663597170482609</v>
      </c>
      <c r="X22" s="20" t="n">
        <v>0.07614275488291236</v>
      </c>
      <c r="Y22" s="14" t="n">
        <v>5.35</v>
      </c>
      <c r="Z22" s="19">
        <f>IF(OR(Y22="",F22="",F22=0),"",Y22/F22)</f>
        <v/>
      </c>
      <c r="AA22" s="22" t="n">
        <v>66.425</v>
      </c>
      <c r="AB22" s="20" t="n">
        <v>0.073</v>
      </c>
      <c r="AC22" s="20" t="n">
        <v>0.09972882033606205</v>
      </c>
      <c r="AD22" s="17">
        <f>IF(OR(Q22="",M22="",M22&lt;=0),"",ROUND(40*MAX(0,MIN(N(Q22)/0.3,1))+IF(OR(R22="",N(Q22)&lt;=0),10,20*MAX(0,1-MIN(R22/Q22,1)))+30*MAX(0,MIN((PARAMETRI!$B$5-M22)/MAX(PARAMETRI!$B$5-10,1),1))+IF(AB22="",3,10*MAX(0,MIN(AB22/0.15,1)))+IF(AND(P22&lt;&gt;"",N(P22)&lt;N(Q22)*0.6),-8,0),1))</f>
        <v/>
      </c>
      <c r="AE22" s="13">
        <f>IF(AND(P22="",Q22=""),"DATI MANCANTI",IF(AND(N(P22)&gt;=PARAMETRI!$B$4,N(Q22)&gt;=PARAMETRI!$B$4),"OK","NO"))</f>
        <v/>
      </c>
      <c r="AF22" s="13">
        <f>IF(M22="","N/D",IF(M22&lt;PARAMETRI!$B$6,"OTTIMO",IF(M22&lt;PARAMETRI!$B$5,"OK","NO")))</f>
        <v/>
      </c>
      <c r="AG22" s="13">
        <f>IF(OR(AE22="DATI MANCANTI",AF22="N/D"),"DA COMPLETARE",IF(AND(AE22="OK",AF22="OTTIMO"),"PASSA FORTE",IF(AND(AE22="OK",AF22="OK"),"PASSA","SCARTA")))</f>
        <v/>
      </c>
      <c r="AH22" s="11" t="inlineStr">
        <is>
          <t>2026-10-12</t>
        </is>
      </c>
      <c r="AI22" s="11" t="inlineStr">
        <is>
          <t>yahoo</t>
        </is>
      </c>
      <c r="AJ22" s="23" t="inlineStr"/>
    </row>
    <row r="23">
      <c r="A23" s="10">
        <f>IF(AD23="","",RANK(AD23,AD$2:AD$44))</f>
        <v/>
      </c>
      <c r="B23" s="11" t="inlineStr">
        <is>
          <t>Brenntag</t>
        </is>
      </c>
      <c r="C23" s="12" t="inlineStr">
        <is>
          <t>BNR.DE</t>
        </is>
      </c>
      <c r="D23" s="11" t="inlineStr">
        <is>
          <t>Distribuzione chimica</t>
        </is>
      </c>
      <c r="E23" s="13" t="inlineStr">
        <is>
          <t>Industriale</t>
        </is>
      </c>
      <c r="F23" s="14" t="n">
        <v>61.84</v>
      </c>
      <c r="G23" s="15" t="inlineStr">
        <is>
          <t>EUR</t>
        </is>
      </c>
      <c r="H23" s="14" t="n">
        <v>61.84</v>
      </c>
      <c r="I23" s="16" t="n">
        <v>8928.799999999999</v>
      </c>
      <c r="J23" s="16" t="n">
        <v>8928.799999999999</v>
      </c>
      <c r="K23" s="14" t="n">
        <v>2.54</v>
      </c>
      <c r="L23" s="14" t="n">
        <v>4.17161</v>
      </c>
      <c r="M23" s="17">
        <f>IF(OR(F23="",K23="",K23&lt;=0),"",F23/K23)</f>
        <v/>
      </c>
      <c r="N23" s="18" t="n">
        <v>2.013742</v>
      </c>
      <c r="O23" s="19">
        <f>IF(OR(N23="",M23="",M23&lt;=0),"",N23/M23)</f>
        <v/>
      </c>
      <c r="P23" s="20" t="n">
        <v>0.08531000499999999</v>
      </c>
      <c r="Q23" s="20" t="n">
        <v>0.1318613129768742</v>
      </c>
      <c r="R23" s="20" t="n">
        <v>0.04868245762110701</v>
      </c>
      <c r="S23" s="21" t="n">
        <v>4</v>
      </c>
      <c r="T23" s="20" t="n"/>
      <c r="U23" s="20" t="n">
        <v>0.06133376602304073</v>
      </c>
      <c r="V23" s="20" t="n">
        <v>0.1134406668500222</v>
      </c>
      <c r="W23" s="20" t="n">
        <v>0.1660742908913513</v>
      </c>
      <c r="X23" s="20" t="n">
        <v>0.1865965281430826</v>
      </c>
      <c r="Y23" s="14" t="n">
        <v>1.9</v>
      </c>
      <c r="Z23" s="19">
        <f>IF(OR(Y23="",F23="",F23=0),"",Y23/F23)</f>
        <v/>
      </c>
      <c r="AA23" s="22" t="n">
        <v>80.702</v>
      </c>
      <c r="AB23" s="20" t="n">
        <v>0.102</v>
      </c>
      <c r="AC23" s="20" t="n">
        <v>0.02403190192136572</v>
      </c>
      <c r="AD23" s="17">
        <f>IF(OR(Q23="",M23="",M23&lt;=0),"",ROUND(40*MAX(0,MIN(N(Q23)/0.3,1))+IF(OR(R23="",N(Q23)&lt;=0),10,20*MAX(0,1-MIN(R23/Q23,1)))+30*MAX(0,MIN((PARAMETRI!$B$5-M23)/MAX(PARAMETRI!$B$5-10,1),1))+IF(AB23="",3,10*MAX(0,MIN(AB23/0.15,1)))+IF(AND(P23&lt;&gt;"",N(P23)&lt;N(Q23)*0.6),-8,0),1))</f>
        <v/>
      </c>
      <c r="AE23" s="13">
        <f>IF(AND(P23="",Q23=""),"DATI MANCANTI",IF(AND(N(P23)&gt;=PARAMETRI!$B$4,N(Q23)&gt;=PARAMETRI!$B$4),"OK","NO"))</f>
        <v/>
      </c>
      <c r="AF23" s="13">
        <f>IF(M23="","N/D",IF(M23&lt;PARAMETRI!$B$6,"OTTIMO",IF(M23&lt;PARAMETRI!$B$5,"OK","NO")))</f>
        <v/>
      </c>
      <c r="AG23" s="13">
        <f>IF(OR(AE23="DATI MANCANTI",AF23="N/D"),"DA COMPLETARE",IF(AND(AE23="OK",AF23="OTTIMO"),"PASSA FORTE",IF(AND(AE23="OK",AF23="OK"),"PASSA","SCARTA")))</f>
        <v/>
      </c>
      <c r="AH23" s="11" t="inlineStr">
        <is>
          <t>2026-10-12</t>
        </is>
      </c>
      <c r="AI23" s="11" t="inlineStr">
        <is>
          <t>yahoo</t>
        </is>
      </c>
      <c r="AJ23" s="23" t="inlineStr"/>
    </row>
    <row r="24">
      <c r="A24" s="10">
        <f>IF(AD24="","",RANK(AD24,AD$2:AD$44))</f>
        <v/>
      </c>
      <c r="B24" s="11" t="inlineStr">
        <is>
          <t>Beiersdorf</t>
        </is>
      </c>
      <c r="C24" s="12" t="inlineStr">
        <is>
          <t>BEI.DE</t>
        </is>
      </c>
      <c r="D24" s="11" t="inlineStr">
        <is>
          <t>Cura della persona</t>
        </is>
      </c>
      <c r="E24" s="13" t="inlineStr">
        <is>
          <t>Consumi</t>
        </is>
      </c>
      <c r="F24" s="14" t="n">
        <v>79.23999999999999</v>
      </c>
      <c r="G24" s="15" t="inlineStr">
        <is>
          <t>EUR</t>
        </is>
      </c>
      <c r="H24" s="14" t="n">
        <v>79.23999999999999</v>
      </c>
      <c r="I24" s="16" t="n">
        <v>17315.8</v>
      </c>
      <c r="J24" s="16" t="n">
        <v>17315.8</v>
      </c>
      <c r="K24" s="14" t="n">
        <v>4.3</v>
      </c>
      <c r="L24" s="14" t="n">
        <v>3.99155</v>
      </c>
      <c r="M24" s="17">
        <f>IF(OR(F24="",K24="",K24&lt;=0),"",F24/K24)</f>
        <v/>
      </c>
      <c r="N24" s="18" t="n">
        <v>1.9199922</v>
      </c>
      <c r="O24" s="19">
        <f>IF(OR(N24="",M24="",M24&lt;=0),"",N24/M24)</f>
        <v/>
      </c>
      <c r="P24" s="20" t="n">
        <v>0.10887</v>
      </c>
      <c r="Q24" s="20" t="n">
        <v>0.1005514061555024</v>
      </c>
      <c r="R24" s="20" t="n">
        <v>0.008420139168014068</v>
      </c>
      <c r="S24" s="21" t="n">
        <v>4</v>
      </c>
      <c r="T24" s="20" t="n"/>
      <c r="U24" s="20" t="n">
        <v>0.1091733519358214</v>
      </c>
      <c r="V24" s="20" t="n">
        <v>0.1076106194690265</v>
      </c>
      <c r="W24" s="20" t="n">
        <v>0.08844027877913962</v>
      </c>
      <c r="X24" s="20" t="n">
        <v>0.09698137443802184</v>
      </c>
      <c r="Y24" s="14" t="n">
        <v>1</v>
      </c>
      <c r="Z24" s="19">
        <f>IF(OR(Y24="",F24="",F24=0),"",Y24/F24)</f>
        <v/>
      </c>
      <c r="AA24" s="22" t="n">
        <v>1.221</v>
      </c>
      <c r="AB24" s="20" t="n">
        <v>-0.045</v>
      </c>
      <c r="AC24" s="20" t="n">
        <v>0.0952090946000812</v>
      </c>
      <c r="AD24" s="17">
        <f>IF(OR(Q24="",M24="",M24&lt;=0),"",ROUND(40*MAX(0,MIN(N(Q24)/0.3,1))+IF(OR(R24="",N(Q24)&lt;=0),10,20*MAX(0,1-MIN(R24/Q24,1)))+30*MAX(0,MIN((PARAMETRI!$B$5-M24)/MAX(PARAMETRI!$B$5-10,1),1))+IF(AB24="",3,10*MAX(0,MIN(AB24/0.15,1)))+IF(AND(P24&lt;&gt;"",N(P24)&lt;N(Q24)*0.6),-8,0),1))</f>
        <v/>
      </c>
      <c r="AE24" s="13">
        <f>IF(AND(P24="",Q24=""),"DATI MANCANTI",IF(AND(N(P24)&gt;=PARAMETRI!$B$4,N(Q24)&gt;=PARAMETRI!$B$4),"OK","NO"))</f>
        <v/>
      </c>
      <c r="AF24" s="13">
        <f>IF(M24="","N/D",IF(M24&lt;PARAMETRI!$B$6,"OTTIMO",IF(M24&lt;PARAMETRI!$B$5,"OK","NO")))</f>
        <v/>
      </c>
      <c r="AG24" s="13">
        <f>IF(OR(AE24="DATI MANCANTI",AF24="N/D"),"DA COMPLETARE",IF(AND(AE24="OK",AF24="OTTIMO"),"PASSA FORTE",IF(AND(AE24="OK",AF24="OK"),"PASSA","SCARTA")))</f>
        <v/>
      </c>
      <c r="AH24" s="11" t="inlineStr">
        <is>
          <t>2026-10-12</t>
        </is>
      </c>
      <c r="AI24" s="11" t="inlineStr">
        <is>
          <t>yahoo</t>
        </is>
      </c>
      <c r="AJ24" s="23" t="inlineStr"/>
    </row>
    <row r="25">
      <c r="A25" s="10">
        <f>IF(AD25="","",RANK(AD25,AD$2:AD$44))</f>
        <v/>
      </c>
      <c r="B25" s="11" t="inlineStr">
        <is>
          <t>Infineon Technologies</t>
        </is>
      </c>
      <c r="C25" s="12" t="inlineStr">
        <is>
          <t>IFX.DE</t>
        </is>
      </c>
      <c r="D25" s="11" t="inlineStr">
        <is>
          <t>Semiconduttori</t>
        </is>
      </c>
      <c r="E25" s="13" t="inlineStr">
        <is>
          <t>Tecnologia</t>
        </is>
      </c>
      <c r="F25" s="14" t="n">
        <v>57.22</v>
      </c>
      <c r="G25" s="15" t="inlineStr">
        <is>
          <t>EUR</t>
        </is>
      </c>
      <c r="H25" s="14" t="n">
        <v>57.22</v>
      </c>
      <c r="I25" s="16" t="n">
        <v>74357.39999999999</v>
      </c>
      <c r="J25" s="16" t="n">
        <v>74357.39999999999</v>
      </c>
      <c r="K25" s="14" t="n">
        <v>0.89</v>
      </c>
      <c r="L25" s="14" t="n">
        <v>2.8557</v>
      </c>
      <c r="M25" s="17">
        <f>IF(OR(F25="",K25="",K25&lt;=0),"",F25/K25)</f>
        <v/>
      </c>
      <c r="N25" s="18" t="n">
        <v>4.282293</v>
      </c>
      <c r="O25" s="19">
        <f>IF(OR(N25="",M25="",M25&lt;=0),"",N25/M25)</f>
        <v/>
      </c>
      <c r="P25" s="20" t="n">
        <v>0.07019</v>
      </c>
      <c r="Q25" s="20" t="n">
        <v>0.1162368598156738</v>
      </c>
      <c r="R25" s="20" t="n">
        <v>0.05085412037839204</v>
      </c>
      <c r="S25" s="21" t="n">
        <v>4</v>
      </c>
      <c r="T25" s="20" t="n"/>
      <c r="U25" s="20" t="n">
        <v>0.05952730045158642</v>
      </c>
      <c r="V25" s="20" t="n">
        <v>0.07555607178117196</v>
      </c>
      <c r="W25" s="20" t="n">
        <v>0.1840530391926778</v>
      </c>
      <c r="X25" s="20" t="n">
        <v>0.1458110278372591</v>
      </c>
      <c r="Y25" s="14" t="n">
        <v>0.35</v>
      </c>
      <c r="Z25" s="19">
        <f>IF(OR(Y25="",F25="",F25=0),"",Y25/F25)</f>
        <v/>
      </c>
      <c r="AA25" s="22" t="n">
        <v>40.183</v>
      </c>
      <c r="AB25" s="20" t="n">
        <v>0.126</v>
      </c>
      <c r="AC25" s="20" t="n">
        <v>0.08211703723912153</v>
      </c>
      <c r="AD25" s="17">
        <f>IF(OR(Q25="",M25="",M25&lt;=0),"",ROUND(40*MAX(0,MIN(N(Q25)/0.3,1))+IF(OR(R25="",N(Q25)&lt;=0),10,20*MAX(0,1-MIN(R25/Q25,1)))+30*MAX(0,MIN((PARAMETRI!$B$5-M25)/MAX(PARAMETRI!$B$5-10,1),1))+IF(AB25="",3,10*MAX(0,MIN(AB25/0.15,1)))+IF(AND(P25&lt;&gt;"",N(P25)&lt;N(Q25)*0.6),-8,0),1))</f>
        <v/>
      </c>
      <c r="AE25" s="13">
        <f>IF(AND(P25="",Q25=""),"DATI MANCANTI",IF(AND(N(P25)&gt;=PARAMETRI!$B$4,N(Q25)&gt;=PARAMETRI!$B$4),"OK","NO"))</f>
        <v/>
      </c>
      <c r="AF25" s="13">
        <f>IF(M25="","N/D",IF(M25&lt;PARAMETRI!$B$6,"OTTIMO",IF(M25&lt;PARAMETRI!$B$5,"OK","NO")))</f>
        <v/>
      </c>
      <c r="AG25" s="13">
        <f>IF(OR(AE25="DATI MANCANTI",AF25="N/D"),"DA COMPLETARE",IF(AND(AE25="OK",AF25="OTTIMO"),"PASSA FORTE",IF(AND(AE25="OK",AF25="OK"),"PASSA","SCARTA")))</f>
        <v/>
      </c>
      <c r="AH25" s="11" t="inlineStr">
        <is>
          <t>2026-10-12</t>
        </is>
      </c>
      <c r="AI25" s="11" t="inlineStr">
        <is>
          <t>yahoo</t>
        </is>
      </c>
      <c r="AJ25" s="23" t="inlineStr"/>
    </row>
    <row r="26">
      <c r="A26" s="10">
        <f>IF(AD26="","",RANK(AD26,AD$2:AD$44))</f>
        <v/>
      </c>
      <c r="B26" s="11" t="inlineStr">
        <is>
          <t>Merck KGaA</t>
        </is>
      </c>
      <c r="C26" s="12" t="inlineStr">
        <is>
          <t>MRK.DE</t>
        </is>
      </c>
      <c r="D26" s="11" t="inlineStr">
        <is>
          <t>Farmaceutica</t>
        </is>
      </c>
      <c r="E26" s="13" t="inlineStr">
        <is>
          <t>Salute</t>
        </is>
      </c>
      <c r="F26" s="14" t="n">
        <v>138.65</v>
      </c>
      <c r="G26" s="15" t="inlineStr">
        <is>
          <t>EUR</t>
        </is>
      </c>
      <c r="H26" s="14" t="n">
        <v>138.65</v>
      </c>
      <c r="I26" s="16" t="n">
        <v>60282</v>
      </c>
      <c r="J26" s="16" t="n">
        <v>60282</v>
      </c>
      <c r="K26" s="14" t="n">
        <v>5.36</v>
      </c>
      <c r="L26" s="14" t="n">
        <v>8.9146</v>
      </c>
      <c r="M26" s="17">
        <f>IF(OR(F26="",K26="",K26&lt;=0),"",F26/K26)</f>
        <v/>
      </c>
      <c r="N26" s="18" t="n">
        <v>1.9926702</v>
      </c>
      <c r="O26" s="19">
        <f>IF(OR(N26="",M26="",M26&lt;=0),"",N26/M26)</f>
        <v/>
      </c>
      <c r="P26" s="20" t="n">
        <v>0.08134</v>
      </c>
      <c r="Q26" s="20" t="n">
        <v>0.1045443615768598</v>
      </c>
      <c r="R26" s="20" t="n">
        <v>0.01483309679881956</v>
      </c>
      <c r="S26" s="21" t="n">
        <v>4</v>
      </c>
      <c r="T26" s="20" t="n"/>
      <c r="U26" s="20" t="n">
        <v>0.09121432568550644</v>
      </c>
      <c r="V26" s="20" t="n">
        <v>0.09283278732366117</v>
      </c>
      <c r="W26" s="20" t="n">
        <v>0.1058470764617691</v>
      </c>
      <c r="X26" s="20" t="n">
        <v>0.1282832568365025</v>
      </c>
      <c r="Y26" s="14" t="n">
        <v>2.2</v>
      </c>
      <c r="Z26" s="19">
        <f>IF(OR(Y26="",F26="",F26=0),"",Y26/F26)</f>
        <v/>
      </c>
      <c r="AA26" s="22" t="n">
        <v>40.618</v>
      </c>
      <c r="AB26" s="20" t="n">
        <v>0.034</v>
      </c>
      <c r="AC26" s="20" t="n">
        <v>0.1123116231636812</v>
      </c>
      <c r="AD26" s="17">
        <f>IF(OR(Q26="",M26="",M26&lt;=0),"",ROUND(40*MAX(0,MIN(N(Q26)/0.3,1))+IF(OR(R26="",N(Q26)&lt;=0),10,20*MAX(0,1-MIN(R26/Q26,1)))+30*MAX(0,MIN((PARAMETRI!$B$5-M26)/MAX(PARAMETRI!$B$5-10,1),1))+IF(AB26="",3,10*MAX(0,MIN(AB26/0.15,1)))+IF(AND(P26&lt;&gt;"",N(P26)&lt;N(Q26)*0.6),-8,0),1))</f>
        <v/>
      </c>
      <c r="AE26" s="13">
        <f>IF(AND(P26="",Q26=""),"DATI MANCANTI",IF(AND(N(P26)&gt;=PARAMETRI!$B$4,N(Q26)&gt;=PARAMETRI!$B$4),"OK","NO"))</f>
        <v/>
      </c>
      <c r="AF26" s="13">
        <f>IF(M26="","N/D",IF(M26&lt;PARAMETRI!$B$6,"OTTIMO",IF(M26&lt;PARAMETRI!$B$5,"OK","NO")))</f>
        <v/>
      </c>
      <c r="AG26" s="13">
        <f>IF(OR(AE26="DATI MANCANTI",AF26="N/D"),"DA COMPLETARE",IF(AND(AE26="OK",AF26="OTTIMO"),"PASSA FORTE",IF(AND(AE26="OK",AF26="OK"),"PASSA","SCARTA")))</f>
        <v/>
      </c>
      <c r="AH26" s="11" t="inlineStr">
        <is>
          <t>2026-10-12</t>
        </is>
      </c>
      <c r="AI26" s="11" t="inlineStr">
        <is>
          <t>yahoo</t>
        </is>
      </c>
      <c r="AJ26" s="23" t="inlineStr"/>
    </row>
    <row r="27">
      <c r="A27" s="10">
        <f>IF(AD27="","",RANK(AD27,AD$2:AD$44))</f>
        <v/>
      </c>
      <c r="B27" s="11" t="inlineStr">
        <is>
          <t>Siemens Healthineers</t>
        </is>
      </c>
      <c r="C27" s="12" t="inlineStr">
        <is>
          <t>SHL.DE</t>
        </is>
      </c>
      <c r="D27" s="11" t="inlineStr">
        <is>
          <t>Dispositivi medicali</t>
        </is>
      </c>
      <c r="E27" s="13" t="inlineStr">
        <is>
          <t>Salute</t>
        </is>
      </c>
      <c r="F27" s="14" t="n">
        <v>39.63</v>
      </c>
      <c r="G27" s="15" t="inlineStr">
        <is>
          <t>EUR</t>
        </is>
      </c>
      <c r="H27" s="14" t="n">
        <v>39.63</v>
      </c>
      <c r="I27" s="16" t="n">
        <v>44353.9</v>
      </c>
      <c r="J27" s="16" t="n">
        <v>44353.9</v>
      </c>
      <c r="K27" s="14" t="n">
        <v>2</v>
      </c>
      <c r="L27" s="14" t="n">
        <v>2.37895</v>
      </c>
      <c r="M27" s="17">
        <f>IF(OR(F27="",K27="",K27&lt;=0),"",F27/K27)</f>
        <v/>
      </c>
      <c r="N27" s="18" t="n">
        <v>2.313215</v>
      </c>
      <c r="O27" s="19">
        <f>IF(OR(N27="",M27="",M27&lt;=0),"",N27/M27)</f>
        <v/>
      </c>
      <c r="P27" s="20" t="n">
        <v>0.121470004</v>
      </c>
      <c r="Q27" s="20" t="n">
        <v>0.09763647386737051</v>
      </c>
      <c r="R27" s="20" t="n">
        <v>0.0101557957764117</v>
      </c>
      <c r="S27" s="21" t="n">
        <v>3</v>
      </c>
      <c r="T27" s="20" t="n"/>
      <c r="U27" s="20" t="n"/>
      <c r="V27" s="20" t="n">
        <v>0.1067091598439475</v>
      </c>
      <c r="W27" s="20" t="n">
        <v>0.08345777335324374</v>
      </c>
      <c r="X27" s="20" t="n">
        <v>0.1027424884049203</v>
      </c>
      <c r="Y27" s="14" t="n">
        <v>1</v>
      </c>
      <c r="Z27" s="19">
        <f>IF(OR(Y27="",F27="",F27=0),"",Y27/F27)</f>
        <v/>
      </c>
      <c r="AA27" s="22" t="n">
        <v>78.29600000000001</v>
      </c>
      <c r="AB27" s="20" t="n">
        <v>0.018</v>
      </c>
      <c r="AC27" s="20" t="n">
        <v>0.09895809757188212</v>
      </c>
      <c r="AD27" s="17">
        <f>IF(OR(Q27="",M27="",M27&lt;=0),"",ROUND(40*MAX(0,MIN(N(Q27)/0.3,1))+IF(OR(R27="",N(Q27)&lt;=0),10,20*MAX(0,1-MIN(R27/Q27,1)))+30*MAX(0,MIN((PARAMETRI!$B$5-M27)/MAX(PARAMETRI!$B$5-10,1),1))+IF(AB27="",3,10*MAX(0,MIN(AB27/0.15,1)))+IF(AND(P27&lt;&gt;"",N(P27)&lt;N(Q27)*0.6),-8,0),1))</f>
        <v/>
      </c>
      <c r="AE27" s="13">
        <f>IF(AND(P27="",Q27=""),"DATI MANCANTI",IF(AND(N(P27)&gt;=PARAMETRI!$B$4,N(Q27)&gt;=PARAMETRI!$B$4),"OK","NO"))</f>
        <v/>
      </c>
      <c r="AF27" s="13">
        <f>IF(M27="","N/D",IF(M27&lt;PARAMETRI!$B$6,"OTTIMO",IF(M27&lt;PARAMETRI!$B$5,"OK","NO")))</f>
        <v/>
      </c>
      <c r="AG27" s="13">
        <f>IF(OR(AE27="DATI MANCANTI",AF27="N/D"),"DA COMPLETARE",IF(AND(AE27="OK",AF27="OTTIMO"),"PASSA FORTE",IF(AND(AE27="OK",AF27="OK"),"PASSA","SCARTA")))</f>
        <v/>
      </c>
      <c r="AH27" s="11" t="inlineStr">
        <is>
          <t>2026-10-12</t>
        </is>
      </c>
      <c r="AI27" s="11" t="inlineStr">
        <is>
          <t>yahoo</t>
        </is>
      </c>
      <c r="AJ27" s="23" t="inlineStr"/>
    </row>
    <row r="28">
      <c r="A28" s="10">
        <f>IF(AD28="","",RANK(AD28,AD$2:AD$44))</f>
        <v/>
      </c>
      <c r="B28" s="11" t="inlineStr">
        <is>
          <t>SAP</t>
        </is>
      </c>
      <c r="C28" s="12" t="inlineStr">
        <is>
          <t>SAP.DE</t>
        </is>
      </c>
      <c r="D28" s="11" t="inlineStr">
        <is>
          <t>Software</t>
        </is>
      </c>
      <c r="E28" s="13" t="inlineStr">
        <is>
          <t>Tecnologia</t>
        </is>
      </c>
      <c r="F28" s="14" t="n">
        <v>194.46</v>
      </c>
      <c r="G28" s="15" t="inlineStr">
        <is>
          <t>EUR</t>
        </is>
      </c>
      <c r="H28" s="14" t="n">
        <v>194.46</v>
      </c>
      <c r="I28" s="16" t="n">
        <v>224446.6</v>
      </c>
      <c r="J28" s="16" t="n">
        <v>224446.6</v>
      </c>
      <c r="K28" s="14" t="n">
        <v>6.82</v>
      </c>
      <c r="L28" s="14" t="n">
        <v>8.37308</v>
      </c>
      <c r="M28" s="17">
        <f>IF(OR(F28="",K28="",K28&lt;=0),"",F28/K28)</f>
        <v/>
      </c>
      <c r="N28" s="18" t="n">
        <v>5.016381</v>
      </c>
      <c r="O28" s="19">
        <f>IF(OR(N28="",M28="",M28&lt;=0),"",N28/M28)</f>
        <v/>
      </c>
      <c r="P28" s="20" t="n">
        <v>0.18320999</v>
      </c>
      <c r="Q28" s="20" t="n">
        <v>0.1071119412848688</v>
      </c>
      <c r="R28" s="20" t="n">
        <v>0.04498832458418268</v>
      </c>
      <c r="S28" s="21" t="n">
        <v>4</v>
      </c>
      <c r="T28" s="20" t="n"/>
      <c r="U28" s="20" t="n">
        <v>0.160610954111156</v>
      </c>
      <c r="V28" s="20" t="n">
        <v>0.06875302610150094</v>
      </c>
      <c r="W28" s="20" t="n">
        <v>0.1422480709965938</v>
      </c>
      <c r="X28" s="20" t="n">
        <v>0.05683571393022446</v>
      </c>
      <c r="Y28" s="14" t="n">
        <v>2.5</v>
      </c>
      <c r="Z28" s="19">
        <f>IF(OR(Y28="",F28="",F28=0),"",Y28/F28)</f>
        <v/>
      </c>
      <c r="AA28" s="22" t="n">
        <v>21.966</v>
      </c>
      <c r="AB28" s="20" t="n">
        <v>0.094</v>
      </c>
      <c r="AC28" s="20" t="n">
        <v>0.2118478191304348</v>
      </c>
      <c r="AD28" s="17">
        <f>IF(OR(Q28="",M28="",M28&lt;=0),"",ROUND(40*MAX(0,MIN(N(Q28)/0.3,1))+IF(OR(R28="",N(Q28)&lt;=0),10,20*MAX(0,1-MIN(R28/Q28,1)))+30*MAX(0,MIN((PARAMETRI!$B$5-M28)/MAX(PARAMETRI!$B$5-10,1),1))+IF(AB28="",3,10*MAX(0,MIN(AB28/0.15,1)))+IF(AND(P28&lt;&gt;"",N(P28)&lt;N(Q28)*0.6),-8,0),1))</f>
        <v/>
      </c>
      <c r="AE28" s="13">
        <f>IF(AND(P28="",Q28=""),"DATI MANCANTI",IF(AND(N(P28)&gt;=PARAMETRI!$B$4,N(Q28)&gt;=PARAMETRI!$B$4),"OK","NO"))</f>
        <v/>
      </c>
      <c r="AF28" s="13">
        <f>IF(M28="","N/D",IF(M28&lt;PARAMETRI!$B$6,"OTTIMO",IF(M28&lt;PARAMETRI!$B$5,"OK","NO")))</f>
        <v/>
      </c>
      <c r="AG28" s="13">
        <f>IF(OR(AE28="DATI MANCANTI",AF28="N/D"),"DA COMPLETARE",IF(AND(AE28="OK",AF28="OTTIMO"),"PASSA FORTE",IF(AND(AE28="OK",AF28="OK"),"PASSA","SCARTA")))</f>
        <v/>
      </c>
      <c r="AH28" s="11" t="inlineStr">
        <is>
          <t>2026-10-12</t>
        </is>
      </c>
      <c r="AI28" s="11" t="inlineStr">
        <is>
          <t>yahoo</t>
        </is>
      </c>
      <c r="AJ28" s="23" t="inlineStr"/>
    </row>
    <row r="29">
      <c r="A29" s="10">
        <f>IF(AD29="","",RANK(AD29,AD$2:AD$44))</f>
        <v/>
      </c>
      <c r="B29" s="11" t="inlineStr">
        <is>
          <t>MTU Aero Engines</t>
        </is>
      </c>
      <c r="C29" s="12" t="inlineStr">
        <is>
          <t>MTX.DE</t>
        </is>
      </c>
      <c r="D29" s="11" t="inlineStr">
        <is>
          <t>Aerospazio</t>
        </is>
      </c>
      <c r="E29" s="13" t="inlineStr">
        <is>
          <t>Industriale</t>
        </is>
      </c>
      <c r="F29" s="14" t="n">
        <v>350.7</v>
      </c>
      <c r="G29" s="15" t="inlineStr">
        <is>
          <t>EUR</t>
        </is>
      </c>
      <c r="H29" s="14" t="n">
        <v>350.7</v>
      </c>
      <c r="I29" s="16" t="n">
        <v>18892.4</v>
      </c>
      <c r="J29" s="16" t="n">
        <v>18892.4</v>
      </c>
      <c r="K29" s="14" t="n">
        <v>17.14</v>
      </c>
      <c r="L29" s="14" t="n">
        <v>20.57896</v>
      </c>
      <c r="M29" s="17">
        <f>IF(OR(F29="",K29="",K29&lt;=0),"",F29/K29)</f>
        <v/>
      </c>
      <c r="N29" s="18" t="n">
        <v>4.158564</v>
      </c>
      <c r="O29" s="19">
        <f>IF(OR(N29="",M29="",M29&lt;=0),"",N29/M29)</f>
        <v/>
      </c>
      <c r="P29" s="20" t="n">
        <v>0.22635001</v>
      </c>
      <c r="Q29" s="20" t="n">
        <v>0.1243017554814219</v>
      </c>
      <c r="R29" s="20" t="n">
        <v>0.1027890079928216</v>
      </c>
      <c r="S29" s="21" t="n">
        <v>4</v>
      </c>
      <c r="T29" s="20" t="n"/>
      <c r="U29" s="20" t="n">
        <v>0.2355122855818266</v>
      </c>
      <c r="V29" s="20" t="n">
        <v>0.1882247992863515</v>
      </c>
      <c r="W29" s="20" t="n">
        <v>-0.03562696472231924</v>
      </c>
      <c r="X29" s="20" t="n">
        <v>0.1090969017798286</v>
      </c>
      <c r="Y29" s="14" t="n">
        <v>3.6</v>
      </c>
      <c r="Z29" s="19">
        <f>IF(OR(Y29="",F29="",F29=0),"",Y29/F29)</f>
        <v/>
      </c>
      <c r="AA29" s="22" t="n">
        <v>55.565</v>
      </c>
      <c r="AB29" s="20" t="n">
        <v>0.167</v>
      </c>
      <c r="AC29" s="20" t="n">
        <v>0.1074974323861691</v>
      </c>
      <c r="AD29" s="17">
        <f>IF(OR(Q29="",M29="",M29&lt;=0),"",ROUND(40*MAX(0,MIN(N(Q29)/0.3,1))+IF(OR(R29="",N(Q29)&lt;=0),10,20*MAX(0,1-MIN(R29/Q29,1)))+30*MAX(0,MIN((PARAMETRI!$B$5-M29)/MAX(PARAMETRI!$B$5-10,1),1))+IF(AB29="",3,10*MAX(0,MIN(AB29/0.15,1)))+IF(AND(P29&lt;&gt;"",N(P29)&lt;N(Q29)*0.6),-8,0),1))</f>
        <v/>
      </c>
      <c r="AE29" s="13">
        <f>IF(AND(P29="",Q29=""),"DATI MANCANTI",IF(AND(N(P29)&gt;=PARAMETRI!$B$4,N(Q29)&gt;=PARAMETRI!$B$4),"OK","NO"))</f>
        <v/>
      </c>
      <c r="AF29" s="13">
        <f>IF(M29="","N/D",IF(M29&lt;PARAMETRI!$B$6,"OTTIMO",IF(M29&lt;PARAMETRI!$B$5,"OK","NO")))</f>
        <v/>
      </c>
      <c r="AG29" s="13">
        <f>IF(OR(AE29="DATI MANCANTI",AF29="N/D"),"DA COMPLETARE",IF(AND(AE29="OK",AF29="OTTIMO"),"PASSA FORTE",IF(AND(AE29="OK",AF29="OK"),"PASSA","SCARTA")))</f>
        <v/>
      </c>
      <c r="AH29" s="11" t="inlineStr">
        <is>
          <t>2026-10-12</t>
        </is>
      </c>
      <c r="AI29" s="11" t="inlineStr">
        <is>
          <t>yahoo</t>
        </is>
      </c>
      <c r="AJ29" s="23" t="inlineStr"/>
    </row>
    <row r="30">
      <c r="A30" s="10">
        <f>IF(AD30="","",RANK(AD30,AD$2:AD$44))</f>
        <v/>
      </c>
      <c r="B30" s="11" t="inlineStr">
        <is>
          <t>Daimler Truck</t>
        </is>
      </c>
      <c r="C30" s="12" t="inlineStr">
        <is>
          <t>DTG.DE</t>
        </is>
      </c>
      <c r="D30" s="11" t="inlineStr">
        <is>
          <t>Veicoli industriali</t>
        </is>
      </c>
      <c r="E30" s="13" t="inlineStr">
        <is>
          <t>Industriale</t>
        </is>
      </c>
      <c r="F30" s="14" t="n">
        <v>41</v>
      </c>
      <c r="G30" s="15" t="inlineStr">
        <is>
          <t>EUR</t>
        </is>
      </c>
      <c r="H30" s="14" t="n">
        <v>41</v>
      </c>
      <c r="I30" s="16" t="n">
        <v>31168.7</v>
      </c>
      <c r="J30" s="16" t="n">
        <v>31168.7</v>
      </c>
      <c r="K30" s="14" t="n">
        <v>1.46</v>
      </c>
      <c r="L30" s="14" t="n">
        <v>4.77244</v>
      </c>
      <c r="M30" s="17">
        <f>IF(OR(F30="",K30="",K30&lt;=0),"",F30/K30)</f>
        <v/>
      </c>
      <c r="N30" s="18" t="n">
        <v>1.3809363</v>
      </c>
      <c r="O30" s="19">
        <f>IF(OR(N30="",M30="",M30&lt;=0),"",N30/M30)</f>
        <v/>
      </c>
      <c r="P30" s="20" t="n">
        <v>0.05047</v>
      </c>
      <c r="Q30" s="20" t="n">
        <v>0.1324101416436277</v>
      </c>
      <c r="R30" s="20" t="n">
        <v>0.0294770901073579</v>
      </c>
      <c r="S30" s="21" t="n">
        <v>4</v>
      </c>
      <c r="T30" s="20" t="n"/>
      <c r="U30" s="20" t="n">
        <v>0.0914068299925761</v>
      </c>
      <c r="V30" s="20" t="n">
        <v>0.1306012159423553</v>
      </c>
      <c r="W30" s="20" t="n">
        <v>0.174728072205508</v>
      </c>
      <c r="X30" s="20" t="n">
        <v>0.1329044484340714</v>
      </c>
      <c r="Y30" s="14" t="n">
        <v>1.9</v>
      </c>
      <c r="Z30" s="19">
        <f>IF(OR(Y30="",F30="",F30=0),"",Y30/F30)</f>
        <v/>
      </c>
      <c r="AA30" s="22" t="n">
        <v>127.015</v>
      </c>
      <c r="AB30" s="20" t="n">
        <v>0.053</v>
      </c>
      <c r="AC30" s="20" t="n">
        <v>0.02367669668350538</v>
      </c>
      <c r="AD30" s="17">
        <f>IF(OR(Q30="",M30="",M30&lt;=0),"",ROUND(40*MAX(0,MIN(N(Q30)/0.3,1))+IF(OR(R30="",N(Q30)&lt;=0),10,20*MAX(0,1-MIN(R30/Q30,1)))+30*MAX(0,MIN((PARAMETRI!$B$5-M30)/MAX(PARAMETRI!$B$5-10,1),1))+IF(AB30="",3,10*MAX(0,MIN(AB30/0.15,1)))+IF(AND(P30&lt;&gt;"",N(P30)&lt;N(Q30)*0.6),-8,0),1))</f>
        <v/>
      </c>
      <c r="AE30" s="13">
        <f>IF(AND(P30="",Q30=""),"DATI MANCANTI",IF(AND(N(P30)&gt;=PARAMETRI!$B$4,N(Q30)&gt;=PARAMETRI!$B$4),"OK","NO"))</f>
        <v/>
      </c>
      <c r="AF30" s="13">
        <f>IF(M30="","N/D",IF(M30&lt;PARAMETRI!$B$6,"OTTIMO",IF(M30&lt;PARAMETRI!$B$5,"OK","NO")))</f>
        <v/>
      </c>
      <c r="AG30" s="13">
        <f>IF(OR(AE30="DATI MANCANTI",AF30="N/D"),"DA COMPLETARE",IF(AND(AE30="OK",AF30="OTTIMO"),"PASSA FORTE",IF(AND(AE30="OK",AF30="OK"),"PASSA","SCARTA")))</f>
        <v/>
      </c>
      <c r="AH30" s="11" t="inlineStr">
        <is>
          <t>2026-10-12</t>
        </is>
      </c>
      <c r="AI30" s="11" t="inlineStr">
        <is>
          <t>yahoo</t>
        </is>
      </c>
      <c r="AJ30" s="23" t="inlineStr"/>
    </row>
    <row r="31">
      <c r="A31" s="10">
        <f>IF(AD31="","",RANK(AD31,AD$2:AD$44))</f>
        <v/>
      </c>
      <c r="B31" s="11" t="inlineStr">
        <is>
          <t>Symrise</t>
        </is>
      </c>
      <c r="C31" s="12" t="inlineStr">
        <is>
          <t>SY1.DE</t>
        </is>
      </c>
      <c r="D31" s="11" t="inlineStr">
        <is>
          <t>Aromi e fragranze</t>
        </is>
      </c>
      <c r="E31" s="13" t="inlineStr">
        <is>
          <t>Materiali</t>
        </is>
      </c>
      <c r="F31" s="14" t="n">
        <v>93.26000000000001</v>
      </c>
      <c r="G31" s="15" t="inlineStr">
        <is>
          <t>EUR</t>
        </is>
      </c>
      <c r="H31" s="14" t="n">
        <v>93.26000000000001</v>
      </c>
      <c r="I31" s="16" t="n">
        <v>12793.4</v>
      </c>
      <c r="J31" s="16" t="n">
        <v>12793.4</v>
      </c>
      <c r="K31" s="14" t="n">
        <v>1.77</v>
      </c>
      <c r="L31" s="14" t="n">
        <v>4.3862</v>
      </c>
      <c r="M31" s="17">
        <f>IF(OR(F31="",K31="",K31&lt;=0),"",F31/K31)</f>
        <v/>
      </c>
      <c r="N31" s="18" t="n">
        <v>3.426409</v>
      </c>
      <c r="O31" s="19">
        <f>IF(OR(N31="",M31="",M31&lt;=0),"",N31/M31)</f>
        <v/>
      </c>
      <c r="P31" s="20" t="n">
        <v>0.06708</v>
      </c>
      <c r="Q31" s="20" t="n">
        <v>0.08993974309324954</v>
      </c>
      <c r="R31" s="20" t="n">
        <v>0.01983305756041896</v>
      </c>
      <c r="S31" s="21" t="n">
        <v>4</v>
      </c>
      <c r="T31" s="20" t="n"/>
      <c r="U31" s="20" t="n">
        <v>0.06703170317031704</v>
      </c>
      <c r="V31" s="20" t="n">
        <v>0.1201211701053456</v>
      </c>
      <c r="W31" s="20" t="n">
        <v>0.09376135965579004</v>
      </c>
      <c r="X31" s="20" t="n">
        <v>0.07884473944154541</v>
      </c>
      <c r="Y31" s="14" t="n">
        <v>1.25</v>
      </c>
      <c r="Z31" s="19">
        <f>IF(OR(Y31="",F31="",F31=0),"",Y31/F31)</f>
        <v/>
      </c>
      <c r="AA31" s="22" t="n">
        <v>60.613</v>
      </c>
      <c r="AB31" s="20" t="n">
        <v>-0.006</v>
      </c>
      <c r="AC31" s="20" t="n">
        <v>0.04992247351186775</v>
      </c>
      <c r="AD31" s="17">
        <f>IF(OR(Q31="",M31="",M31&lt;=0),"",ROUND(40*MAX(0,MIN(N(Q31)/0.3,1))+IF(OR(R31="",N(Q31)&lt;=0),10,20*MAX(0,1-MIN(R31/Q31,1)))+30*MAX(0,MIN((PARAMETRI!$B$5-M31)/MAX(PARAMETRI!$B$5-10,1),1))+IF(AB31="",3,10*MAX(0,MIN(AB31/0.15,1)))+IF(AND(P31&lt;&gt;"",N(P31)&lt;N(Q31)*0.6),-8,0),1))</f>
        <v/>
      </c>
      <c r="AE31" s="13">
        <f>IF(AND(P31="",Q31=""),"DATI MANCANTI",IF(AND(N(P31)&gt;=PARAMETRI!$B$4,N(Q31)&gt;=PARAMETRI!$B$4),"OK","NO"))</f>
        <v/>
      </c>
      <c r="AF31" s="13">
        <f>IF(M31="","N/D",IF(M31&lt;PARAMETRI!$B$6,"OTTIMO",IF(M31&lt;PARAMETRI!$B$5,"OK","NO")))</f>
        <v/>
      </c>
      <c r="AG31" s="13">
        <f>IF(OR(AE31="DATI MANCANTI",AF31="N/D"),"DA COMPLETARE",IF(AND(AE31="OK",AF31="OTTIMO"),"PASSA FORTE",IF(AND(AE31="OK",AF31="OK"),"PASSA","SCARTA")))</f>
        <v/>
      </c>
      <c r="AH31" s="11" t="inlineStr">
        <is>
          <t>2026-10-12</t>
        </is>
      </c>
      <c r="AI31" s="11" t="inlineStr">
        <is>
          <t>yahoo</t>
        </is>
      </c>
      <c r="AJ31" s="23" t="inlineStr"/>
    </row>
    <row r="32">
      <c r="A32" s="10">
        <f>IF(AD32="","",RANK(AD32,AD$2:AD$44))</f>
        <v/>
      </c>
      <c r="B32" s="11" t="inlineStr">
        <is>
          <t>Zalando</t>
        </is>
      </c>
      <c r="C32" s="12" t="inlineStr">
        <is>
          <t>ZAL.DE</t>
        </is>
      </c>
      <c r="D32" s="11" t="inlineStr">
        <is>
          <t>E-commerce</t>
        </is>
      </c>
      <c r="E32" s="13" t="inlineStr">
        <is>
          <t>Consumi</t>
        </is>
      </c>
      <c r="F32" s="14" t="n">
        <v>24.14</v>
      </c>
      <c r="G32" s="15" t="inlineStr">
        <is>
          <t>EUR</t>
        </is>
      </c>
      <c r="H32" s="14" t="n">
        <v>24.14</v>
      </c>
      <c r="I32" s="16" t="n">
        <v>5895.5</v>
      </c>
      <c r="J32" s="16" t="n">
        <v>5895.5</v>
      </c>
      <c r="K32" s="14" t="n">
        <v>0.39</v>
      </c>
      <c r="L32" s="14" t="n">
        <v>1.85536</v>
      </c>
      <c r="M32" s="17">
        <f>IF(OR(F32="",K32="",K32&lt;=0),"",F32/K32)</f>
        <v/>
      </c>
      <c r="N32" s="18" t="n">
        <v>2.3427794</v>
      </c>
      <c r="O32" s="19">
        <f>IF(OR(N32="",M32="",M32&lt;=0),"",N32/M32)</f>
        <v/>
      </c>
      <c r="P32" s="20" t="n">
        <v>0.0345</v>
      </c>
      <c r="Q32" s="20" t="n">
        <v>0.0532363275090132</v>
      </c>
      <c r="R32" s="20" t="n">
        <v>0.0339673993502578</v>
      </c>
      <c r="S32" s="21" t="n">
        <v>4</v>
      </c>
      <c r="T32" s="20" t="n"/>
      <c r="U32" s="20" t="n">
        <v>0.076120036803737</v>
      </c>
      <c r="V32" s="20" t="n">
        <v>0.09421078302630098</v>
      </c>
      <c r="W32" s="20" t="n">
        <v>0.03497534870001264</v>
      </c>
      <c r="X32" s="20" t="n">
        <v>0.007639141506002182</v>
      </c>
      <c r="Y32" s="14" t="n"/>
      <c r="Z32" s="19">
        <f>IF(OR(Y32="",F32="",F32=0),"",Y32/F32)</f>
        <v/>
      </c>
      <c r="AA32" s="22" t="n">
        <v>53.379</v>
      </c>
      <c r="AB32" s="20" t="n">
        <v>0.208</v>
      </c>
      <c r="AC32" s="20" t="n">
        <v>0.007678475968314137</v>
      </c>
      <c r="AD32" s="17">
        <f>IF(OR(Q32="",M32="",M32&lt;=0),"",ROUND(40*MAX(0,MIN(N(Q32)/0.3,1))+IF(OR(R32="",N(Q32)&lt;=0),10,20*MAX(0,1-MIN(R32/Q32,1)))+30*MAX(0,MIN((PARAMETRI!$B$5-M32)/MAX(PARAMETRI!$B$5-10,1),1))+IF(AB32="",3,10*MAX(0,MIN(AB32/0.15,1)))+IF(AND(P32&lt;&gt;"",N(P32)&lt;N(Q32)*0.6),-8,0),1))</f>
        <v/>
      </c>
      <c r="AE32" s="13">
        <f>IF(AND(P32="",Q32=""),"DATI MANCANTI",IF(AND(N(P32)&gt;=PARAMETRI!$B$4,N(Q32)&gt;=PARAMETRI!$B$4),"OK","NO"))</f>
        <v/>
      </c>
      <c r="AF32" s="13">
        <f>IF(M32="","N/D",IF(M32&lt;PARAMETRI!$B$6,"OTTIMO",IF(M32&lt;PARAMETRI!$B$5,"OK","NO")))</f>
        <v/>
      </c>
      <c r="AG32" s="13">
        <f>IF(OR(AE32="DATI MANCANTI",AF32="N/D"),"DA COMPLETARE",IF(AND(AE32="OK",AF32="OTTIMO"),"PASSA FORTE",IF(AND(AE32="OK",AF32="OK"),"PASSA","SCARTA")))</f>
        <v/>
      </c>
      <c r="AH32" s="11" t="inlineStr">
        <is>
          <t>2026-10-12</t>
        </is>
      </c>
      <c r="AI32" s="11" t="inlineStr">
        <is>
          <t>yahoo</t>
        </is>
      </c>
      <c r="AJ32" s="23" t="inlineStr"/>
    </row>
    <row r="33">
      <c r="A33" s="10">
        <f>IF(AD33="","",RANK(AD33,AD$2:AD$44))</f>
        <v/>
      </c>
      <c r="B33" s="11" t="inlineStr">
        <is>
          <t>Porsche AG</t>
        </is>
      </c>
      <c r="C33" s="12" t="inlineStr">
        <is>
          <t>P911.DE</t>
        </is>
      </c>
      <c r="D33" s="11" t="inlineStr">
        <is>
          <t>Auto di lusso</t>
        </is>
      </c>
      <c r="E33" s="13" t="inlineStr">
        <is>
          <t>Consumi</t>
        </is>
      </c>
      <c r="F33" s="14" t="n">
        <v>42.2</v>
      </c>
      <c r="G33" s="15" t="inlineStr">
        <is>
          <t>EUR</t>
        </is>
      </c>
      <c r="H33" s="14" t="n">
        <v>42.2</v>
      </c>
      <c r="I33" s="16" t="n">
        <v>38444.2</v>
      </c>
      <c r="J33" s="16" t="n">
        <v>38444.2</v>
      </c>
      <c r="K33" s="14" t="n">
        <v>0.9</v>
      </c>
      <c r="L33" s="14" t="n">
        <v>1.89195</v>
      </c>
      <c r="M33" s="17">
        <f>IF(OR(F33="",K33="",K33&lt;=0),"",F33/K33)</f>
        <v/>
      </c>
      <c r="N33" s="18" t="n">
        <v>1.6821462</v>
      </c>
      <c r="O33" s="19">
        <f>IF(OR(N33="",M33="",M33&lt;=0),"",N33/M33)</f>
        <v/>
      </c>
      <c r="P33" s="20" t="n">
        <v>0.02861</v>
      </c>
      <c r="Q33" s="20" t="n">
        <v>0.1759856797926469</v>
      </c>
      <c r="R33" s="20" t="n">
        <v>0.1028024855712775</v>
      </c>
      <c r="S33" s="21" t="n">
        <v>4</v>
      </c>
      <c r="T33" s="20" t="n"/>
      <c r="U33" s="20" t="n">
        <v>0.01874646600843808</v>
      </c>
      <c r="V33" s="20" t="n">
        <v>0.1558824805797856</v>
      </c>
      <c r="W33" s="20" t="n">
        <v>0.2380117228965708</v>
      </c>
      <c r="X33" s="20" t="n">
        <v>0.2913020496857932</v>
      </c>
      <c r="Y33" s="14" t="n">
        <v>1.01</v>
      </c>
      <c r="Z33" s="19">
        <f>IF(OR(Y33="",F33="",F33=0),"",Y33/F33)</f>
        <v/>
      </c>
      <c r="AA33" s="22" t="n">
        <v>50.953</v>
      </c>
      <c r="AB33" s="20" t="n">
        <v>-0.051</v>
      </c>
      <c r="AC33" s="20" t="n">
        <v>0.02324234904880066</v>
      </c>
      <c r="AD33" s="17">
        <f>IF(OR(Q33="",M33="",M33&lt;=0),"",ROUND(40*MAX(0,MIN(N(Q33)/0.3,1))+IF(OR(R33="",N(Q33)&lt;=0),10,20*MAX(0,1-MIN(R33/Q33,1)))+30*MAX(0,MIN((PARAMETRI!$B$5-M33)/MAX(PARAMETRI!$B$5-10,1),1))+IF(AB33="",3,10*MAX(0,MIN(AB33/0.15,1)))+IF(AND(P33&lt;&gt;"",N(P33)&lt;N(Q33)*0.6),-8,0),1))</f>
        <v/>
      </c>
      <c r="AE33" s="13">
        <f>IF(AND(P33="",Q33=""),"DATI MANCANTI",IF(AND(N(P33)&gt;=PARAMETRI!$B$4,N(Q33)&gt;=PARAMETRI!$B$4),"OK","NO"))</f>
        <v/>
      </c>
      <c r="AF33" s="13">
        <f>IF(M33="","N/D",IF(M33&lt;PARAMETRI!$B$6,"OTTIMO",IF(M33&lt;PARAMETRI!$B$5,"OK","NO")))</f>
        <v/>
      </c>
      <c r="AG33" s="13">
        <f>IF(OR(AE33="DATI MANCANTI",AF33="N/D"),"DA COMPLETARE",IF(AND(AE33="OK",AF33="OTTIMO"),"PASSA FORTE",IF(AND(AE33="OK",AF33="OK"),"PASSA","SCARTA")))</f>
        <v/>
      </c>
      <c r="AH33" s="11" t="inlineStr">
        <is>
          <t>2026-10-12</t>
        </is>
      </c>
      <c r="AI33" s="11" t="inlineStr">
        <is>
          <t>yahoo</t>
        </is>
      </c>
      <c r="AJ33" s="23" t="inlineStr"/>
    </row>
    <row r="34">
      <c r="A34" s="10">
        <f>IF(AD34="","",RANK(AD34,AD$2:AD$44))</f>
        <v/>
      </c>
      <c r="B34" s="11" t="inlineStr">
        <is>
          <t>Qiagen</t>
        </is>
      </c>
      <c r="C34" s="12" t="inlineStr">
        <is>
          <t>QIA.DE</t>
        </is>
      </c>
      <c r="D34" s="11" t="inlineStr">
        <is>
          <t>Diagnostica</t>
        </is>
      </c>
      <c r="E34" s="13" t="inlineStr">
        <is>
          <t>Salute</t>
        </is>
      </c>
      <c r="F34" s="14" t="n">
        <v>40.535</v>
      </c>
      <c r="G34" s="15" t="inlineStr">
        <is>
          <t>EUR</t>
        </is>
      </c>
      <c r="H34" s="14" t="n">
        <v>40.535</v>
      </c>
      <c r="I34" s="16" t="n">
        <v>8370.299999999999</v>
      </c>
      <c r="J34" s="16" t="n">
        <v>8370.299999999999</v>
      </c>
      <c r="K34" s="14" t="n">
        <v>1.66</v>
      </c>
      <c r="L34" s="14" t="n">
        <v>2.27313</v>
      </c>
      <c r="M34" s="17">
        <f>IF(OR(F34="",K34="",K34&lt;=0),"",F34/K34)</f>
        <v/>
      </c>
      <c r="N34" s="18" t="n">
        <v>2.8058667</v>
      </c>
      <c r="O34" s="19">
        <f>IF(OR(N34="",M34="",M34&lt;=0),"",N34/M34)</f>
        <v/>
      </c>
      <c r="P34" s="20" t="n">
        <v>0.11928</v>
      </c>
      <c r="Q34" s="20" t="n">
        <v>0.08690121198682332</v>
      </c>
      <c r="R34" s="20" t="n">
        <v>0.03849207167992108</v>
      </c>
      <c r="S34" s="21" t="n">
        <v>4</v>
      </c>
      <c r="T34" s="20" t="n"/>
      <c r="U34" s="20" t="n">
        <v>0.1124570358963663</v>
      </c>
      <c r="V34" s="20" t="n">
        <v>0.02343231187167802</v>
      </c>
      <c r="W34" s="20" t="n">
        <v>0.08963344366930304</v>
      </c>
      <c r="X34" s="20" t="n">
        <v>0.1220820565099459</v>
      </c>
      <c r="Y34" s="14" t="n">
        <v>0.31</v>
      </c>
      <c r="Z34" s="19">
        <f>IF(OR(Y34="",F34="",F34=0),"",Y34/F34)</f>
        <v/>
      </c>
      <c r="AA34" s="22" t="n">
        <v>49.25</v>
      </c>
      <c r="AB34" s="20" t="n">
        <v>0.003</v>
      </c>
      <c r="AC34" s="20" t="n">
        <v>0.19584506978233</v>
      </c>
      <c r="AD34" s="17">
        <f>IF(OR(Q34="",M34="",M34&lt;=0),"",ROUND(40*MAX(0,MIN(N(Q34)/0.3,1))+IF(OR(R34="",N(Q34)&lt;=0),10,20*MAX(0,1-MIN(R34/Q34,1)))+30*MAX(0,MIN((PARAMETRI!$B$5-M34)/MAX(PARAMETRI!$B$5-10,1),1))+IF(AB34="",3,10*MAX(0,MIN(AB34/0.15,1)))+IF(AND(P34&lt;&gt;"",N(P34)&lt;N(Q34)*0.6),-8,0),1))</f>
        <v/>
      </c>
      <c r="AE34" s="13">
        <f>IF(AND(P34="",Q34=""),"DATI MANCANTI",IF(AND(N(P34)&gt;=PARAMETRI!$B$4,N(Q34)&gt;=PARAMETRI!$B$4),"OK","NO"))</f>
        <v/>
      </c>
      <c r="AF34" s="13">
        <f>IF(M34="","N/D",IF(M34&lt;PARAMETRI!$B$6,"OTTIMO",IF(M34&lt;PARAMETRI!$B$5,"OK","NO")))</f>
        <v/>
      </c>
      <c r="AG34" s="13">
        <f>IF(OR(AE34="DATI MANCANTI",AF34="N/D"),"DA COMPLETARE",IF(AND(AE34="OK",AF34="OTTIMO"),"PASSA FORTE",IF(AND(AE34="OK",AF34="OK"),"PASSA","SCARTA")))</f>
        <v/>
      </c>
      <c r="AH34" s="11" t="inlineStr">
        <is>
          <t>2026-10-12</t>
        </is>
      </c>
      <c r="AI34" s="11" t="inlineStr">
        <is>
          <t>yahoo</t>
        </is>
      </c>
      <c r="AJ34" s="23" t="inlineStr"/>
    </row>
    <row r="35">
      <c r="A35" s="10">
        <f>IF(AD35="","",RANK(AD35,AD$2:AD$44))</f>
        <v/>
      </c>
      <c r="B35" s="11" t="inlineStr">
        <is>
          <t>Fresenius</t>
        </is>
      </c>
      <c r="C35" s="12" t="inlineStr">
        <is>
          <t>FRE.DE</t>
        </is>
      </c>
      <c r="D35" s="11" t="inlineStr">
        <is>
          <t>Servizi sanitari</t>
        </is>
      </c>
      <c r="E35" s="13" t="inlineStr">
        <is>
          <t>Salute</t>
        </is>
      </c>
      <c r="F35" s="14" t="n">
        <v>43</v>
      </c>
      <c r="G35" s="15" t="inlineStr">
        <is>
          <t>EUR</t>
        </is>
      </c>
      <c r="H35" s="14" t="n">
        <v>43</v>
      </c>
      <c r="I35" s="16" t="n">
        <v>24219.2</v>
      </c>
      <c r="J35" s="16" t="n">
        <v>24219.2</v>
      </c>
      <c r="K35" s="14" t="n">
        <v>2.71</v>
      </c>
      <c r="L35" s="14" t="n">
        <v>3.95467</v>
      </c>
      <c r="M35" s="17">
        <f>IF(OR(F35="",K35="",K35&lt;=0),"",F35/K35)</f>
        <v/>
      </c>
      <c r="N35" s="18" t="n">
        <v>1.2294496</v>
      </c>
      <c r="O35" s="19">
        <f>IF(OR(N35="",M35="",M35&lt;=0),"",N35/M35)</f>
        <v/>
      </c>
      <c r="P35" s="20" t="n">
        <v>0.08287</v>
      </c>
      <c r="Q35" s="20" t="n">
        <v>0.03155169278766157</v>
      </c>
      <c r="R35" s="20" t="n">
        <v>0.04022010242586282</v>
      </c>
      <c r="S35" s="21" t="n">
        <v>4</v>
      </c>
      <c r="T35" s="20" t="n"/>
      <c r="U35" s="20" t="n">
        <v>0.0661641541038526</v>
      </c>
      <c r="V35" s="20" t="n">
        <v>0.02410193429536383</v>
      </c>
      <c r="W35" s="20" t="n">
        <v>-0.03126480341070582</v>
      </c>
      <c r="X35" s="20" t="n">
        <v>0.06720548616213569</v>
      </c>
      <c r="Y35" s="14" t="n">
        <v>1.05</v>
      </c>
      <c r="Z35" s="19">
        <f>IF(OR(Y35="",F35="",F35=0),"",Y35/F35)</f>
        <v/>
      </c>
      <c r="AA35" s="22" t="n">
        <v>55.978</v>
      </c>
      <c r="AB35" s="20" t="n">
        <v>0.052</v>
      </c>
      <c r="AC35" s="20" t="n">
        <v>0.06833384619420277</v>
      </c>
      <c r="AD35" s="17">
        <f>IF(OR(Q35="",M35="",M35&lt;=0),"",ROUND(40*MAX(0,MIN(N(Q35)/0.3,1))+IF(OR(R35="",N(Q35)&lt;=0),10,20*MAX(0,1-MIN(R35/Q35,1)))+30*MAX(0,MIN((PARAMETRI!$B$5-M35)/MAX(PARAMETRI!$B$5-10,1),1))+IF(AB35="",3,10*MAX(0,MIN(AB35/0.15,1)))+IF(AND(P35&lt;&gt;"",N(P35)&lt;N(Q35)*0.6),-8,0),1))</f>
        <v/>
      </c>
      <c r="AE35" s="13">
        <f>IF(AND(P35="",Q35=""),"DATI MANCANTI",IF(AND(N(P35)&gt;=PARAMETRI!$B$4,N(Q35)&gt;=PARAMETRI!$B$4),"OK","NO"))</f>
        <v/>
      </c>
      <c r="AF35" s="13">
        <f>IF(M35="","N/D",IF(M35&lt;PARAMETRI!$B$6,"OTTIMO",IF(M35&lt;PARAMETRI!$B$5,"OK","NO")))</f>
        <v/>
      </c>
      <c r="AG35" s="13">
        <f>IF(OR(AE35="DATI MANCANTI",AF35="N/D"),"DA COMPLETARE",IF(AND(AE35="OK",AF35="OTTIMO"),"PASSA FORTE",IF(AND(AE35="OK",AF35="OK"),"PASSA","SCARTA")))</f>
        <v/>
      </c>
      <c r="AH35" s="11" t="inlineStr">
        <is>
          <t>2026-10-12</t>
        </is>
      </c>
      <c r="AI35" s="11" t="inlineStr">
        <is>
          <t>yahoo</t>
        </is>
      </c>
      <c r="AJ35" s="23" t="inlineStr"/>
    </row>
    <row r="36">
      <c r="A36" s="10">
        <f>IF(AD36="","",RANK(AD36,AD$2:AD$44))</f>
        <v/>
      </c>
      <c r="B36" s="11" t="inlineStr">
        <is>
          <t>Siemens Energy</t>
        </is>
      </c>
      <c r="C36" s="12" t="inlineStr">
        <is>
          <t>ENR.DE</t>
        </is>
      </c>
      <c r="D36" s="11" t="inlineStr">
        <is>
          <t>Elettrificazione / Energia</t>
        </is>
      </c>
      <c r="E36" s="13" t="inlineStr">
        <is>
          <t>Industriale</t>
        </is>
      </c>
      <c r="F36" s="14" t="n">
        <v>146.78</v>
      </c>
      <c r="G36" s="15" t="inlineStr">
        <is>
          <t>EUR</t>
        </is>
      </c>
      <c r="H36" s="14" t="n">
        <v>146.78</v>
      </c>
      <c r="I36" s="16" t="n">
        <v>124887.6</v>
      </c>
      <c r="J36" s="16" t="n">
        <v>124887.6</v>
      </c>
      <c r="K36" s="14" t="n">
        <v>3.14</v>
      </c>
      <c r="L36" s="14" t="n">
        <v>6.24953</v>
      </c>
      <c r="M36" s="17">
        <f>IF(OR(F36="",K36="",K36&lt;=0),"",F36/K36)</f>
        <v/>
      </c>
      <c r="N36" s="18" t="n">
        <v>11.642737</v>
      </c>
      <c r="O36" s="19">
        <f>IF(OR(N36="",M36="",M36&lt;=0),"",N36/M36)</f>
        <v/>
      </c>
      <c r="P36" s="20" t="n">
        <v>0.27749002</v>
      </c>
      <c r="Q36" s="20" t="n">
        <v>-0.07313166554355918</v>
      </c>
      <c r="R36" s="20" t="n">
        <v>0.2735379738789365</v>
      </c>
      <c r="S36" s="21" t="n">
        <v>4</v>
      </c>
      <c r="T36" s="20" t="n"/>
      <c r="U36" s="20" t="n">
        <v>0.1372682263857878</v>
      </c>
      <c r="V36" s="20" t="n">
        <v>0.1304683195592287</v>
      </c>
      <c r="W36" s="20" t="n">
        <v>-0.5329883570504528</v>
      </c>
      <c r="X36" s="20" t="n">
        <v>-0.02727485106880037</v>
      </c>
      <c r="Y36" s="14" t="n">
        <v>0.7</v>
      </c>
      <c r="Z36" s="19">
        <f>IF(OR(Y36="",F36="",F36=0),"",Y36/F36)</f>
        <v/>
      </c>
      <c r="AA36" s="22" t="n">
        <v>26.488</v>
      </c>
      <c r="AB36" s="20" t="n">
        <v>0.175</v>
      </c>
      <c r="AC36" s="20" t="n">
        <v>0.06888962817002328</v>
      </c>
      <c r="AD36" s="17">
        <f>IF(OR(Q36="",M36="",M36&lt;=0),"",ROUND(40*MAX(0,MIN(N(Q36)/0.3,1))+IF(OR(R36="",N(Q36)&lt;=0),10,20*MAX(0,1-MIN(R36/Q36,1)))+30*MAX(0,MIN((PARAMETRI!$B$5-M36)/MAX(PARAMETRI!$B$5-10,1),1))+IF(AB36="",3,10*MAX(0,MIN(AB36/0.15,1)))+IF(AND(P36&lt;&gt;"",N(P36)&lt;N(Q36)*0.6),-8,0),1))</f>
        <v/>
      </c>
      <c r="AE36" s="13">
        <f>IF(AND(P36="",Q36=""),"DATI MANCANTI",IF(AND(N(P36)&gt;=PARAMETRI!$B$4,N(Q36)&gt;=PARAMETRI!$B$4),"OK","NO"))</f>
        <v/>
      </c>
      <c r="AF36" s="13">
        <f>IF(M36="","N/D",IF(M36&lt;PARAMETRI!$B$6,"OTTIMO",IF(M36&lt;PARAMETRI!$B$5,"OK","NO")))</f>
        <v/>
      </c>
      <c r="AG36" s="13">
        <f>IF(OR(AE36="DATI MANCANTI",AF36="N/D"),"DA COMPLETARE",IF(AND(AE36="OK",AF36="OTTIMO"),"PASSA FORTE",IF(AND(AE36="OK",AF36="OK"),"PASSA","SCARTA")))</f>
        <v/>
      </c>
      <c r="AH36" s="11" t="inlineStr">
        <is>
          <t>2026-10-12</t>
        </is>
      </c>
      <c r="AI36" s="11" t="inlineStr">
        <is>
          <t>yahoo</t>
        </is>
      </c>
      <c r="AJ36" s="23" t="inlineStr"/>
    </row>
    <row r="37">
      <c r="A37" s="10">
        <f>IF(AD37="","",RANK(AD37,AD$2:AD$44))</f>
        <v/>
      </c>
      <c r="B37" s="11" t="inlineStr">
        <is>
          <t>Porsche Automobil Holding</t>
        </is>
      </c>
      <c r="C37" s="12" t="inlineStr">
        <is>
          <t>PAH3.DE</t>
        </is>
      </c>
      <c r="D37" s="11" t="inlineStr">
        <is>
          <t>Holding</t>
        </is>
      </c>
      <c r="E37" s="13" t="inlineStr">
        <is>
          <t>Finanziario</t>
        </is>
      </c>
      <c r="F37" s="14" t="n">
        <v>25.17</v>
      </c>
      <c r="G37" s="15" t="inlineStr">
        <is>
          <t>EUR</t>
        </is>
      </c>
      <c r="H37" s="14" t="n">
        <v>25.17</v>
      </c>
      <c r="I37" s="16" t="n">
        <v>7708.3</v>
      </c>
      <c r="J37" s="16" t="n">
        <v>7708.3</v>
      </c>
      <c r="K37" s="14" t="n">
        <v>0.31</v>
      </c>
      <c r="L37" s="14" t="n">
        <v>13.85479</v>
      </c>
      <c r="M37" s="17">
        <f>IF(OR(F37="",K37="",K37&lt;=0),"",F37/K37)</f>
        <v/>
      </c>
      <c r="N37" s="18" t="n">
        <v>0.21576259</v>
      </c>
      <c r="O37" s="19">
        <f>IF(OR(N37="",M37="",M37&lt;=0),"",N37/M37)</f>
        <v/>
      </c>
      <c r="P37" s="20" t="n">
        <v>0.0027</v>
      </c>
      <c r="Q37" s="20" t="n">
        <v>-0.07565664574276244</v>
      </c>
      <c r="R37" s="20" t="n">
        <v>0.2857759400737068</v>
      </c>
      <c r="S37" s="21" t="n">
        <v>4</v>
      </c>
      <c r="T37" s="20" t="n"/>
      <c r="U37" s="20" t="n">
        <v>0.07010074834069334</v>
      </c>
      <c r="V37" s="20" t="n">
        <v>-0.5701549504386465</v>
      </c>
      <c r="W37" s="20" t="n">
        <v>0.09209379991287933</v>
      </c>
      <c r="X37" s="20" t="n">
        <v>0.1053338192140241</v>
      </c>
      <c r="Y37" s="14" t="n">
        <v>1.51</v>
      </c>
      <c r="Z37" s="19">
        <f>IF(OR(Y37="",F37="",F37=0),"",Y37/F37)</f>
        <v/>
      </c>
      <c r="AA37" s="22" t="n">
        <v>19.333</v>
      </c>
      <c r="AB37" s="20" t="n"/>
      <c r="AC37" s="20" t="n">
        <v>0.03463361283266497</v>
      </c>
      <c r="AD37" s="17">
        <f>IF(OR(Q37="",M37="",M37&lt;=0),"",ROUND(40*MAX(0,MIN(N(Q37)/0.3,1))+IF(OR(R37="",N(Q37)&lt;=0),10,20*MAX(0,1-MIN(R37/Q37,1)))+30*MAX(0,MIN((PARAMETRI!$B$5-M37)/MAX(PARAMETRI!$B$5-10,1),1))+IF(AB37="",3,10*MAX(0,MIN(AB37/0.15,1)))+IF(AND(P37&lt;&gt;"",N(P37)&lt;N(Q37)*0.6),-8,0),1))</f>
        <v/>
      </c>
      <c r="AE37" s="13">
        <f>IF(AND(P37="",Q37=""),"DATI MANCANTI",IF(AND(N(P37)&gt;=PARAMETRI!$B$4,N(Q37)&gt;=PARAMETRI!$B$4),"OK","NO"))</f>
        <v/>
      </c>
      <c r="AF37" s="13">
        <f>IF(M37="","N/D",IF(M37&lt;PARAMETRI!$B$6,"OTTIMO",IF(M37&lt;PARAMETRI!$B$5,"OK","NO")))</f>
        <v/>
      </c>
      <c r="AG37" s="13">
        <f>IF(OR(AE37="DATI MANCANTI",AF37="N/D"),"DA COMPLETARE",IF(AND(AE37="OK",AF37="OTTIMO"),"PASSA FORTE",IF(AND(AE37="OK",AF37="OK"),"PASSA","SCARTA")))</f>
        <v/>
      </c>
      <c r="AH37" s="11" t="inlineStr">
        <is>
          <t>2026-10-12</t>
        </is>
      </c>
      <c r="AI37" s="11" t="inlineStr">
        <is>
          <t>yahoo</t>
        </is>
      </c>
      <c r="AJ37" s="23" t="inlineStr"/>
    </row>
    <row r="38">
      <c r="A38" s="10">
        <f>IF(AD38="","",RANK(AD38,AD$2:AD$44))</f>
        <v/>
      </c>
      <c r="B38" s="11" t="inlineStr">
        <is>
          <t>Sartorius VZ</t>
        </is>
      </c>
      <c r="C38" s="12" t="inlineStr">
        <is>
          <t>SRT3.DE</t>
        </is>
      </c>
      <c r="D38" s="11" t="inlineStr">
        <is>
          <t>Strumentazione life science</t>
        </is>
      </c>
      <c r="E38" s="13" t="inlineStr">
        <is>
          <t>Salute</t>
        </is>
      </c>
      <c r="F38" s="14" t="n">
        <v>253</v>
      </c>
      <c r="G38" s="15" t="inlineStr">
        <is>
          <t>EUR</t>
        </is>
      </c>
      <c r="H38" s="14" t="n">
        <v>253</v>
      </c>
      <c r="I38" s="16" t="n">
        <v>17470.2</v>
      </c>
      <c r="J38" s="16" t="n">
        <v>17470.2</v>
      </c>
      <c r="K38" s="14" t="n">
        <v>2.83</v>
      </c>
      <c r="L38" s="14" t="n">
        <v>6.33119</v>
      </c>
      <c r="M38" s="17">
        <f>IF(OR(F38="",K38="",K38&lt;=0),"",F38/K38)</f>
        <v/>
      </c>
      <c r="N38" s="18" t="n">
        <v>6.454246</v>
      </c>
      <c r="O38" s="19">
        <f>IF(OR(N38="",M38="",M38&lt;=0),"",N38/M38)</f>
        <v/>
      </c>
      <c r="P38" s="20" t="n">
        <v>0.07179000000000001</v>
      </c>
      <c r="Q38" s="20" t="n">
        <v>0.1319563883877929</v>
      </c>
      <c r="R38" s="20" t="n">
        <v>0.123055496048367</v>
      </c>
      <c r="S38" s="21" t="n">
        <v>4</v>
      </c>
      <c r="T38" s="20" t="n"/>
      <c r="U38" s="20" t="n">
        <v>0.05722624501256095</v>
      </c>
      <c r="V38" s="20" t="n">
        <v>0.03038194444444444</v>
      </c>
      <c r="W38" s="20" t="n">
        <v>0.09942934519779476</v>
      </c>
      <c r="X38" s="20" t="n">
        <v>0.3407880188963715</v>
      </c>
      <c r="Y38" s="14" t="n">
        <v>0.74</v>
      </c>
      <c r="Z38" s="19">
        <f>IF(OR(Y38="",F38="",F38=0),"",Y38/F38)</f>
        <v/>
      </c>
      <c r="AA38" s="22" t="n">
        <v>101.366</v>
      </c>
      <c r="AB38" s="20" t="n">
        <v>0.031</v>
      </c>
      <c r="AC38" s="20" t="n">
        <v>0.05542522822984088</v>
      </c>
      <c r="AD38" s="17">
        <f>IF(OR(Q38="",M38="",M38&lt;=0),"",ROUND(40*MAX(0,MIN(N(Q38)/0.3,1))+IF(OR(R38="",N(Q38)&lt;=0),10,20*MAX(0,1-MIN(R38/Q38,1)))+30*MAX(0,MIN((PARAMETRI!$B$5-M38)/MAX(PARAMETRI!$B$5-10,1),1))+IF(AB38="",3,10*MAX(0,MIN(AB38/0.15,1)))+IF(AND(P38&lt;&gt;"",N(P38)&lt;N(Q38)*0.6),-8,0),1))</f>
        <v/>
      </c>
      <c r="AE38" s="13">
        <f>IF(AND(P38="",Q38=""),"DATI MANCANTI",IF(AND(N(P38)&gt;=PARAMETRI!$B$4,N(Q38)&gt;=PARAMETRI!$B$4),"OK","NO"))</f>
        <v/>
      </c>
      <c r="AF38" s="13">
        <f>IF(M38="","N/D",IF(M38&lt;PARAMETRI!$B$6,"OTTIMO",IF(M38&lt;PARAMETRI!$B$5,"OK","NO")))</f>
        <v/>
      </c>
      <c r="AG38" s="13">
        <f>IF(OR(AE38="DATI MANCANTI",AF38="N/D"),"DA COMPLETARE",IF(AND(AE38="OK",AF38="OTTIMO"),"PASSA FORTE",IF(AND(AE38="OK",AF38="OK"),"PASSA","SCARTA")))</f>
        <v/>
      </c>
      <c r="AH38" s="11" t="inlineStr">
        <is>
          <t>2026-10-12</t>
        </is>
      </c>
      <c r="AI38" s="11" t="inlineStr">
        <is>
          <t>yahoo</t>
        </is>
      </c>
      <c r="AJ38" s="23" t="inlineStr"/>
    </row>
    <row r="39">
      <c r="A39" s="10">
        <f>IF(AD39="","",RANK(AD39,AD$2:AD$44))</f>
        <v/>
      </c>
      <c r="B39" s="11" t="inlineStr">
        <is>
          <t>BASF</t>
        </is>
      </c>
      <c r="C39" s="12" t="inlineStr">
        <is>
          <t>BAS.DE</t>
        </is>
      </c>
      <c r="D39" s="11" t="inlineStr">
        <is>
          <t>Chimica di base</t>
        </is>
      </c>
      <c r="E39" s="13" t="inlineStr">
        <is>
          <t>Materiali</t>
        </is>
      </c>
      <c r="F39" s="14" t="n">
        <v>51.27</v>
      </c>
      <c r="G39" s="15" t="inlineStr">
        <is>
          <t>EUR</t>
        </is>
      </c>
      <c r="H39" s="14" t="n">
        <v>51.27</v>
      </c>
      <c r="I39" s="16" t="n">
        <v>45339.4</v>
      </c>
      <c r="J39" s="16" t="n">
        <v>45339.4</v>
      </c>
      <c r="K39" s="14" t="n">
        <v>2.42</v>
      </c>
      <c r="L39" s="14" t="n">
        <v>2.96074</v>
      </c>
      <c r="M39" s="17">
        <f>IF(OR(F39="",K39="",K39&lt;=0),"",F39/K39)</f>
        <v/>
      </c>
      <c r="N39" s="18" t="n">
        <v>1.2241536</v>
      </c>
      <c r="O39" s="19">
        <f>IF(OR(N39="",M39="",M39&lt;=0),"",N39/M39)</f>
        <v/>
      </c>
      <c r="P39" s="20" t="n">
        <v>0.061160002</v>
      </c>
      <c r="Q39" s="20" t="n">
        <v>0.01894238259520315</v>
      </c>
      <c r="R39" s="20" t="n">
        <v>0.02532196478437232</v>
      </c>
      <c r="S39" s="21" t="n">
        <v>4</v>
      </c>
      <c r="T39" s="20" t="n"/>
      <c r="U39" s="20" t="n">
        <v>0.04877387479665</v>
      </c>
      <c r="V39" s="20" t="n">
        <v>0.03646169836231355</v>
      </c>
      <c r="W39" s="20" t="n">
        <v>0.006378093375287015</v>
      </c>
      <c r="X39" s="20" t="n">
        <v>-0.01584413615343795</v>
      </c>
      <c r="Y39" s="14" t="n">
        <v>2.25</v>
      </c>
      <c r="Z39" s="19">
        <f>IF(OR(Y39="",F39="",F39=0),"",Y39/F39)</f>
        <v/>
      </c>
      <c r="AA39" s="22" t="n">
        <v>71.358</v>
      </c>
      <c r="AB39" s="20" t="n">
        <v>0.164</v>
      </c>
      <c r="AC39" s="20" t="n">
        <v>0.03505095990344643</v>
      </c>
      <c r="AD39" s="17">
        <f>IF(OR(Q39="",M39="",M39&lt;=0),"",ROUND(40*MAX(0,MIN(N(Q39)/0.3,1))+IF(OR(R39="",N(Q39)&lt;=0),10,20*MAX(0,1-MIN(R39/Q39,1)))+30*MAX(0,MIN((PARAMETRI!$B$5-M39)/MAX(PARAMETRI!$B$5-10,1),1))+IF(AB39="",3,10*MAX(0,MIN(AB39/0.15,1)))+IF(AND(P39&lt;&gt;"",N(P39)&lt;N(Q39)*0.6),-8,0),1))</f>
        <v/>
      </c>
      <c r="AE39" s="13">
        <f>IF(AND(P39="",Q39=""),"DATI MANCANTI",IF(AND(N(P39)&gt;=PARAMETRI!$B$4,N(Q39)&gt;=PARAMETRI!$B$4),"OK","NO"))</f>
        <v/>
      </c>
      <c r="AF39" s="13">
        <f>IF(M39="","N/D",IF(M39&lt;PARAMETRI!$B$6,"OTTIMO",IF(M39&lt;PARAMETRI!$B$5,"OK","NO")))</f>
        <v/>
      </c>
      <c r="AG39" s="13">
        <f>IF(OR(AE39="DATI MANCANTI",AF39="N/D"),"DA COMPLETARE",IF(AND(AE39="OK",AF39="OTTIMO"),"PASSA FORTE",IF(AND(AE39="OK",AF39="OK"),"PASSA","SCARTA")))</f>
        <v/>
      </c>
      <c r="AH39" s="11" t="inlineStr">
        <is>
          <t>2026-10-12</t>
        </is>
      </c>
      <c r="AI39" s="11" t="inlineStr">
        <is>
          <t>yahoo</t>
        </is>
      </c>
      <c r="AJ39" s="23" t="inlineStr"/>
    </row>
    <row r="40">
      <c r="A40" s="10">
        <f>IF(AD40="","",RANK(AD40,AD$2:AD$44))</f>
        <v/>
      </c>
      <c r="B40" s="11" t="inlineStr">
        <is>
          <t>Bayer</t>
        </is>
      </c>
      <c r="C40" s="12" t="inlineStr">
        <is>
          <t>BAYN.DE</t>
        </is>
      </c>
      <c r="D40" s="11" t="inlineStr">
        <is>
          <t>Farmaceutica / Agrochimica</t>
        </is>
      </c>
      <c r="E40" s="13" t="inlineStr">
        <is>
          <t>Salute</t>
        </is>
      </c>
      <c r="F40" s="14" t="n">
        <v>43.83</v>
      </c>
      <c r="G40" s="15" t="inlineStr">
        <is>
          <t>EUR</t>
        </is>
      </c>
      <c r="H40" s="14" t="n">
        <v>43.83</v>
      </c>
      <c r="I40" s="16" t="n">
        <v>43059.7</v>
      </c>
      <c r="J40" s="16" t="n">
        <v>43059.7</v>
      </c>
      <c r="K40" s="14" t="n">
        <v>-1.75</v>
      </c>
      <c r="L40" s="14" t="n">
        <v>4.83607</v>
      </c>
      <c r="M40" s="17">
        <f>IF(OR(F40="",K40="",K40&lt;=0),"",F40/K40)</f>
        <v/>
      </c>
      <c r="N40" s="18" t="n">
        <v>1.4555175</v>
      </c>
      <c r="O40" s="19">
        <f>IF(OR(N40="",M40="",M40&lt;=0),"",N40/M40)</f>
        <v/>
      </c>
      <c r="P40" s="20" t="n">
        <v>-0.056900002</v>
      </c>
      <c r="Q40" s="20" t="n">
        <v>-0.05044516480124103</v>
      </c>
      <c r="R40" s="20" t="n">
        <v>0.0936968206656289</v>
      </c>
      <c r="S40" s="21" t="n">
        <v>4</v>
      </c>
      <c r="T40" s="20" t="n"/>
      <c r="U40" s="20" t="n">
        <v>-0.1395151655297337</v>
      </c>
      <c r="V40" s="20" t="n">
        <v>-0.07997994233421085</v>
      </c>
      <c r="W40" s="20" t="n">
        <v>-0.08931879612476083</v>
      </c>
      <c r="X40" s="20" t="n">
        <v>0.1070332447837413</v>
      </c>
      <c r="Y40" s="14" t="n">
        <v>0.11</v>
      </c>
      <c r="Z40" s="19">
        <f>IF(OR(Y40="",F40="",F40=0),"",Y40/F40)</f>
        <v/>
      </c>
      <c r="AA40" s="22" t="n">
        <v>129.362</v>
      </c>
      <c r="AB40" s="20" t="n">
        <v>0.012</v>
      </c>
      <c r="AC40" s="20" t="n">
        <v>-0.03813494240263302</v>
      </c>
      <c r="AD40" s="17">
        <f>IF(OR(Q40="",M40="",M40&lt;=0),"",ROUND(40*MAX(0,MIN(N(Q40)/0.3,1))+IF(OR(R40="",N(Q40)&lt;=0),10,20*MAX(0,1-MIN(R40/Q40,1)))+30*MAX(0,MIN((PARAMETRI!$B$5-M40)/MAX(PARAMETRI!$B$5-10,1),1))+IF(AB40="",3,10*MAX(0,MIN(AB40/0.15,1)))+IF(AND(P40&lt;&gt;"",N(P40)&lt;N(Q40)*0.6),-8,0),1))</f>
        <v/>
      </c>
      <c r="AE40" s="13">
        <f>IF(AND(P40="",Q40=""),"DATI MANCANTI",IF(AND(N(P40)&gt;=PARAMETRI!$B$4,N(Q40)&gt;=PARAMETRI!$B$4),"OK","NO"))</f>
        <v/>
      </c>
      <c r="AF40" s="13">
        <f>IF(M40="","N/D",IF(M40&lt;PARAMETRI!$B$6,"OTTIMO",IF(M40&lt;PARAMETRI!$B$5,"OK","NO")))</f>
        <v/>
      </c>
      <c r="AG40" s="13">
        <f>IF(OR(AE40="DATI MANCANTI",AF40="N/D"),"DA COMPLETARE",IF(AND(AE40="OK",AF40="OTTIMO"),"PASSA FORTE",IF(AND(AE40="OK",AF40="OK"),"PASSA","SCARTA")))</f>
        <v/>
      </c>
      <c r="AH40" s="11" t="inlineStr">
        <is>
          <t>2026-10-12</t>
        </is>
      </c>
      <c r="AI40" s="11" t="inlineStr">
        <is>
          <t>yahoo</t>
        </is>
      </c>
      <c r="AJ40" s="23" t="inlineStr"/>
    </row>
    <row r="41">
      <c r="A41" s="10">
        <f>IF(AD41="","",RANK(AD41,AD$2:AD$44))</f>
        <v/>
      </c>
      <c r="B41" s="11" t="inlineStr">
        <is>
          <t>Continental</t>
        </is>
      </c>
      <c r="C41" s="12" t="inlineStr">
        <is>
          <t>CON.DE</t>
        </is>
      </c>
      <c r="D41" s="11" t="inlineStr">
        <is>
          <t>Componentistica auto</t>
        </is>
      </c>
      <c r="E41" s="13" t="inlineStr">
        <is>
          <t>Industriale</t>
        </is>
      </c>
      <c r="F41" s="14" t="n">
        <v>68.59999999999999</v>
      </c>
      <c r="G41" s="15" t="inlineStr">
        <is>
          <t>EUR</t>
        </is>
      </c>
      <c r="H41" s="14" t="n">
        <v>68.59999999999999</v>
      </c>
      <c r="I41" s="16" t="n">
        <v>13720.4</v>
      </c>
      <c r="J41" s="16" t="n">
        <v>13720.4</v>
      </c>
      <c r="K41" s="14" t="n">
        <v>-2.31</v>
      </c>
      <c r="L41" s="14" t="n">
        <v>6.564</v>
      </c>
      <c r="M41" s="17">
        <f>IF(OR(F41="",K41="",K41&lt;=0),"",F41/K41)</f>
        <v/>
      </c>
      <c r="N41" s="18" t="n">
        <v>3.2651117</v>
      </c>
      <c r="O41" s="19">
        <f>IF(OR(N41="",M41="",M41&lt;=0),"",N41/M41)</f>
        <v/>
      </c>
      <c r="P41" s="20" t="n">
        <v>-0.08303001</v>
      </c>
      <c r="Q41" s="20" t="n">
        <v>0.03224914499937753</v>
      </c>
      <c r="R41" s="20" t="n">
        <v>0.05336963799744857</v>
      </c>
      <c r="S41" s="21" t="n">
        <v>4</v>
      </c>
      <c r="T41" s="20" t="n"/>
      <c r="U41" s="20" t="n">
        <v>-0.04194204372140315</v>
      </c>
      <c r="V41" s="20" t="n">
        <v>0.0813880565814229</v>
      </c>
      <c r="W41" s="20" t="n">
        <v>0.08452763966071951</v>
      </c>
      <c r="X41" s="20" t="n">
        <v>0.005022927476770846</v>
      </c>
      <c r="Y41" s="14" t="n">
        <v>2.7</v>
      </c>
      <c r="Z41" s="19">
        <f>IF(OR(Y41="",F41="",F41=0),"",Y41/F41)</f>
        <v/>
      </c>
      <c r="AA41" s="22" t="n">
        <v>156.749</v>
      </c>
      <c r="AB41" s="20" t="n">
        <v>-0.113</v>
      </c>
      <c r="AC41" s="20" t="n">
        <v>-0.02129497865419801</v>
      </c>
      <c r="AD41" s="17">
        <f>IF(OR(Q41="",M41="",M41&lt;=0),"",ROUND(40*MAX(0,MIN(N(Q41)/0.3,1))+IF(OR(R41="",N(Q41)&lt;=0),10,20*MAX(0,1-MIN(R41/Q41,1)))+30*MAX(0,MIN((PARAMETRI!$B$5-M41)/MAX(PARAMETRI!$B$5-10,1),1))+IF(AB41="",3,10*MAX(0,MIN(AB41/0.15,1)))+IF(AND(P41&lt;&gt;"",N(P41)&lt;N(Q41)*0.6),-8,0),1))</f>
        <v/>
      </c>
      <c r="AE41" s="13">
        <f>IF(AND(P41="",Q41=""),"DATI MANCANTI",IF(AND(N(P41)&gt;=PARAMETRI!$B$4,N(Q41)&gt;=PARAMETRI!$B$4),"OK","NO"))</f>
        <v/>
      </c>
      <c r="AF41" s="13">
        <f>IF(M41="","N/D",IF(M41&lt;PARAMETRI!$B$6,"OTTIMO",IF(M41&lt;PARAMETRI!$B$5,"OK","NO")))</f>
        <v/>
      </c>
      <c r="AG41" s="13">
        <f>IF(OR(AE41="DATI MANCANTI",AF41="N/D"),"DA COMPLETARE",IF(AND(AE41="OK",AF41="OTTIMO"),"PASSA FORTE",IF(AND(AE41="OK",AF41="OK"),"PASSA","SCARTA")))</f>
        <v/>
      </c>
      <c r="AH41" s="11" t="inlineStr">
        <is>
          <t>2026-10-12</t>
        </is>
      </c>
      <c r="AI41" s="11" t="inlineStr">
        <is>
          <t>yahoo</t>
        </is>
      </c>
      <c r="AJ41" s="23" t="inlineStr"/>
    </row>
    <row r="42">
      <c r="A42" s="10">
        <f>IF(AD42="","",RANK(AD42,AD$2:AD$44))</f>
        <v/>
      </c>
      <c r="B42" s="11" t="inlineStr">
        <is>
          <t>Covestro</t>
        </is>
      </c>
      <c r="C42" s="12" t="inlineStr">
        <is>
          <t>1COV.DE</t>
        </is>
      </c>
      <c r="D42" s="11" t="inlineStr">
        <is>
          <t>Chimica specialistica</t>
        </is>
      </c>
      <c r="E42" s="13" t="inlineStr">
        <is>
          <t>Materiali</t>
        </is>
      </c>
      <c r="F42" s="14" t="n">
        <v>59.98</v>
      </c>
      <c r="G42" s="15" t="inlineStr">
        <is>
          <t>EUR</t>
        </is>
      </c>
      <c r="H42" s="14" t="n">
        <v>59.98</v>
      </c>
      <c r="I42" s="16" t="n">
        <v>11320.6</v>
      </c>
      <c r="J42" s="16" t="n">
        <v>11320.6</v>
      </c>
      <c r="K42" s="14" t="n">
        <v>-2.43</v>
      </c>
      <c r="L42" s="14" t="n">
        <v>0.96744</v>
      </c>
      <c r="M42" s="17">
        <f>IF(OR(F42="",K42="",K42&lt;=0),"",F42/K42)</f>
        <v/>
      </c>
      <c r="N42" s="18" t="n">
        <v>1.700933</v>
      </c>
      <c r="O42" s="19">
        <f>IF(OR(N42="",M42="",M42&lt;=0),"",N42/M42)</f>
        <v/>
      </c>
      <c r="P42" s="20" t="n">
        <v>-0.0444</v>
      </c>
      <c r="Q42" s="20" t="n">
        <v>-0.05010232580892394</v>
      </c>
      <c r="R42" s="20" t="n">
        <v>0.02449595682973799</v>
      </c>
      <c r="S42" s="21" t="n">
        <v>4</v>
      </c>
      <c r="T42" s="20" t="n"/>
      <c r="U42" s="20" t="n">
        <v>-0.09202629322663618</v>
      </c>
      <c r="V42" s="20" t="n">
        <v>-0.03995193751877441</v>
      </c>
      <c r="W42" s="20" t="n">
        <v>-0.03004552352048558</v>
      </c>
      <c r="X42" s="20" t="n">
        <v>-0.03838554896979961</v>
      </c>
      <c r="Y42" s="14" t="n"/>
      <c r="Z42" s="19">
        <f>IF(OR(Y42="",F42="",F42=0),"",Y42/F42)</f>
        <v/>
      </c>
      <c r="AA42" s="22" t="n">
        <v>38.504</v>
      </c>
      <c r="AB42" s="20" t="n">
        <v>-0.004</v>
      </c>
      <c r="AC42" s="20" t="n">
        <v>-0.02356668212022871</v>
      </c>
      <c r="AD42" s="17">
        <f>IF(OR(Q42="",M42="",M42&lt;=0),"",ROUND(40*MAX(0,MIN(N(Q42)/0.3,1))+IF(OR(R42="",N(Q42)&lt;=0),10,20*MAX(0,1-MIN(R42/Q42,1)))+30*MAX(0,MIN((PARAMETRI!$B$5-M42)/MAX(PARAMETRI!$B$5-10,1),1))+IF(AB42="",3,10*MAX(0,MIN(AB42/0.15,1)))+IF(AND(P42&lt;&gt;"",N(P42)&lt;N(Q42)*0.6),-8,0),1))</f>
        <v/>
      </c>
      <c r="AE42" s="13">
        <f>IF(AND(P42="",Q42=""),"DATI MANCANTI",IF(AND(N(P42)&gt;=PARAMETRI!$B$4,N(Q42)&gt;=PARAMETRI!$B$4),"OK","NO"))</f>
        <v/>
      </c>
      <c r="AF42" s="13">
        <f>IF(M42="","N/D",IF(M42&lt;PARAMETRI!$B$6,"OTTIMO",IF(M42&lt;PARAMETRI!$B$5,"OK","NO")))</f>
        <v/>
      </c>
      <c r="AG42" s="13">
        <f>IF(OR(AE42="DATI MANCANTI",AF42="N/D"),"DA COMPLETARE",IF(AND(AE42="OK",AF42="OTTIMO"),"PASSA FORTE",IF(AND(AE42="OK",AF42="OK"),"PASSA","SCARTA")))</f>
        <v/>
      </c>
      <c r="AH42" s="11" t="inlineStr">
        <is>
          <t>2026-10-12</t>
        </is>
      </c>
      <c r="AI42" s="11" t="inlineStr">
        <is>
          <t>yahoo</t>
        </is>
      </c>
      <c r="AJ42" s="23" t="inlineStr"/>
    </row>
    <row r="43">
      <c r="A43" s="10">
        <f>IF(AD43="","",RANK(AD43,AD$2:AD$44))</f>
        <v/>
      </c>
      <c r="B43" s="11" t="inlineStr">
        <is>
          <t>Linde plc (Xetra)</t>
        </is>
      </c>
      <c r="C43" s="12" t="inlineStr">
        <is>
          <t>LIN.DE</t>
        </is>
      </c>
      <c r="D43" s="11" t="inlineStr">
        <is>
          <t>Gas industriali</t>
        </is>
      </c>
      <c r="E43" s="13" t="inlineStr">
        <is>
          <t>Materiali</t>
        </is>
      </c>
      <c r="F43" s="14" t="n">
        <v>438.4</v>
      </c>
      <c r="G43" s="15" t="inlineStr">
        <is>
          <t>EUR</t>
        </is>
      </c>
      <c r="H43" s="14" t="n">
        <v>438.4</v>
      </c>
      <c r="I43" s="16" t="n">
        <v>202093.7</v>
      </c>
      <c r="J43" s="16" t="n">
        <v>202093.7</v>
      </c>
      <c r="K43" s="14" t="n"/>
      <c r="L43" s="14" t="n"/>
      <c r="M43" s="17">
        <f>IF(OR(F43="",K43="",K43&lt;=0),"",F43/K43)</f>
        <v/>
      </c>
      <c r="N43" s="18" t="n">
        <v>6.0052595</v>
      </c>
      <c r="O43" s="19">
        <f>IF(OR(N43="",M43="",M43&lt;=0),"",N43/M43)</f>
        <v/>
      </c>
      <c r="P43" s="20" t="n">
        <v>0.1803634462021179</v>
      </c>
      <c r="Q43" s="20" t="n">
        <v>0.1530948240437311</v>
      </c>
      <c r="R43" s="20" t="n">
        <v>0.02988524127892265</v>
      </c>
      <c r="S43" s="21" t="n">
        <v>4</v>
      </c>
      <c r="T43" s="20" t="n"/>
      <c r="U43" s="20" t="n">
        <v>0.1803634462021179</v>
      </c>
      <c r="V43" s="20" t="n">
        <v>0.1723458994014491</v>
      </c>
      <c r="W43" s="20" t="n">
        <v>0.156067472306143</v>
      </c>
      <c r="X43" s="20" t="n">
        <v>0.1036024782652143</v>
      </c>
      <c r="Y43" s="14" t="n"/>
      <c r="Z43" s="19">
        <f>IF(OR(Y43="",F43="",F43=0),"",Y43/F43)</f>
        <v/>
      </c>
      <c r="AA43" s="22" t="n"/>
      <c r="AB43" s="20" t="n"/>
      <c r="AC43" s="20" t="n"/>
      <c r="AD43" s="17">
        <f>IF(OR(Q43="",M43="",M43&lt;=0),"",ROUND(40*MAX(0,MIN(N(Q43)/0.3,1))+IF(OR(R43="",N(Q43)&lt;=0),10,20*MAX(0,1-MIN(R43/Q43,1)))+30*MAX(0,MIN((PARAMETRI!$B$5-M43)/MAX(PARAMETRI!$B$5-10,1),1))+IF(AB43="",3,10*MAX(0,MIN(AB43/0.15,1)))+IF(AND(P43&lt;&gt;"",N(P43)&lt;N(Q43)*0.6),-8,0),1))</f>
        <v/>
      </c>
      <c r="AE43" s="13">
        <f>IF(AND(P43="",Q43=""),"DATI MANCANTI",IF(AND(N(P43)&gt;=PARAMETRI!$B$4,N(Q43)&gt;=PARAMETRI!$B$4),"OK","NO"))</f>
        <v/>
      </c>
      <c r="AF43" s="13">
        <f>IF(M43="","N/D",IF(M43&lt;PARAMETRI!$B$6,"OTTIMO",IF(M43&lt;PARAMETRI!$B$5,"OK","NO")))</f>
        <v/>
      </c>
      <c r="AG43" s="13">
        <f>IF(OR(AE43="DATI MANCANTI",AF43="N/D"),"DA COMPLETARE",IF(AND(AE43="OK",AF43="OTTIMO"),"PASSA FORTE",IF(AND(AE43="OK",AF43="OK"),"PASSA","SCARTA")))</f>
        <v/>
      </c>
      <c r="AH43" s="11" t="inlineStr">
        <is>
          <t>2026-10-12</t>
        </is>
      </c>
      <c r="AI43" s="11" t="inlineStr">
        <is>
          <t>yahoo</t>
        </is>
      </c>
      <c r="AJ43" s="23" t="inlineStr"/>
    </row>
    <row r="44">
      <c r="A44" s="10">
        <f>IF(AD44="","",RANK(AD44,AD$2:AD$44))</f>
        <v/>
      </c>
      <c r="B44" s="11" t="inlineStr">
        <is>
          <t>Puma</t>
        </is>
      </c>
      <c r="C44" s="12" t="inlineStr">
        <is>
          <t>PUM.DE</t>
        </is>
      </c>
      <c r="D44" s="11" t="inlineStr">
        <is>
          <t>Abbigliamento sportivo</t>
        </is>
      </c>
      <c r="E44" s="13" t="inlineStr">
        <is>
          <t>Consumi</t>
        </is>
      </c>
      <c r="F44" s="14" t="n">
        <v>23.18</v>
      </c>
      <c r="G44" s="15" t="inlineStr">
        <is>
          <t>EUR</t>
        </is>
      </c>
      <c r="H44" s="14" t="n">
        <v>23.18</v>
      </c>
      <c r="I44" s="16" t="n">
        <v>3412.3</v>
      </c>
      <c r="J44" s="16" t="n">
        <v>3412.3</v>
      </c>
      <c r="K44" s="14" t="n">
        <v>-3.01</v>
      </c>
      <c r="L44" s="14" t="n">
        <v>0.2658</v>
      </c>
      <c r="M44" s="17">
        <f>IF(OR(F44="",K44="",K44&lt;=0),"",F44/K44)</f>
        <v/>
      </c>
      <c r="N44" s="18" t="n">
        <v>1.8666452</v>
      </c>
      <c r="O44" s="19">
        <f>IF(OR(N44="",M44="",M44&lt;=0),"",N44/M44)</f>
        <v/>
      </c>
      <c r="P44" s="20" t="n">
        <v>-0.22574</v>
      </c>
      <c r="Q44" s="20" t="n">
        <v>-0.001139821303019518</v>
      </c>
      <c r="R44" s="20" t="n">
        <v>0.2115429563092475</v>
      </c>
      <c r="S44" s="21" t="n">
        <v>4</v>
      </c>
      <c r="T44" s="20" t="n"/>
      <c r="U44" s="20" t="n">
        <v>-0.3665739110682038</v>
      </c>
      <c r="V44" s="20" t="n">
        <v>0.09958623616366659</v>
      </c>
      <c r="W44" s="20" t="n">
        <v>0.1194094148977834</v>
      </c>
      <c r="X44" s="20" t="n">
        <v>0.1430189747946757</v>
      </c>
      <c r="Y44" s="14" t="n">
        <v>0.61</v>
      </c>
      <c r="Z44" s="19">
        <f>IF(OR(Y44="",F44="",F44=0),"",Y44/F44)</f>
        <v/>
      </c>
      <c r="AA44" s="22" t="n">
        <v>145.367</v>
      </c>
      <c r="AB44" s="20" t="n">
        <v>-0.097</v>
      </c>
      <c r="AC44" s="20" t="n">
        <v>-0.06237493489761794</v>
      </c>
      <c r="AD44" s="17">
        <f>IF(OR(Q44="",M44="",M44&lt;=0),"",ROUND(40*MAX(0,MIN(N(Q44)/0.3,1))+IF(OR(R44="",N(Q44)&lt;=0),10,20*MAX(0,1-MIN(R44/Q44,1)))+30*MAX(0,MIN((PARAMETRI!$B$5-M44)/MAX(PARAMETRI!$B$5-10,1),1))+IF(AB44="",3,10*MAX(0,MIN(AB44/0.15,1)))+IF(AND(P44&lt;&gt;"",N(P44)&lt;N(Q44)*0.6),-8,0),1))</f>
        <v/>
      </c>
      <c r="AE44" s="13">
        <f>IF(AND(P44="",Q44=""),"DATI MANCANTI",IF(AND(N(P44)&gt;=PARAMETRI!$B$4,N(Q44)&gt;=PARAMETRI!$B$4),"OK","NO"))</f>
        <v/>
      </c>
      <c r="AF44" s="13">
        <f>IF(M44="","N/D",IF(M44&lt;PARAMETRI!$B$6,"OTTIMO",IF(M44&lt;PARAMETRI!$B$5,"OK","NO")))</f>
        <v/>
      </c>
      <c r="AG44" s="13">
        <f>IF(OR(AE44="DATI MANCANTI",AF44="N/D"),"DA COMPLETARE",IF(AND(AE44="OK",AF44="OTTIMO"),"PASSA FORTE",IF(AND(AE44="OK",AF44="OK"),"PASSA","SCARTA")))</f>
        <v/>
      </c>
      <c r="AH44" s="11" t="inlineStr">
        <is>
          <t>2026-10-12</t>
        </is>
      </c>
      <c r="AI44" s="11" t="inlineStr">
        <is>
          <t>yahoo</t>
        </is>
      </c>
      <c r="AJ44" s="23" t="inlineStr"/>
    </row>
  </sheetData>
  <autoFilter ref="A1:AJ44"/>
  <conditionalFormatting sqref="AG2:AG44">
    <cfRule type="cellIs" priority="1" operator="equal" dxfId="0">
      <formula>"PASSA FORTE"</formula>
    </cfRule>
    <cfRule type="cellIs" priority="2" operator="equal" dxfId="1">
      <formula>"PASSA"</formula>
    </cfRule>
    <cfRule type="cellIs" priority="3" operator="equal" dxfId="2">
      <formula>"SCARTA"</formula>
    </cfRule>
    <cfRule type="cellIs" priority="4" operator="equal" dxfId="3">
      <formula>"DA COMPLETARE"</formula>
    </cfRule>
  </conditionalFormatting>
  <conditionalFormatting sqref="P2:P44">
    <cfRule type="dataBar" priority="5">
      <dataBar>
        <cfvo type="num" val="0"/>
        <cfvo type="num" val="0.4"/>
        <color rgb="00638EC6"/>
      </dataBar>
    </cfRule>
  </conditionalFormatting>
  <conditionalFormatting sqref="Q2:Q44">
    <cfRule type="dataBar" priority="6">
      <dataBar>
        <cfvo type="num" val="0"/>
        <cfvo type="num" val="0.4"/>
        <color rgb="00638EC6"/>
      </dataBar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1" customWidth="1" min="3" max="3"/>
    <col width="24" customWidth="1" min="4" max="4"/>
    <col width="12" customWidth="1" min="5" max="5"/>
    <col width="10" customWidth="1" min="6" max="6"/>
    <col width="6" customWidth="1" min="7" max="7"/>
    <col width="10" customWidth="1" min="8" max="8"/>
    <col width="12" customWidth="1" min="9" max="9"/>
    <col width="11" customWidth="1" min="10" max="10"/>
    <col width="10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9" customWidth="1" min="17" max="17"/>
    <col width="9" customWidth="1" min="18" max="18"/>
    <col width="6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11" customWidth="1" min="30" max="30"/>
    <col width="10" customWidth="1" min="31" max="31"/>
    <col width="10" customWidth="1" min="32" max="32"/>
    <col width="14" customWidth="1" min="33" max="33"/>
    <col width="12" customWidth="1" min="34" max="34"/>
    <col width="10" customWidth="1" min="35" max="35"/>
    <col width="42" customWidth="1" min="36" max="36"/>
  </cols>
  <sheetData>
    <row r="1" ht="30" customHeight="1">
      <c r="A1" s="9" t="inlineStr">
        <is>
          <t>POS.</t>
        </is>
      </c>
      <c r="B1" s="9" t="inlineStr">
        <is>
          <t>TITOLO</t>
        </is>
      </c>
      <c r="C1" s="9" t="inlineStr">
        <is>
          <t>TICKER</t>
        </is>
      </c>
      <c r="D1" s="9" t="inlineStr">
        <is>
          <t>SETTORE</t>
        </is>
      </c>
      <c r="E1" s="9" t="inlineStr">
        <is>
          <t>CLASSE</t>
        </is>
      </c>
      <c r="F1" s="9" t="inlineStr">
        <is>
          <t>PREZZO</t>
        </is>
      </c>
      <c r="G1" s="9" t="inlineStr">
        <is>
          <t>VAL.</t>
        </is>
      </c>
      <c r="H1" s="9" t="inlineStr">
        <is>
          <t>PREZZO €</t>
        </is>
      </c>
      <c r="I1" s="9" t="inlineStr">
        <is>
          <t>CAP. MLN €</t>
        </is>
      </c>
      <c r="J1" s="9" t="inlineStr">
        <is>
          <t>CAP. MLN
locale</t>
        </is>
      </c>
      <c r="K1" s="9" t="inlineStr">
        <is>
          <t>EPS TTM</t>
        </is>
      </c>
      <c r="L1" s="9" t="inlineStr">
        <is>
          <t>EPS ATTESO</t>
        </is>
      </c>
      <c r="M1" s="9" t="inlineStr">
        <is>
          <t>P/E</t>
        </is>
      </c>
      <c r="N1" s="9" t="inlineStr">
        <is>
          <t>P/B</t>
        </is>
      </c>
      <c r="O1" s="9" t="inlineStr">
        <is>
          <t>ROE IMPL.</t>
        </is>
      </c>
      <c r="P1" s="9" t="inlineStr">
        <is>
          <t>ROE 1a</t>
        </is>
      </c>
      <c r="Q1" s="9" t="inlineStr">
        <is>
          <t>ROE 5a</t>
        </is>
      </c>
      <c r="R1" s="9" t="inlineStr">
        <is>
          <t>VARIAB.
ROE</t>
        </is>
      </c>
      <c r="S1" s="9" t="inlineStr">
        <is>
          <t>ANNI</t>
        </is>
      </c>
      <c r="T1" s="9" t="inlineStr">
        <is>
          <t>2026</t>
        </is>
      </c>
      <c r="U1" s="9" t="inlineStr">
        <is>
          <t>2025</t>
        </is>
      </c>
      <c r="V1" s="9" t="inlineStr">
        <is>
          <t>2024</t>
        </is>
      </c>
      <c r="W1" s="9" t="inlineStr">
        <is>
          <t>2023</t>
        </is>
      </c>
      <c r="X1" s="9" t="inlineStr">
        <is>
          <t>2022</t>
        </is>
      </c>
      <c r="Y1" s="9" t="inlineStr">
        <is>
          <t>DIVID.</t>
        </is>
      </c>
      <c r="Z1" s="9" t="inlineStr">
        <is>
          <t>RENDIM.</t>
        </is>
      </c>
      <c r="AA1" s="9" t="inlineStr">
        <is>
          <t>DEBITO/MP</t>
        </is>
      </c>
      <c r="AB1" s="9" t="inlineStr">
        <is>
          <t>CRESC.
RICAVI</t>
        </is>
      </c>
      <c r="AC1" s="9" t="inlineStr">
        <is>
          <t>MARGINE</t>
        </is>
      </c>
      <c r="AD1" s="9" t="inlineStr">
        <is>
          <t>PUNTEGGIO</t>
        </is>
      </c>
      <c r="AE1" s="9" t="inlineStr">
        <is>
          <t>ESITO ROE</t>
        </is>
      </c>
      <c r="AF1" s="9" t="inlineStr">
        <is>
          <t>ESITO P/E</t>
        </is>
      </c>
      <c r="AG1" s="9" t="inlineStr">
        <is>
          <t>GIUDIZIO</t>
        </is>
      </c>
      <c r="AH1" s="9" t="inlineStr">
        <is>
          <t>RILEVATO</t>
        </is>
      </c>
      <c r="AI1" s="9" t="inlineStr">
        <is>
          <t>FONTE</t>
        </is>
      </c>
      <c r="AJ1" s="9" t="inlineStr">
        <is>
          <t>NOTE</t>
        </is>
      </c>
    </row>
    <row r="2">
      <c r="A2" s="10">
        <f>IF(AD2="","",RANK(AD2,AD$2:AD$36))</f>
        <v/>
      </c>
      <c r="B2" s="11" t="inlineStr">
        <is>
          <t>TotalEnergies</t>
        </is>
      </c>
      <c r="C2" s="12" t="inlineStr">
        <is>
          <t>TTE.PA</t>
        </is>
      </c>
      <c r="D2" s="11" t="inlineStr">
        <is>
          <t>Petrolio integrato</t>
        </is>
      </c>
      <c r="E2" s="13" t="inlineStr">
        <is>
          <t>Energia</t>
        </is>
      </c>
      <c r="F2" s="14" t="n">
        <v>78.98</v>
      </c>
      <c r="G2" s="15" t="inlineStr">
        <is>
          <t>EUR</t>
        </is>
      </c>
      <c r="H2" s="14" t="n">
        <v>78.98</v>
      </c>
      <c r="I2" s="16" t="n">
        <v>174346.4</v>
      </c>
      <c r="J2" s="16" t="n">
        <v>174346.4</v>
      </c>
      <c r="K2" s="14" t="n">
        <v>6.85</v>
      </c>
      <c r="L2" s="14" t="n">
        <v>9.741713000000001</v>
      </c>
      <c r="M2" s="17">
        <f>IF(OR(F2="",K2="",K2&lt;=0),"",F2/K2)</f>
        <v/>
      </c>
      <c r="N2" s="18" t="n">
        <v>1.5398453</v>
      </c>
      <c r="O2" s="19">
        <f>IF(OR(N2="",M2="",M2&lt;=0),"",N2/M2)</f>
        <v/>
      </c>
      <c r="P2" s="20" t="n">
        <v>0.14479999</v>
      </c>
      <c r="Q2" s="20" t="n">
        <v>0.1537109594497167</v>
      </c>
      <c r="R2" s="20" t="n">
        <v>0.03051207393405146</v>
      </c>
      <c r="S2" s="21" t="n">
        <v>4</v>
      </c>
      <c r="T2" s="20" t="n"/>
      <c r="U2" s="20" t="n">
        <v>0.1142640773656677</v>
      </c>
      <c r="V2" s="20" t="n">
        <v>0.133703270036824</v>
      </c>
      <c r="W2" s="20" t="n">
        <v>0.1831558932104528</v>
      </c>
      <c r="X2" s="20" t="n">
        <v>0.1837205971859225</v>
      </c>
      <c r="Y2" s="14" t="n">
        <v>3.6</v>
      </c>
      <c r="Z2" s="19">
        <f>IF(OR(Y2="",F2="",F2=0),"",Y2/F2)</f>
        <v/>
      </c>
      <c r="AA2" s="22" t="n">
        <v>48.045</v>
      </c>
      <c r="AB2" s="20" t="n">
        <v>0.278</v>
      </c>
      <c r="AC2" s="20" t="n">
        <v>0.09782060667748871</v>
      </c>
      <c r="AD2" s="17">
        <f>IF(OR(Q2="",M2="",M2&lt;=0),"",ROUND(40*MAX(0,MIN(N(Q2)/0.3,1))+IF(OR(R2="",N(Q2)&lt;=0),10,20*MAX(0,1-MIN(R2/Q2,1)))+30*MAX(0,MIN((PARAMETRI!$B$5-M2)/MAX(PARAMETRI!$B$5-10,1),1))+IF(AB2="",3,10*MAX(0,MIN(AB2/0.15,1)))+IF(AND(P2&lt;&gt;"",N(P2)&lt;N(Q2)*0.6),-8,0),1))</f>
        <v/>
      </c>
      <c r="AE2" s="13">
        <f>IF(AND(P2="",Q2=""),"DATI MANCANTI",IF(AND(N(P2)&gt;=PARAMETRI!$B$4,N(Q2)&gt;=PARAMETRI!$B$4),"OK","NO"))</f>
        <v/>
      </c>
      <c r="AF2" s="13">
        <f>IF(M2="","N/D",IF(M2&lt;PARAMETRI!$B$6,"OTTIMO",IF(M2&lt;PARAMETRI!$B$5,"OK","NO")))</f>
        <v/>
      </c>
      <c r="AG2" s="13">
        <f>IF(OR(AE2="DATI MANCANTI",AF2="N/D"),"DA COMPLETARE",IF(AND(AE2="OK",AF2="OTTIMO"),"PASSA FORTE",IF(AND(AE2="OK",AF2="OK"),"PASSA","SCARTA")))</f>
        <v/>
      </c>
      <c r="AH2" s="11" t="inlineStr">
        <is>
          <t>2026-10-12</t>
        </is>
      </c>
      <c r="AI2" s="11" t="inlineStr">
        <is>
          <t>yahoo</t>
        </is>
      </c>
      <c r="AJ2" s="23" t="inlineStr"/>
    </row>
    <row r="3">
      <c r="A3" s="10">
        <f>IF(AD3="","",RANK(AD3,AD$2:AD$36))</f>
        <v/>
      </c>
      <c r="B3" s="11" t="inlineStr">
        <is>
          <t>BNP Paribas</t>
        </is>
      </c>
      <c r="C3" s="12" t="inlineStr">
        <is>
          <t>BNP.PA</t>
        </is>
      </c>
      <c r="D3" s="11" t="inlineStr">
        <is>
          <t>Banca</t>
        </is>
      </c>
      <c r="E3" s="13" t="inlineStr">
        <is>
          <t>Finanziario</t>
        </is>
      </c>
      <c r="F3" s="14" t="n">
        <v>90.09</v>
      </c>
      <c r="G3" s="15" t="inlineStr">
        <is>
          <t>EUR</t>
        </is>
      </c>
      <c r="H3" s="14" t="n">
        <v>90.09</v>
      </c>
      <c r="I3" s="16" t="n">
        <v>98738.60000000001</v>
      </c>
      <c r="J3" s="16" t="n">
        <v>98738.60000000001</v>
      </c>
      <c r="K3" s="14" t="n">
        <v>11.23</v>
      </c>
      <c r="L3" s="14" t="n">
        <v>13.26063</v>
      </c>
      <c r="M3" s="17">
        <f>IF(OR(F3="",K3="",K3&lt;=0),"",F3/K3)</f>
        <v/>
      </c>
      <c r="N3" s="18" t="n">
        <v>0.822139</v>
      </c>
      <c r="O3" s="19">
        <f>IF(OR(N3="",M3="",M3&lt;=0),"",N3/M3)</f>
        <v/>
      </c>
      <c r="P3" s="20" t="n">
        <v>0.104770005</v>
      </c>
      <c r="Q3" s="20" t="n">
        <v>0.08963426772702941</v>
      </c>
      <c r="R3" s="20" t="n">
        <v>0.005795231655586412</v>
      </c>
      <c r="S3" s="21" t="n">
        <v>4</v>
      </c>
      <c r="T3" s="20" t="n"/>
      <c r="U3" s="20" t="n">
        <v>0.09740026929481409</v>
      </c>
      <c r="V3" s="20" t="n">
        <v>0.09121487158275908</v>
      </c>
      <c r="W3" s="20" t="n">
        <v>0.08869260235005091</v>
      </c>
      <c r="X3" s="20" t="n">
        <v>0.08122932768049358</v>
      </c>
      <c r="Y3" s="14" t="n">
        <v>6.46</v>
      </c>
      <c r="Z3" s="19">
        <f>IF(OR(Y3="",F3="",F3=0),"",Y3/F3)</f>
        <v/>
      </c>
      <c r="AA3" s="22" t="n"/>
      <c r="AB3" s="20" t="n">
        <v>0.169</v>
      </c>
      <c r="AC3" s="20" t="n">
        <v>0.1855560658101273</v>
      </c>
      <c r="AD3" s="17">
        <f>IF(OR(Q3="",M3="",M3&lt;=0),"",ROUND(40*MAX(0,MIN(N(Q3)/0.3,1))+IF(OR(R3="",N(Q3)&lt;=0),10,20*MAX(0,1-MIN(R3/Q3,1)))+30*MAX(0,MIN((PARAMETRI!$B$5-M3)/MAX(PARAMETRI!$B$5-10,1),1))+IF(AB3="",3,10*MAX(0,MIN(AB3/0.15,1)))+IF(AND(P3&lt;&gt;"",N(P3)&lt;N(Q3)*0.6),-8,0),1))</f>
        <v/>
      </c>
      <c r="AE3" s="13">
        <f>IF(AND(P3="",Q3=""),"DATI MANCANTI",IF(AND(N(P3)&gt;=PARAMETRI!$B$4,N(Q3)&gt;=PARAMETRI!$B$4),"OK","NO"))</f>
        <v/>
      </c>
      <c r="AF3" s="13">
        <f>IF(M3="","N/D",IF(M3&lt;PARAMETRI!$B$6,"OTTIMO",IF(M3&lt;PARAMETRI!$B$5,"OK","NO")))</f>
        <v/>
      </c>
      <c r="AG3" s="13">
        <f>IF(OR(AE3="DATI MANCANTI",AF3="N/D"),"DA COMPLETARE",IF(AND(AE3="OK",AF3="OTTIMO"),"PASSA FORTE",IF(AND(AE3="OK",AF3="OK"),"PASSA","SCARTA")))</f>
        <v/>
      </c>
      <c r="AH3" s="11" t="inlineStr">
        <is>
          <t>2026-10-12</t>
        </is>
      </c>
      <c r="AI3" s="11" t="inlineStr">
        <is>
          <t>yahoo</t>
        </is>
      </c>
      <c r="AJ3" s="23" t="inlineStr"/>
    </row>
    <row r="4">
      <c r="A4" s="10">
        <f>IF(AD4="","",RANK(AD4,AD$2:AD$36))</f>
        <v/>
      </c>
      <c r="B4" s="11" t="inlineStr">
        <is>
          <t>Vinci</t>
        </is>
      </c>
      <c r="C4" s="12" t="inlineStr">
        <is>
          <t>DG.PA</t>
        </is>
      </c>
      <c r="D4" s="11" t="inlineStr">
        <is>
          <t>Costruzioni / Concessioni</t>
        </is>
      </c>
      <c r="E4" s="13" t="inlineStr">
        <is>
          <t>Industriale</t>
        </is>
      </c>
      <c r="F4" s="14" t="n">
        <v>107.6</v>
      </c>
      <c r="G4" s="15" t="inlineStr">
        <is>
          <t>EUR</t>
        </is>
      </c>
      <c r="H4" s="14" t="n">
        <v>107.6</v>
      </c>
      <c r="I4" s="16" t="n">
        <v>59346.7</v>
      </c>
      <c r="J4" s="16" t="n">
        <v>59346.7</v>
      </c>
      <c r="K4" s="14" t="n">
        <v>9.01</v>
      </c>
      <c r="L4" s="14" t="n">
        <v>10.05592</v>
      </c>
      <c r="M4" s="17">
        <f>IF(OR(F4="",K4="",K4&lt;=0),"",F4/K4)</f>
        <v/>
      </c>
      <c r="N4" s="18" t="n">
        <v>1.9492047</v>
      </c>
      <c r="O4" s="19">
        <f>IF(OR(N4="",M4="",M4&lt;=0),"",N4/M4)</f>
        <v/>
      </c>
      <c r="P4" s="20" t="n">
        <v>0.16318001</v>
      </c>
      <c r="Q4" s="20" t="n">
        <v>0.1633175414973906</v>
      </c>
      <c r="R4" s="20" t="n">
        <v>0.002836595861090376</v>
      </c>
      <c r="S4" s="21" t="n">
        <v>4</v>
      </c>
      <c r="T4" s="20" t="n"/>
      <c r="U4" s="20" t="n">
        <v>0.1594367845993757</v>
      </c>
      <c r="V4" s="20" t="n">
        <v>0.162386883494173</v>
      </c>
      <c r="W4" s="20" t="n">
        <v>0.1672535837512894</v>
      </c>
      <c r="X4" s="20" t="n">
        <v>0.1641929141447242</v>
      </c>
      <c r="Y4" s="14" t="n">
        <v>5</v>
      </c>
      <c r="Z4" s="19">
        <f>IF(OR(Y4="",F4="",F4=0),"",Y4/F4)</f>
        <v/>
      </c>
      <c r="AA4" s="22" t="n">
        <v>120.742</v>
      </c>
      <c r="AB4" s="20" t="n">
        <v>0.023</v>
      </c>
      <c r="AC4" s="20" t="n">
        <v>0.0671712793849568</v>
      </c>
      <c r="AD4" s="17">
        <f>IF(OR(Q4="",M4="",M4&lt;=0),"",ROUND(40*MAX(0,MIN(N(Q4)/0.3,1))+IF(OR(R4="",N(Q4)&lt;=0),10,20*MAX(0,1-MIN(R4/Q4,1)))+30*MAX(0,MIN((PARAMETRI!$B$5-M4)/MAX(PARAMETRI!$B$5-10,1),1))+IF(AB4="",3,10*MAX(0,MIN(AB4/0.15,1)))+IF(AND(P4&lt;&gt;"",N(P4)&lt;N(Q4)*0.6),-8,0),1))</f>
        <v/>
      </c>
      <c r="AE4" s="13">
        <f>IF(AND(P4="",Q4=""),"DATI MANCANTI",IF(AND(N(P4)&gt;=PARAMETRI!$B$4,N(Q4)&gt;=PARAMETRI!$B$4),"OK","NO"))</f>
        <v/>
      </c>
      <c r="AF4" s="13">
        <f>IF(M4="","N/D",IF(M4&lt;PARAMETRI!$B$6,"OTTIMO",IF(M4&lt;PARAMETRI!$B$5,"OK","NO")))</f>
        <v/>
      </c>
      <c r="AG4" s="13">
        <f>IF(OR(AE4="DATI MANCANTI",AF4="N/D"),"DA COMPLETARE",IF(AND(AE4="OK",AF4="OTTIMO"),"PASSA FORTE",IF(AND(AE4="OK",AF4="OK"),"PASSA","SCARTA")))</f>
        <v/>
      </c>
      <c r="AH4" s="11" t="inlineStr">
        <is>
          <t>2026-10-12</t>
        </is>
      </c>
      <c r="AI4" s="11" t="inlineStr">
        <is>
          <t>yahoo</t>
        </is>
      </c>
      <c r="AJ4" s="23" t="inlineStr"/>
    </row>
    <row r="5">
      <c r="A5" s="10">
        <f>IF(AD5="","",RANK(AD5,AD$2:AD$36))</f>
        <v/>
      </c>
      <c r="B5" s="11" t="inlineStr">
        <is>
          <t>AXA</t>
        </is>
      </c>
      <c r="C5" s="12" t="inlineStr">
        <is>
          <t>CS.PA</t>
        </is>
      </c>
      <c r="D5" s="11" t="inlineStr">
        <is>
          <t>Assicurazione</t>
        </is>
      </c>
      <c r="E5" s="13" t="inlineStr">
        <is>
          <t>Finanziario</t>
        </is>
      </c>
      <c r="F5" s="14" t="n">
        <v>41.81</v>
      </c>
      <c r="G5" s="15" t="inlineStr">
        <is>
          <t>EUR</t>
        </is>
      </c>
      <c r="H5" s="14" t="n">
        <v>41.81</v>
      </c>
      <c r="I5" s="16" t="n">
        <v>87423.10000000001</v>
      </c>
      <c r="J5" s="16" t="n">
        <v>87423.10000000001</v>
      </c>
      <c r="K5" s="14" t="n">
        <v>3.71</v>
      </c>
      <c r="L5" s="14" t="n">
        <v>4.47795</v>
      </c>
      <c r="M5" s="17">
        <f>IF(OR(F5="",K5="",K5&lt;=0),"",F5/K5)</f>
        <v/>
      </c>
      <c r="N5" s="18" t="n">
        <v>1.892626</v>
      </c>
      <c r="O5" s="19">
        <f>IF(OR(N5="",M5="",M5&lt;=0),"",N5/M5)</f>
        <v/>
      </c>
      <c r="P5" s="20" t="n">
        <v>0.14881</v>
      </c>
      <c r="Q5" s="20" t="n">
        <v>0.1551104700360907</v>
      </c>
      <c r="R5" s="20" t="n">
        <v>0.03508291106009085</v>
      </c>
      <c r="S5" s="21" t="n">
        <v>4</v>
      </c>
      <c r="T5" s="20" t="n"/>
      <c r="U5" s="20" t="n">
        <v>0.2076911661826122</v>
      </c>
      <c r="V5" s="20" t="n">
        <v>0.1579000060068478</v>
      </c>
      <c r="W5" s="20" t="n">
        <v>0.1450009076423486</v>
      </c>
      <c r="X5" s="20" t="n">
        <v>0.1098498003125543</v>
      </c>
      <c r="Y5" s="14" t="n">
        <v>2.32</v>
      </c>
      <c r="Z5" s="19">
        <f>IF(OR(Y5="",F5="",F5=0),"",Y5/F5)</f>
        <v/>
      </c>
      <c r="AA5" s="22" t="n">
        <v>119.437</v>
      </c>
      <c r="AB5" s="20" t="n">
        <v>0.045</v>
      </c>
      <c r="AC5" s="20" t="n">
        <v>0.07225867479820627</v>
      </c>
      <c r="AD5" s="17">
        <f>IF(OR(Q5="",M5="",M5&lt;=0),"",ROUND(40*MAX(0,MIN(N(Q5)/0.3,1))+IF(OR(R5="",N(Q5)&lt;=0),10,20*MAX(0,1-MIN(R5/Q5,1)))+30*MAX(0,MIN((PARAMETRI!$B$5-M5)/MAX(PARAMETRI!$B$5-10,1),1))+IF(AB5="",3,10*MAX(0,MIN(AB5/0.15,1)))+IF(AND(P5&lt;&gt;"",N(P5)&lt;N(Q5)*0.6),-8,0),1))</f>
        <v/>
      </c>
      <c r="AE5" s="13">
        <f>IF(AND(P5="",Q5=""),"DATI MANCANTI",IF(AND(N(P5)&gt;=PARAMETRI!$B$4,N(Q5)&gt;=PARAMETRI!$B$4),"OK","NO"))</f>
        <v/>
      </c>
      <c r="AF5" s="13">
        <f>IF(M5="","N/D",IF(M5&lt;PARAMETRI!$B$6,"OTTIMO",IF(M5&lt;PARAMETRI!$B$5,"OK","NO")))</f>
        <v/>
      </c>
      <c r="AG5" s="13">
        <f>IF(OR(AE5="DATI MANCANTI",AF5="N/D"),"DA COMPLETARE",IF(AND(AE5="OK",AF5="OTTIMO"),"PASSA FORTE",IF(AND(AE5="OK",AF5="OK"),"PASSA","SCARTA")))</f>
        <v/>
      </c>
      <c r="AH5" s="11" t="inlineStr">
        <is>
          <t>2026-10-12</t>
        </is>
      </c>
      <c r="AI5" s="11" t="inlineStr">
        <is>
          <t>yahoo</t>
        </is>
      </c>
      <c r="AJ5" s="23" t="inlineStr"/>
    </row>
    <row r="6">
      <c r="A6" s="10">
        <f>IF(AD6="","",RANK(AD6,AD$2:AD$36))</f>
        <v/>
      </c>
      <c r="B6" s="11" t="inlineStr">
        <is>
          <t>Teleperformance</t>
        </is>
      </c>
      <c r="C6" s="12" t="inlineStr">
        <is>
          <t>TEP.PA</t>
        </is>
      </c>
      <c r="D6" s="11" t="inlineStr">
        <is>
          <t>Servizi esternalizzati</t>
        </is>
      </c>
      <c r="E6" s="13" t="inlineStr">
        <is>
          <t>Industriale</t>
        </is>
      </c>
      <c r="F6" s="14" t="n">
        <v>70.78</v>
      </c>
      <c r="G6" s="15" t="inlineStr">
        <is>
          <t>EUR</t>
        </is>
      </c>
      <c r="H6" s="14" t="n">
        <v>70.78</v>
      </c>
      <c r="I6" s="16" t="n">
        <v>4114.7</v>
      </c>
      <c r="J6" s="16" t="n">
        <v>4114.7</v>
      </c>
      <c r="K6" s="14" t="n">
        <v>7.91</v>
      </c>
      <c r="L6" s="14" t="n">
        <v>14.20672</v>
      </c>
      <c r="M6" s="17">
        <f>IF(OR(F6="",K6="",K6&lt;=0),"",F6/K6)</f>
        <v/>
      </c>
      <c r="N6" s="18" t="n">
        <v>0.9813246</v>
      </c>
      <c r="O6" s="19">
        <f>IF(OR(N6="",M6="",M6&lt;=0),"",N6/M6)</f>
        <v/>
      </c>
      <c r="P6" s="20" t="n">
        <v>0.11395001</v>
      </c>
      <c r="Q6" s="20" t="n">
        <v>0.1379142974696466</v>
      </c>
      <c r="R6" s="20" t="n">
        <v>0.02348834113828559</v>
      </c>
      <c r="S6" s="21" t="n">
        <v>4</v>
      </c>
      <c r="T6" s="20" t="n"/>
      <c r="U6" s="20" t="n">
        <v>0.1213082743470832</v>
      </c>
      <c r="V6" s="20" t="n">
        <v>0.114793678665496</v>
      </c>
      <c r="W6" s="20" t="n">
        <v>0.1403508771929824</v>
      </c>
      <c r="X6" s="20" t="n">
        <v>0.1752043596730245</v>
      </c>
      <c r="Y6" s="14" t="n">
        <v>4.5</v>
      </c>
      <c r="Z6" s="19">
        <f>IF(OR(Y6="",F6="",F6=0),"",Y6/F6)</f>
        <v/>
      </c>
      <c r="AA6" s="22" t="n">
        <v>120.367</v>
      </c>
      <c r="AB6" s="20" t="n">
        <v>-0.046</v>
      </c>
      <c r="AC6" s="20" t="n">
        <v>0.0454483123396086</v>
      </c>
      <c r="AD6" s="17">
        <f>IF(OR(Q6="",M6="",M6&lt;=0),"",ROUND(40*MAX(0,MIN(N(Q6)/0.3,1))+IF(OR(R6="",N(Q6)&lt;=0),10,20*MAX(0,1-MIN(R6/Q6,1)))+30*MAX(0,MIN((PARAMETRI!$B$5-M6)/MAX(PARAMETRI!$B$5-10,1),1))+IF(AB6="",3,10*MAX(0,MIN(AB6/0.15,1)))+IF(AND(P6&lt;&gt;"",N(P6)&lt;N(Q6)*0.6),-8,0),1))</f>
        <v/>
      </c>
      <c r="AE6" s="13">
        <f>IF(AND(P6="",Q6=""),"DATI MANCANTI",IF(AND(N(P6)&gt;=PARAMETRI!$B$4,N(Q6)&gt;=PARAMETRI!$B$4),"OK","NO"))</f>
        <v/>
      </c>
      <c r="AF6" s="13">
        <f>IF(M6="","N/D",IF(M6&lt;PARAMETRI!$B$6,"OTTIMO",IF(M6&lt;PARAMETRI!$B$5,"OK","NO")))</f>
        <v/>
      </c>
      <c r="AG6" s="13">
        <f>IF(OR(AE6="DATI MANCANTI",AF6="N/D"),"DA COMPLETARE",IF(AND(AE6="OK",AF6="OTTIMO"),"PASSA FORTE",IF(AND(AE6="OK",AF6="OK"),"PASSA","SCARTA")))</f>
        <v/>
      </c>
      <c r="AH6" s="11" t="inlineStr">
        <is>
          <t>2026-10-12</t>
        </is>
      </c>
      <c r="AI6" s="11" t="inlineStr">
        <is>
          <t>yahoo</t>
        </is>
      </c>
      <c r="AJ6" s="23" t="inlineStr"/>
    </row>
    <row r="7">
      <c r="A7" s="10">
        <f>IF(AD7="","",RANK(AD7,AD$2:AD$36))</f>
        <v/>
      </c>
      <c r="B7" s="11" t="inlineStr">
        <is>
          <t>Credit Agricole</t>
        </is>
      </c>
      <c r="C7" s="12" t="inlineStr">
        <is>
          <t>ACA.PA</t>
        </is>
      </c>
      <c r="D7" s="11" t="inlineStr">
        <is>
          <t>Banca</t>
        </is>
      </c>
      <c r="E7" s="13" t="inlineStr">
        <is>
          <t>Finanziario</t>
        </is>
      </c>
      <c r="F7" s="14" t="n">
        <v>16.33</v>
      </c>
      <c r="G7" s="15" t="inlineStr">
        <is>
          <t>EUR</t>
        </is>
      </c>
      <c r="H7" s="14" t="n">
        <v>16.33</v>
      </c>
      <c r="I7" s="16" t="n">
        <v>49534.4</v>
      </c>
      <c r="J7" s="16" t="n">
        <v>49534.4</v>
      </c>
      <c r="K7" s="14" t="n">
        <v>1.98</v>
      </c>
      <c r="L7" s="14" t="n">
        <v>2.47687</v>
      </c>
      <c r="M7" s="17">
        <f>IF(OR(F7="",K7="",K7&lt;=0),"",F7/K7)</f>
        <v/>
      </c>
      <c r="N7" s="18" t="n">
        <v>0.7038793</v>
      </c>
      <c r="O7" s="19">
        <f>IF(OR(N7="",M7="",M7&lt;=0),"",N7/M7)</f>
        <v/>
      </c>
      <c r="P7" s="20" t="n">
        <v>0.08612</v>
      </c>
      <c r="Q7" s="20" t="n">
        <v>0.08875352782251728</v>
      </c>
      <c r="R7" s="20" t="n">
        <v>0.005563228260210011</v>
      </c>
      <c r="S7" s="21" t="n">
        <v>4</v>
      </c>
      <c r="T7" s="20" t="n"/>
      <c r="U7" s="20" t="n">
        <v>0.09108701810409209</v>
      </c>
      <c r="V7" s="20" t="n">
        <v>0.0948601258198367</v>
      </c>
      <c r="W7" s="20" t="n">
        <v>0.08930028416284501</v>
      </c>
      <c r="X7" s="20" t="n">
        <v>0.0797666832032953</v>
      </c>
      <c r="Y7" s="14" t="n">
        <v>1.13</v>
      </c>
      <c r="Z7" s="19">
        <f>IF(OR(Y7="",F7="",F7=0),"",Y7/F7)</f>
        <v/>
      </c>
      <c r="AA7" s="22" t="n"/>
      <c r="AB7" s="20" t="n">
        <v>-0.063</v>
      </c>
      <c r="AC7" s="20" t="n">
        <v>0.2331594306385895</v>
      </c>
      <c r="AD7" s="17">
        <f>IF(OR(Q7="",M7="",M7&lt;=0),"",ROUND(40*MAX(0,MIN(N(Q7)/0.3,1))+IF(OR(R7="",N(Q7)&lt;=0),10,20*MAX(0,1-MIN(R7/Q7,1)))+30*MAX(0,MIN((PARAMETRI!$B$5-M7)/MAX(PARAMETRI!$B$5-10,1),1))+IF(AB7="",3,10*MAX(0,MIN(AB7/0.15,1)))+IF(AND(P7&lt;&gt;"",N(P7)&lt;N(Q7)*0.6),-8,0),1))</f>
        <v/>
      </c>
      <c r="AE7" s="13">
        <f>IF(AND(P7="",Q7=""),"DATI MANCANTI",IF(AND(N(P7)&gt;=PARAMETRI!$B$4,N(Q7)&gt;=PARAMETRI!$B$4),"OK","NO"))</f>
        <v/>
      </c>
      <c r="AF7" s="13">
        <f>IF(M7="","N/D",IF(M7&lt;PARAMETRI!$B$6,"OTTIMO",IF(M7&lt;PARAMETRI!$B$5,"OK","NO")))</f>
        <v/>
      </c>
      <c r="AG7" s="13">
        <f>IF(OR(AE7="DATI MANCANTI",AF7="N/D"),"DA COMPLETARE",IF(AND(AE7="OK",AF7="OTTIMO"),"PASSA FORTE",IF(AND(AE7="OK",AF7="OK"),"PASSA","SCARTA")))</f>
        <v/>
      </c>
      <c r="AH7" s="11" t="inlineStr">
        <is>
          <t>2026-10-12</t>
        </is>
      </c>
      <c r="AI7" s="11" t="inlineStr">
        <is>
          <t>yahoo</t>
        </is>
      </c>
      <c r="AJ7" s="23" t="inlineStr"/>
    </row>
    <row r="8">
      <c r="A8" s="10">
        <f>IF(AD8="","",RANK(AD8,AD$2:AD$36))</f>
        <v/>
      </c>
      <c r="B8" s="11" t="inlineStr">
        <is>
          <t>Capgemini</t>
        </is>
      </c>
      <c r="C8" s="12" t="inlineStr">
        <is>
          <t>CAP.PA</t>
        </is>
      </c>
      <c r="D8" s="11" t="inlineStr">
        <is>
          <t>Servizi IT</t>
        </is>
      </c>
      <c r="E8" s="13" t="inlineStr">
        <is>
          <t>Tecnologia</t>
        </is>
      </c>
      <c r="F8" s="14" t="n">
        <v>115.35</v>
      </c>
      <c r="G8" s="15" t="inlineStr">
        <is>
          <t>EUR</t>
        </is>
      </c>
      <c r="H8" s="14" t="n">
        <v>115.35</v>
      </c>
      <c r="I8" s="16" t="n">
        <v>19148.4</v>
      </c>
      <c r="J8" s="16" t="n">
        <v>19148.4</v>
      </c>
      <c r="K8" s="14" t="n">
        <v>7.87</v>
      </c>
      <c r="L8" s="14" t="n">
        <v>13.80292</v>
      </c>
      <c r="M8" s="17">
        <f>IF(OR(F8="",K8="",K8&lt;=0),"",F8/K8)</f>
        <v/>
      </c>
      <c r="N8" s="18" t="n">
        <v>1.6717875</v>
      </c>
      <c r="O8" s="19">
        <f>IF(OR(N8="",M8="",M8&lt;=0),"",N8/M8)</f>
        <v/>
      </c>
      <c r="P8" s="20" t="n">
        <v>0.12202</v>
      </c>
      <c r="Q8" s="20" t="n">
        <v>0.1493697560657985</v>
      </c>
      <c r="R8" s="20" t="n">
        <v>0.009817698883656849</v>
      </c>
      <c r="S8" s="21" t="n">
        <v>4</v>
      </c>
      <c r="T8" s="20" t="n"/>
      <c r="U8" s="20" t="n">
        <v>0.137448489010989</v>
      </c>
      <c r="V8" s="20" t="n">
        <v>0.1419108280254777</v>
      </c>
      <c r="W8" s="20" t="n">
        <v>0.1590778649320834</v>
      </c>
      <c r="X8" s="20" t="n">
        <v>0.1590418422946438</v>
      </c>
      <c r="Y8" s="14" t="n">
        <v>3.4</v>
      </c>
      <c r="Z8" s="19">
        <f>IF(OR(Y8="",F8="",F8=0),"",Y8/F8)</f>
        <v/>
      </c>
      <c r="AA8" s="22" t="n">
        <v>87.509</v>
      </c>
      <c r="AB8" s="20" t="n">
        <v>0.08799999999999999</v>
      </c>
      <c r="AC8" s="20" t="n">
        <v>0.06120632379256621</v>
      </c>
      <c r="AD8" s="17">
        <f>IF(OR(Q8="",M8="",M8&lt;=0),"",ROUND(40*MAX(0,MIN(N(Q8)/0.3,1))+IF(OR(R8="",N(Q8)&lt;=0),10,20*MAX(0,1-MIN(R8/Q8,1)))+30*MAX(0,MIN((PARAMETRI!$B$5-M8)/MAX(PARAMETRI!$B$5-10,1),1))+IF(AB8="",3,10*MAX(0,MIN(AB8/0.15,1)))+IF(AND(P8&lt;&gt;"",N(P8)&lt;N(Q8)*0.6),-8,0),1))</f>
        <v/>
      </c>
      <c r="AE8" s="13">
        <f>IF(AND(P8="",Q8=""),"DATI MANCANTI",IF(AND(N(P8)&gt;=PARAMETRI!$B$4,N(Q8)&gt;=PARAMETRI!$B$4),"OK","NO"))</f>
        <v/>
      </c>
      <c r="AF8" s="13">
        <f>IF(M8="","N/D",IF(M8&lt;PARAMETRI!$B$6,"OTTIMO",IF(M8&lt;PARAMETRI!$B$5,"OK","NO")))</f>
        <v/>
      </c>
      <c r="AG8" s="13">
        <f>IF(OR(AE8="DATI MANCANTI",AF8="N/D"),"DA COMPLETARE",IF(AND(AE8="OK",AF8="OTTIMO"),"PASSA FORTE",IF(AND(AE8="OK",AF8="OK"),"PASSA","SCARTA")))</f>
        <v/>
      </c>
      <c r="AH8" s="11" t="inlineStr">
        <is>
          <t>2026-10-12</t>
        </is>
      </c>
      <c r="AI8" s="11" t="inlineStr">
        <is>
          <t>yahoo</t>
        </is>
      </c>
      <c r="AJ8" s="23" t="inlineStr"/>
    </row>
    <row r="9">
      <c r="A9" s="10">
        <f>IF(AD9="","",RANK(AD9,AD$2:AD$36))</f>
        <v/>
      </c>
      <c r="B9" s="11" t="inlineStr">
        <is>
          <t>Saint-Gobain</t>
        </is>
      </c>
      <c r="C9" s="12" t="inlineStr">
        <is>
          <t>SGO.PA</t>
        </is>
      </c>
      <c r="D9" s="11" t="inlineStr">
        <is>
          <t>Materiali da costruzione</t>
        </is>
      </c>
      <c r="E9" s="13" t="inlineStr">
        <is>
          <t>Materiali</t>
        </is>
      </c>
      <c r="F9" s="14" t="n">
        <v>65.2</v>
      </c>
      <c r="G9" s="15" t="inlineStr">
        <is>
          <t>EUR</t>
        </is>
      </c>
      <c r="H9" s="14" t="n">
        <v>65.2</v>
      </c>
      <c r="I9" s="16" t="n">
        <v>31841.1</v>
      </c>
      <c r="J9" s="16" t="n">
        <v>31841.1</v>
      </c>
      <c r="K9" s="14" t="n">
        <v>5.39</v>
      </c>
      <c r="L9" s="14" t="n">
        <v>6.80623</v>
      </c>
      <c r="M9" s="17">
        <f>IF(OR(F9="",K9="",K9&lt;=0),"",F9/K9)</f>
        <v/>
      </c>
      <c r="N9" s="18" t="n">
        <v>1.2561651</v>
      </c>
      <c r="O9" s="19">
        <f>IF(OR(N9="",M9="",M9&lt;=0),"",N9/M9)</f>
        <v/>
      </c>
      <c r="P9" s="20" t="n">
        <v>0.11038999</v>
      </c>
      <c r="Q9" s="20" t="n">
        <v>0.1193836987434596</v>
      </c>
      <c r="R9" s="20" t="n">
        <v>0.007575505655233246</v>
      </c>
      <c r="S9" s="21" t="n">
        <v>4</v>
      </c>
      <c r="T9" s="20" t="n"/>
      <c r="U9" s="20" t="n">
        <v>0.1174768754329489</v>
      </c>
      <c r="V9" s="20" t="n">
        <v>0.1131489954247066</v>
      </c>
      <c r="W9" s="20" t="n">
        <v>0.114682249817385</v>
      </c>
      <c r="X9" s="20" t="n">
        <v>0.1322266742987979</v>
      </c>
      <c r="Y9" s="14" t="n">
        <v>2.3</v>
      </c>
      <c r="Z9" s="19">
        <f>IF(OR(Y9="",F9="",F9=0),"",Y9/F9)</f>
        <v/>
      </c>
      <c r="AA9" s="22" t="n">
        <v>66.318</v>
      </c>
      <c r="AB9" s="20" t="n">
        <v>-0.011</v>
      </c>
      <c r="AC9" s="20" t="n">
        <v>0.0574618691564658</v>
      </c>
      <c r="AD9" s="17">
        <f>IF(OR(Q9="",M9="",M9&lt;=0),"",ROUND(40*MAX(0,MIN(N(Q9)/0.3,1))+IF(OR(R9="",N(Q9)&lt;=0),10,20*MAX(0,1-MIN(R9/Q9,1)))+30*MAX(0,MIN((PARAMETRI!$B$5-M9)/MAX(PARAMETRI!$B$5-10,1),1))+IF(AB9="",3,10*MAX(0,MIN(AB9/0.15,1)))+IF(AND(P9&lt;&gt;"",N(P9)&lt;N(Q9)*0.6),-8,0),1))</f>
        <v/>
      </c>
      <c r="AE9" s="13">
        <f>IF(AND(P9="",Q9=""),"DATI MANCANTI",IF(AND(N(P9)&gt;=PARAMETRI!$B$4,N(Q9)&gt;=PARAMETRI!$B$4),"OK","NO"))</f>
        <v/>
      </c>
      <c r="AF9" s="13">
        <f>IF(M9="","N/D",IF(M9&lt;PARAMETRI!$B$6,"OTTIMO",IF(M9&lt;PARAMETRI!$B$5,"OK","NO")))</f>
        <v/>
      </c>
      <c r="AG9" s="13">
        <f>IF(OR(AE9="DATI MANCANTI",AF9="N/D"),"DA COMPLETARE",IF(AND(AE9="OK",AF9="OTTIMO"),"PASSA FORTE",IF(AND(AE9="OK",AF9="OK"),"PASSA","SCARTA")))</f>
        <v/>
      </c>
      <c r="AH9" s="11" t="inlineStr">
        <is>
          <t>2026-10-12</t>
        </is>
      </c>
      <c r="AI9" s="11" t="inlineStr">
        <is>
          <t>yahoo</t>
        </is>
      </c>
      <c r="AJ9" s="23" t="inlineStr"/>
    </row>
    <row r="10">
      <c r="A10" s="10">
        <f>IF(AD10="","",RANK(AD10,AD$2:AD$36))</f>
        <v/>
      </c>
      <c r="B10" s="11" t="inlineStr">
        <is>
          <t>Airbus</t>
        </is>
      </c>
      <c r="C10" s="12" t="inlineStr">
        <is>
          <t>AIR.PA</t>
        </is>
      </c>
      <c r="D10" s="11" t="inlineStr">
        <is>
          <t>Aerospazio</t>
        </is>
      </c>
      <c r="E10" s="13" t="inlineStr">
        <is>
          <t>Industriale</t>
        </is>
      </c>
      <c r="F10" s="14" t="n">
        <v>188.14</v>
      </c>
      <c r="G10" s="15" t="inlineStr">
        <is>
          <t>EUR</t>
        </is>
      </c>
      <c r="H10" s="14" t="n">
        <v>188.14</v>
      </c>
      <c r="I10" s="16" t="n">
        <v>148909.1</v>
      </c>
      <c r="J10" s="16" t="n">
        <v>148909.1</v>
      </c>
      <c r="K10" s="14" t="n">
        <v>7.51</v>
      </c>
      <c r="L10" s="14" t="n">
        <v>8.70017</v>
      </c>
      <c r="M10" s="17">
        <f>IF(OR(F10="",K10="",K10&lt;=0),"",F10/K10)</f>
        <v/>
      </c>
      <c r="N10" s="18" t="n">
        <v>5.7551003</v>
      </c>
      <c r="O10" s="19">
        <f>IF(OR(N10="",M10="",M10&lt;=0),"",N10/M10)</f>
        <v/>
      </c>
      <c r="P10" s="20" t="n">
        <v>0.23193</v>
      </c>
      <c r="Q10" s="20" t="n">
        <v>0.2394854761390522</v>
      </c>
      <c r="R10" s="20" t="n">
        <v>0.05144568356970649</v>
      </c>
      <c r="S10" s="21" t="n">
        <v>4</v>
      </c>
      <c r="T10" s="20" t="n"/>
      <c r="U10" s="20" t="n">
        <v>0.2000076616610481</v>
      </c>
      <c r="V10" s="20" t="n">
        <v>0.2158522901152708</v>
      </c>
      <c r="W10" s="20" t="n">
        <v>0.2141282848262221</v>
      </c>
      <c r="X10" s="20" t="n">
        <v>0.3279536679536679</v>
      </c>
      <c r="Y10" s="14" t="n">
        <v>3.2</v>
      </c>
      <c r="Z10" s="19">
        <f>IF(OR(Y10="",F10="",F10=0),"",Y10/F10)</f>
        <v/>
      </c>
      <c r="AA10" s="22" t="n">
        <v>54.988</v>
      </c>
      <c r="AB10" s="20" t="n">
        <v>0.277</v>
      </c>
      <c r="AC10" s="20" t="n">
        <v>0.08089076284391174</v>
      </c>
      <c r="AD10" s="17">
        <f>IF(OR(Q10="",M10="",M10&lt;=0),"",ROUND(40*MAX(0,MIN(N(Q10)/0.3,1))+IF(OR(R10="",N(Q10)&lt;=0),10,20*MAX(0,1-MIN(R10/Q10,1)))+30*MAX(0,MIN((PARAMETRI!$B$5-M10)/MAX(PARAMETRI!$B$5-10,1),1))+IF(AB10="",3,10*MAX(0,MIN(AB10/0.15,1)))+IF(AND(P10&lt;&gt;"",N(P10)&lt;N(Q10)*0.6),-8,0),1))</f>
        <v/>
      </c>
      <c r="AE10" s="13">
        <f>IF(AND(P10="",Q10=""),"DATI MANCANTI",IF(AND(N(P10)&gt;=PARAMETRI!$B$4,N(Q10)&gt;=PARAMETRI!$B$4),"OK","NO"))</f>
        <v/>
      </c>
      <c r="AF10" s="13">
        <f>IF(M10="","N/D",IF(M10&lt;PARAMETRI!$B$6,"OTTIMO",IF(M10&lt;PARAMETRI!$B$5,"OK","NO")))</f>
        <v/>
      </c>
      <c r="AG10" s="13">
        <f>IF(OR(AE10="DATI MANCANTI",AF10="N/D"),"DA COMPLETARE",IF(AND(AE10="OK",AF10="OTTIMO"),"PASSA FORTE",IF(AND(AE10="OK",AF10="OK"),"PASSA","SCARTA")))</f>
        <v/>
      </c>
      <c r="AH10" s="11" t="inlineStr">
        <is>
          <t>2026-10-12</t>
        </is>
      </c>
      <c r="AI10" s="11" t="inlineStr">
        <is>
          <t>yahoo</t>
        </is>
      </c>
      <c r="AJ10" s="23" t="inlineStr"/>
    </row>
    <row r="11">
      <c r="A11" s="10">
        <f>IF(AD11="","",RANK(AD11,AD$2:AD$36))</f>
        <v/>
      </c>
      <c r="B11" s="11" t="inlineStr">
        <is>
          <t>Hermes International</t>
        </is>
      </c>
      <c r="C11" s="12" t="inlineStr">
        <is>
          <t>RMS.PA</t>
        </is>
      </c>
      <c r="D11" s="11" t="inlineStr">
        <is>
          <t>Lusso</t>
        </is>
      </c>
      <c r="E11" s="13" t="inlineStr">
        <is>
          <t>Consumi</t>
        </is>
      </c>
      <c r="F11" s="14" t="n">
        <v>1310</v>
      </c>
      <c r="G11" s="15" t="inlineStr">
        <is>
          <t>EUR</t>
        </is>
      </c>
      <c r="H11" s="14" t="n">
        <v>1310</v>
      </c>
      <c r="I11" s="16" t="n">
        <v>137211.4</v>
      </c>
      <c r="J11" s="16" t="n">
        <v>137211.4</v>
      </c>
      <c r="K11" s="14" t="n">
        <v>43</v>
      </c>
      <c r="L11" s="14" t="n">
        <v>48.68004</v>
      </c>
      <c r="M11" s="17">
        <f>IF(OR(F11="",K11="",K11&lt;=0),"",F11/K11)</f>
        <v/>
      </c>
      <c r="N11" s="18" t="n">
        <v>7.2129416</v>
      </c>
      <c r="O11" s="19">
        <f>IF(OR(N11="",M11="",M11&lt;=0),"",N11/M11)</f>
        <v/>
      </c>
      <c r="P11" s="20" t="n">
        <v>0.25452</v>
      </c>
      <c r="Q11" s="20" t="n">
        <v>0.2649891304567901</v>
      </c>
      <c r="R11" s="20" t="n">
        <v>0.01578518864255581</v>
      </c>
      <c r="S11" s="21" t="n">
        <v>4</v>
      </c>
      <c r="T11" s="20" t="n"/>
      <c r="U11" s="20" t="n">
        <v>0.2401019000106146</v>
      </c>
      <c r="V11" s="20" t="n">
        <v>0.2656547584694408</v>
      </c>
      <c r="W11" s="20" t="n">
        <v>0.2835624547786621</v>
      </c>
      <c r="X11" s="20" t="n">
        <v>0.270637408568443</v>
      </c>
      <c r="Y11" s="14" t="n">
        <v>18</v>
      </c>
      <c r="Z11" s="19">
        <f>IF(OR(Y11="",F11="",F11=0),"",Y11/F11)</f>
        <v/>
      </c>
      <c r="AA11" s="22" t="n">
        <v>11.984</v>
      </c>
      <c r="AB11" s="20" t="n">
        <v>0.016</v>
      </c>
      <c r="AC11" s="20" t="n">
        <v>0.2822323444784701</v>
      </c>
      <c r="AD11" s="17">
        <f>IF(OR(Q11="",M11="",M11&lt;=0),"",ROUND(40*MAX(0,MIN(N(Q11)/0.3,1))+IF(OR(R11="",N(Q11)&lt;=0),10,20*MAX(0,1-MIN(R11/Q11,1)))+30*MAX(0,MIN((PARAMETRI!$B$5-M11)/MAX(PARAMETRI!$B$5-10,1),1))+IF(AB11="",3,10*MAX(0,MIN(AB11/0.15,1)))+IF(AND(P11&lt;&gt;"",N(P11)&lt;N(Q11)*0.6),-8,0),1))</f>
        <v/>
      </c>
      <c r="AE11" s="13">
        <f>IF(AND(P11="",Q11=""),"DATI MANCANTI",IF(AND(N(P11)&gt;=PARAMETRI!$B$4,N(Q11)&gt;=PARAMETRI!$B$4),"OK","NO"))</f>
        <v/>
      </c>
      <c r="AF11" s="13">
        <f>IF(M11="","N/D",IF(M11&lt;PARAMETRI!$B$6,"OTTIMO",IF(M11&lt;PARAMETRI!$B$5,"OK","NO")))</f>
        <v/>
      </c>
      <c r="AG11" s="13">
        <f>IF(OR(AE11="DATI MANCANTI",AF11="N/D"),"DA COMPLETARE",IF(AND(AE11="OK",AF11="OTTIMO"),"PASSA FORTE",IF(AND(AE11="OK",AF11="OK"),"PASSA","SCARTA")))</f>
        <v/>
      </c>
      <c r="AH11" s="11" t="inlineStr">
        <is>
          <t>2026-10-12</t>
        </is>
      </c>
      <c r="AI11" s="11" t="inlineStr">
        <is>
          <t>yahoo</t>
        </is>
      </c>
      <c r="AJ11" s="23" t="inlineStr"/>
    </row>
    <row r="12">
      <c r="A12" s="10">
        <f>IF(AD12="","",RANK(AD12,AD$2:AD$36))</f>
        <v/>
      </c>
      <c r="B12" s="11" t="inlineStr">
        <is>
          <t>Carrefour</t>
        </is>
      </c>
      <c r="C12" s="12" t="inlineStr">
        <is>
          <t>CA.PA</t>
        </is>
      </c>
      <c r="D12" s="11" t="inlineStr">
        <is>
          <t>Grande distribuzione</t>
        </is>
      </c>
      <c r="E12" s="13" t="inlineStr">
        <is>
          <t>Consumi</t>
        </is>
      </c>
      <c r="F12" s="14" t="n">
        <v>15.91</v>
      </c>
      <c r="G12" s="15" t="inlineStr">
        <is>
          <t>EUR</t>
        </is>
      </c>
      <c r="H12" s="14" t="n">
        <v>15.91</v>
      </c>
      <c r="I12" s="16" t="n">
        <v>11258.1</v>
      </c>
      <c r="J12" s="16" t="n">
        <v>11258.1</v>
      </c>
      <c r="K12" s="14" t="n">
        <v>2.15</v>
      </c>
      <c r="L12" s="14" t="n">
        <v>1.87277</v>
      </c>
      <c r="M12" s="17">
        <f>IF(OR(F12="",K12="",K12&lt;=0),"",F12/K12)</f>
        <v/>
      </c>
      <c r="N12" s="18" t="n">
        <v>1.0172634</v>
      </c>
      <c r="O12" s="19">
        <f>IF(OR(N12="",M12="",M12&lt;=0),"",N12/M12)</f>
        <v/>
      </c>
      <c r="P12" s="20" t="n">
        <v>0.08428001</v>
      </c>
      <c r="Q12" s="20" t="n">
        <v>0.09015483917042293</v>
      </c>
      <c r="R12" s="20" t="n">
        <v>0.0450018363392368</v>
      </c>
      <c r="S12" s="21" t="n">
        <v>4</v>
      </c>
      <c r="T12" s="20" t="n"/>
      <c r="U12" s="20" t="n">
        <v>0.0290634110787172</v>
      </c>
      <c r="V12" s="20" t="n">
        <v>0.06682070240295748</v>
      </c>
      <c r="W12" s="20" t="n">
        <v>0.1437732905797729</v>
      </c>
      <c r="X12" s="20" t="n">
        <v>0.1209619526202441</v>
      </c>
      <c r="Y12" s="14" t="n">
        <v>0.97</v>
      </c>
      <c r="Z12" s="19">
        <f>IF(OR(Y12="",F12="",F12=0),"",Y12/F12)</f>
        <v/>
      </c>
      <c r="AA12" s="22" t="n">
        <v>185.209</v>
      </c>
      <c r="AB12" s="20" t="n">
        <v>0.02</v>
      </c>
      <c r="AC12" s="20" t="n">
        <v>0.01084214034085499</v>
      </c>
      <c r="AD12" s="17">
        <f>IF(OR(Q12="",M12="",M12&lt;=0),"",ROUND(40*MAX(0,MIN(N(Q12)/0.3,1))+IF(OR(R12="",N(Q12)&lt;=0),10,20*MAX(0,1-MIN(R12/Q12,1)))+30*MAX(0,MIN((PARAMETRI!$B$5-M12)/MAX(PARAMETRI!$B$5-10,1),1))+IF(AB12="",3,10*MAX(0,MIN(AB12/0.15,1)))+IF(AND(P12&lt;&gt;"",N(P12)&lt;N(Q12)*0.6),-8,0),1))</f>
        <v/>
      </c>
      <c r="AE12" s="13">
        <f>IF(AND(P12="",Q12=""),"DATI MANCANTI",IF(AND(N(P12)&gt;=PARAMETRI!$B$4,N(Q12)&gt;=PARAMETRI!$B$4),"OK","NO"))</f>
        <v/>
      </c>
      <c r="AF12" s="13">
        <f>IF(M12="","N/D",IF(M12&lt;PARAMETRI!$B$6,"OTTIMO",IF(M12&lt;PARAMETRI!$B$5,"OK","NO")))</f>
        <v/>
      </c>
      <c r="AG12" s="13">
        <f>IF(OR(AE12="DATI MANCANTI",AF12="N/D"),"DA COMPLETARE",IF(AND(AE12="OK",AF12="OTTIMO"),"PASSA FORTE",IF(AND(AE12="OK",AF12="OK"),"PASSA","SCARTA")))</f>
        <v/>
      </c>
      <c r="AH12" s="11" t="inlineStr">
        <is>
          <t>2026-10-12</t>
        </is>
      </c>
      <c r="AI12" s="11" t="inlineStr">
        <is>
          <t>yahoo</t>
        </is>
      </c>
      <c r="AJ12" s="23" t="inlineStr"/>
    </row>
    <row r="13">
      <c r="A13" s="10">
        <f>IF(AD13="","",RANK(AD13,AD$2:AD$36))</f>
        <v/>
      </c>
      <c r="B13" s="11" t="inlineStr">
        <is>
          <t>Publicis Groupe</t>
        </is>
      </c>
      <c r="C13" s="12" t="inlineStr">
        <is>
          <t>PUB.PA</t>
        </is>
      </c>
      <c r="D13" s="11" t="inlineStr">
        <is>
          <t>Pubblicita'</t>
        </is>
      </c>
      <c r="E13" s="13" t="inlineStr">
        <is>
          <t>Consumi</t>
        </is>
      </c>
      <c r="F13" s="14" t="n">
        <v>98.73999999999999</v>
      </c>
      <c r="G13" s="15" t="inlineStr">
        <is>
          <t>EUR</t>
        </is>
      </c>
      <c r="H13" s="14" t="n">
        <v>98.73999999999999</v>
      </c>
      <c r="I13" s="16" t="n">
        <v>24657.5</v>
      </c>
      <c r="J13" s="16" t="n">
        <v>24657.5</v>
      </c>
      <c r="K13" s="14" t="n">
        <v>6.42</v>
      </c>
      <c r="L13" s="14" t="n">
        <v>8.547269999999999</v>
      </c>
      <c r="M13" s="17">
        <f>IF(OR(F13="",K13="",K13&lt;=0),"",F13/K13)</f>
        <v/>
      </c>
      <c r="N13" s="18" t="n">
        <v>2.3440874</v>
      </c>
      <c r="O13" s="19">
        <f>IF(OR(N13="",M13="",M13&lt;=0),"",N13/M13)</f>
        <v/>
      </c>
      <c r="P13" s="20" t="n">
        <v>0.16179001</v>
      </c>
      <c r="Q13" s="20" t="n">
        <v>0.1422971525426779</v>
      </c>
      <c r="R13" s="20" t="n">
        <v>0.01246907095352854</v>
      </c>
      <c r="S13" s="21" t="n">
        <v>4</v>
      </c>
      <c r="T13" s="20" t="n"/>
      <c r="U13" s="20" t="n">
        <v>0.1582272422705083</v>
      </c>
      <c r="V13" s="20" t="n">
        <v>0.1500904159132007</v>
      </c>
      <c r="W13" s="20" t="n">
        <v>0.1340416836943196</v>
      </c>
      <c r="X13" s="20" t="n">
        <v>0.1268292682926829</v>
      </c>
      <c r="Y13" s="14" t="n">
        <v>3.75</v>
      </c>
      <c r="Z13" s="19">
        <f>IF(OR(Y13="",F13="",F13=0),"",Y13/F13)</f>
        <v/>
      </c>
      <c r="AA13" s="22" t="n">
        <v>51.925</v>
      </c>
      <c r="AB13" s="20" t="n">
        <v>0.03</v>
      </c>
      <c r="AC13" s="20" t="n">
        <v>0.0932237484912926</v>
      </c>
      <c r="AD13" s="17">
        <f>IF(OR(Q13="",M13="",M13&lt;=0),"",ROUND(40*MAX(0,MIN(N(Q13)/0.3,1))+IF(OR(R13="",N(Q13)&lt;=0),10,20*MAX(0,1-MIN(R13/Q13,1)))+30*MAX(0,MIN((PARAMETRI!$B$5-M13)/MAX(PARAMETRI!$B$5-10,1),1))+IF(AB13="",3,10*MAX(0,MIN(AB13/0.15,1)))+IF(AND(P13&lt;&gt;"",N(P13)&lt;N(Q13)*0.6),-8,0),1))</f>
        <v/>
      </c>
      <c r="AE13" s="13">
        <f>IF(AND(P13="",Q13=""),"DATI MANCANTI",IF(AND(N(P13)&gt;=PARAMETRI!$B$4,N(Q13)&gt;=PARAMETRI!$B$4),"OK","NO"))</f>
        <v/>
      </c>
      <c r="AF13" s="13">
        <f>IF(M13="","N/D",IF(M13&lt;PARAMETRI!$B$6,"OTTIMO",IF(M13&lt;PARAMETRI!$B$5,"OK","NO")))</f>
        <v/>
      </c>
      <c r="AG13" s="13">
        <f>IF(OR(AE13="DATI MANCANTI",AF13="N/D"),"DA COMPLETARE",IF(AND(AE13="OK",AF13="OTTIMO"),"PASSA FORTE",IF(AND(AE13="OK",AF13="OK"),"PASSA","SCARTA")))</f>
        <v/>
      </c>
      <c r="AH13" s="11" t="inlineStr">
        <is>
          <t>2026-10-12</t>
        </is>
      </c>
      <c r="AI13" s="11" t="inlineStr">
        <is>
          <t>yahoo</t>
        </is>
      </c>
      <c r="AJ13" s="23" t="inlineStr"/>
    </row>
    <row r="14">
      <c r="A14" s="10">
        <f>IF(AD14="","",RANK(AD14,AD$2:AD$36))</f>
        <v/>
      </c>
      <c r="B14" s="11" t="inlineStr">
        <is>
          <t>LVMH</t>
        </is>
      </c>
      <c r="C14" s="12" t="inlineStr">
        <is>
          <t>MC.PA</t>
        </is>
      </c>
      <c r="D14" s="11" t="inlineStr">
        <is>
          <t>Lusso</t>
        </is>
      </c>
      <c r="E14" s="13" t="inlineStr">
        <is>
          <t>Consumi</t>
        </is>
      </c>
      <c r="F14" s="14" t="n">
        <v>384.5</v>
      </c>
      <c r="G14" s="15" t="inlineStr">
        <is>
          <t>EUR</t>
        </is>
      </c>
      <c r="H14" s="14" t="n">
        <v>384.5</v>
      </c>
      <c r="I14" s="16" t="n">
        <v>189545.1</v>
      </c>
      <c r="J14" s="16" t="n">
        <v>189545.1</v>
      </c>
      <c r="K14" s="14" t="n">
        <v>21.94</v>
      </c>
      <c r="L14" s="14" t="n">
        <v>24.57172</v>
      </c>
      <c r="M14" s="17">
        <f>IF(OR(F14="",K14="",K14&lt;=0),"",F14/K14)</f>
        <v/>
      </c>
      <c r="N14" s="18" t="n">
        <v>2.784295</v>
      </c>
      <c r="O14" s="19">
        <f>IF(OR(N14="",M14="",M14&lt;=0),"",N14/M14)</f>
        <v/>
      </c>
      <c r="P14" s="20" t="n">
        <v>0.16586</v>
      </c>
      <c r="Q14" s="20" t="n">
        <v>0.2128358261370027</v>
      </c>
      <c r="R14" s="20" t="n">
        <v>0.04031392768938293</v>
      </c>
      <c r="S14" s="21" t="n">
        <v>4</v>
      </c>
      <c r="T14" s="20" t="n"/>
      <c r="U14" s="20" t="n">
        <v>0.1612224330092483</v>
      </c>
      <c r="V14" s="20" t="n">
        <v>0.1858791119273664</v>
      </c>
      <c r="W14" s="20" t="n">
        <v>0.2486847927626727</v>
      </c>
      <c r="X14" s="20" t="n">
        <v>0.2555569668487235</v>
      </c>
      <c r="Y14" s="14" t="n">
        <v>13</v>
      </c>
      <c r="Z14" s="19">
        <f>IF(OR(Y14="",F14="",F14=0),"",Y14/F14)</f>
        <v/>
      </c>
      <c r="AA14" s="22" t="n">
        <v>53.306</v>
      </c>
      <c r="AB14" s="20" t="n">
        <v>-0.029</v>
      </c>
      <c r="AC14" s="20" t="n">
        <v>0.1346046713774797</v>
      </c>
      <c r="AD14" s="17">
        <f>IF(OR(Q14="",M14="",M14&lt;=0),"",ROUND(40*MAX(0,MIN(N(Q14)/0.3,1))+IF(OR(R14="",N(Q14)&lt;=0),10,20*MAX(0,1-MIN(R14/Q14,1)))+30*MAX(0,MIN((PARAMETRI!$B$5-M14)/MAX(PARAMETRI!$B$5-10,1),1))+IF(AB14="",3,10*MAX(0,MIN(AB14/0.15,1)))+IF(AND(P14&lt;&gt;"",N(P14)&lt;N(Q14)*0.6),-8,0),1))</f>
        <v/>
      </c>
      <c r="AE14" s="13">
        <f>IF(AND(P14="",Q14=""),"DATI MANCANTI",IF(AND(N(P14)&gt;=PARAMETRI!$B$4,N(Q14)&gt;=PARAMETRI!$B$4),"OK","NO"))</f>
        <v/>
      </c>
      <c r="AF14" s="13">
        <f>IF(M14="","N/D",IF(M14&lt;PARAMETRI!$B$6,"OTTIMO",IF(M14&lt;PARAMETRI!$B$5,"OK","NO")))</f>
        <v/>
      </c>
      <c r="AG14" s="13">
        <f>IF(OR(AE14="DATI MANCANTI",AF14="N/D"),"DA COMPLETARE",IF(AND(AE14="OK",AF14="OTTIMO"),"PASSA FORTE",IF(AND(AE14="OK",AF14="OK"),"PASSA","SCARTA")))</f>
        <v/>
      </c>
      <c r="AH14" s="11" t="inlineStr">
        <is>
          <t>2026-10-12</t>
        </is>
      </c>
      <c r="AI14" s="11" t="inlineStr">
        <is>
          <t>yahoo</t>
        </is>
      </c>
      <c r="AJ14" s="23" t="inlineStr"/>
    </row>
    <row r="15">
      <c r="A15" s="10">
        <f>IF(AD15="","",RANK(AD15,AD$2:AD$36))</f>
        <v/>
      </c>
      <c r="B15" s="11" t="inlineStr">
        <is>
          <t>Societe Generale</t>
        </is>
      </c>
      <c r="C15" s="12" t="inlineStr">
        <is>
          <t>GLE.PA</t>
        </is>
      </c>
      <c r="D15" s="11" t="inlineStr">
        <is>
          <t>Banca</t>
        </is>
      </c>
      <c r="E15" s="13" t="inlineStr">
        <is>
          <t>Finanziario</t>
        </is>
      </c>
      <c r="F15" s="14" t="n">
        <v>64.17</v>
      </c>
      <c r="G15" s="15" t="inlineStr">
        <is>
          <t>EUR</t>
        </is>
      </c>
      <c r="H15" s="14" t="n">
        <v>64.17</v>
      </c>
      <c r="I15" s="16" t="n">
        <v>46502.4</v>
      </c>
      <c r="J15" s="16" t="n">
        <v>46502.4</v>
      </c>
      <c r="K15" s="14" t="n">
        <v>7.79</v>
      </c>
      <c r="L15" s="14" t="n">
        <v>9.18666</v>
      </c>
      <c r="M15" s="17">
        <f>IF(OR(F15="",K15="",K15&lt;=0),"",F15/K15)</f>
        <v/>
      </c>
      <c r="N15" s="18" t="n">
        <v>0.6549429</v>
      </c>
      <c r="O15" s="19">
        <f>IF(OR(N15="",M15="",M15&lt;=0),"",N15/M15)</f>
        <v/>
      </c>
      <c r="P15" s="20" t="n">
        <v>0.09453</v>
      </c>
      <c r="Q15" s="20" t="n">
        <v>0.05259656334684159</v>
      </c>
      <c r="R15" s="20" t="n">
        <v>0.02236280030376117</v>
      </c>
      <c r="S15" s="21" t="n">
        <v>4</v>
      </c>
      <c r="T15" s="20" t="n"/>
      <c r="U15" s="20" t="n">
        <v>0.08556683394160584</v>
      </c>
      <c r="V15" s="20" t="n">
        <v>0.05978137098610795</v>
      </c>
      <c r="W15" s="20" t="n">
        <v>0.03778704054566123</v>
      </c>
      <c r="X15" s="20" t="n">
        <v>0.02725100791399134</v>
      </c>
      <c r="Y15" s="14" t="n">
        <v>1.75</v>
      </c>
      <c r="Z15" s="19">
        <f>IF(OR(Y15="",F15="",F15=0),"",Y15/F15)</f>
        <v/>
      </c>
      <c r="AA15" s="22" t="n"/>
      <c r="AB15" s="20" t="n">
        <v>0.041</v>
      </c>
      <c r="AC15" s="20" t="n">
        <v>0.1086944158792327</v>
      </c>
      <c r="AD15" s="17">
        <f>IF(OR(Q15="",M15="",M15&lt;=0),"",ROUND(40*MAX(0,MIN(N(Q15)/0.3,1))+IF(OR(R15="",N(Q15)&lt;=0),10,20*MAX(0,1-MIN(R15/Q15,1)))+30*MAX(0,MIN((PARAMETRI!$B$5-M15)/MAX(PARAMETRI!$B$5-10,1),1))+IF(AB15="",3,10*MAX(0,MIN(AB15/0.15,1)))+IF(AND(P15&lt;&gt;"",N(P15)&lt;N(Q15)*0.6),-8,0),1))</f>
        <v/>
      </c>
      <c r="AE15" s="13">
        <f>IF(AND(P15="",Q15=""),"DATI MANCANTI",IF(AND(N(P15)&gt;=PARAMETRI!$B$4,N(Q15)&gt;=PARAMETRI!$B$4),"OK","NO"))</f>
        <v/>
      </c>
      <c r="AF15" s="13">
        <f>IF(M15="","N/D",IF(M15&lt;PARAMETRI!$B$6,"OTTIMO",IF(M15&lt;PARAMETRI!$B$5,"OK","NO")))</f>
        <v/>
      </c>
      <c r="AG15" s="13">
        <f>IF(OR(AE15="DATI MANCANTI",AF15="N/D"),"DA COMPLETARE",IF(AND(AE15="OK",AF15="OTTIMO"),"PASSA FORTE",IF(AND(AE15="OK",AF15="OK"),"PASSA","SCARTA")))</f>
        <v/>
      </c>
      <c r="AH15" s="11" t="inlineStr">
        <is>
          <t>2026-10-12</t>
        </is>
      </c>
      <c r="AI15" s="11" t="inlineStr">
        <is>
          <t>yahoo</t>
        </is>
      </c>
      <c r="AJ15" s="23" t="inlineStr"/>
    </row>
    <row r="16">
      <c r="A16" s="10">
        <f>IF(AD16="","",RANK(AD16,AD$2:AD$36))</f>
        <v/>
      </c>
      <c r="B16" s="11" t="inlineStr">
        <is>
          <t>Legrand</t>
        </is>
      </c>
      <c r="C16" s="12" t="inlineStr">
        <is>
          <t>LR.PA</t>
        </is>
      </c>
      <c r="D16" s="11" t="inlineStr">
        <is>
          <t>Materiale elettrico</t>
        </is>
      </c>
      <c r="E16" s="13" t="inlineStr">
        <is>
          <t>Industriale</t>
        </is>
      </c>
      <c r="F16" s="14" t="n">
        <v>139.6</v>
      </c>
      <c r="G16" s="15" t="inlineStr">
        <is>
          <t>EUR</t>
        </is>
      </c>
      <c r="H16" s="14" t="n">
        <v>139.6</v>
      </c>
      <c r="I16" s="16" t="n">
        <v>36591.1</v>
      </c>
      <c r="J16" s="16" t="n">
        <v>36591.1</v>
      </c>
      <c r="K16" s="14" t="n">
        <v>4.97</v>
      </c>
      <c r="L16" s="14" t="n">
        <v>6.86233</v>
      </c>
      <c r="M16" s="17">
        <f>IF(OR(F16="",K16="",K16&lt;=0),"",F16/K16)</f>
        <v/>
      </c>
      <c r="N16" s="18" t="n">
        <v>4.883168</v>
      </c>
      <c r="O16" s="19">
        <f>IF(OR(N16="",M16="",M16&lt;=0),"",N16/M16)</f>
        <v/>
      </c>
      <c r="P16" s="20" t="n">
        <v>0.18209</v>
      </c>
      <c r="Q16" s="20" t="n">
        <v>0.1617376492488797</v>
      </c>
      <c r="R16" s="20" t="n">
        <v>0.009124205826637278</v>
      </c>
      <c r="S16" s="21" t="n">
        <v>4</v>
      </c>
      <c r="T16" s="20" t="n"/>
      <c r="U16" s="20" t="n">
        <v>0.1706287187080146</v>
      </c>
      <c r="V16" s="20" t="n">
        <v>0.1548921704026346</v>
      </c>
      <c r="W16" s="20" t="n">
        <v>0.1708390973864667</v>
      </c>
      <c r="X16" s="20" t="n">
        <v>0.1505906104984029</v>
      </c>
      <c r="Y16" s="14" t="n">
        <v>2.38</v>
      </c>
      <c r="Z16" s="19">
        <f>IF(OR(Y16="",F16="",F16=0),"",Y16/F16)</f>
        <v/>
      </c>
      <c r="AA16" s="22" t="n">
        <v>102.554</v>
      </c>
      <c r="AB16" s="20" t="n">
        <v>0.147</v>
      </c>
      <c r="AC16" s="20" t="n">
        <v>0.1386726612239732</v>
      </c>
      <c r="AD16" s="17">
        <f>IF(OR(Q16="",M16="",M16&lt;=0),"",ROUND(40*MAX(0,MIN(N(Q16)/0.3,1))+IF(OR(R16="",N(Q16)&lt;=0),10,20*MAX(0,1-MIN(R16/Q16,1)))+30*MAX(0,MIN((PARAMETRI!$B$5-M16)/MAX(PARAMETRI!$B$5-10,1),1))+IF(AB16="",3,10*MAX(0,MIN(AB16/0.15,1)))+IF(AND(P16&lt;&gt;"",N(P16)&lt;N(Q16)*0.6),-8,0),1))</f>
        <v/>
      </c>
      <c r="AE16" s="13">
        <f>IF(AND(P16="",Q16=""),"DATI MANCANTI",IF(AND(N(P16)&gt;=PARAMETRI!$B$4,N(Q16)&gt;=PARAMETRI!$B$4),"OK","NO"))</f>
        <v/>
      </c>
      <c r="AF16" s="13">
        <f>IF(M16="","N/D",IF(M16&lt;PARAMETRI!$B$6,"OTTIMO",IF(M16&lt;PARAMETRI!$B$5,"OK","NO")))</f>
        <v/>
      </c>
      <c r="AG16" s="13">
        <f>IF(OR(AE16="DATI MANCANTI",AF16="N/D"),"DA COMPLETARE",IF(AND(AE16="OK",AF16="OTTIMO"),"PASSA FORTE",IF(AND(AE16="OK",AF16="OK"),"PASSA","SCARTA")))</f>
        <v/>
      </c>
      <c r="AH16" s="11" t="inlineStr">
        <is>
          <t>2026-10-12</t>
        </is>
      </c>
      <c r="AI16" s="11" t="inlineStr">
        <is>
          <t>yahoo</t>
        </is>
      </c>
      <c r="AJ16" s="23" t="inlineStr"/>
    </row>
    <row r="17">
      <c r="A17" s="10">
        <f>IF(AD17="","",RANK(AD17,AD$2:AD$36))</f>
        <v/>
      </c>
      <c r="B17" s="11" t="inlineStr">
        <is>
          <t>Pernod Ricard</t>
        </is>
      </c>
      <c r="C17" s="12" t="inlineStr">
        <is>
          <t>RI.PA</t>
        </is>
      </c>
      <c r="D17" s="11" t="inlineStr">
        <is>
          <t>Bevande</t>
        </is>
      </c>
      <c r="E17" s="13" t="inlineStr">
        <is>
          <t>Consumi</t>
        </is>
      </c>
      <c r="F17" s="14" t="n">
        <v>62.46</v>
      </c>
      <c r="G17" s="15" t="inlineStr">
        <is>
          <t>EUR</t>
        </is>
      </c>
      <c r="H17" s="14" t="n">
        <v>62.46</v>
      </c>
      <c r="I17" s="16" t="n">
        <v>15728.3</v>
      </c>
      <c r="J17" s="16" t="n">
        <v>15728.3</v>
      </c>
      <c r="K17" s="14" t="n">
        <v>4.77</v>
      </c>
      <c r="L17" s="14" t="n">
        <v>5.94922</v>
      </c>
      <c r="M17" s="17">
        <f>IF(OR(F17="",K17="",K17&lt;=0),"",F17/K17)</f>
        <v/>
      </c>
      <c r="N17" s="18" t="n">
        <v>1.0141915</v>
      </c>
      <c r="O17" s="19">
        <f>IF(OR(N17="",M17="",M17&lt;=0),"",N17/M17)</f>
        <v/>
      </c>
      <c r="P17" s="20" t="n">
        <v>0.07563</v>
      </c>
      <c r="Q17" s="20" t="n">
        <v>0.1055357582218678</v>
      </c>
      <c r="R17" s="20" t="n">
        <v>0.02446691744383145</v>
      </c>
      <c r="S17" s="21" t="n">
        <v>4</v>
      </c>
      <c r="T17" s="20" t="n">
        <v>0.07761290322580645</v>
      </c>
      <c r="U17" s="20" t="n">
        <v>0.1068892979226926</v>
      </c>
      <c r="V17" s="20" t="n">
        <v>0.09372023620547336</v>
      </c>
      <c r="W17" s="20" t="n">
        <v>0.1439205955334988</v>
      </c>
      <c r="X17" s="20" t="n">
        <v>0.1251881585549423</v>
      </c>
      <c r="Y17" s="14" t="n">
        <v>4.7</v>
      </c>
      <c r="Z17" s="19">
        <f>IF(OR(Y17="",F17="",F17=0),"",Y17/F17)</f>
        <v/>
      </c>
      <c r="AA17" s="22" t="n">
        <v>76.64400000000001</v>
      </c>
      <c r="AB17" s="20" t="n">
        <v>-0.132</v>
      </c>
      <c r="AC17" s="20" t="n">
        <v>0.1279378989684143</v>
      </c>
      <c r="AD17" s="17">
        <f>IF(OR(Q17="",M17="",M17&lt;=0),"",ROUND(40*MAX(0,MIN(N(Q17)/0.3,1))+IF(OR(R17="",N(Q17)&lt;=0),10,20*MAX(0,1-MIN(R17/Q17,1)))+30*MAX(0,MIN((PARAMETRI!$B$5-M17)/MAX(PARAMETRI!$B$5-10,1),1))+IF(AB17="",3,10*MAX(0,MIN(AB17/0.15,1)))+IF(AND(P17&lt;&gt;"",N(P17)&lt;N(Q17)*0.6),-8,0),1))</f>
        <v/>
      </c>
      <c r="AE17" s="13">
        <f>IF(AND(P17="",Q17=""),"DATI MANCANTI",IF(AND(N(P17)&gt;=PARAMETRI!$B$4,N(Q17)&gt;=PARAMETRI!$B$4),"OK","NO"))</f>
        <v/>
      </c>
      <c r="AF17" s="13">
        <f>IF(M17="","N/D",IF(M17&lt;PARAMETRI!$B$6,"OTTIMO",IF(M17&lt;PARAMETRI!$B$5,"OK","NO")))</f>
        <v/>
      </c>
      <c r="AG17" s="13">
        <f>IF(OR(AE17="DATI MANCANTI",AF17="N/D"),"DA COMPLETARE",IF(AND(AE17="OK",AF17="OTTIMO"),"PASSA FORTE",IF(AND(AE17="OK",AF17="OK"),"PASSA","SCARTA")))</f>
        <v/>
      </c>
      <c r="AH17" s="11" t="inlineStr">
        <is>
          <t>2026-10-12</t>
        </is>
      </c>
      <c r="AI17" s="11" t="inlineStr">
        <is>
          <t>yahoo</t>
        </is>
      </c>
      <c r="AJ17" s="23" t="inlineStr"/>
    </row>
    <row r="18">
      <c r="A18" s="10">
        <f>IF(AD18="","",RANK(AD18,AD$2:AD$36))</f>
        <v/>
      </c>
      <c r="B18" s="11" t="inlineStr">
        <is>
          <t>L'Oreal</t>
        </is>
      </c>
      <c r="C18" s="12" t="inlineStr">
        <is>
          <t>OR.PA</t>
        </is>
      </c>
      <c r="D18" s="11" t="inlineStr">
        <is>
          <t>Cosmetica</t>
        </is>
      </c>
      <c r="E18" s="13" t="inlineStr">
        <is>
          <t>Consumi</t>
        </is>
      </c>
      <c r="F18" s="14" t="n">
        <v>383.05</v>
      </c>
      <c r="G18" s="15" t="inlineStr">
        <is>
          <t>EUR</t>
        </is>
      </c>
      <c r="H18" s="14" t="n">
        <v>383.05</v>
      </c>
      <c r="I18" s="16" t="n">
        <v>203935.5</v>
      </c>
      <c r="J18" s="16" t="n">
        <v>203935.5</v>
      </c>
      <c r="K18" s="14" t="n">
        <v>11.78</v>
      </c>
      <c r="L18" s="14" t="n">
        <v>14.9293</v>
      </c>
      <c r="M18" s="17">
        <f>IF(OR(F18="",K18="",K18&lt;=0),"",F18/K18)</f>
        <v/>
      </c>
      <c r="N18" s="18" t="n">
        <v>6.0263042</v>
      </c>
      <c r="O18" s="19">
        <f>IF(OR(N18="",M18="",M18&lt;=0),"",N18/M18)</f>
        <v/>
      </c>
      <c r="P18" s="20" t="n">
        <v>0.19409001</v>
      </c>
      <c r="Q18" s="20" t="n">
        <v>0.1978457130618108</v>
      </c>
      <c r="R18" s="20" t="n">
        <v>0.01496232640451087</v>
      </c>
      <c r="S18" s="21" t="n">
        <v>4</v>
      </c>
      <c r="T18" s="20" t="n"/>
      <c r="U18" s="20" t="n">
        <v>0.175297254614742</v>
      </c>
      <c r="V18" s="20" t="n">
        <v>0.1934217237643096</v>
      </c>
      <c r="W18" s="20" t="n">
        <v>0.2126964363716409</v>
      </c>
      <c r="X18" s="20" t="n">
        <v>0.2099674374965506</v>
      </c>
      <c r="Y18" s="14" t="n">
        <v>7.2</v>
      </c>
      <c r="Z18" s="19">
        <f>IF(OR(Y18="",F18="",F18=0),"",Y18/F18)</f>
        <v/>
      </c>
      <c r="AA18" s="22" t="n">
        <v>49.316</v>
      </c>
      <c r="AB18" s="20" t="n">
        <v>0.058</v>
      </c>
      <c r="AC18" s="20" t="n">
        <v>0.143155813674748</v>
      </c>
      <c r="AD18" s="17">
        <f>IF(OR(Q18="",M18="",M18&lt;=0),"",ROUND(40*MAX(0,MIN(N(Q18)/0.3,1))+IF(OR(R18="",N(Q18)&lt;=0),10,20*MAX(0,1-MIN(R18/Q18,1)))+30*MAX(0,MIN((PARAMETRI!$B$5-M18)/MAX(PARAMETRI!$B$5-10,1),1))+IF(AB18="",3,10*MAX(0,MIN(AB18/0.15,1)))+IF(AND(P18&lt;&gt;"",N(P18)&lt;N(Q18)*0.6),-8,0),1))</f>
        <v/>
      </c>
      <c r="AE18" s="13">
        <f>IF(AND(P18="",Q18=""),"DATI MANCANTI",IF(AND(N(P18)&gt;=PARAMETRI!$B$4,N(Q18)&gt;=PARAMETRI!$B$4),"OK","NO"))</f>
        <v/>
      </c>
      <c r="AF18" s="13">
        <f>IF(M18="","N/D",IF(M18&lt;PARAMETRI!$B$6,"OTTIMO",IF(M18&lt;PARAMETRI!$B$5,"OK","NO")))</f>
        <v/>
      </c>
      <c r="AG18" s="13">
        <f>IF(OR(AE18="DATI MANCANTI",AF18="N/D"),"DA COMPLETARE",IF(AND(AE18="OK",AF18="OTTIMO"),"PASSA FORTE",IF(AND(AE18="OK",AF18="OK"),"PASSA","SCARTA")))</f>
        <v/>
      </c>
      <c r="AH18" s="11" t="inlineStr">
        <is>
          <t>2026-10-12</t>
        </is>
      </c>
      <c r="AI18" s="11" t="inlineStr">
        <is>
          <t>yahoo</t>
        </is>
      </c>
      <c r="AJ18" s="23" t="inlineStr"/>
    </row>
    <row r="19">
      <c r="A19" s="10">
        <f>IF(AD19="","",RANK(AD19,AD$2:AD$36))</f>
        <v/>
      </c>
      <c r="B19" s="11" t="inlineStr">
        <is>
          <t>Renault</t>
        </is>
      </c>
      <c r="C19" s="12" t="inlineStr">
        <is>
          <t>RNO.PA</t>
        </is>
      </c>
      <c r="D19" s="11" t="inlineStr">
        <is>
          <t>Auto</t>
        </is>
      </c>
      <c r="E19" s="13" t="inlineStr">
        <is>
          <t>Consumi</t>
        </is>
      </c>
      <c r="F19" s="14" t="n">
        <v>26.84</v>
      </c>
      <c r="G19" s="15" t="inlineStr">
        <is>
          <t>EUR</t>
        </is>
      </c>
      <c r="H19" s="14" t="n">
        <v>26.84</v>
      </c>
      <c r="I19" s="16" t="n">
        <v>7766.8</v>
      </c>
      <c r="J19" s="16" t="n">
        <v>7766.8</v>
      </c>
      <c r="K19" s="14" t="n">
        <v>3.27</v>
      </c>
      <c r="L19" s="14" t="n">
        <v>6.53894</v>
      </c>
      <c r="M19" s="17">
        <f>IF(OR(F19="",K19="",K19&lt;=0),"",F19/K19)</f>
        <v/>
      </c>
      <c r="N19" s="18" t="n">
        <v>0.3785827</v>
      </c>
      <c r="O19" s="19">
        <f>IF(OR(N19="",M19="",M19&lt;=0),"",N19/M19)</f>
        <v/>
      </c>
      <c r="P19" s="20" t="n">
        <v>0.050029997</v>
      </c>
      <c r="Q19" s="20" t="n">
        <v>-0.1098240599858381</v>
      </c>
      <c r="R19" s="20" t="n">
        <v>0.2420730377777369</v>
      </c>
      <c r="S19" s="21" t="n">
        <v>4</v>
      </c>
      <c r="T19" s="20" t="n"/>
      <c r="U19" s="20" t="n">
        <v>-0.5257563368765331</v>
      </c>
      <c r="V19" s="20" t="n">
        <v>0.02481111221089445</v>
      </c>
      <c r="W19" s="20" t="n">
        <v>0.07387738639419199</v>
      </c>
      <c r="X19" s="20" t="n">
        <v>-0.01222840167190577</v>
      </c>
      <c r="Y19" s="14" t="n">
        <v>2.2</v>
      </c>
      <c r="Z19" s="19">
        <f>IF(OR(Y19="",F19="",F19=0),"",Y19/F19)</f>
        <v/>
      </c>
      <c r="AA19" s="22" t="n">
        <v>327.722</v>
      </c>
      <c r="AB19" s="20" t="n">
        <v>0.094</v>
      </c>
      <c r="AC19" s="20" t="n">
        <v>0.01634957356444874</v>
      </c>
      <c r="AD19" s="17">
        <f>IF(OR(Q19="",M19="",M19&lt;=0),"",ROUND(40*MAX(0,MIN(N(Q19)/0.3,1))+IF(OR(R19="",N(Q19)&lt;=0),10,20*MAX(0,1-MIN(R19/Q19,1)))+30*MAX(0,MIN((PARAMETRI!$B$5-M19)/MAX(PARAMETRI!$B$5-10,1),1))+IF(AB19="",3,10*MAX(0,MIN(AB19/0.15,1)))+IF(AND(P19&lt;&gt;"",N(P19)&lt;N(Q19)*0.6),-8,0),1))</f>
        <v/>
      </c>
      <c r="AE19" s="13">
        <f>IF(AND(P19="",Q19=""),"DATI MANCANTI",IF(AND(N(P19)&gt;=PARAMETRI!$B$4,N(Q19)&gt;=PARAMETRI!$B$4),"OK","NO"))</f>
        <v/>
      </c>
      <c r="AF19" s="13">
        <f>IF(M19="","N/D",IF(M19&lt;PARAMETRI!$B$6,"OTTIMO",IF(M19&lt;PARAMETRI!$B$5,"OK","NO")))</f>
        <v/>
      </c>
      <c r="AG19" s="13">
        <f>IF(OR(AE19="DATI MANCANTI",AF19="N/D"),"DA COMPLETARE",IF(AND(AE19="OK",AF19="OTTIMO"),"PASSA FORTE",IF(AND(AE19="OK",AF19="OK"),"PASSA","SCARTA")))</f>
        <v/>
      </c>
      <c r="AH19" s="11" t="inlineStr">
        <is>
          <t>2026-10-12</t>
        </is>
      </c>
      <c r="AI19" s="11" t="inlineStr">
        <is>
          <t>yahoo</t>
        </is>
      </c>
      <c r="AJ19" s="23" t="inlineStr"/>
    </row>
    <row r="20">
      <c r="A20" s="10">
        <f>IF(AD20="","",RANK(AD20,AD$2:AD$36))</f>
        <v/>
      </c>
      <c r="B20" s="11" t="inlineStr">
        <is>
          <t>Thales</t>
        </is>
      </c>
      <c r="C20" s="12" t="inlineStr">
        <is>
          <t>HO.PA</t>
        </is>
      </c>
      <c r="D20" s="11" t="inlineStr">
        <is>
          <t>Difesa / Elettronica</t>
        </is>
      </c>
      <c r="E20" s="13" t="inlineStr">
        <is>
          <t>Industriale</t>
        </is>
      </c>
      <c r="F20" s="14" t="n">
        <v>222.6</v>
      </c>
      <c r="G20" s="15" t="inlineStr">
        <is>
          <t>EUR</t>
        </is>
      </c>
      <c r="H20" s="14" t="n">
        <v>222.6</v>
      </c>
      <c r="I20" s="16" t="n">
        <v>45779.4</v>
      </c>
      <c r="J20" s="16" t="n">
        <v>45779.4</v>
      </c>
      <c r="K20" s="14" t="n">
        <v>7.26</v>
      </c>
      <c r="L20" s="14" t="n">
        <v>12.39188</v>
      </c>
      <c r="M20" s="17">
        <f>IF(OR(F20="",K20="",K20&lt;=0),"",F20/K20)</f>
        <v/>
      </c>
      <c r="N20" s="18" t="n">
        <v>5.712086</v>
      </c>
      <c r="O20" s="19">
        <f>IF(OR(N20="",M20="",M20&lt;=0),"",N20/M20)</f>
        <v/>
      </c>
      <c r="P20" s="20" t="n">
        <v>0.19353001</v>
      </c>
      <c r="Q20" s="20" t="n">
        <v>0.1762676258713385</v>
      </c>
      <c r="R20" s="20" t="n">
        <v>0.02453395381063985</v>
      </c>
      <c r="S20" s="21" t="n">
        <v>4</v>
      </c>
      <c r="T20" s="20" t="n"/>
      <c r="U20" s="20" t="n">
        <v>0.2101425631243412</v>
      </c>
      <c r="V20" s="20" t="n">
        <v>0.1888838620395998</v>
      </c>
      <c r="W20" s="20" t="n">
        <v>0.1498389458272328</v>
      </c>
      <c r="X20" s="20" t="n">
        <v>0.1562051324941803</v>
      </c>
      <c r="Y20" s="14" t="n">
        <v>3.9</v>
      </c>
      <c r="Z20" s="19">
        <f>IF(OR(Y20="",F20="",F20=0),"",Y20/F20)</f>
        <v/>
      </c>
      <c r="AA20" s="22" t="n">
        <v>69.53700000000001</v>
      </c>
      <c r="AB20" s="20" t="n">
        <v>0.067</v>
      </c>
      <c r="AC20" s="20" t="n">
        <v>0.06757196581196581</v>
      </c>
      <c r="AD20" s="17">
        <f>IF(OR(Q20="",M20="",M20&lt;=0),"",ROUND(40*MAX(0,MIN(N(Q20)/0.3,1))+IF(OR(R20="",N(Q20)&lt;=0),10,20*MAX(0,1-MIN(R20/Q20,1)))+30*MAX(0,MIN((PARAMETRI!$B$5-M20)/MAX(PARAMETRI!$B$5-10,1),1))+IF(AB20="",3,10*MAX(0,MIN(AB20/0.15,1)))+IF(AND(P20&lt;&gt;"",N(P20)&lt;N(Q20)*0.6),-8,0),1))</f>
        <v/>
      </c>
      <c r="AE20" s="13">
        <f>IF(AND(P20="",Q20=""),"DATI MANCANTI",IF(AND(N(P20)&gt;=PARAMETRI!$B$4,N(Q20)&gt;=PARAMETRI!$B$4),"OK","NO"))</f>
        <v/>
      </c>
      <c r="AF20" s="13">
        <f>IF(M20="","N/D",IF(M20&lt;PARAMETRI!$B$6,"OTTIMO",IF(M20&lt;PARAMETRI!$B$5,"OK","NO")))</f>
        <v/>
      </c>
      <c r="AG20" s="13">
        <f>IF(OR(AE20="DATI MANCANTI",AF20="N/D"),"DA COMPLETARE",IF(AND(AE20="OK",AF20="OTTIMO"),"PASSA FORTE",IF(AND(AE20="OK",AF20="OK"),"PASSA","SCARTA")))</f>
        <v/>
      </c>
      <c r="AH20" s="11" t="inlineStr">
        <is>
          <t>2026-10-12</t>
        </is>
      </c>
      <c r="AI20" s="11" t="inlineStr">
        <is>
          <t>yahoo</t>
        </is>
      </c>
      <c r="AJ20" s="23" t="inlineStr"/>
    </row>
    <row r="21">
      <c r="A21" s="10">
        <f>IF(AD21="","",RANK(AD21,AD$2:AD$36))</f>
        <v/>
      </c>
      <c r="B21" s="11" t="inlineStr">
        <is>
          <t>Orange</t>
        </is>
      </c>
      <c r="C21" s="12" t="inlineStr">
        <is>
          <t>ORA.PA</t>
        </is>
      </c>
      <c r="D21" s="11" t="inlineStr">
        <is>
          <t>Telecomunicazioni</t>
        </is>
      </c>
      <c r="E21" s="13" t="inlineStr">
        <is>
          <t>Industriale</t>
        </is>
      </c>
      <c r="F21" s="14" t="n">
        <v>13.735</v>
      </c>
      <c r="G21" s="15" t="inlineStr">
        <is>
          <t>EUR</t>
        </is>
      </c>
      <c r="H21" s="14" t="n">
        <v>13.735</v>
      </c>
      <c r="I21" s="16" t="n">
        <v>36504.5</v>
      </c>
      <c r="J21" s="16" t="n">
        <v>36504.5</v>
      </c>
      <c r="K21" s="14" t="n">
        <v>1.07</v>
      </c>
      <c r="L21" s="14" t="n">
        <v>1.1481</v>
      </c>
      <c r="M21" s="17">
        <f>IF(OR(F21="",K21="",K21&lt;=0),"",F21/K21)</f>
        <v/>
      </c>
      <c r="N21" s="18" t="n">
        <v>1.1470686</v>
      </c>
      <c r="O21" s="19">
        <f>IF(OR(N21="",M21="",M21&lt;=0),"",N21/M21)</f>
        <v/>
      </c>
      <c r="P21" s="20" t="n">
        <v>0.14163</v>
      </c>
      <c r="Q21" s="20" t="n">
        <v>0.05906010627145256</v>
      </c>
      <c r="R21" s="20" t="n">
        <v>0.02388611113063376</v>
      </c>
      <c r="S21" s="21" t="n">
        <v>4</v>
      </c>
      <c r="T21" s="20" t="n"/>
      <c r="U21" s="20" t="n">
        <v>0.01809072262012845</v>
      </c>
      <c r="V21" s="20" t="n">
        <v>0.07396216913731785</v>
      </c>
      <c r="W21" s="20" t="n">
        <v>0.07666928515318146</v>
      </c>
      <c r="X21" s="20" t="n">
        <v>0.06751824817518248</v>
      </c>
      <c r="Y21" s="14" t="n">
        <v>0.75</v>
      </c>
      <c r="Z21" s="19">
        <f>IF(OR(Y21="",F21="",F21=0),"",Y21/F21)</f>
        <v/>
      </c>
      <c r="AA21" s="22" t="n">
        <v>161.477</v>
      </c>
      <c r="AB21" s="20" t="n">
        <v>0.055</v>
      </c>
      <c r="AC21" s="20" t="n">
        <v>0.09837364477560215</v>
      </c>
      <c r="AD21" s="17">
        <f>IF(OR(Q21="",M21="",M21&lt;=0),"",ROUND(40*MAX(0,MIN(N(Q21)/0.3,1))+IF(OR(R21="",N(Q21)&lt;=0),10,20*MAX(0,1-MIN(R21/Q21,1)))+30*MAX(0,MIN((PARAMETRI!$B$5-M21)/MAX(PARAMETRI!$B$5-10,1),1))+IF(AB21="",3,10*MAX(0,MIN(AB21/0.15,1)))+IF(AND(P21&lt;&gt;"",N(P21)&lt;N(Q21)*0.6),-8,0),1))</f>
        <v/>
      </c>
      <c r="AE21" s="13">
        <f>IF(AND(P21="",Q21=""),"DATI MANCANTI",IF(AND(N(P21)&gt;=PARAMETRI!$B$4,N(Q21)&gt;=PARAMETRI!$B$4),"OK","NO"))</f>
        <v/>
      </c>
      <c r="AF21" s="13">
        <f>IF(M21="","N/D",IF(M21&lt;PARAMETRI!$B$6,"OTTIMO",IF(M21&lt;PARAMETRI!$B$5,"OK","NO")))</f>
        <v/>
      </c>
      <c r="AG21" s="13">
        <f>IF(OR(AE21="DATI MANCANTI",AF21="N/D"),"DA COMPLETARE",IF(AND(AE21="OK",AF21="OTTIMO"),"PASSA FORTE",IF(AND(AE21="OK",AF21="OK"),"PASSA","SCARTA")))</f>
        <v/>
      </c>
      <c r="AH21" s="11" t="inlineStr">
        <is>
          <t>2026-10-12</t>
        </is>
      </c>
      <c r="AI21" s="11" t="inlineStr">
        <is>
          <t>yahoo</t>
        </is>
      </c>
      <c r="AJ21" s="23" t="inlineStr"/>
    </row>
    <row r="22">
      <c r="A22" s="10">
        <f>IF(AD22="","",RANK(AD22,AD$2:AD$36))</f>
        <v/>
      </c>
      <c r="B22" s="11" t="inlineStr">
        <is>
          <t>Schneider Electric</t>
        </is>
      </c>
      <c r="C22" s="12" t="inlineStr">
        <is>
          <t>SU.PA</t>
        </is>
      </c>
      <c r="D22" s="11" t="inlineStr">
        <is>
          <t>Elettrificazione</t>
        </is>
      </c>
      <c r="E22" s="13" t="inlineStr">
        <is>
          <t>Industriale</t>
        </is>
      </c>
      <c r="F22" s="14" t="n">
        <v>265.35</v>
      </c>
      <c r="G22" s="15" t="inlineStr">
        <is>
          <t>EUR</t>
        </is>
      </c>
      <c r="H22" s="14" t="n">
        <v>265.35</v>
      </c>
      <c r="I22" s="16" t="n">
        <v>149472</v>
      </c>
      <c r="J22" s="16" t="n">
        <v>149472</v>
      </c>
      <c r="K22" s="14" t="n">
        <v>8.32</v>
      </c>
      <c r="L22" s="14" t="n">
        <v>12.34839</v>
      </c>
      <c r="M22" s="17">
        <f>IF(OR(F22="",K22="",K22&lt;=0),"",F22/K22)</f>
        <v/>
      </c>
      <c r="N22" s="18" t="n">
        <v>6.09958</v>
      </c>
      <c r="O22" s="19">
        <f>IF(OR(N22="",M22="",M22&lt;=0),"",N22/M22)</f>
        <v/>
      </c>
      <c r="P22" s="20" t="n">
        <v>0.18620001</v>
      </c>
      <c r="Q22" s="20" t="n">
        <v>0.1500007596722327</v>
      </c>
      <c r="R22" s="20" t="n">
        <v>0.01382115860287752</v>
      </c>
      <c r="S22" s="21" t="n">
        <v>4</v>
      </c>
      <c r="T22" s="20" t="n"/>
      <c r="U22" s="20" t="n">
        <v>0.1720319021447167</v>
      </c>
      <c r="V22" s="20" t="n">
        <v>0.1400177113057168</v>
      </c>
      <c r="W22" s="20" t="n">
        <v>0.1512735242989948</v>
      </c>
      <c r="X22" s="20" t="n">
        <v>0.1366799009395023</v>
      </c>
      <c r="Y22" s="14" t="n">
        <v>4.2</v>
      </c>
      <c r="Z22" s="19">
        <f>IF(OR(Y22="",F22="",F22=0),"",Y22/F22)</f>
        <v/>
      </c>
      <c r="AA22" s="22" t="n">
        <v>84.124</v>
      </c>
      <c r="AB22" s="20" t="n">
        <v>0.098</v>
      </c>
      <c r="AC22" s="20" t="n">
        <v>0.1180015907551305</v>
      </c>
      <c r="AD22" s="17">
        <f>IF(OR(Q22="",M22="",M22&lt;=0),"",ROUND(40*MAX(0,MIN(N(Q22)/0.3,1))+IF(OR(R22="",N(Q22)&lt;=0),10,20*MAX(0,1-MIN(R22/Q22,1)))+30*MAX(0,MIN((PARAMETRI!$B$5-M22)/MAX(PARAMETRI!$B$5-10,1),1))+IF(AB22="",3,10*MAX(0,MIN(AB22/0.15,1)))+IF(AND(P22&lt;&gt;"",N(P22)&lt;N(Q22)*0.6),-8,0),1))</f>
        <v/>
      </c>
      <c r="AE22" s="13">
        <f>IF(AND(P22="",Q22=""),"DATI MANCANTI",IF(AND(N(P22)&gt;=PARAMETRI!$B$4,N(Q22)&gt;=PARAMETRI!$B$4),"OK","NO"))</f>
        <v/>
      </c>
      <c r="AF22" s="13">
        <f>IF(M22="","N/D",IF(M22&lt;PARAMETRI!$B$6,"OTTIMO",IF(M22&lt;PARAMETRI!$B$5,"OK","NO")))</f>
        <v/>
      </c>
      <c r="AG22" s="13">
        <f>IF(OR(AE22="DATI MANCANTI",AF22="N/D"),"DA COMPLETARE",IF(AND(AE22="OK",AF22="OTTIMO"),"PASSA FORTE",IF(AND(AE22="OK",AF22="OK"),"PASSA","SCARTA")))</f>
        <v/>
      </c>
      <c r="AH22" s="11" t="inlineStr">
        <is>
          <t>2026-10-12</t>
        </is>
      </c>
      <c r="AI22" s="11" t="inlineStr">
        <is>
          <t>yahoo</t>
        </is>
      </c>
      <c r="AJ22" s="23" t="inlineStr"/>
    </row>
    <row r="23">
      <c r="A23" s="10">
        <f>IF(AD23="","",RANK(AD23,AD$2:AD$36))</f>
        <v/>
      </c>
      <c r="B23" s="11" t="inlineStr">
        <is>
          <t>Unibail-Rodamco-Westfield</t>
        </is>
      </c>
      <c r="C23" s="12" t="inlineStr">
        <is>
          <t>URW.PA</t>
        </is>
      </c>
      <c r="D23" s="11" t="inlineStr">
        <is>
          <t>REIT / Centri commerciali</t>
        </is>
      </c>
      <c r="E23" s="13" t="inlineStr">
        <is>
          <t>Immobiliare</t>
        </is>
      </c>
      <c r="F23" s="14" t="n">
        <v>86.95999999999999</v>
      </c>
      <c r="G23" s="15" t="inlineStr">
        <is>
          <t>EUR</t>
        </is>
      </c>
      <c r="H23" s="14" t="n">
        <v>86.95999999999999</v>
      </c>
      <c r="I23" s="16" t="n">
        <v>12567.6</v>
      </c>
      <c r="J23" s="16" t="n">
        <v>12567.6</v>
      </c>
      <c r="K23" s="14" t="n">
        <v>10.8</v>
      </c>
      <c r="L23" s="14" t="n">
        <v>9.41441</v>
      </c>
      <c r="M23" s="17">
        <f>IF(OR(F23="",K23="",K23&lt;=0),"",F23/K23)</f>
        <v/>
      </c>
      <c r="N23" s="18" t="n">
        <v>0.7652437</v>
      </c>
      <c r="O23" s="19">
        <f>IF(OR(N23="",M23="",M23&lt;=0),"",N23/M23)</f>
        <v/>
      </c>
      <c r="P23" s="20" t="n">
        <v>0.086260006</v>
      </c>
      <c r="Q23" s="20" t="n">
        <v>-0.001367852461538597</v>
      </c>
      <c r="R23" s="20" t="n">
        <v>0.0596731239565902</v>
      </c>
      <c r="S23" s="21" t="n">
        <v>4</v>
      </c>
      <c r="T23" s="20" t="n"/>
      <c r="U23" s="20" t="n">
        <v>0.07164040830852487</v>
      </c>
      <c r="V23" s="20" t="n">
        <v>0.008273582823544059</v>
      </c>
      <c r="W23" s="20" t="n">
        <v>-0.09467768556617151</v>
      </c>
      <c r="X23" s="20" t="n">
        <v>0.009292284587948188</v>
      </c>
      <c r="Y23" s="14" t="n">
        <v>4.5</v>
      </c>
      <c r="Z23" s="19">
        <f>IF(OR(Y23="",F23="",F23=0),"",Y23/F23)</f>
        <v/>
      </c>
      <c r="AA23" s="22" t="n">
        <v>108.102</v>
      </c>
      <c r="AB23" s="20" t="n">
        <v>-0.004</v>
      </c>
      <c r="AC23" s="20" t="n">
        <v>0.5164792048129742</v>
      </c>
      <c r="AD23" s="17">
        <f>IF(OR(Q23="",M23="",M23&lt;=0),"",ROUND(40*MAX(0,MIN(N(Q23)/0.3,1))+IF(OR(R23="",N(Q23)&lt;=0),10,20*MAX(0,1-MIN(R23/Q23,1)))+30*MAX(0,MIN((PARAMETRI!$B$5-M23)/MAX(PARAMETRI!$B$5-10,1),1))+IF(AB23="",3,10*MAX(0,MIN(AB23/0.15,1)))+IF(AND(P23&lt;&gt;"",N(P23)&lt;N(Q23)*0.6),-8,0),1))</f>
        <v/>
      </c>
      <c r="AE23" s="13">
        <f>IF(AND(P23="",Q23=""),"DATI MANCANTI",IF(AND(N(P23)&gt;=PARAMETRI!$B$4,N(Q23)&gt;=PARAMETRI!$B$4),"OK","NO"))</f>
        <v/>
      </c>
      <c r="AF23" s="13">
        <f>IF(M23="","N/D",IF(M23&lt;PARAMETRI!$B$6,"OTTIMO",IF(M23&lt;PARAMETRI!$B$5,"OK","NO")))</f>
        <v/>
      </c>
      <c r="AG23" s="13">
        <f>IF(OR(AE23="DATI MANCANTI",AF23="N/D"),"DA COMPLETARE",IF(AND(AE23="OK",AF23="OTTIMO"),"PASSA FORTE",IF(AND(AE23="OK",AF23="OK"),"PASSA","SCARTA")))</f>
        <v/>
      </c>
      <c r="AH23" s="11" t="inlineStr">
        <is>
          <t>2026-10-12</t>
        </is>
      </c>
      <c r="AI23" s="11" t="inlineStr">
        <is>
          <t>yahoo</t>
        </is>
      </c>
      <c r="AJ23" s="23" t="inlineStr"/>
    </row>
    <row r="24">
      <c r="A24" s="10">
        <f>IF(AD24="","",RANK(AD24,AD$2:AD$36))</f>
        <v/>
      </c>
      <c r="B24" s="11" t="inlineStr">
        <is>
          <t>Dassault Systemes</t>
        </is>
      </c>
      <c r="C24" s="12" t="inlineStr">
        <is>
          <t>DSY.PA</t>
        </is>
      </c>
      <c r="D24" s="11" t="inlineStr">
        <is>
          <t>Software</t>
        </is>
      </c>
      <c r="E24" s="13" t="inlineStr">
        <is>
          <t>Tecnologia</t>
        </is>
      </c>
      <c r="F24" s="14" t="n">
        <v>22.17</v>
      </c>
      <c r="G24" s="15" t="inlineStr">
        <is>
          <t>EUR</t>
        </is>
      </c>
      <c r="H24" s="14" t="n">
        <v>22.17</v>
      </c>
      <c r="I24" s="16" t="n">
        <v>29133.2</v>
      </c>
      <c r="J24" s="16" t="n">
        <v>29133.2</v>
      </c>
      <c r="K24" s="14" t="n">
        <v>0.97</v>
      </c>
      <c r="L24" s="14" t="n">
        <v>1.40815</v>
      </c>
      <c r="M24" s="17">
        <f>IF(OR(F24="",K24="",K24&lt;=0),"",F24/K24)</f>
        <v/>
      </c>
      <c r="N24" s="18" t="n">
        <v>3.1500425</v>
      </c>
      <c r="O24" s="19">
        <f>IF(OR(N24="",M24="",M24&lt;=0),"",N24/M24)</f>
        <v/>
      </c>
      <c r="P24" s="20" t="n">
        <v>0.15088001</v>
      </c>
      <c r="Q24" s="20" t="n">
        <v>0.1324899361865248</v>
      </c>
      <c r="R24" s="20" t="n">
        <v>0.003200816138757306</v>
      </c>
      <c r="S24" s="21" t="n">
        <v>4</v>
      </c>
      <c r="T24" s="20" t="n"/>
      <c r="U24" s="20" t="n">
        <v>0.1360234742851944</v>
      </c>
      <c r="V24" s="20" t="n">
        <v>0.1323759733527452</v>
      </c>
      <c r="W24" s="20" t="n">
        <v>0.1341443177901737</v>
      </c>
      <c r="X24" s="20" t="n">
        <v>0.127415979317986</v>
      </c>
      <c r="Y24" s="14" t="n">
        <v>0.27</v>
      </c>
      <c r="Z24" s="19">
        <f>IF(OR(Y24="",F24="",F24=0),"",Y24/F24)</f>
        <v/>
      </c>
      <c r="AA24" s="22" t="n">
        <v>36.229</v>
      </c>
      <c r="AB24" s="20" t="n">
        <v>0.022</v>
      </c>
      <c r="AC24" s="20" t="n">
        <v>0.2122937383132607</v>
      </c>
      <c r="AD24" s="17">
        <f>IF(OR(Q24="",M24="",M24&lt;=0),"",ROUND(40*MAX(0,MIN(N(Q24)/0.3,1))+IF(OR(R24="",N(Q24)&lt;=0),10,20*MAX(0,1-MIN(R24/Q24,1)))+30*MAX(0,MIN((PARAMETRI!$B$5-M24)/MAX(PARAMETRI!$B$5-10,1),1))+IF(AB24="",3,10*MAX(0,MIN(AB24/0.15,1)))+IF(AND(P24&lt;&gt;"",N(P24)&lt;N(Q24)*0.6),-8,0),1))</f>
        <v/>
      </c>
      <c r="AE24" s="13">
        <f>IF(AND(P24="",Q24=""),"DATI MANCANTI",IF(AND(N(P24)&gt;=PARAMETRI!$B$4,N(Q24)&gt;=PARAMETRI!$B$4),"OK","NO"))</f>
        <v/>
      </c>
      <c r="AF24" s="13">
        <f>IF(M24="","N/D",IF(M24&lt;PARAMETRI!$B$6,"OTTIMO",IF(M24&lt;PARAMETRI!$B$5,"OK","NO")))</f>
        <v/>
      </c>
      <c r="AG24" s="13">
        <f>IF(OR(AE24="DATI MANCANTI",AF24="N/D"),"DA COMPLETARE",IF(AND(AE24="OK",AF24="OTTIMO"),"PASSA FORTE",IF(AND(AE24="OK",AF24="OK"),"PASSA","SCARTA")))</f>
        <v/>
      </c>
      <c r="AH24" s="11" t="inlineStr">
        <is>
          <t>2026-10-12</t>
        </is>
      </c>
      <c r="AI24" s="11" t="inlineStr">
        <is>
          <t>yahoo</t>
        </is>
      </c>
      <c r="AJ24" s="23" t="inlineStr"/>
    </row>
    <row r="25">
      <c r="A25" s="10">
        <f>IF(AD25="","",RANK(AD25,AD$2:AD$36))</f>
        <v/>
      </c>
      <c r="B25" s="11" t="inlineStr">
        <is>
          <t>Sanofi</t>
        </is>
      </c>
      <c r="C25" s="12" t="inlineStr">
        <is>
          <t>SAN.PA</t>
        </is>
      </c>
      <c r="D25" s="11" t="inlineStr">
        <is>
          <t>Farmaceutica</t>
        </is>
      </c>
      <c r="E25" s="13" t="inlineStr">
        <is>
          <t>Salute</t>
        </is>
      </c>
      <c r="F25" s="14" t="n">
        <v>71.59999999999999</v>
      </c>
      <c r="G25" s="15" t="inlineStr">
        <is>
          <t>EUR</t>
        </is>
      </c>
      <c r="H25" s="14" t="n">
        <v>71.59999999999999</v>
      </c>
      <c r="I25" s="16" t="n">
        <v>85781.7</v>
      </c>
      <c r="J25" s="16" t="n">
        <v>85781.7</v>
      </c>
      <c r="K25" s="14" t="n">
        <v>3.25</v>
      </c>
      <c r="L25" s="14" t="n">
        <v>9.053900000000001</v>
      </c>
      <c r="M25" s="17">
        <f>IF(OR(F25="",K25="",K25&lt;=0),"",F25/K25)</f>
        <v/>
      </c>
      <c r="N25" s="18" t="n">
        <v>1.2395049</v>
      </c>
      <c r="O25" s="19">
        <f>IF(OR(N25="",M25="",M25&lt;=0),"",N25/M25)</f>
        <v/>
      </c>
      <c r="P25" s="20" t="n">
        <v>0.05709</v>
      </c>
      <c r="Q25" s="20" t="n">
        <v>0.09151681955134777</v>
      </c>
      <c r="R25" s="20" t="n">
        <v>0.0192069065614302</v>
      </c>
      <c r="S25" s="21" t="n">
        <v>4</v>
      </c>
      <c r="T25" s="20" t="n"/>
      <c r="U25" s="20" t="n">
        <v>0.1094625644474333</v>
      </c>
      <c r="V25" s="20" t="n">
        <v>0.07173545615234753</v>
      </c>
      <c r="W25" s="20" t="n">
        <v>0.07293354943273905</v>
      </c>
      <c r="X25" s="20" t="n">
        <v>0.1119357081728712</v>
      </c>
      <c r="Y25" s="14" t="n">
        <v>4.12</v>
      </c>
      <c r="Z25" s="19">
        <f>IF(OR(Y25="",F25="",F25=0),"",Y25/F25)</f>
        <v/>
      </c>
      <c r="AA25" s="22" t="n">
        <v>33.89</v>
      </c>
      <c r="AB25" s="20" t="n">
        <v>0.146</v>
      </c>
      <c r="AC25" s="20" t="n">
        <v>0.0843180080486343</v>
      </c>
      <c r="AD25" s="17">
        <f>IF(OR(Q25="",M25="",M25&lt;=0),"",ROUND(40*MAX(0,MIN(N(Q25)/0.3,1))+IF(OR(R25="",N(Q25)&lt;=0),10,20*MAX(0,1-MIN(R25/Q25,1)))+30*MAX(0,MIN((PARAMETRI!$B$5-M25)/MAX(PARAMETRI!$B$5-10,1),1))+IF(AB25="",3,10*MAX(0,MIN(AB25/0.15,1)))+IF(AND(P25&lt;&gt;"",N(P25)&lt;N(Q25)*0.6),-8,0),1))</f>
        <v/>
      </c>
      <c r="AE25" s="13">
        <f>IF(AND(P25="",Q25=""),"DATI MANCANTI",IF(AND(N(P25)&gt;=PARAMETRI!$B$4,N(Q25)&gt;=PARAMETRI!$B$4),"OK","NO"))</f>
        <v/>
      </c>
      <c r="AF25" s="13">
        <f>IF(M25="","N/D",IF(M25&lt;PARAMETRI!$B$6,"OTTIMO",IF(M25&lt;PARAMETRI!$B$5,"OK","NO")))</f>
        <v/>
      </c>
      <c r="AG25" s="13">
        <f>IF(OR(AE25="DATI MANCANTI",AF25="N/D"),"DA COMPLETARE",IF(AND(AE25="OK",AF25="OTTIMO"),"PASSA FORTE",IF(AND(AE25="OK",AF25="OK"),"PASSA","SCARTA")))</f>
        <v/>
      </c>
      <c r="AH25" s="11" t="inlineStr">
        <is>
          <t>2026-10-12</t>
        </is>
      </c>
      <c r="AI25" s="11" t="inlineStr">
        <is>
          <t>yahoo</t>
        </is>
      </c>
      <c r="AJ25" s="23" t="inlineStr"/>
    </row>
    <row r="26">
      <c r="A26" s="10">
        <f>IF(AD26="","",RANK(AD26,AD$2:AD$36))</f>
        <v/>
      </c>
      <c r="B26" s="11" t="inlineStr">
        <is>
          <t>Engie</t>
        </is>
      </c>
      <c r="C26" s="12" t="inlineStr">
        <is>
          <t>ENGI.PA</t>
        </is>
      </c>
      <c r="D26" s="11" t="inlineStr">
        <is>
          <t>Utility</t>
        </is>
      </c>
      <c r="E26" s="13" t="inlineStr">
        <is>
          <t>Utility</t>
        </is>
      </c>
      <c r="F26" s="14" t="n">
        <v>22.94</v>
      </c>
      <c r="G26" s="15" t="inlineStr">
        <is>
          <t>EUR</t>
        </is>
      </c>
      <c r="H26" s="14" t="n">
        <v>22.94</v>
      </c>
      <c r="I26" s="16" t="n">
        <v>58281.5</v>
      </c>
      <c r="J26" s="16" t="n">
        <v>58281.5</v>
      </c>
      <c r="K26" s="14" t="n">
        <v>1.63</v>
      </c>
      <c r="L26" s="14" t="n">
        <v>2.11061</v>
      </c>
      <c r="M26" s="17">
        <f>IF(OR(F26="",K26="",K26&lt;=0),"",F26/K26)</f>
        <v/>
      </c>
      <c r="N26" s="18" t="n">
        <v>1.7100261</v>
      </c>
      <c r="O26" s="19">
        <f>IF(OR(N26="",M26="",M26&lt;=0),"",N26/M26)</f>
        <v/>
      </c>
      <c r="P26" s="20" t="n">
        <v>0.12218001</v>
      </c>
      <c r="Q26" s="20" t="n">
        <v>0.07868348110711317</v>
      </c>
      <c r="R26" s="20" t="n">
        <v>0.04549790486997691</v>
      </c>
      <c r="S26" s="21" t="n">
        <v>4</v>
      </c>
      <c r="T26" s="20" t="n"/>
      <c r="U26" s="20" t="n">
        <v>0.1161456752655539</v>
      </c>
      <c r="V26" s="20" t="n">
        <v>0.1188216228730177</v>
      </c>
      <c r="W26" s="20" t="n">
        <v>0.07346042519213494</v>
      </c>
      <c r="X26" s="20" t="n">
        <v>0.006306201097746117</v>
      </c>
      <c r="Y26" s="14" t="n">
        <v>1.35</v>
      </c>
      <c r="Z26" s="19">
        <f>IF(OR(Y26="",F26="",F26=0),"",Y26/F26)</f>
        <v/>
      </c>
      <c r="AA26" s="22" t="n">
        <v>143.77</v>
      </c>
      <c r="AB26" s="20" t="n">
        <v>-0.036</v>
      </c>
      <c r="AC26" s="20" t="n">
        <v>0.05650227866118092</v>
      </c>
      <c r="AD26" s="17">
        <f>IF(OR(Q26="",M26="",M26&lt;=0),"",ROUND(40*MAX(0,MIN(N(Q26)/0.3,1))+IF(OR(R26="",N(Q26)&lt;=0),10,20*MAX(0,1-MIN(R26/Q26,1)))+30*MAX(0,MIN((PARAMETRI!$B$5-M26)/MAX(PARAMETRI!$B$5-10,1),1))+IF(AB26="",3,10*MAX(0,MIN(AB26/0.15,1)))+IF(AND(P26&lt;&gt;"",N(P26)&lt;N(Q26)*0.6),-8,0),1))</f>
        <v/>
      </c>
      <c r="AE26" s="13">
        <f>IF(AND(P26="",Q26=""),"DATI MANCANTI",IF(AND(N(P26)&gt;=PARAMETRI!$B$4,N(Q26)&gt;=PARAMETRI!$B$4),"OK","NO"))</f>
        <v/>
      </c>
      <c r="AF26" s="13">
        <f>IF(M26="","N/D",IF(M26&lt;PARAMETRI!$B$6,"OTTIMO",IF(M26&lt;PARAMETRI!$B$5,"OK","NO")))</f>
        <v/>
      </c>
      <c r="AG26" s="13">
        <f>IF(OR(AE26="DATI MANCANTI",AF26="N/D"),"DA COMPLETARE",IF(AND(AE26="OK",AF26="OTTIMO"),"PASSA FORTE",IF(AND(AE26="OK",AF26="OK"),"PASSA","SCARTA")))</f>
        <v/>
      </c>
      <c r="AH26" s="11" t="inlineStr">
        <is>
          <t>2026-10-12</t>
        </is>
      </c>
      <c r="AI26" s="11" t="inlineStr">
        <is>
          <t>yahoo</t>
        </is>
      </c>
      <c r="AJ26" s="23" t="inlineStr"/>
    </row>
    <row r="27">
      <c r="A27" s="10">
        <f>IF(AD27="","",RANK(AD27,AD$2:AD$36))</f>
        <v/>
      </c>
      <c r="B27" s="11" t="inlineStr">
        <is>
          <t>Air Liquide</t>
        </is>
      </c>
      <c r="C27" s="12" t="inlineStr">
        <is>
          <t>AI.PA</t>
        </is>
      </c>
      <c r="D27" s="11" t="inlineStr">
        <is>
          <t>Gas industriali</t>
        </is>
      </c>
      <c r="E27" s="13" t="inlineStr">
        <is>
          <t>Materiali</t>
        </is>
      </c>
      <c r="F27" s="14" t="n">
        <v>168.7</v>
      </c>
      <c r="G27" s="15" t="inlineStr">
        <is>
          <t>EUR</t>
        </is>
      </c>
      <c r="H27" s="14" t="n">
        <v>168.7</v>
      </c>
      <c r="I27" s="16" t="n">
        <v>107658.3</v>
      </c>
      <c r="J27" s="16" t="n">
        <v>107658.3</v>
      </c>
      <c r="K27" s="14" t="n">
        <v>5.55</v>
      </c>
      <c r="L27" s="14" t="n">
        <v>7.1769</v>
      </c>
      <c r="M27" s="17">
        <f>IF(OR(F27="",K27="",K27&lt;=0),"",F27/K27)</f>
        <v/>
      </c>
      <c r="N27" s="18" t="n">
        <v>4.0491567</v>
      </c>
      <c r="O27" s="19">
        <f>IF(OR(N27="",M27="",M27&lt;=0),"",N27/M27)</f>
        <v/>
      </c>
      <c r="P27" s="20" t="n">
        <v>0.13967</v>
      </c>
      <c r="Q27" s="20" t="n">
        <v>0.1250168544893204</v>
      </c>
      <c r="R27" s="20" t="n">
        <v>0.006474709735603904</v>
      </c>
      <c r="S27" s="21" t="n">
        <v>4</v>
      </c>
      <c r="T27" s="20" t="n"/>
      <c r="U27" s="20" t="n">
        <v>0.1341997947653726</v>
      </c>
      <c r="V27" s="20" t="n">
        <v>0.1230863737900223</v>
      </c>
      <c r="W27" s="20" t="n">
        <v>0.1265546944061838</v>
      </c>
      <c r="X27" s="20" t="n">
        <v>0.1162265549957028</v>
      </c>
      <c r="Y27" s="14" t="n">
        <v>3.36</v>
      </c>
      <c r="Z27" s="19">
        <f>IF(OR(Y27="",F27="",F27=0),"",Y27/F27)</f>
        <v/>
      </c>
      <c r="AA27" s="22" t="n">
        <v>63.307</v>
      </c>
      <c r="AB27" s="20" t="n">
        <v>0.008</v>
      </c>
      <c r="AC27" s="20" t="n">
        <v>0.1313798685978575</v>
      </c>
      <c r="AD27" s="17">
        <f>IF(OR(Q27="",M27="",M27&lt;=0),"",ROUND(40*MAX(0,MIN(N(Q27)/0.3,1))+IF(OR(R27="",N(Q27)&lt;=0),10,20*MAX(0,1-MIN(R27/Q27,1)))+30*MAX(0,MIN((PARAMETRI!$B$5-M27)/MAX(PARAMETRI!$B$5-10,1),1))+IF(AB27="",3,10*MAX(0,MIN(AB27/0.15,1)))+IF(AND(P27&lt;&gt;"",N(P27)&lt;N(Q27)*0.6),-8,0),1))</f>
        <v/>
      </c>
      <c r="AE27" s="13">
        <f>IF(AND(P27="",Q27=""),"DATI MANCANTI",IF(AND(N(P27)&gt;=PARAMETRI!$B$4,N(Q27)&gt;=PARAMETRI!$B$4),"OK","NO"))</f>
        <v/>
      </c>
      <c r="AF27" s="13">
        <f>IF(M27="","N/D",IF(M27&lt;PARAMETRI!$B$6,"OTTIMO",IF(M27&lt;PARAMETRI!$B$5,"OK","NO")))</f>
        <v/>
      </c>
      <c r="AG27" s="13">
        <f>IF(OR(AE27="DATI MANCANTI",AF27="N/D"),"DA COMPLETARE",IF(AND(AE27="OK",AF27="OTTIMO"),"PASSA FORTE",IF(AND(AE27="OK",AF27="OK"),"PASSA","SCARTA")))</f>
        <v/>
      </c>
      <c r="AH27" s="11" t="inlineStr">
        <is>
          <t>2026-10-12</t>
        </is>
      </c>
      <c r="AI27" s="11" t="inlineStr">
        <is>
          <t>yahoo</t>
        </is>
      </c>
      <c r="AJ27" s="23" t="inlineStr"/>
    </row>
    <row r="28">
      <c r="A28" s="10">
        <f>IF(AD28="","",RANK(AD28,AD$2:AD$36))</f>
        <v/>
      </c>
      <c r="B28" s="11" t="inlineStr">
        <is>
          <t>Veolia Environnement</t>
        </is>
      </c>
      <c r="C28" s="12" t="inlineStr">
        <is>
          <t>VIE.PA</t>
        </is>
      </c>
      <c r="D28" s="11" t="inlineStr">
        <is>
          <t>Servizi ambientali</t>
        </is>
      </c>
      <c r="E28" s="13" t="inlineStr">
        <is>
          <t>Utility</t>
        </is>
      </c>
      <c r="F28" s="14" t="n">
        <v>31.28</v>
      </c>
      <c r="G28" s="15" t="inlineStr">
        <is>
          <t>EUR</t>
        </is>
      </c>
      <c r="H28" s="14" t="n">
        <v>31.28</v>
      </c>
      <c r="I28" s="16" t="n">
        <v>23211.8</v>
      </c>
      <c r="J28" s="16" t="n">
        <v>23211.8</v>
      </c>
      <c r="K28" s="14" t="n">
        <v>1.72</v>
      </c>
      <c r="L28" s="14" t="n">
        <v>2.62209</v>
      </c>
      <c r="M28" s="17">
        <f>IF(OR(F28="",K28="",K28&lt;=0),"",F28/K28)</f>
        <v/>
      </c>
      <c r="N28" s="18" t="n">
        <v>2.3355486</v>
      </c>
      <c r="O28" s="19">
        <f>IF(OR(N28="",M28="",M28&lt;=0),"",N28/M28)</f>
        <v/>
      </c>
      <c r="P28" s="20" t="n">
        <v>0.13434</v>
      </c>
      <c r="Q28" s="20" t="n">
        <v>0.0829168956244568</v>
      </c>
      <c r="R28" s="20" t="n">
        <v>0.0193846987479301</v>
      </c>
      <c r="S28" s="21" t="n">
        <v>4</v>
      </c>
      <c r="T28" s="20" t="n"/>
      <c r="U28" s="20" t="n">
        <v>0.1121142330723169</v>
      </c>
      <c r="V28" s="20" t="n">
        <v>0.08501742160278745</v>
      </c>
      <c r="W28" s="20" t="n">
        <v>0.07611079522378361</v>
      </c>
      <c r="X28" s="20" t="n">
        <v>0.05842513259893921</v>
      </c>
      <c r="Y28" s="14" t="n">
        <v>1.5</v>
      </c>
      <c r="Z28" s="19">
        <f>IF(OR(Y28="",F28="",F28=0),"",Y28/F28)</f>
        <v/>
      </c>
      <c r="AA28" s="22" t="n">
        <v>250.259</v>
      </c>
      <c r="AB28" s="20" t="n">
        <v>0.007</v>
      </c>
      <c r="AC28" s="20" t="n">
        <v>0.02824578790882061</v>
      </c>
      <c r="AD28" s="17">
        <f>IF(OR(Q28="",M28="",M28&lt;=0),"",ROUND(40*MAX(0,MIN(N(Q28)/0.3,1))+IF(OR(R28="",N(Q28)&lt;=0),10,20*MAX(0,1-MIN(R28/Q28,1)))+30*MAX(0,MIN((PARAMETRI!$B$5-M28)/MAX(PARAMETRI!$B$5-10,1),1))+IF(AB28="",3,10*MAX(0,MIN(AB28/0.15,1)))+IF(AND(P28&lt;&gt;"",N(P28)&lt;N(Q28)*0.6),-8,0),1))</f>
        <v/>
      </c>
      <c r="AE28" s="13">
        <f>IF(AND(P28="",Q28=""),"DATI MANCANTI",IF(AND(N(P28)&gt;=PARAMETRI!$B$4,N(Q28)&gt;=PARAMETRI!$B$4),"OK","NO"))</f>
        <v/>
      </c>
      <c r="AF28" s="13">
        <f>IF(M28="","N/D",IF(M28&lt;PARAMETRI!$B$6,"OTTIMO",IF(M28&lt;PARAMETRI!$B$5,"OK","NO")))</f>
        <v/>
      </c>
      <c r="AG28" s="13">
        <f>IF(OR(AE28="DATI MANCANTI",AF28="N/D"),"DA COMPLETARE",IF(AND(AE28="OK",AF28="OTTIMO"),"PASSA FORTE",IF(AND(AE28="OK",AF28="OK"),"PASSA","SCARTA")))</f>
        <v/>
      </c>
      <c r="AH28" s="11" t="inlineStr">
        <is>
          <t>2026-10-12</t>
        </is>
      </c>
      <c r="AI28" s="11" t="inlineStr">
        <is>
          <t>yahoo</t>
        </is>
      </c>
      <c r="AJ28" s="23" t="inlineStr"/>
    </row>
    <row r="29">
      <c r="A29" s="10">
        <f>IF(AD29="","",RANK(AD29,AD$2:AD$36))</f>
        <v/>
      </c>
      <c r="B29" s="11" t="inlineStr">
        <is>
          <t>EssilorLuxottica</t>
        </is>
      </c>
      <c r="C29" s="12" t="inlineStr">
        <is>
          <t>EL.PA</t>
        </is>
      </c>
      <c r="D29" s="11" t="inlineStr">
        <is>
          <t>Ottica</t>
        </is>
      </c>
      <c r="E29" s="13" t="inlineStr">
        <is>
          <t>Consumi</t>
        </is>
      </c>
      <c r="F29" s="14" t="n">
        <v>146.75</v>
      </c>
      <c r="G29" s="15" t="inlineStr">
        <is>
          <t>EUR</t>
        </is>
      </c>
      <c r="H29" s="14" t="n">
        <v>146.75</v>
      </c>
      <c r="I29" s="16" t="n">
        <v>67266.10000000001</v>
      </c>
      <c r="J29" s="16" t="n">
        <v>67266.10000000001</v>
      </c>
      <c r="K29" s="14" t="n">
        <v>5.35</v>
      </c>
      <c r="L29" s="14" t="n">
        <v>7.87709</v>
      </c>
      <c r="M29" s="17">
        <f>IF(OR(F29="",K29="",K29&lt;=0),"",F29/K29)</f>
        <v/>
      </c>
      <c r="N29" s="18" t="n">
        <v>1.7197937</v>
      </c>
      <c r="O29" s="19">
        <f>IF(OR(N29="",M29="",M29&lt;=0),"",N29/M29)</f>
        <v/>
      </c>
      <c r="P29" s="20" t="n">
        <v>0.06723</v>
      </c>
      <c r="Q29" s="20" t="n">
        <v>0.05881754106257368</v>
      </c>
      <c r="R29" s="20" t="n">
        <v>0.0009488265062048052</v>
      </c>
      <c r="S29" s="21" t="n">
        <v>4</v>
      </c>
      <c r="T29" s="20" t="n"/>
      <c r="U29" s="20" t="n">
        <v>0.05952840134742472</v>
      </c>
      <c r="V29" s="20" t="n">
        <v>0.05842579750346741</v>
      </c>
      <c r="W29" s="20" t="n">
        <v>0.05986035199665263</v>
      </c>
      <c r="X29" s="20" t="n">
        <v>0.05745561340274997</v>
      </c>
      <c r="Y29" s="14" t="n">
        <v>4</v>
      </c>
      <c r="Z29" s="19">
        <f>IF(OR(Y29="",F29="",F29=0),"",Y29/F29)</f>
        <v/>
      </c>
      <c r="AA29" s="22" t="n">
        <v>38.359</v>
      </c>
      <c r="AB29" s="20" t="n">
        <v>0.057</v>
      </c>
      <c r="AC29" s="20" t="n">
        <v>0.08753641950089502</v>
      </c>
      <c r="AD29" s="17">
        <f>IF(OR(Q29="",M29="",M29&lt;=0),"",ROUND(40*MAX(0,MIN(N(Q29)/0.3,1))+IF(OR(R29="",N(Q29)&lt;=0),10,20*MAX(0,1-MIN(R29/Q29,1)))+30*MAX(0,MIN((PARAMETRI!$B$5-M29)/MAX(PARAMETRI!$B$5-10,1),1))+IF(AB29="",3,10*MAX(0,MIN(AB29/0.15,1)))+IF(AND(P29&lt;&gt;"",N(P29)&lt;N(Q29)*0.6),-8,0),1))</f>
        <v/>
      </c>
      <c r="AE29" s="13">
        <f>IF(AND(P29="",Q29=""),"DATI MANCANTI",IF(AND(N(P29)&gt;=PARAMETRI!$B$4,N(Q29)&gt;=PARAMETRI!$B$4),"OK","NO"))</f>
        <v/>
      </c>
      <c r="AF29" s="13">
        <f>IF(M29="","N/D",IF(M29&lt;PARAMETRI!$B$6,"OTTIMO",IF(M29&lt;PARAMETRI!$B$5,"OK","NO")))</f>
        <v/>
      </c>
      <c r="AG29" s="13">
        <f>IF(OR(AE29="DATI MANCANTI",AF29="N/D"),"DA COMPLETARE",IF(AND(AE29="OK",AF29="OTTIMO"),"PASSA FORTE",IF(AND(AE29="OK",AF29="OK"),"PASSA","SCARTA")))</f>
        <v/>
      </c>
      <c r="AH29" s="11" t="inlineStr">
        <is>
          <t>2026-10-12</t>
        </is>
      </c>
      <c r="AI29" s="11" t="inlineStr">
        <is>
          <t>yahoo</t>
        </is>
      </c>
      <c r="AJ29" s="23" t="inlineStr"/>
    </row>
    <row r="30">
      <c r="A30" s="10">
        <f>IF(AD30="","",RANK(AD30,AD$2:AD$36))</f>
        <v/>
      </c>
      <c r="B30" s="11" t="inlineStr">
        <is>
          <t>Eurofins Scientific</t>
        </is>
      </c>
      <c r="C30" s="12" t="inlineStr">
        <is>
          <t>ERF.PA</t>
        </is>
      </c>
      <c r="D30" s="11" t="inlineStr">
        <is>
          <t>Laboratori / Analisi</t>
        </is>
      </c>
      <c r="E30" s="13" t="inlineStr">
        <is>
          <t>Salute</t>
        </is>
      </c>
      <c r="F30" s="14" t="n">
        <v>77.66</v>
      </c>
      <c r="G30" s="15" t="inlineStr">
        <is>
          <t>EUR</t>
        </is>
      </c>
      <c r="H30" s="14" t="n">
        <v>77.66</v>
      </c>
      <c r="I30" s="16" t="n">
        <v>13288.6</v>
      </c>
      <c r="J30" s="16" t="n">
        <v>13288.6</v>
      </c>
      <c r="K30" s="14" t="n">
        <v>2.88</v>
      </c>
      <c r="L30" s="14" t="n">
        <v>4.6439</v>
      </c>
      <c r="M30" s="17">
        <f>IF(OR(F30="",K30="",K30&lt;=0),"",F30/K30)</f>
        <v/>
      </c>
      <c r="N30" s="18" t="n">
        <v>3.723986</v>
      </c>
      <c r="O30" s="19">
        <f>IF(OR(N30="",M30="",M30&lt;=0),"",N30/M30)</f>
        <v/>
      </c>
      <c r="P30" s="20" t="n">
        <v>0.11328</v>
      </c>
      <c r="Q30" s="20" t="n">
        <v>0.09232964036986514</v>
      </c>
      <c r="R30" s="20" t="n">
        <v>0.0256457367339443</v>
      </c>
      <c r="S30" s="21" t="n">
        <v>4</v>
      </c>
      <c r="T30" s="20" t="n"/>
      <c r="U30" s="20" t="n">
        <v>0.1045055356238857</v>
      </c>
      <c r="V30" s="20" t="n">
        <v>0.07611912343135419</v>
      </c>
      <c r="W30" s="20" t="n">
        <v>0.06109305760709011</v>
      </c>
      <c r="X30" s="20" t="n">
        <v>0.1276008448171305</v>
      </c>
      <c r="Y30" s="14" t="n">
        <v>0.72</v>
      </c>
      <c r="Z30" s="19">
        <f>IF(OR(Y30="",F30="",F30=0),"",Y30/F30)</f>
        <v/>
      </c>
      <c r="AA30" s="22" t="n">
        <v>96.122</v>
      </c>
      <c r="AB30" s="20" t="n">
        <v>0.025</v>
      </c>
      <c r="AC30" s="20" t="n">
        <v>0.06440427077479749</v>
      </c>
      <c r="AD30" s="17">
        <f>IF(OR(Q30="",M30="",M30&lt;=0),"",ROUND(40*MAX(0,MIN(N(Q30)/0.3,1))+IF(OR(R30="",N(Q30)&lt;=0),10,20*MAX(0,1-MIN(R30/Q30,1)))+30*MAX(0,MIN((PARAMETRI!$B$5-M30)/MAX(PARAMETRI!$B$5-10,1),1))+IF(AB30="",3,10*MAX(0,MIN(AB30/0.15,1)))+IF(AND(P30&lt;&gt;"",N(P30)&lt;N(Q30)*0.6),-8,0),1))</f>
        <v/>
      </c>
      <c r="AE30" s="13">
        <f>IF(AND(P30="",Q30=""),"DATI MANCANTI",IF(AND(N(P30)&gt;=PARAMETRI!$B$4,N(Q30)&gt;=PARAMETRI!$B$4),"OK","NO"))</f>
        <v/>
      </c>
      <c r="AF30" s="13">
        <f>IF(M30="","N/D",IF(M30&lt;PARAMETRI!$B$6,"OTTIMO",IF(M30&lt;PARAMETRI!$B$5,"OK","NO")))</f>
        <v/>
      </c>
      <c r="AG30" s="13">
        <f>IF(OR(AE30="DATI MANCANTI",AF30="N/D"),"DA COMPLETARE",IF(AND(AE30="OK",AF30="OTTIMO"),"PASSA FORTE",IF(AND(AE30="OK",AF30="OK"),"PASSA","SCARTA")))</f>
        <v/>
      </c>
      <c r="AH30" s="11" t="inlineStr">
        <is>
          <t>2026-10-12</t>
        </is>
      </c>
      <c r="AI30" s="11" t="inlineStr">
        <is>
          <t>yahoo</t>
        </is>
      </c>
      <c r="AJ30" s="23" t="inlineStr"/>
    </row>
    <row r="31">
      <c r="A31" s="10">
        <f>IF(AD31="","",RANK(AD31,AD$2:AD$36))</f>
        <v/>
      </c>
      <c r="B31" s="11" t="inlineStr">
        <is>
          <t>Danone</t>
        </is>
      </c>
      <c r="C31" s="12" t="inlineStr">
        <is>
          <t>BN.PA</t>
        </is>
      </c>
      <c r="D31" s="11" t="inlineStr">
        <is>
          <t>Alimentare</t>
        </is>
      </c>
      <c r="E31" s="13" t="inlineStr">
        <is>
          <t>Consumi</t>
        </is>
      </c>
      <c r="F31" s="14" t="n">
        <v>59.3</v>
      </c>
      <c r="G31" s="15" t="inlineStr">
        <is>
          <t>EUR</t>
        </is>
      </c>
      <c r="H31" s="14" t="n">
        <v>59.3</v>
      </c>
      <c r="I31" s="16" t="n">
        <v>38194.9</v>
      </c>
      <c r="J31" s="16" t="n">
        <v>38194.9</v>
      </c>
      <c r="K31" s="14" t="n">
        <v>3.02</v>
      </c>
      <c r="L31" s="14" t="n">
        <v>4.2282</v>
      </c>
      <c r="M31" s="17">
        <f>IF(OR(F31="",K31="",K31&lt;=0),"",F31/K31)</f>
        <v/>
      </c>
      <c r="N31" s="18" t="n">
        <v>2.1663682</v>
      </c>
      <c r="O31" s="19">
        <f>IF(OR(N31="",M31="",M31&lt;=0),"",N31/M31)</f>
        <v/>
      </c>
      <c r="P31" s="20" t="n">
        <v>0.121929996</v>
      </c>
      <c r="Q31" s="20" t="n">
        <v>0.08235523638674251</v>
      </c>
      <c r="R31" s="20" t="n">
        <v>0.02844348792988613</v>
      </c>
      <c r="S31" s="21" t="n">
        <v>4</v>
      </c>
      <c r="T31" s="20" t="n"/>
      <c r="U31" s="20" t="n">
        <v>0.1078796476916711</v>
      </c>
      <c r="V31" s="20" t="n">
        <v>0.113571227872998</v>
      </c>
      <c r="W31" s="20" t="n">
        <v>0.05446340257171118</v>
      </c>
      <c r="X31" s="20" t="n">
        <v>0.05350666741058974</v>
      </c>
      <c r="Y31" s="14" t="n">
        <v>2.25</v>
      </c>
      <c r="Z31" s="19">
        <f>IF(OR(Y31="",F31="",F31=0),"",Y31/F31)</f>
        <v/>
      </c>
      <c r="AA31" s="22" t="n">
        <v>98.51900000000001</v>
      </c>
      <c r="AB31" s="20" t="n">
        <v>0.014</v>
      </c>
      <c r="AC31" s="20" t="n">
        <v>0.07128981182421287</v>
      </c>
      <c r="AD31" s="17">
        <f>IF(OR(Q31="",M31="",M31&lt;=0),"",ROUND(40*MAX(0,MIN(N(Q31)/0.3,1))+IF(OR(R31="",N(Q31)&lt;=0),10,20*MAX(0,1-MIN(R31/Q31,1)))+30*MAX(0,MIN((PARAMETRI!$B$5-M31)/MAX(PARAMETRI!$B$5-10,1),1))+IF(AB31="",3,10*MAX(0,MIN(AB31/0.15,1)))+IF(AND(P31&lt;&gt;"",N(P31)&lt;N(Q31)*0.6),-8,0),1))</f>
        <v/>
      </c>
      <c r="AE31" s="13">
        <f>IF(AND(P31="",Q31=""),"DATI MANCANTI",IF(AND(N(P31)&gt;=PARAMETRI!$B$4,N(Q31)&gt;=PARAMETRI!$B$4),"OK","NO"))</f>
        <v/>
      </c>
      <c r="AF31" s="13">
        <f>IF(M31="","N/D",IF(M31&lt;PARAMETRI!$B$6,"OTTIMO",IF(M31&lt;PARAMETRI!$B$5,"OK","NO")))</f>
        <v/>
      </c>
      <c r="AG31" s="13">
        <f>IF(OR(AE31="DATI MANCANTI",AF31="N/D"),"DA COMPLETARE",IF(AND(AE31="OK",AF31="OTTIMO"),"PASSA FORTE",IF(AND(AE31="OK",AF31="OK"),"PASSA","SCARTA")))</f>
        <v/>
      </c>
      <c r="AH31" s="11" t="inlineStr">
        <is>
          <t>2026-10-12</t>
        </is>
      </c>
      <c r="AI31" s="11" t="inlineStr">
        <is>
          <t>yahoo</t>
        </is>
      </c>
      <c r="AJ31" s="23" t="inlineStr"/>
    </row>
    <row r="32">
      <c r="A32" s="10">
        <f>IF(AD32="","",RANK(AD32,AD$2:AD$36))</f>
        <v/>
      </c>
      <c r="B32" s="11" t="inlineStr">
        <is>
          <t>Safran</t>
        </is>
      </c>
      <c r="C32" s="12" t="inlineStr">
        <is>
          <t>SAF.PA</t>
        </is>
      </c>
      <c r="D32" s="11" t="inlineStr">
        <is>
          <t>Aerospazio</t>
        </is>
      </c>
      <c r="E32" s="13" t="inlineStr">
        <is>
          <t>Industriale</t>
        </is>
      </c>
      <c r="F32" s="14" t="n">
        <v>318.4</v>
      </c>
      <c r="G32" s="15" t="inlineStr">
        <is>
          <t>EUR</t>
        </is>
      </c>
      <c r="H32" s="14" t="n">
        <v>318.4</v>
      </c>
      <c r="I32" s="16" t="n">
        <v>131937.3</v>
      </c>
      <c r="J32" s="16" t="n">
        <v>131937.3</v>
      </c>
      <c r="K32" s="14" t="n">
        <v>9.31</v>
      </c>
      <c r="L32" s="14" t="n">
        <v>12.94776</v>
      </c>
      <c r="M32" s="17">
        <f>IF(OR(F32="",K32="",K32&lt;=0),"",F32/K32)</f>
        <v/>
      </c>
      <c r="N32" s="18" t="n">
        <v>9.095843</v>
      </c>
      <c r="O32" s="19">
        <f>IF(OR(N32="",M32="",M32&lt;=0),"",N32/M32)</f>
        <v/>
      </c>
      <c r="P32" s="20" t="n">
        <v>0.2749</v>
      </c>
      <c r="Q32" s="20" t="n">
        <v>0.1198513628773522</v>
      </c>
      <c r="R32" s="20" t="n">
        <v>0.2850653304973783</v>
      </c>
      <c r="S32" s="21" t="n">
        <v>4</v>
      </c>
      <c r="T32" s="20" t="n"/>
      <c r="U32" s="20" t="n">
        <v>0.483657928431835</v>
      </c>
      <c r="V32" s="20" t="n">
        <v>-0.06554638364779874</v>
      </c>
      <c r="W32" s="20" t="n">
        <v>0.2974863954392329</v>
      </c>
      <c r="X32" s="20" t="n">
        <v>-0.2361924887138603</v>
      </c>
      <c r="Y32" s="14" t="n">
        <v>3.35</v>
      </c>
      <c r="Z32" s="19">
        <f>IF(OR(Y32="",F32="",F32=0),"",Y32/F32)</f>
        <v/>
      </c>
      <c r="AA32" s="22" t="n">
        <v>33.745</v>
      </c>
      <c r="AB32" s="20" t="n">
        <v>0.16</v>
      </c>
      <c r="AC32" s="20" t="n">
        <v>0.1244669554009426</v>
      </c>
      <c r="AD32" s="17">
        <f>IF(OR(Q32="",M32="",M32&lt;=0),"",ROUND(40*MAX(0,MIN(N(Q32)/0.3,1))+IF(OR(R32="",N(Q32)&lt;=0),10,20*MAX(0,1-MIN(R32/Q32,1)))+30*MAX(0,MIN((PARAMETRI!$B$5-M32)/MAX(PARAMETRI!$B$5-10,1),1))+IF(AB32="",3,10*MAX(0,MIN(AB32/0.15,1)))+IF(AND(P32&lt;&gt;"",N(P32)&lt;N(Q32)*0.6),-8,0),1))</f>
        <v/>
      </c>
      <c r="AE32" s="13">
        <f>IF(AND(P32="",Q32=""),"DATI MANCANTI",IF(AND(N(P32)&gt;=PARAMETRI!$B$4,N(Q32)&gt;=PARAMETRI!$B$4),"OK","NO"))</f>
        <v/>
      </c>
      <c r="AF32" s="13">
        <f>IF(M32="","N/D",IF(M32&lt;PARAMETRI!$B$6,"OTTIMO",IF(M32&lt;PARAMETRI!$B$5,"OK","NO")))</f>
        <v/>
      </c>
      <c r="AG32" s="13">
        <f>IF(OR(AE32="DATI MANCANTI",AF32="N/D"),"DA COMPLETARE",IF(AND(AE32="OK",AF32="OTTIMO"),"PASSA FORTE",IF(AND(AE32="OK",AF32="OK"),"PASSA","SCARTA")))</f>
        <v/>
      </c>
      <c r="AH32" s="11" t="inlineStr">
        <is>
          <t>2026-10-12</t>
        </is>
      </c>
      <c r="AI32" s="11" t="inlineStr">
        <is>
          <t>yahoo</t>
        </is>
      </c>
      <c r="AJ32" s="23" t="inlineStr"/>
    </row>
    <row r="33">
      <c r="A33" s="10">
        <f>IF(AD33="","",RANK(AD33,AD$2:AD$36))</f>
        <v/>
      </c>
      <c r="B33" s="11" t="inlineStr">
        <is>
          <t>Edenred</t>
        </is>
      </c>
      <c r="C33" s="12" t="inlineStr">
        <is>
          <t>EDEN.PA</t>
        </is>
      </c>
      <c r="D33" s="11" t="inlineStr">
        <is>
          <t>Servizi di pagamento</t>
        </is>
      </c>
      <c r="E33" s="13" t="inlineStr">
        <is>
          <t>Finanziario</t>
        </is>
      </c>
      <c r="F33" s="14" t="n">
        <v>28.3</v>
      </c>
      <c r="G33" s="15" t="inlineStr">
        <is>
          <t>EUR</t>
        </is>
      </c>
      <c r="H33" s="14" t="n">
        <v>28.3</v>
      </c>
      <c r="I33" s="16" t="n">
        <v>6460</v>
      </c>
      <c r="J33" s="16" t="n">
        <v>6460</v>
      </c>
      <c r="K33" s="14" t="n">
        <v>2.06</v>
      </c>
      <c r="L33" s="14" t="n">
        <v>2.44361</v>
      </c>
      <c r="M33" s="17">
        <f>IF(OR(F33="",K33="",K33&lt;=0),"",F33/K33)</f>
        <v/>
      </c>
      <c r="N33" s="18" t="n">
        <v>-6.6447525</v>
      </c>
      <c r="O33" s="19">
        <f>IF(OR(N33="",M33="",M33&lt;=0),"",N33/M33)</f>
        <v/>
      </c>
      <c r="P33" s="20" t="n"/>
      <c r="Q33" s="20" t="n"/>
      <c r="R33" s="20" t="n"/>
      <c r="S33" s="21" t="n">
        <v>0</v>
      </c>
      <c r="T33" s="20" t="n"/>
      <c r="U33" s="20" t="n"/>
      <c r="V33" s="20" t="n"/>
      <c r="W33" s="20" t="n"/>
      <c r="X33" s="20" t="n"/>
      <c r="Y33" s="14" t="n">
        <v>1.33</v>
      </c>
      <c r="Z33" s="19">
        <f>IF(OR(Y33="",F33="",F33=0),"",Y33/F33)</f>
        <v/>
      </c>
      <c r="AA33" s="22" t="n"/>
      <c r="AB33" s="20" t="n">
        <v>0.015</v>
      </c>
      <c r="AC33" s="20" t="n">
        <v>0.1688618709895306</v>
      </c>
      <c r="AD33" s="17">
        <f>IF(OR(Q33="",M33="",M33&lt;=0),"",ROUND(40*MAX(0,MIN(N(Q33)/0.3,1))+IF(OR(R33="",N(Q33)&lt;=0),10,20*MAX(0,1-MIN(R33/Q33,1)))+30*MAX(0,MIN((PARAMETRI!$B$5-M33)/MAX(PARAMETRI!$B$5-10,1),1))+IF(AB33="",3,10*MAX(0,MIN(AB33/0.15,1)))+IF(AND(P33&lt;&gt;"",N(P33)&lt;N(Q33)*0.6),-8,0),1))</f>
        <v/>
      </c>
      <c r="AE33" s="13">
        <f>IF(AND(P33="",Q33=""),"DATI MANCANTI",IF(AND(N(P33)&gt;=PARAMETRI!$B$4,N(Q33)&gt;=PARAMETRI!$B$4),"OK","NO"))</f>
        <v/>
      </c>
      <c r="AF33" s="13">
        <f>IF(M33="","N/D",IF(M33&lt;PARAMETRI!$B$6,"OTTIMO",IF(M33&lt;PARAMETRI!$B$5,"OK","NO")))</f>
        <v/>
      </c>
      <c r="AG33" s="13">
        <f>IF(OR(AE33="DATI MANCANTI",AF33="N/D"),"DA COMPLETARE",IF(AND(AE33="OK",AF33="OTTIMO"),"PASSA FORTE",IF(AND(AE33="OK",AF33="OK"),"PASSA","SCARTA")))</f>
        <v/>
      </c>
      <c r="AH33" s="11" t="inlineStr">
        <is>
          <t>2026-10-12</t>
        </is>
      </c>
      <c r="AI33" s="11" t="inlineStr">
        <is>
          <t>yahoo</t>
        </is>
      </c>
      <c r="AJ33" s="23" t="inlineStr"/>
    </row>
    <row r="34">
      <c r="A34" s="10">
        <f>IF(AD34="","",RANK(AD34,AD$2:AD$36))</f>
        <v/>
      </c>
      <c r="B34" s="11" t="inlineStr">
        <is>
          <t>Kering</t>
        </is>
      </c>
      <c r="C34" s="12" t="inlineStr">
        <is>
          <t>KER.PA</t>
        </is>
      </c>
      <c r="D34" s="11" t="inlineStr">
        <is>
          <t>Lusso</t>
        </is>
      </c>
      <c r="E34" s="13" t="inlineStr">
        <is>
          <t>Consumi</t>
        </is>
      </c>
      <c r="F34" s="14" t="n">
        <v>213.1</v>
      </c>
      <c r="G34" s="15" t="inlineStr">
        <is>
          <t>EUR</t>
        </is>
      </c>
      <c r="H34" s="14" t="n">
        <v>213.1</v>
      </c>
      <c r="I34" s="16" t="n">
        <v>26129.9</v>
      </c>
      <c r="J34" s="16" t="n">
        <v>26129.9</v>
      </c>
      <c r="K34" s="14" t="n">
        <v>-2.98</v>
      </c>
      <c r="L34" s="14" t="n">
        <v>9.768739999999999</v>
      </c>
      <c r="M34" s="17">
        <f>IF(OR(F34="",K34="",K34&lt;=0),"",F34/K34)</f>
        <v/>
      </c>
      <c r="N34" s="18" t="n">
        <v>1.8043114</v>
      </c>
      <c r="O34" s="19">
        <f>IF(OR(N34="",M34="",M34&lt;=0),"",N34/M34)</f>
        <v/>
      </c>
      <c r="P34" s="20" t="n">
        <v>-0.01601</v>
      </c>
      <c r="Q34" s="20" t="n">
        <v>0.1337976873111954</v>
      </c>
      <c r="R34" s="20" t="n">
        <v>0.09912845956417797</v>
      </c>
      <c r="S34" s="21" t="n">
        <v>4</v>
      </c>
      <c r="T34" s="20" t="n"/>
      <c r="U34" s="20" t="n">
        <v>0.004895960832313341</v>
      </c>
      <c r="V34" s="20" t="n">
        <v>0.0760198604401503</v>
      </c>
      <c r="W34" s="20" t="n">
        <v>0.1960951880094662</v>
      </c>
      <c r="X34" s="20" t="n">
        <v>0.2581797399628518</v>
      </c>
      <c r="Y34" s="14" t="n">
        <v>3</v>
      </c>
      <c r="Z34" s="19">
        <f>IF(OR(Y34="",F34="",F34=0),"",Y34/F34)</f>
        <v/>
      </c>
      <c r="AA34" s="22" t="n">
        <v>116.567</v>
      </c>
      <c r="AB34" s="20" t="n">
        <v>-0.029</v>
      </c>
      <c r="AC34" s="20" t="n">
        <v>-0.02194207836456559</v>
      </c>
      <c r="AD34" s="17">
        <f>IF(OR(Q34="",M34="",M34&lt;=0),"",ROUND(40*MAX(0,MIN(N(Q34)/0.3,1))+IF(OR(R34="",N(Q34)&lt;=0),10,20*MAX(0,1-MIN(R34/Q34,1)))+30*MAX(0,MIN((PARAMETRI!$B$5-M34)/MAX(PARAMETRI!$B$5-10,1),1))+IF(AB34="",3,10*MAX(0,MIN(AB34/0.15,1)))+IF(AND(P34&lt;&gt;"",N(P34)&lt;N(Q34)*0.6),-8,0),1))</f>
        <v/>
      </c>
      <c r="AE34" s="13">
        <f>IF(AND(P34="",Q34=""),"DATI MANCANTI",IF(AND(N(P34)&gt;=PARAMETRI!$B$4,N(Q34)&gt;=PARAMETRI!$B$4),"OK","NO"))</f>
        <v/>
      </c>
      <c r="AF34" s="13">
        <f>IF(M34="","N/D",IF(M34&lt;PARAMETRI!$B$6,"OTTIMO",IF(M34&lt;PARAMETRI!$B$5,"OK","NO")))</f>
        <v/>
      </c>
      <c r="AG34" s="13">
        <f>IF(OR(AE34="DATI MANCANTI",AF34="N/D"),"DA COMPLETARE",IF(AND(AE34="OK",AF34="OTTIMO"),"PASSA FORTE",IF(AND(AE34="OK",AF34="OK"),"PASSA","SCARTA")))</f>
        <v/>
      </c>
      <c r="AH34" s="11" t="inlineStr">
        <is>
          <t>2026-10-12</t>
        </is>
      </c>
      <c r="AI34" s="11" t="inlineStr">
        <is>
          <t>yahoo</t>
        </is>
      </c>
      <c r="AJ34" s="23" t="inlineStr"/>
    </row>
    <row r="35">
      <c r="A35" s="10">
        <f>IF(AD35="","",RANK(AD35,AD$2:AD$36))</f>
        <v/>
      </c>
      <c r="B35" s="11" t="inlineStr">
        <is>
          <t>Michelin</t>
        </is>
      </c>
      <c r="C35" s="12" t="inlineStr">
        <is>
          <t>ML.PA</t>
        </is>
      </c>
      <c r="D35" s="11" t="inlineStr">
        <is>
          <t>Pneumatici</t>
        </is>
      </c>
      <c r="E35" s="13" t="inlineStr">
        <is>
          <t>Industriale</t>
        </is>
      </c>
      <c r="F35" s="14" t="n">
        <v>33.3</v>
      </c>
      <c r="G35" s="15" t="inlineStr">
        <is>
          <t>EUR</t>
        </is>
      </c>
      <c r="H35" s="14" t="n">
        <v>33.3</v>
      </c>
      <c r="I35" s="16" t="n"/>
      <c r="J35" s="16" t="n"/>
      <c r="K35" s="14" t="n"/>
      <c r="L35" s="14" t="n"/>
      <c r="M35" s="17">
        <f>IF(OR(F35="",K35="",K35&lt;=0),"",F35/K35)</f>
        <v/>
      </c>
      <c r="N35" s="18" t="n">
        <v>0.3970241</v>
      </c>
      <c r="O35" s="19">
        <f>IF(OR(N35="",M35="",M35&lt;=0),"",N35/M35)</f>
        <v/>
      </c>
      <c r="P35" s="20" t="n">
        <v>0.09213147410358566</v>
      </c>
      <c r="Q35" s="20" t="n">
        <v>0.1051694406656836</v>
      </c>
      <c r="R35" s="20" t="n">
        <v>0.009389875898615665</v>
      </c>
      <c r="S35" s="21" t="n">
        <v>4</v>
      </c>
      <c r="T35" s="20" t="n"/>
      <c r="U35" s="20" t="n">
        <v>0.09213147410358566</v>
      </c>
      <c r="V35" s="20" t="n">
        <v>0.1011543624161074</v>
      </c>
      <c r="W35" s="20" t="n">
        <v>0.1104427736006683</v>
      </c>
      <c r="X35" s="20" t="n">
        <v>0.1169491525423729</v>
      </c>
      <c r="Y35" s="14" t="n"/>
      <c r="Z35" s="19">
        <f>IF(OR(Y35="",F35="",F35=0),"",Y35/F35)</f>
        <v/>
      </c>
      <c r="AA35" s="22" t="n"/>
      <c r="AB35" s="20" t="n"/>
      <c r="AC35" s="20" t="n"/>
      <c r="AD35" s="17">
        <f>IF(OR(Q35="",M35="",M35&lt;=0),"",ROUND(40*MAX(0,MIN(N(Q35)/0.3,1))+IF(OR(R35="",N(Q35)&lt;=0),10,20*MAX(0,1-MIN(R35/Q35,1)))+30*MAX(0,MIN((PARAMETRI!$B$5-M35)/MAX(PARAMETRI!$B$5-10,1),1))+IF(AB35="",3,10*MAX(0,MIN(AB35/0.15,1)))+IF(AND(P35&lt;&gt;"",N(P35)&lt;N(Q35)*0.6),-8,0),1))</f>
        <v/>
      </c>
      <c r="AE35" s="13">
        <f>IF(AND(P35="",Q35=""),"DATI MANCANTI",IF(AND(N(P35)&gt;=PARAMETRI!$B$4,N(Q35)&gt;=PARAMETRI!$B$4),"OK","NO"))</f>
        <v/>
      </c>
      <c r="AF35" s="13">
        <f>IF(M35="","N/D",IF(M35&lt;PARAMETRI!$B$6,"OTTIMO",IF(M35&lt;PARAMETRI!$B$5,"OK","NO")))</f>
        <v/>
      </c>
      <c r="AG35" s="13">
        <f>IF(OR(AE35="DATI MANCANTI",AF35="N/D"),"DA COMPLETARE",IF(AND(AE35="OK",AF35="OTTIMO"),"PASSA FORTE",IF(AND(AE35="OK",AF35="OK"),"PASSA","SCARTA")))</f>
        <v/>
      </c>
      <c r="AH35" s="11" t="inlineStr">
        <is>
          <t>2026-10-12</t>
        </is>
      </c>
      <c r="AI35" s="11" t="inlineStr">
        <is>
          <t>yahoo</t>
        </is>
      </c>
      <c r="AJ35" s="23" t="inlineStr"/>
    </row>
    <row r="36">
      <c r="A36" s="10">
        <f>IF(AD36="","",RANK(AD36,AD$2:AD$36))</f>
        <v/>
      </c>
      <c r="B36" s="11" t="inlineStr">
        <is>
          <t>Worldline</t>
        </is>
      </c>
      <c r="C36" s="12" t="inlineStr">
        <is>
          <t>WLN.PA</t>
        </is>
      </c>
      <c r="D36" s="11" t="inlineStr">
        <is>
          <t>Pagamenti</t>
        </is>
      </c>
      <c r="E36" s="13" t="inlineStr">
        <is>
          <t>Tecnologia</t>
        </is>
      </c>
      <c r="F36" s="14" t="n">
        <v>10.722</v>
      </c>
      <c r="G36" s="15" t="inlineStr">
        <is>
          <t>EUR</t>
        </is>
      </c>
      <c r="H36" s="14" t="n">
        <v>10.722</v>
      </c>
      <c r="I36" s="16" t="n">
        <v>606.4</v>
      </c>
      <c r="J36" s="16" t="n">
        <v>606.4</v>
      </c>
      <c r="K36" s="14" t="n">
        <v>-37.13</v>
      </c>
      <c r="L36" s="14" t="n">
        <v>3.44281</v>
      </c>
      <c r="M36" s="17">
        <f>IF(OR(F36="",K36="",K36&lt;=0),"",F36/K36)</f>
        <v/>
      </c>
      <c r="N36" s="18" t="n">
        <v>0.16268872</v>
      </c>
      <c r="O36" s="19">
        <f>IF(OR(N36="",M36="",M36&lt;=0),"",N36/M36)</f>
        <v/>
      </c>
      <c r="P36" s="20" t="n">
        <v>-0.21247</v>
      </c>
      <c r="Q36" s="20" t="n">
        <v>-0.4213437146881021</v>
      </c>
      <c r="R36" s="20" t="n">
        <v>0.6738800063875031</v>
      </c>
      <c r="S36" s="21" t="n">
        <v>4</v>
      </c>
      <c r="T36" s="20" t="n"/>
      <c r="U36" s="20" t="n">
        <v>-1.585932213815587</v>
      </c>
      <c r="V36" s="20" t="n">
        <v>-0.03601789980475145</v>
      </c>
      <c r="W36" s="20" t="n">
        <v>-0.09531084185607165</v>
      </c>
      <c r="X36" s="20" t="n">
        <v>0.03188609672400196</v>
      </c>
      <c r="Y36" s="14" t="n"/>
      <c r="Z36" s="19">
        <f>IF(OR(Y36="",F36="",F36=0),"",Y36/F36)</f>
        <v/>
      </c>
      <c r="AA36" s="22" t="n">
        <v>66.77500000000001</v>
      </c>
      <c r="AB36" s="20" t="n">
        <v>-0.037</v>
      </c>
      <c r="AC36" s="20" t="n">
        <v>-0.2452666319263505</v>
      </c>
      <c r="AD36" s="17">
        <f>IF(OR(Q36="",M36="",M36&lt;=0),"",ROUND(40*MAX(0,MIN(N(Q36)/0.3,1))+IF(OR(R36="",N(Q36)&lt;=0),10,20*MAX(0,1-MIN(R36/Q36,1)))+30*MAX(0,MIN((PARAMETRI!$B$5-M36)/MAX(PARAMETRI!$B$5-10,1),1))+IF(AB36="",3,10*MAX(0,MIN(AB36/0.15,1)))+IF(AND(P36&lt;&gt;"",N(P36)&lt;N(Q36)*0.6),-8,0),1))</f>
        <v/>
      </c>
      <c r="AE36" s="13">
        <f>IF(AND(P36="",Q36=""),"DATI MANCANTI",IF(AND(N(P36)&gt;=PARAMETRI!$B$4,N(Q36)&gt;=PARAMETRI!$B$4),"OK","NO"))</f>
        <v/>
      </c>
      <c r="AF36" s="13">
        <f>IF(M36="","N/D",IF(M36&lt;PARAMETRI!$B$6,"OTTIMO",IF(M36&lt;PARAMETRI!$B$5,"OK","NO")))</f>
        <v/>
      </c>
      <c r="AG36" s="13">
        <f>IF(OR(AE36="DATI MANCANTI",AF36="N/D"),"DA COMPLETARE",IF(AND(AE36="OK",AF36="OTTIMO"),"PASSA FORTE",IF(AND(AE36="OK",AF36="OK"),"PASSA","SCARTA")))</f>
        <v/>
      </c>
      <c r="AH36" s="11" t="inlineStr">
        <is>
          <t>2026-10-12</t>
        </is>
      </c>
      <c r="AI36" s="11" t="inlineStr">
        <is>
          <t>yahoo</t>
        </is>
      </c>
      <c r="AJ36" s="23" t="inlineStr"/>
    </row>
  </sheetData>
  <autoFilter ref="A1:AJ36"/>
  <conditionalFormatting sqref="AG2:AG36">
    <cfRule type="cellIs" priority="1" operator="equal" dxfId="0">
      <formula>"PASSA FORTE"</formula>
    </cfRule>
    <cfRule type="cellIs" priority="2" operator="equal" dxfId="1">
      <formula>"PASSA"</formula>
    </cfRule>
    <cfRule type="cellIs" priority="3" operator="equal" dxfId="2">
      <formula>"SCARTA"</formula>
    </cfRule>
    <cfRule type="cellIs" priority="4" operator="equal" dxfId="3">
      <formula>"DA COMPLETARE"</formula>
    </cfRule>
  </conditionalFormatting>
  <conditionalFormatting sqref="P2:P36">
    <cfRule type="dataBar" priority="5">
      <dataBar>
        <cfvo type="num" val="0"/>
        <cfvo type="num" val="0.4"/>
        <color rgb="00638EC6"/>
      </dataBar>
    </cfRule>
  </conditionalFormatting>
  <conditionalFormatting sqref="Q2:Q36">
    <cfRule type="dataBar" priority="6">
      <dataBar>
        <cfvo type="num" val="0"/>
        <cfvo type="num" val="0.4"/>
        <color rgb="00638EC6"/>
      </dataBar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1" customWidth="1" min="3" max="3"/>
    <col width="24" customWidth="1" min="4" max="4"/>
    <col width="12" customWidth="1" min="5" max="5"/>
    <col width="10" customWidth="1" min="6" max="6"/>
    <col width="6" customWidth="1" min="7" max="7"/>
    <col width="10" customWidth="1" min="8" max="8"/>
    <col width="12" customWidth="1" min="9" max="9"/>
    <col width="11" customWidth="1" min="10" max="10"/>
    <col width="10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9" customWidth="1" min="17" max="17"/>
    <col width="9" customWidth="1" min="18" max="18"/>
    <col width="6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11" customWidth="1" min="30" max="30"/>
    <col width="10" customWidth="1" min="31" max="31"/>
    <col width="10" customWidth="1" min="32" max="32"/>
    <col width="14" customWidth="1" min="33" max="33"/>
    <col width="12" customWidth="1" min="34" max="34"/>
    <col width="10" customWidth="1" min="35" max="35"/>
    <col width="42" customWidth="1" min="36" max="36"/>
  </cols>
  <sheetData>
    <row r="1" ht="30" customHeight="1">
      <c r="A1" s="9" t="inlineStr">
        <is>
          <t>POS.</t>
        </is>
      </c>
      <c r="B1" s="9" t="inlineStr">
        <is>
          <t>TITOLO</t>
        </is>
      </c>
      <c r="C1" s="9" t="inlineStr">
        <is>
          <t>TICKER</t>
        </is>
      </c>
      <c r="D1" s="9" t="inlineStr">
        <is>
          <t>SETTORE</t>
        </is>
      </c>
      <c r="E1" s="9" t="inlineStr">
        <is>
          <t>CLASSE</t>
        </is>
      </c>
      <c r="F1" s="9" t="inlineStr">
        <is>
          <t>PREZZO</t>
        </is>
      </c>
      <c r="G1" s="9" t="inlineStr">
        <is>
          <t>VAL.</t>
        </is>
      </c>
      <c r="H1" s="9" t="inlineStr">
        <is>
          <t>PREZZO €</t>
        </is>
      </c>
      <c r="I1" s="9" t="inlineStr">
        <is>
          <t>CAP. MLN €</t>
        </is>
      </c>
      <c r="J1" s="9" t="inlineStr">
        <is>
          <t>CAP. MLN
locale</t>
        </is>
      </c>
      <c r="K1" s="9" t="inlineStr">
        <is>
          <t>EPS TTM</t>
        </is>
      </c>
      <c r="L1" s="9" t="inlineStr">
        <is>
          <t>EPS ATTESO</t>
        </is>
      </c>
      <c r="M1" s="9" t="inlineStr">
        <is>
          <t>P/E</t>
        </is>
      </c>
      <c r="N1" s="9" t="inlineStr">
        <is>
          <t>P/B</t>
        </is>
      </c>
      <c r="O1" s="9" t="inlineStr">
        <is>
          <t>ROE IMPL.</t>
        </is>
      </c>
      <c r="P1" s="9" t="inlineStr">
        <is>
          <t>ROE 1a</t>
        </is>
      </c>
      <c r="Q1" s="9" t="inlineStr">
        <is>
          <t>ROE 5a</t>
        </is>
      </c>
      <c r="R1" s="9" t="inlineStr">
        <is>
          <t>VARIAB.
ROE</t>
        </is>
      </c>
      <c r="S1" s="9" t="inlineStr">
        <is>
          <t>ANNI</t>
        </is>
      </c>
      <c r="T1" s="9" t="inlineStr">
        <is>
          <t>2026</t>
        </is>
      </c>
      <c r="U1" s="9" t="inlineStr">
        <is>
          <t>2025</t>
        </is>
      </c>
      <c r="V1" s="9" t="inlineStr">
        <is>
          <t>2024</t>
        </is>
      </c>
      <c r="W1" s="9" t="inlineStr">
        <is>
          <t>2023</t>
        </is>
      </c>
      <c r="X1" s="9" t="inlineStr">
        <is>
          <t>2022</t>
        </is>
      </c>
      <c r="Y1" s="9" t="inlineStr">
        <is>
          <t>DIVID.</t>
        </is>
      </c>
      <c r="Z1" s="9" t="inlineStr">
        <is>
          <t>RENDIM.</t>
        </is>
      </c>
      <c r="AA1" s="9" t="inlineStr">
        <is>
          <t>DEBITO/MP</t>
        </is>
      </c>
      <c r="AB1" s="9" t="inlineStr">
        <is>
          <t>CRESC.
RICAVI</t>
        </is>
      </c>
      <c r="AC1" s="9" t="inlineStr">
        <is>
          <t>MARGINE</t>
        </is>
      </c>
      <c r="AD1" s="9" t="inlineStr">
        <is>
          <t>PUNTEGGIO</t>
        </is>
      </c>
      <c r="AE1" s="9" t="inlineStr">
        <is>
          <t>ESITO ROE</t>
        </is>
      </c>
      <c r="AF1" s="9" t="inlineStr">
        <is>
          <t>ESITO P/E</t>
        </is>
      </c>
      <c r="AG1" s="9" t="inlineStr">
        <is>
          <t>GIUDIZIO</t>
        </is>
      </c>
      <c r="AH1" s="9" t="inlineStr">
        <is>
          <t>RILEVATO</t>
        </is>
      </c>
      <c r="AI1" s="9" t="inlineStr">
        <is>
          <t>FONTE</t>
        </is>
      </c>
      <c r="AJ1" s="9" t="inlineStr">
        <is>
          <t>NOTE</t>
        </is>
      </c>
    </row>
    <row r="2">
      <c r="A2" s="10">
        <f>IF(AD2="","",RANK(AD2,AD$2:AD$21))</f>
        <v/>
      </c>
      <c r="B2" s="11" t="inlineStr">
        <is>
          <t>Prosus</t>
        </is>
      </c>
      <c r="C2" s="12" t="inlineStr">
        <is>
          <t>PRX.AS</t>
        </is>
      </c>
      <c r="D2" s="11" t="inlineStr">
        <is>
          <t>Holding tecnologica</t>
        </is>
      </c>
      <c r="E2" s="13" t="inlineStr">
        <is>
          <t>Finanziario</t>
        </is>
      </c>
      <c r="F2" s="14" t="n">
        <v>35.87</v>
      </c>
      <c r="G2" s="15" t="inlineStr">
        <is>
          <t>EUR</t>
        </is>
      </c>
      <c r="H2" s="14" t="n">
        <v>35.87</v>
      </c>
      <c r="I2" s="16" t="n">
        <v>74966.7</v>
      </c>
      <c r="J2" s="16" t="n">
        <v>74966.7</v>
      </c>
      <c r="K2" s="14" t="n">
        <v>4.51</v>
      </c>
      <c r="L2" s="14" t="n">
        <v>4.325</v>
      </c>
      <c r="M2" s="17">
        <f>IF(OR(F2="",K2="",K2&lt;=0),"",F2/K2)</f>
        <v/>
      </c>
      <c r="N2" s="18" t="n">
        <v>1.6586562</v>
      </c>
      <c r="O2" s="19">
        <f>IF(OR(N2="",M2="",M2&lt;=0),"",N2/M2)</f>
        <v/>
      </c>
      <c r="P2" s="20" t="n">
        <v>0.22213</v>
      </c>
      <c r="Q2" s="20" t="n">
        <v>0.2113841225555033</v>
      </c>
      <c r="R2" s="20" t="n">
        <v>0.03100412020739406</v>
      </c>
      <c r="S2" s="21" t="n">
        <v>4</v>
      </c>
      <c r="T2" s="20" t="n">
        <v>0.2163961250255667</v>
      </c>
      <c r="U2" s="20" t="n">
        <v>0.242271676527054</v>
      </c>
      <c r="V2" s="20" t="n">
        <v>0.160106640814348</v>
      </c>
      <c r="W2" s="20" t="n">
        <v>0.2267620478550445</v>
      </c>
      <c r="X2" s="20" t="n"/>
      <c r="Y2" s="14" t="n">
        <v>0.28</v>
      </c>
      <c r="Z2" s="19">
        <f>IF(OR(Y2="",F2="",F2=0),"",Y2/F2)</f>
        <v/>
      </c>
      <c r="AA2" s="22" t="n">
        <v>32.874</v>
      </c>
      <c r="AB2" s="20" t="n"/>
      <c r="AC2" s="20" t="n">
        <v>1.200309165172591</v>
      </c>
      <c r="AD2" s="17">
        <f>IF(OR(Q2="",M2="",M2&lt;=0),"",ROUND(40*MAX(0,MIN(N(Q2)/0.3,1))+IF(OR(R2="",N(Q2)&lt;=0),10,20*MAX(0,1-MIN(R2/Q2,1)))+30*MAX(0,MIN((PARAMETRI!$B$5-M2)/MAX(PARAMETRI!$B$5-10,1),1))+IF(AB2="",3,10*MAX(0,MIN(AB2/0.15,1)))+IF(AND(P2&lt;&gt;"",N(P2)&lt;N(Q2)*0.6),-8,0),1))</f>
        <v/>
      </c>
      <c r="AE2" s="13">
        <f>IF(AND(P2="",Q2=""),"DATI MANCANTI",IF(AND(N(P2)&gt;=PARAMETRI!$B$4,N(Q2)&gt;=PARAMETRI!$B$4),"OK","NO"))</f>
        <v/>
      </c>
      <c r="AF2" s="13">
        <f>IF(M2="","N/D",IF(M2&lt;PARAMETRI!$B$6,"OTTIMO",IF(M2&lt;PARAMETRI!$B$5,"OK","NO")))</f>
        <v/>
      </c>
      <c r="AG2" s="13">
        <f>IF(OR(AE2="DATI MANCANTI",AF2="N/D"),"DA COMPLETARE",IF(AND(AE2="OK",AF2="OTTIMO"),"PASSA FORTE",IF(AND(AE2="OK",AF2="OK"),"PASSA","SCARTA")))</f>
        <v/>
      </c>
      <c r="AH2" s="11" t="inlineStr">
        <is>
          <t>2026-10-12</t>
        </is>
      </c>
      <c r="AI2" s="11" t="inlineStr">
        <is>
          <t>yahoo</t>
        </is>
      </c>
      <c r="AJ2" s="23" t="inlineStr"/>
    </row>
    <row r="3">
      <c r="A3" s="10">
        <f>IF(AD3="","",RANK(AD3,AD$2:AD$21))</f>
        <v/>
      </c>
      <c r="B3" s="11" t="inlineStr">
        <is>
          <t>Wolters Kluwer</t>
        </is>
      </c>
      <c r="C3" s="12" t="inlineStr">
        <is>
          <t>WKL.AS</t>
        </is>
      </c>
      <c r="D3" s="11" t="inlineStr">
        <is>
          <t>Informazione professionale</t>
        </is>
      </c>
      <c r="E3" s="13" t="inlineStr">
        <is>
          <t>Tecnologia</t>
        </is>
      </c>
      <c r="F3" s="14" t="n">
        <v>77.16</v>
      </c>
      <c r="G3" s="15" t="inlineStr">
        <is>
          <t>EUR</t>
        </is>
      </c>
      <c r="H3" s="14" t="n">
        <v>77.16</v>
      </c>
      <c r="I3" s="16" t="n">
        <v>17163.2</v>
      </c>
      <c r="J3" s="16" t="n">
        <v>17163.2</v>
      </c>
      <c r="K3" s="14" t="n">
        <v>5.85</v>
      </c>
      <c r="L3" s="14" t="n">
        <v>6.18606</v>
      </c>
      <c r="M3" s="17">
        <f>IF(OR(F3="",K3="",K3&lt;=0),"",F3/K3)</f>
        <v/>
      </c>
      <c r="N3" s="18" t="n">
        <v>18.32344</v>
      </c>
      <c r="O3" s="19">
        <f>IF(OR(N3="",M3="",M3&lt;=0),"",N3/M3)</f>
        <v/>
      </c>
      <c r="P3" s="20" t="n">
        <v>1.46141</v>
      </c>
      <c r="Q3" s="20" t="n">
        <v>0.8394564854324691</v>
      </c>
      <c r="R3" s="20" t="n">
        <v>0.4703152761290522</v>
      </c>
      <c r="S3" s="21" t="n">
        <v>4</v>
      </c>
      <c r="T3" s="20" t="n"/>
      <c r="U3" s="20" t="n">
        <v>1.639097744360902</v>
      </c>
      <c r="V3" s="20" t="n">
        <v>0.6983818770226538</v>
      </c>
      <c r="W3" s="20" t="n">
        <v>0.5757575757575758</v>
      </c>
      <c r="X3" s="20" t="n">
        <v>0.4445887445887446</v>
      </c>
      <c r="Y3" s="14" t="n">
        <v>2.6</v>
      </c>
      <c r="Z3" s="19">
        <f>IF(OR(Y3="",F3="",F3=0),"",Y3/F3)</f>
        <v/>
      </c>
      <c r="AA3" s="22" t="n">
        <v>590.213</v>
      </c>
      <c r="AB3" s="20" t="n">
        <v>-0.006</v>
      </c>
      <c r="AC3" s="20" t="n">
        <v>0.217959194122449</v>
      </c>
      <c r="AD3" s="17">
        <f>IF(OR(Q3="",M3="",M3&lt;=0),"",ROUND(40*MAX(0,MIN(N(Q3)/0.3,1))+IF(OR(R3="",N(Q3)&lt;=0),10,20*MAX(0,1-MIN(R3/Q3,1)))+30*MAX(0,MIN((PARAMETRI!$B$5-M3)/MAX(PARAMETRI!$B$5-10,1),1))+IF(AB3="",3,10*MAX(0,MIN(AB3/0.15,1)))+IF(AND(P3&lt;&gt;"",N(P3)&lt;N(Q3)*0.6),-8,0),1))</f>
        <v/>
      </c>
      <c r="AE3" s="13">
        <f>IF(AND(P3="",Q3=""),"DATI MANCANTI",IF(AND(N(P3)&gt;=PARAMETRI!$B$4,N(Q3)&gt;=PARAMETRI!$B$4),"OK","NO"))</f>
        <v/>
      </c>
      <c r="AF3" s="13">
        <f>IF(M3="","N/D",IF(M3&lt;PARAMETRI!$B$6,"OTTIMO",IF(M3&lt;PARAMETRI!$B$5,"OK","NO")))</f>
        <v/>
      </c>
      <c r="AG3" s="13">
        <f>IF(OR(AE3="DATI MANCANTI",AF3="N/D"),"DA COMPLETARE",IF(AND(AE3="OK",AF3="OTTIMO"),"PASSA FORTE",IF(AND(AE3="OK",AF3="OK"),"PASSA","SCARTA")))</f>
        <v/>
      </c>
      <c r="AH3" s="11" t="inlineStr">
        <is>
          <t>2026-10-12</t>
        </is>
      </c>
      <c r="AI3" s="11" t="inlineStr">
        <is>
          <t>yahoo</t>
        </is>
      </c>
      <c r="AJ3" s="23" t="inlineStr"/>
    </row>
    <row r="4">
      <c r="A4" s="10">
        <f>IF(AD4="","",RANK(AD4,AD$2:AD$21))</f>
        <v/>
      </c>
      <c r="B4" s="11" t="inlineStr">
        <is>
          <t>BE Semiconductor</t>
        </is>
      </c>
      <c r="C4" s="12" t="inlineStr">
        <is>
          <t>BESI.AS</t>
        </is>
      </c>
      <c r="D4" s="11" t="inlineStr">
        <is>
          <t>Apparecchiature semicond.</t>
        </is>
      </c>
      <c r="E4" s="13" t="inlineStr">
        <is>
          <t>Tecnologia</t>
        </is>
      </c>
      <c r="F4" s="14" t="n">
        <v>175.6</v>
      </c>
      <c r="G4" s="15" t="inlineStr">
        <is>
          <t>EUR</t>
        </is>
      </c>
      <c r="H4" s="14" t="n">
        <v>175.6</v>
      </c>
      <c r="I4" s="16" t="n">
        <v>13892.4</v>
      </c>
      <c r="J4" s="16" t="n">
        <v>13892.4</v>
      </c>
      <c r="K4" s="14" t="n">
        <v>2.62</v>
      </c>
      <c r="L4" s="14" t="n">
        <v>6.56014</v>
      </c>
      <c r="M4" s="17">
        <f>IF(OR(F4="",K4="",K4&lt;=0),"",F4/K4)</f>
        <v/>
      </c>
      <c r="N4" s="18" t="n">
        <v>24.756804</v>
      </c>
      <c r="O4" s="19">
        <f>IF(OR(N4="",M4="",M4&lt;=0),"",N4/M4)</f>
        <v/>
      </c>
      <c r="P4" s="20" t="n">
        <v>0.44873002</v>
      </c>
      <c r="Q4" s="20" t="n">
        <v>0.3705734285338295</v>
      </c>
      <c r="R4" s="20" t="n">
        <v>0.03753164753330356</v>
      </c>
      <c r="S4" s="21" t="n">
        <v>4</v>
      </c>
      <c r="T4" s="20" t="n"/>
      <c r="U4" s="20" t="n">
        <v>0.3161430077546188</v>
      </c>
      <c r="V4" s="20" t="n">
        <v>0.363066168725462</v>
      </c>
      <c r="W4" s="20" t="n">
        <v>0.4202148486164404</v>
      </c>
      <c r="X4" s="20" t="n">
        <v>0.3828696890387966</v>
      </c>
      <c r="Y4" s="14" t="n">
        <v>1.58</v>
      </c>
      <c r="Z4" s="19">
        <f>IF(OR(Y4="",F4="",F4=0),"",Y4/F4)</f>
        <v/>
      </c>
      <c r="AA4" s="22" t="n">
        <v>62.453</v>
      </c>
      <c r="AB4" s="20" t="n">
        <v>0.6870000000000001</v>
      </c>
      <c r="AC4" s="20" t="n">
        <v>0.3528751240844806</v>
      </c>
      <c r="AD4" s="17">
        <f>IF(OR(Q4="",M4="",M4&lt;=0),"",ROUND(40*MAX(0,MIN(N(Q4)/0.3,1))+IF(OR(R4="",N(Q4)&lt;=0),10,20*MAX(0,1-MIN(R4/Q4,1)))+30*MAX(0,MIN((PARAMETRI!$B$5-M4)/MAX(PARAMETRI!$B$5-10,1),1))+IF(AB4="",3,10*MAX(0,MIN(AB4/0.15,1)))+IF(AND(P4&lt;&gt;"",N(P4)&lt;N(Q4)*0.6),-8,0),1))</f>
        <v/>
      </c>
      <c r="AE4" s="13">
        <f>IF(AND(P4="",Q4=""),"DATI MANCANTI",IF(AND(N(P4)&gt;=PARAMETRI!$B$4,N(Q4)&gt;=PARAMETRI!$B$4),"OK","NO"))</f>
        <v/>
      </c>
      <c r="AF4" s="13">
        <f>IF(M4="","N/D",IF(M4&lt;PARAMETRI!$B$6,"OTTIMO",IF(M4&lt;PARAMETRI!$B$5,"OK","NO")))</f>
        <v/>
      </c>
      <c r="AG4" s="13">
        <f>IF(OR(AE4="DATI MANCANTI",AF4="N/D"),"DA COMPLETARE",IF(AND(AE4="OK",AF4="OTTIMO"),"PASSA FORTE",IF(AND(AE4="OK",AF4="OK"),"PASSA","SCARTA")))</f>
        <v/>
      </c>
      <c r="AH4" s="11" t="inlineStr">
        <is>
          <t>2026-10-12</t>
        </is>
      </c>
      <c r="AI4" s="11" t="inlineStr">
        <is>
          <t>yahoo</t>
        </is>
      </c>
      <c r="AJ4" s="23" t="inlineStr"/>
    </row>
    <row r="5">
      <c r="A5" s="10">
        <f>IF(AD5="","",RANK(AD5,AD$2:AD$21))</f>
        <v/>
      </c>
      <c r="B5" s="11" t="inlineStr">
        <is>
          <t>ASML Holding</t>
        </is>
      </c>
      <c r="C5" s="12" t="inlineStr">
        <is>
          <t>ASML.AS</t>
        </is>
      </c>
      <c r="D5" s="11" t="inlineStr">
        <is>
          <t>Apparecchiature semicond.</t>
        </is>
      </c>
      <c r="E5" s="13" t="inlineStr">
        <is>
          <t>Tecnologia</t>
        </is>
      </c>
      <c r="F5" s="14" t="n">
        <v>1575.8</v>
      </c>
      <c r="G5" s="15" t="inlineStr">
        <is>
          <t>EUR</t>
        </is>
      </c>
      <c r="H5" s="14" t="n">
        <v>1575.8</v>
      </c>
      <c r="I5" s="16" t="n">
        <v>605264.8</v>
      </c>
      <c r="J5" s="16" t="n">
        <v>605264.8</v>
      </c>
      <c r="K5" s="14" t="n">
        <v>26.41</v>
      </c>
      <c r="L5" s="14" t="n">
        <v>52.19599</v>
      </c>
      <c r="M5" s="17">
        <f>IF(OR(F5="",K5="",K5&lt;=0),"",F5/K5)</f>
        <v/>
      </c>
      <c r="N5" s="18" t="n">
        <v>27.732218</v>
      </c>
      <c r="O5" s="19">
        <f>IF(OR(N5="",M5="",M5&lt;=0),"",N5/M5)</f>
        <v/>
      </c>
      <c r="P5" s="20" t="n">
        <v>0.53942</v>
      </c>
      <c r="Q5" s="20" t="n">
        <v>0.53942</v>
      </c>
      <c r="R5" s="20" t="n"/>
      <c r="S5" s="21" t="n">
        <v>0</v>
      </c>
      <c r="T5" s="20" t="n"/>
      <c r="U5" s="20" t="n">
        <v>0.4899705285485565</v>
      </c>
      <c r="V5" s="20" t="n">
        <v>0.4097895739521995</v>
      </c>
      <c r="W5" s="20" t="n">
        <v>0.5827212988017008</v>
      </c>
      <c r="X5" s="20" t="n">
        <v>0.6383302310800382</v>
      </c>
      <c r="Y5" s="14" t="n">
        <v>7.78</v>
      </c>
      <c r="Z5" s="19">
        <f>IF(OR(Y5="",F5="",F5=0),"",Y5/F5)</f>
        <v/>
      </c>
      <c r="AA5" s="22" t="n">
        <v>9.092000000000001</v>
      </c>
      <c r="AB5" s="20" t="n">
        <v>0.213</v>
      </c>
      <c r="AC5" s="20" t="n">
        <v>0.3256589766524935</v>
      </c>
      <c r="AD5" s="17">
        <f>IF(OR(Q5="",M5="",M5&lt;=0),"",ROUND(40*MAX(0,MIN(N(Q5)/0.3,1))+IF(OR(R5="",N(Q5)&lt;=0),10,20*MAX(0,1-MIN(R5/Q5,1)))+30*MAX(0,MIN((PARAMETRI!$B$5-M5)/MAX(PARAMETRI!$B$5-10,1),1))+IF(AB5="",3,10*MAX(0,MIN(AB5/0.15,1)))+IF(AND(P5&lt;&gt;"",N(P5)&lt;N(Q5)*0.6),-8,0),1))</f>
        <v/>
      </c>
      <c r="AE5" s="13">
        <f>IF(AND(P5="",Q5=""),"DATI MANCANTI",IF(AND(N(P5)&gt;=PARAMETRI!$B$4,N(Q5)&gt;=PARAMETRI!$B$4),"OK","NO"))</f>
        <v/>
      </c>
      <c r="AF5" s="13">
        <f>IF(M5="","N/D",IF(M5&lt;PARAMETRI!$B$6,"OTTIMO",IF(M5&lt;PARAMETRI!$B$5,"OK","NO")))</f>
        <v/>
      </c>
      <c r="AG5" s="13">
        <f>IF(OR(AE5="DATI MANCANTI",AF5="N/D"),"DA COMPLETARE",IF(AND(AE5="OK",AF5="OTTIMO"),"PASSA FORTE",IF(AND(AE5="OK",AF5="OK"),"PASSA","SCARTA")))</f>
        <v/>
      </c>
      <c r="AH5" s="11" t="inlineStr">
        <is>
          <t>2026-10-12</t>
        </is>
      </c>
      <c r="AI5" s="11" t="inlineStr">
        <is>
          <t>yahoo</t>
        </is>
      </c>
      <c r="AJ5" s="23" t="inlineStr"/>
    </row>
    <row r="6">
      <c r="A6" s="10">
        <f>IF(AD6="","",RANK(AD6,AD$2:AD$21))</f>
        <v/>
      </c>
      <c r="B6" s="11" t="inlineStr">
        <is>
          <t>ING Groep</t>
        </is>
      </c>
      <c r="C6" s="12" t="inlineStr">
        <is>
          <t>INGA.AS</t>
        </is>
      </c>
      <c r="D6" s="11" t="inlineStr">
        <is>
          <t>Banca</t>
        </is>
      </c>
      <c r="E6" s="13" t="inlineStr">
        <is>
          <t>Finanziario</t>
        </is>
      </c>
      <c r="F6" s="14" t="n">
        <v>30.035</v>
      </c>
      <c r="G6" s="15" t="inlineStr">
        <is>
          <t>EUR</t>
        </is>
      </c>
      <c r="H6" s="14" t="n">
        <v>30.035</v>
      </c>
      <c r="I6" s="16" t="n">
        <v>84875.7</v>
      </c>
      <c r="J6" s="16" t="n">
        <v>84875.7</v>
      </c>
      <c r="K6" s="14" t="n">
        <v>2.29</v>
      </c>
      <c r="L6" s="14" t="n">
        <v>2.94551</v>
      </c>
      <c r="M6" s="17">
        <f>IF(OR(F6="",K6="",K6&lt;=0),"",F6/K6)</f>
        <v/>
      </c>
      <c r="N6" s="18" t="n">
        <v>1.709448</v>
      </c>
      <c r="O6" s="19">
        <f>IF(OR(N6="",M6="",M6&lt;=0),"",N6/M6)</f>
        <v/>
      </c>
      <c r="P6" s="20" t="n">
        <v>0.17124</v>
      </c>
      <c r="Q6" s="20" t="n">
        <v>0.117547309882503</v>
      </c>
      <c r="R6" s="20" t="n">
        <v>0.0260961887294976</v>
      </c>
      <c r="S6" s="21" t="n">
        <v>4</v>
      </c>
      <c r="T6" s="20" t="n"/>
      <c r="U6" s="20" t="n">
        <v>0.1273089460340456</v>
      </c>
      <c r="V6" s="20" t="n">
        <v>0.1270447001768926</v>
      </c>
      <c r="W6" s="20" t="n">
        <v>0.1422186658339514</v>
      </c>
      <c r="X6" s="20" t="n">
        <v>0.07361692748512233</v>
      </c>
      <c r="Y6" s="14" t="n">
        <v>1.14</v>
      </c>
      <c r="Z6" s="19">
        <f>IF(OR(Y6="",F6="",F6=0),"",Y6/F6)</f>
        <v/>
      </c>
      <c r="AA6" s="22" t="n"/>
      <c r="AB6" s="20" t="n">
        <v>0.111</v>
      </c>
      <c r="AC6" s="20" t="n">
        <v>0.3797319100554513</v>
      </c>
      <c r="AD6" s="17">
        <f>IF(OR(Q6="",M6="",M6&lt;=0),"",ROUND(40*MAX(0,MIN(N(Q6)/0.3,1))+IF(OR(R6="",N(Q6)&lt;=0),10,20*MAX(0,1-MIN(R6/Q6,1)))+30*MAX(0,MIN((PARAMETRI!$B$5-M6)/MAX(PARAMETRI!$B$5-10,1),1))+IF(AB6="",3,10*MAX(0,MIN(AB6/0.15,1)))+IF(AND(P6&lt;&gt;"",N(P6)&lt;N(Q6)*0.6),-8,0),1))</f>
        <v/>
      </c>
      <c r="AE6" s="13">
        <f>IF(AND(P6="",Q6=""),"DATI MANCANTI",IF(AND(N(P6)&gt;=PARAMETRI!$B$4,N(Q6)&gt;=PARAMETRI!$B$4),"OK","NO"))</f>
        <v/>
      </c>
      <c r="AF6" s="13">
        <f>IF(M6="","N/D",IF(M6&lt;PARAMETRI!$B$6,"OTTIMO",IF(M6&lt;PARAMETRI!$B$5,"OK","NO")))</f>
        <v/>
      </c>
      <c r="AG6" s="13">
        <f>IF(OR(AE6="DATI MANCANTI",AF6="N/D"),"DA COMPLETARE",IF(AND(AE6="OK",AF6="OTTIMO"),"PASSA FORTE",IF(AND(AE6="OK",AF6="OK"),"PASSA","SCARTA")))</f>
        <v/>
      </c>
      <c r="AH6" s="11" t="inlineStr">
        <is>
          <t>2026-10-12</t>
        </is>
      </c>
      <c r="AI6" s="11" t="inlineStr">
        <is>
          <t>yahoo</t>
        </is>
      </c>
      <c r="AJ6" s="23" t="inlineStr"/>
    </row>
    <row r="7">
      <c r="A7" s="10">
        <f>IF(AD7="","",RANK(AD7,AD$2:AD$21))</f>
        <v/>
      </c>
      <c r="B7" s="11" t="inlineStr">
        <is>
          <t>KPN</t>
        </is>
      </c>
      <c r="C7" s="12" t="inlineStr">
        <is>
          <t>KPN.AS</t>
        </is>
      </c>
      <c r="D7" s="11" t="inlineStr">
        <is>
          <t>Telecomunicazioni</t>
        </is>
      </c>
      <c r="E7" s="13" t="inlineStr">
        <is>
          <t>Industriale</t>
        </is>
      </c>
      <c r="F7" s="14" t="n">
        <v>3.88</v>
      </c>
      <c r="G7" s="15" t="inlineStr">
        <is>
          <t>EUR</t>
        </is>
      </c>
      <c r="H7" s="14" t="n">
        <v>3.88</v>
      </c>
      <c r="I7" s="16" t="n">
        <v>14635.8</v>
      </c>
      <c r="J7" s="16" t="n">
        <v>14635.8</v>
      </c>
      <c r="K7" s="14" t="n">
        <v>0.22</v>
      </c>
      <c r="L7" s="14" t="n">
        <v>0.26973</v>
      </c>
      <c r="M7" s="17">
        <f>IF(OR(F7="",K7="",K7&lt;=0),"",F7/K7)</f>
        <v/>
      </c>
      <c r="N7" s="18" t="n">
        <v>6.3815794</v>
      </c>
      <c r="O7" s="19">
        <f>IF(OR(N7="",M7="",M7&lt;=0),"",N7/M7)</f>
        <v/>
      </c>
      <c r="P7" s="20" t="n">
        <v>0.26111</v>
      </c>
      <c r="Q7" s="20" t="n">
        <v>0.2322421454389839</v>
      </c>
      <c r="R7" s="20" t="n">
        <v>0.01386888068970513</v>
      </c>
      <c r="S7" s="21" t="n">
        <v>4</v>
      </c>
      <c r="T7" s="20" t="n"/>
      <c r="U7" s="20" t="n">
        <v>0.243104918965027</v>
      </c>
      <c r="V7" s="20" t="n">
        <v>0.2401585952987822</v>
      </c>
      <c r="W7" s="20" t="n">
        <v>0.2372119168071951</v>
      </c>
      <c r="X7" s="20" t="n">
        <v>0.2084931506849315</v>
      </c>
      <c r="Y7" s="14" t="n">
        <v>0.19</v>
      </c>
      <c r="Z7" s="19">
        <f>IF(OR(Y7="",F7="",F7=0),"",Y7/F7)</f>
        <v/>
      </c>
      <c r="AA7" s="22" t="n">
        <v>218.133</v>
      </c>
      <c r="AB7" s="20" t="n">
        <v>0.005</v>
      </c>
      <c r="AC7" s="20" t="n">
        <v>0.1428324995687424</v>
      </c>
      <c r="AD7" s="17">
        <f>IF(OR(Q7="",M7="",M7&lt;=0),"",ROUND(40*MAX(0,MIN(N(Q7)/0.3,1))+IF(OR(R7="",N(Q7)&lt;=0),10,20*MAX(0,1-MIN(R7/Q7,1)))+30*MAX(0,MIN((PARAMETRI!$B$5-M7)/MAX(PARAMETRI!$B$5-10,1),1))+IF(AB7="",3,10*MAX(0,MIN(AB7/0.15,1)))+IF(AND(P7&lt;&gt;"",N(P7)&lt;N(Q7)*0.6),-8,0),1))</f>
        <v/>
      </c>
      <c r="AE7" s="13">
        <f>IF(AND(P7="",Q7=""),"DATI MANCANTI",IF(AND(N(P7)&gt;=PARAMETRI!$B$4,N(Q7)&gt;=PARAMETRI!$B$4),"OK","NO"))</f>
        <v/>
      </c>
      <c r="AF7" s="13">
        <f>IF(M7="","N/D",IF(M7&lt;PARAMETRI!$B$6,"OTTIMO",IF(M7&lt;PARAMETRI!$B$5,"OK","NO")))</f>
        <v/>
      </c>
      <c r="AG7" s="13">
        <f>IF(OR(AE7="DATI MANCANTI",AF7="N/D"),"DA COMPLETARE",IF(AND(AE7="OK",AF7="OTTIMO"),"PASSA FORTE",IF(AND(AE7="OK",AF7="OK"),"PASSA","SCARTA")))</f>
        <v/>
      </c>
      <c r="AH7" s="11" t="inlineStr">
        <is>
          <t>2026-10-12</t>
        </is>
      </c>
      <c r="AI7" s="11" t="inlineStr">
        <is>
          <t>yahoo</t>
        </is>
      </c>
      <c r="AJ7" s="23" t="inlineStr"/>
    </row>
    <row r="8">
      <c r="A8" s="10">
        <f>IF(AD8="","",RANK(AD8,AD$2:AD$21))</f>
        <v/>
      </c>
      <c r="B8" s="11" t="inlineStr">
        <is>
          <t>Ahold Delhaize</t>
        </is>
      </c>
      <c r="C8" s="12" t="inlineStr">
        <is>
          <t>AD.AS</t>
        </is>
      </c>
      <c r="D8" s="11" t="inlineStr">
        <is>
          <t>Grande distribuzione</t>
        </is>
      </c>
      <c r="E8" s="13" t="inlineStr">
        <is>
          <t>Consumi</t>
        </is>
      </c>
      <c r="F8" s="14" t="n">
        <v>31.38</v>
      </c>
      <c r="G8" s="15" t="inlineStr">
        <is>
          <t>EUR</t>
        </is>
      </c>
      <c r="H8" s="14" t="n">
        <v>31.38</v>
      </c>
      <c r="I8" s="16" t="n">
        <v>27395.1</v>
      </c>
      <c r="J8" s="16" t="n">
        <v>27395.1</v>
      </c>
      <c r="K8" s="14" t="n">
        <v>2.52</v>
      </c>
      <c r="L8" s="14" t="n">
        <v>2.91782</v>
      </c>
      <c r="M8" s="17">
        <f>IF(OR(F8="",K8="",K8&lt;=0),"",F8/K8)</f>
        <v/>
      </c>
      <c r="N8" s="18" t="n">
        <v>1.898137</v>
      </c>
      <c r="O8" s="19">
        <f>IF(OR(N8="",M8="",M8&lt;=0),"",N8/M8)</f>
        <v/>
      </c>
      <c r="P8" s="20" t="n">
        <v>0.15675999</v>
      </c>
      <c r="Q8" s="20" t="n">
        <v>0.15675999</v>
      </c>
      <c r="R8" s="20" t="n"/>
      <c r="S8" s="21" t="n">
        <v>0</v>
      </c>
      <c r="T8" s="20" t="n"/>
      <c r="U8" s="20" t="n">
        <v>0.1594927791475872</v>
      </c>
      <c r="V8" s="20" t="n">
        <v>0.1141452051248868</v>
      </c>
      <c r="W8" s="20" t="n">
        <v>0.1270077939681464</v>
      </c>
      <c r="X8" s="20" t="n">
        <v>0.1652710159039273</v>
      </c>
      <c r="Y8" s="14" t="n">
        <v>1.24</v>
      </c>
      <c r="Z8" s="19">
        <f>IF(OR(Y8="",F8="",F8=0),"",Y8/F8)</f>
        <v/>
      </c>
      <c r="AA8" s="22" t="n">
        <v>133.34</v>
      </c>
      <c r="AB8" s="20" t="n">
        <v>0.003</v>
      </c>
      <c r="AC8" s="20" t="n">
        <v>0.02423336936936937</v>
      </c>
      <c r="AD8" s="17">
        <f>IF(OR(Q8="",M8="",M8&lt;=0),"",ROUND(40*MAX(0,MIN(N(Q8)/0.3,1))+IF(OR(R8="",N(Q8)&lt;=0),10,20*MAX(0,1-MIN(R8/Q8,1)))+30*MAX(0,MIN((PARAMETRI!$B$5-M8)/MAX(PARAMETRI!$B$5-10,1),1))+IF(AB8="",3,10*MAX(0,MIN(AB8/0.15,1)))+IF(AND(P8&lt;&gt;"",N(P8)&lt;N(Q8)*0.6),-8,0),1))</f>
        <v/>
      </c>
      <c r="AE8" s="13">
        <f>IF(AND(P8="",Q8=""),"DATI MANCANTI",IF(AND(N(P8)&gt;=PARAMETRI!$B$4,N(Q8)&gt;=PARAMETRI!$B$4),"OK","NO"))</f>
        <v/>
      </c>
      <c r="AF8" s="13">
        <f>IF(M8="","N/D",IF(M8&lt;PARAMETRI!$B$6,"OTTIMO",IF(M8&lt;PARAMETRI!$B$5,"OK","NO")))</f>
        <v/>
      </c>
      <c r="AG8" s="13">
        <f>IF(OR(AE8="DATI MANCANTI",AF8="N/D"),"DA COMPLETARE",IF(AND(AE8="OK",AF8="OTTIMO"),"PASSA FORTE",IF(AND(AE8="OK",AF8="OK"),"PASSA","SCARTA")))</f>
        <v/>
      </c>
      <c r="AH8" s="11" t="inlineStr">
        <is>
          <t>2026-10-12</t>
        </is>
      </c>
      <c r="AI8" s="11" t="inlineStr">
        <is>
          <t>yahoo</t>
        </is>
      </c>
      <c r="AJ8" s="23" t="inlineStr"/>
    </row>
    <row r="9">
      <c r="A9" s="10">
        <f>IF(AD9="","",RANK(AD9,AD$2:AD$21))</f>
        <v/>
      </c>
      <c r="B9" s="11" t="inlineStr">
        <is>
          <t>ABN AMRO</t>
        </is>
      </c>
      <c r="C9" s="12" t="inlineStr">
        <is>
          <t>ABN.AS</t>
        </is>
      </c>
      <c r="D9" s="11" t="inlineStr">
        <is>
          <t>Banca</t>
        </is>
      </c>
      <c r="E9" s="13" t="inlineStr">
        <is>
          <t>Finanziario</t>
        </is>
      </c>
      <c r="F9" s="14" t="n">
        <v>40.75</v>
      </c>
      <c r="G9" s="15" t="inlineStr">
        <is>
          <t>EUR</t>
        </is>
      </c>
      <c r="H9" s="14" t="n">
        <v>40.75</v>
      </c>
      <c r="I9" s="16" t="n">
        <v>33208.6</v>
      </c>
      <c r="J9" s="16" t="n">
        <v>33208.6</v>
      </c>
      <c r="K9" s="14" t="n">
        <v>2.78</v>
      </c>
      <c r="L9" s="14" t="n">
        <v>3.77088</v>
      </c>
      <c r="M9" s="17">
        <f>IF(OR(F9="",K9="",K9&lt;=0),"",F9/K9)</f>
        <v/>
      </c>
      <c r="N9" s="18" t="n">
        <v>1.2148224</v>
      </c>
      <c r="O9" s="19">
        <f>IF(OR(N9="",M9="",M9&lt;=0),"",N9/M9)</f>
        <v/>
      </c>
      <c r="P9" s="20" t="n">
        <v>0.0912</v>
      </c>
      <c r="Q9" s="20" t="n">
        <v>0.09219355240720387</v>
      </c>
      <c r="R9" s="20" t="n">
        <v>0.01186740445601576</v>
      </c>
      <c r="S9" s="21" t="n">
        <v>4</v>
      </c>
      <c r="T9" s="20" t="n"/>
      <c r="U9" s="20" t="n">
        <v>0.08328402366863906</v>
      </c>
      <c r="V9" s="20" t="n">
        <v>0.09204780510227534</v>
      </c>
      <c r="W9" s="20" t="n">
        <v>0.1116030787056195</v>
      </c>
      <c r="X9" s="20" t="n">
        <v>0.08183930215228159</v>
      </c>
      <c r="Y9" s="14" t="n">
        <v>1.38</v>
      </c>
      <c r="Z9" s="19">
        <f>IF(OR(Y9="",F9="",F9=0),"",Y9/F9)</f>
        <v/>
      </c>
      <c r="AA9" s="22" t="n"/>
      <c r="AB9" s="20" t="n">
        <v>0.118</v>
      </c>
      <c r="AC9" s="20" t="n">
        <v>0.2616811653687586</v>
      </c>
      <c r="AD9" s="17">
        <f>IF(OR(Q9="",M9="",M9&lt;=0),"",ROUND(40*MAX(0,MIN(N(Q9)/0.3,1))+IF(OR(R9="",N(Q9)&lt;=0),10,20*MAX(0,1-MIN(R9/Q9,1)))+30*MAX(0,MIN((PARAMETRI!$B$5-M9)/MAX(PARAMETRI!$B$5-10,1),1))+IF(AB9="",3,10*MAX(0,MIN(AB9/0.15,1)))+IF(AND(P9&lt;&gt;"",N(P9)&lt;N(Q9)*0.6),-8,0),1))</f>
        <v/>
      </c>
      <c r="AE9" s="13">
        <f>IF(AND(P9="",Q9=""),"DATI MANCANTI",IF(AND(N(P9)&gt;=PARAMETRI!$B$4,N(Q9)&gt;=PARAMETRI!$B$4),"OK","NO"))</f>
        <v/>
      </c>
      <c r="AF9" s="13">
        <f>IF(M9="","N/D",IF(M9&lt;PARAMETRI!$B$6,"OTTIMO",IF(M9&lt;PARAMETRI!$B$5,"OK","NO")))</f>
        <v/>
      </c>
      <c r="AG9" s="13">
        <f>IF(OR(AE9="DATI MANCANTI",AF9="N/D"),"DA COMPLETARE",IF(AND(AE9="OK",AF9="OTTIMO"),"PASSA FORTE",IF(AND(AE9="OK",AF9="OK"),"PASSA","SCARTA")))</f>
        <v/>
      </c>
      <c r="AH9" s="11" t="inlineStr">
        <is>
          <t>2026-10-12</t>
        </is>
      </c>
      <c r="AI9" s="11" t="inlineStr">
        <is>
          <t>yahoo</t>
        </is>
      </c>
      <c r="AJ9" s="23" t="inlineStr"/>
    </row>
    <row r="10">
      <c r="A10" s="10">
        <f>IF(AD10="","",RANK(AD10,AD$2:AD$21))</f>
        <v/>
      </c>
      <c r="B10" s="11" t="inlineStr">
        <is>
          <t>Universal Music Group</t>
        </is>
      </c>
      <c r="C10" s="12" t="inlineStr">
        <is>
          <t>UMG.AS</t>
        </is>
      </c>
      <c r="D10" s="11" t="inlineStr">
        <is>
          <t>Musica / Media</t>
        </is>
      </c>
      <c r="E10" s="13" t="inlineStr">
        <is>
          <t>Consumi</t>
        </is>
      </c>
      <c r="F10" s="14" t="n">
        <v>14.91</v>
      </c>
      <c r="G10" s="15" t="inlineStr">
        <is>
          <t>EUR</t>
        </is>
      </c>
      <c r="H10" s="14" t="n">
        <v>14.91</v>
      </c>
      <c r="I10" s="16" t="n">
        <v>26811.3</v>
      </c>
      <c r="J10" s="16" t="n">
        <v>26811.3</v>
      </c>
      <c r="K10" s="14" t="n">
        <v>0.18</v>
      </c>
      <c r="L10" s="14" t="n">
        <v>1.08965</v>
      </c>
      <c r="M10" s="17">
        <f>IF(OR(F10="",K10="",K10&lt;=0),"",F10/K10)</f>
        <v/>
      </c>
      <c r="N10" s="18" t="n">
        <v>7.455</v>
      </c>
      <c r="O10" s="19">
        <f>IF(OR(N10="",M10="",M10&lt;=0),"",N10/M10)</f>
        <v/>
      </c>
      <c r="P10" s="20" t="n">
        <v>0.076680005</v>
      </c>
      <c r="Q10" s="20" t="n">
        <v>0.3890024739536239</v>
      </c>
      <c r="R10" s="20" t="n">
        <v>0.05546307097014871</v>
      </c>
      <c r="S10" s="21" t="n">
        <v>4</v>
      </c>
      <c r="T10" s="20" t="n"/>
      <c r="U10" s="20" t="n">
        <v>0.337442218798151</v>
      </c>
      <c r="V10" s="20" t="n">
        <v>0.4608926204153778</v>
      </c>
      <c r="W10" s="20" t="n">
        <v>0.425050641458474</v>
      </c>
      <c r="X10" s="20" t="n">
        <v>0.3326244151424926</v>
      </c>
      <c r="Y10" s="14" t="n">
        <v>0.52</v>
      </c>
      <c r="Z10" s="19">
        <f>IF(OR(Y10="",F10="",F10=0),"",Y10/F10)</f>
        <v/>
      </c>
      <c r="AA10" s="22" t="n">
        <v>152.303</v>
      </c>
      <c r="AB10" s="20" t="n">
        <v>0.053</v>
      </c>
      <c r="AC10" s="20" t="n">
        <v>0.02582553769888862</v>
      </c>
      <c r="AD10" s="17">
        <f>IF(OR(Q10="",M10="",M10&lt;=0),"",ROUND(40*MAX(0,MIN(N(Q10)/0.3,1))+IF(OR(R10="",N(Q10)&lt;=0),10,20*MAX(0,1-MIN(R10/Q10,1)))+30*MAX(0,MIN((PARAMETRI!$B$5-M10)/MAX(PARAMETRI!$B$5-10,1),1))+IF(AB10="",3,10*MAX(0,MIN(AB10/0.15,1)))+IF(AND(P10&lt;&gt;"",N(P10)&lt;N(Q10)*0.6),-8,0),1))</f>
        <v/>
      </c>
      <c r="AE10" s="13">
        <f>IF(AND(P10="",Q10=""),"DATI MANCANTI",IF(AND(N(P10)&gt;=PARAMETRI!$B$4,N(Q10)&gt;=PARAMETRI!$B$4),"OK","NO"))</f>
        <v/>
      </c>
      <c r="AF10" s="13">
        <f>IF(M10="","N/D",IF(M10&lt;PARAMETRI!$B$6,"OTTIMO",IF(M10&lt;PARAMETRI!$B$5,"OK","NO")))</f>
        <v/>
      </c>
      <c r="AG10" s="13">
        <f>IF(OR(AE10="DATI MANCANTI",AF10="N/D"),"DA COMPLETARE",IF(AND(AE10="OK",AF10="OTTIMO"),"PASSA FORTE",IF(AND(AE10="OK",AF10="OK"),"PASSA","SCARTA")))</f>
        <v/>
      </c>
      <c r="AH10" s="11" t="inlineStr">
        <is>
          <t>2026-10-12</t>
        </is>
      </c>
      <c r="AI10" s="11" t="inlineStr">
        <is>
          <t>yahoo</t>
        </is>
      </c>
      <c r="AJ10" s="23" t="inlineStr"/>
    </row>
    <row r="11">
      <c r="A11" s="10">
        <f>IF(AD11="","",RANK(AD11,AD$2:AD$21))</f>
        <v/>
      </c>
      <c r="B11" s="11" t="inlineStr">
        <is>
          <t>NN Group</t>
        </is>
      </c>
      <c r="C11" s="12" t="inlineStr">
        <is>
          <t>NN.AS</t>
        </is>
      </c>
      <c r="D11" s="11" t="inlineStr">
        <is>
          <t>Assicurazione</t>
        </is>
      </c>
      <c r="E11" s="13" t="inlineStr">
        <is>
          <t>Finanziario</t>
        </is>
      </c>
      <c r="F11" s="14" t="n">
        <v>76.12</v>
      </c>
      <c r="G11" s="15" t="inlineStr">
        <is>
          <t>EUR</t>
        </is>
      </c>
      <c r="H11" s="14" t="n">
        <v>76.12</v>
      </c>
      <c r="I11" s="16" t="n">
        <v>19794.1</v>
      </c>
      <c r="J11" s="16" t="n">
        <v>19794.1</v>
      </c>
      <c r="K11" s="14" t="n">
        <v>6.78</v>
      </c>
      <c r="L11" s="14" t="n">
        <v>8.888450000000001</v>
      </c>
      <c r="M11" s="17">
        <f>IF(OR(F11="",K11="",K11&lt;=0),"",F11/K11)</f>
        <v/>
      </c>
      <c r="N11" s="18" t="n">
        <v>0.9480515</v>
      </c>
      <c r="O11" s="19">
        <f>IF(OR(N11="",M11="",M11&lt;=0),"",N11/M11)</f>
        <v/>
      </c>
      <c r="P11" s="20" t="n">
        <v>0.08754000000000001</v>
      </c>
      <c r="Q11" s="20" t="n">
        <v>0.06580242932014836</v>
      </c>
      <c r="R11" s="20" t="n">
        <v>0.009869385546071139</v>
      </c>
      <c r="S11" s="21" t="n">
        <v>4</v>
      </c>
      <c r="T11" s="20" t="n"/>
      <c r="U11" s="20" t="n">
        <v>0.05640489981958029</v>
      </c>
      <c r="V11" s="20" t="n">
        <v>0.07339917466499744</v>
      </c>
      <c r="W11" s="20" t="n">
        <v>0.05570342205323194</v>
      </c>
      <c r="X11" s="20" t="n">
        <v>0.07770222074278378</v>
      </c>
      <c r="Y11" s="14" t="n">
        <v>4.05</v>
      </c>
      <c r="Z11" s="19">
        <f>IF(OR(Y11="",F11="",F11=0),"",Y11/F11)</f>
        <v/>
      </c>
      <c r="AA11" s="22" t="n">
        <v>62.156</v>
      </c>
      <c r="AB11" s="20" t="n">
        <v>-0.045</v>
      </c>
      <c r="AC11" s="20" t="n">
        <v>0.2079542878469793</v>
      </c>
      <c r="AD11" s="17">
        <f>IF(OR(Q11="",M11="",M11&lt;=0),"",ROUND(40*MAX(0,MIN(N(Q11)/0.3,1))+IF(OR(R11="",N(Q11)&lt;=0),10,20*MAX(0,1-MIN(R11/Q11,1)))+30*MAX(0,MIN((PARAMETRI!$B$5-M11)/MAX(PARAMETRI!$B$5-10,1),1))+IF(AB11="",3,10*MAX(0,MIN(AB11/0.15,1)))+IF(AND(P11&lt;&gt;"",N(P11)&lt;N(Q11)*0.6),-8,0),1))</f>
        <v/>
      </c>
      <c r="AE11" s="13">
        <f>IF(AND(P11="",Q11=""),"DATI MANCANTI",IF(AND(N(P11)&gt;=PARAMETRI!$B$4,N(Q11)&gt;=PARAMETRI!$B$4),"OK","NO"))</f>
        <v/>
      </c>
      <c r="AF11" s="13">
        <f>IF(M11="","N/D",IF(M11&lt;PARAMETRI!$B$6,"OTTIMO",IF(M11&lt;PARAMETRI!$B$5,"OK","NO")))</f>
        <v/>
      </c>
      <c r="AG11" s="13">
        <f>IF(OR(AE11="DATI MANCANTI",AF11="N/D"),"DA COMPLETARE",IF(AND(AE11="OK",AF11="OTTIMO"),"PASSA FORTE",IF(AND(AE11="OK",AF11="OK"),"PASSA","SCARTA")))</f>
        <v/>
      </c>
      <c r="AH11" s="11" t="inlineStr">
        <is>
          <t>2026-10-12</t>
        </is>
      </c>
      <c r="AI11" s="11" t="inlineStr">
        <is>
          <t>yahoo</t>
        </is>
      </c>
      <c r="AJ11" s="23" t="inlineStr"/>
    </row>
    <row r="12">
      <c r="A12" s="10">
        <f>IF(AD12="","",RANK(AD12,AD$2:AD$21))</f>
        <v/>
      </c>
      <c r="B12" s="11" t="inlineStr">
        <is>
          <t>ASM International</t>
        </is>
      </c>
      <c r="C12" s="12" t="inlineStr">
        <is>
          <t>ASM.AS</t>
        </is>
      </c>
      <c r="D12" s="11" t="inlineStr">
        <is>
          <t>Apparecchiature semicond.</t>
        </is>
      </c>
      <c r="E12" s="13" t="inlineStr">
        <is>
          <t>Tecnologia</t>
        </is>
      </c>
      <c r="F12" s="14" t="n">
        <v>876.4</v>
      </c>
      <c r="G12" s="15" t="inlineStr">
        <is>
          <t>EUR</t>
        </is>
      </c>
      <c r="H12" s="14" t="n">
        <v>876.4</v>
      </c>
      <c r="I12" s="16" t="n">
        <v>42783.2</v>
      </c>
      <c r="J12" s="16" t="n">
        <v>42783.2</v>
      </c>
      <c r="K12" s="14" t="n">
        <v>21.86</v>
      </c>
      <c r="L12" s="14" t="n">
        <v>31.5893</v>
      </c>
      <c r="M12" s="17">
        <f>IF(OR(F12="",K12="",K12&lt;=0),"",F12/K12)</f>
        <v/>
      </c>
      <c r="N12" s="18" t="n">
        <v>9.651876</v>
      </c>
      <c r="O12" s="19">
        <f>IF(OR(N12="",M12="",M12&lt;=0),"",N12/M12)</f>
        <v/>
      </c>
      <c r="P12" s="20" t="n">
        <v>0.26798</v>
      </c>
      <c r="Q12" s="20" t="n">
        <v>0.1845634346496819</v>
      </c>
      <c r="R12" s="20" t="n">
        <v>0.03248999144975501</v>
      </c>
      <c r="S12" s="21" t="n">
        <v>4</v>
      </c>
      <c r="T12" s="20" t="n"/>
      <c r="U12" s="20" t="n">
        <v>0.1806630385940386</v>
      </c>
      <c r="V12" s="20" t="n">
        <v>0.1829899658411614</v>
      </c>
      <c r="W12" s="20" t="n">
        <v>0.2330700496558367</v>
      </c>
      <c r="X12" s="20" t="n">
        <v>0.1415306845076908</v>
      </c>
      <c r="Y12" s="14" t="n">
        <v>3.25</v>
      </c>
      <c r="Z12" s="19">
        <f>IF(OR(Y12="",F12="",F12=0),"",Y12/F12)</f>
        <v/>
      </c>
      <c r="AA12" s="22" t="n">
        <v>1.585</v>
      </c>
      <c r="AB12" s="20" t="n">
        <v>0.2</v>
      </c>
      <c r="AC12" s="20" t="n">
        <v>0.3384911029875205</v>
      </c>
      <c r="AD12" s="17">
        <f>IF(OR(Q12="",M12="",M12&lt;=0),"",ROUND(40*MAX(0,MIN(N(Q12)/0.3,1))+IF(OR(R12="",N(Q12)&lt;=0),10,20*MAX(0,1-MIN(R12/Q12,1)))+30*MAX(0,MIN((PARAMETRI!$B$5-M12)/MAX(PARAMETRI!$B$5-10,1),1))+IF(AB12="",3,10*MAX(0,MIN(AB12/0.15,1)))+IF(AND(P12&lt;&gt;"",N(P12)&lt;N(Q12)*0.6),-8,0),1))</f>
        <v/>
      </c>
      <c r="AE12" s="13">
        <f>IF(AND(P12="",Q12=""),"DATI MANCANTI",IF(AND(N(P12)&gt;=PARAMETRI!$B$4,N(Q12)&gt;=PARAMETRI!$B$4),"OK","NO"))</f>
        <v/>
      </c>
      <c r="AF12" s="13">
        <f>IF(M12="","N/D",IF(M12&lt;PARAMETRI!$B$6,"OTTIMO",IF(M12&lt;PARAMETRI!$B$5,"OK","NO")))</f>
        <v/>
      </c>
      <c r="AG12" s="13">
        <f>IF(OR(AE12="DATI MANCANTI",AF12="N/D"),"DA COMPLETARE",IF(AND(AE12="OK",AF12="OTTIMO"),"PASSA FORTE",IF(AND(AE12="OK",AF12="OK"),"PASSA","SCARTA")))</f>
        <v/>
      </c>
      <c r="AH12" s="11" t="inlineStr">
        <is>
          <t>2026-10-12</t>
        </is>
      </c>
      <c r="AI12" s="11" t="inlineStr">
        <is>
          <t>yahoo</t>
        </is>
      </c>
      <c r="AJ12" s="23" t="inlineStr"/>
    </row>
    <row r="13">
      <c r="A13" s="10">
        <f>IF(AD13="","",RANK(AD13,AD$2:AD$21))</f>
        <v/>
      </c>
      <c r="B13" s="11" t="inlineStr">
        <is>
          <t>Adyen</t>
        </is>
      </c>
      <c r="C13" s="12" t="inlineStr">
        <is>
          <t>ADYEN.AS</t>
        </is>
      </c>
      <c r="D13" s="11" t="inlineStr">
        <is>
          <t>Pagamenti</t>
        </is>
      </c>
      <c r="E13" s="13" t="inlineStr">
        <is>
          <t>Tecnologia</t>
        </is>
      </c>
      <c r="F13" s="14" t="n">
        <v>920.8</v>
      </c>
      <c r="G13" s="15" t="inlineStr">
        <is>
          <t>EUR</t>
        </is>
      </c>
      <c r="H13" s="14" t="n">
        <v>920.8</v>
      </c>
      <c r="I13" s="16" t="n">
        <v>29066.6</v>
      </c>
      <c r="J13" s="16" t="n">
        <v>29066.6</v>
      </c>
      <c r="K13" s="14" t="n">
        <v>35.58</v>
      </c>
      <c r="L13" s="14" t="n">
        <v>46.7224</v>
      </c>
      <c r="M13" s="17">
        <f>IF(OR(F13="",K13="",K13&lt;=0),"",F13/K13)</f>
        <v/>
      </c>
      <c r="N13" s="18" t="n">
        <v>4.919224</v>
      </c>
      <c r="O13" s="19">
        <f>IF(OR(N13="",M13="",M13&lt;=0),"",N13/M13)</f>
        <v/>
      </c>
      <c r="P13" s="20" t="n">
        <v>0.21271</v>
      </c>
      <c r="Q13" s="20" t="n">
        <v>0.21271</v>
      </c>
      <c r="R13" s="20" t="n"/>
      <c r="S13" s="21" t="n">
        <v>0</v>
      </c>
      <c r="T13" s="20" t="n"/>
      <c r="U13" s="20" t="n">
        <v>0.2010293586497363</v>
      </c>
      <c r="V13" s="20" t="n">
        <v>0.2186358862669809</v>
      </c>
      <c r="W13" s="20" t="n">
        <v>0.2216285231969486</v>
      </c>
      <c r="X13" s="20" t="n">
        <v>0.2334958295668643</v>
      </c>
      <c r="Y13" s="14" t="n"/>
      <c r="Z13" s="19">
        <f>IF(OR(Y13="",F13="",F13=0),"",Y13/F13)</f>
        <v/>
      </c>
      <c r="AA13" s="22" t="n">
        <v>6.928</v>
      </c>
      <c r="AB13" s="20" t="n">
        <v>0.189</v>
      </c>
      <c r="AC13" s="20" t="n">
        <v>0.43555</v>
      </c>
      <c r="AD13" s="17">
        <f>IF(OR(Q13="",M13="",M13&lt;=0),"",ROUND(40*MAX(0,MIN(N(Q13)/0.3,1))+IF(OR(R13="",N(Q13)&lt;=0),10,20*MAX(0,1-MIN(R13/Q13,1)))+30*MAX(0,MIN((PARAMETRI!$B$5-M13)/MAX(PARAMETRI!$B$5-10,1),1))+IF(AB13="",3,10*MAX(0,MIN(AB13/0.15,1)))+IF(AND(P13&lt;&gt;"",N(P13)&lt;N(Q13)*0.6),-8,0),1))</f>
        <v/>
      </c>
      <c r="AE13" s="13">
        <f>IF(AND(P13="",Q13=""),"DATI MANCANTI",IF(AND(N(P13)&gt;=PARAMETRI!$B$4,N(Q13)&gt;=PARAMETRI!$B$4),"OK","NO"))</f>
        <v/>
      </c>
      <c r="AF13" s="13">
        <f>IF(M13="","N/D",IF(M13&lt;PARAMETRI!$B$6,"OTTIMO",IF(M13&lt;PARAMETRI!$B$5,"OK","NO")))</f>
        <v/>
      </c>
      <c r="AG13" s="13">
        <f>IF(OR(AE13="DATI MANCANTI",AF13="N/D"),"DA COMPLETARE",IF(AND(AE13="OK",AF13="OTTIMO"),"PASSA FORTE",IF(AND(AE13="OK",AF13="OK"),"PASSA","SCARTA")))</f>
        <v/>
      </c>
      <c r="AH13" s="11" t="inlineStr">
        <is>
          <t>2026-10-12</t>
        </is>
      </c>
      <c r="AI13" s="11" t="inlineStr">
        <is>
          <t>yahoo</t>
        </is>
      </c>
      <c r="AJ13" s="23" t="inlineStr"/>
    </row>
    <row r="14">
      <c r="A14" s="10">
        <f>IF(AD14="","",RANK(AD14,AD$2:AD$21))</f>
        <v/>
      </c>
      <c r="B14" s="11" t="inlineStr">
        <is>
          <t>Aegon</t>
        </is>
      </c>
      <c r="C14" s="12" t="inlineStr">
        <is>
          <t>AGN.AS</t>
        </is>
      </c>
      <c r="D14" s="11" t="inlineStr">
        <is>
          <t>Assicurazione vita</t>
        </is>
      </c>
      <c r="E14" s="13" t="inlineStr">
        <is>
          <t>Finanziario</t>
        </is>
      </c>
      <c r="F14" s="14" t="n">
        <v>7.498</v>
      </c>
      <c r="G14" s="15" t="inlineStr">
        <is>
          <t>EUR</t>
        </is>
      </c>
      <c r="H14" s="14" t="n">
        <v>7.498</v>
      </c>
      <c r="I14" s="16" t="n">
        <v>11097</v>
      </c>
      <c r="J14" s="16" t="n">
        <v>11097</v>
      </c>
      <c r="K14" s="14" t="n">
        <v>0.59</v>
      </c>
      <c r="L14" s="14" t="n">
        <v>0.92522</v>
      </c>
      <c r="M14" s="17">
        <f>IF(OR(F14="",K14="",K14&lt;=0),"",F14/K14)</f>
        <v/>
      </c>
      <c r="N14" s="18" t="n">
        <v>1.2488341</v>
      </c>
      <c r="O14" s="19">
        <f>IF(OR(N14="",M14="",M14&lt;=0),"",N14/M14)</f>
        <v/>
      </c>
      <c r="P14" s="20" t="n">
        <v>0.110690005</v>
      </c>
      <c r="Q14" s="20" t="n">
        <v>0.110690005</v>
      </c>
      <c r="R14" s="20" t="n"/>
      <c r="S14" s="21" t="n">
        <v>0</v>
      </c>
      <c r="T14" s="20" t="n"/>
      <c r="U14" s="20" t="n">
        <v>0.1038257173219979</v>
      </c>
      <c r="V14" s="20" t="n">
        <v>0.07488842930227495</v>
      </c>
      <c r="W14" s="20" t="n">
        <v>-0.01899002758328029</v>
      </c>
      <c r="X14" s="20" t="n">
        <v>-0.05298382598996096</v>
      </c>
      <c r="Y14" s="14" t="n">
        <v>0.42</v>
      </c>
      <c r="Z14" s="19">
        <f>IF(OR(Y14="",F14="",F14=0),"",Y14/F14)</f>
        <v/>
      </c>
      <c r="AA14" s="22" t="n">
        <v>42.673</v>
      </c>
      <c r="AB14" s="20" t="n">
        <v>-0.082</v>
      </c>
      <c r="AC14" s="20" t="n">
        <v>0.08621999599999999</v>
      </c>
      <c r="AD14" s="17">
        <f>IF(OR(Q14="",M14="",M14&lt;=0),"",ROUND(40*MAX(0,MIN(N(Q14)/0.3,1))+IF(OR(R14="",N(Q14)&lt;=0),10,20*MAX(0,1-MIN(R14/Q14,1)))+30*MAX(0,MIN((PARAMETRI!$B$5-M14)/MAX(PARAMETRI!$B$5-10,1),1))+IF(AB14="",3,10*MAX(0,MIN(AB14/0.15,1)))+IF(AND(P14&lt;&gt;"",N(P14)&lt;N(Q14)*0.6),-8,0),1))</f>
        <v/>
      </c>
      <c r="AE14" s="13">
        <f>IF(AND(P14="",Q14=""),"DATI MANCANTI",IF(AND(N(P14)&gt;=PARAMETRI!$B$4,N(Q14)&gt;=PARAMETRI!$B$4),"OK","NO"))</f>
        <v/>
      </c>
      <c r="AF14" s="13">
        <f>IF(M14="","N/D",IF(M14&lt;PARAMETRI!$B$6,"OTTIMO",IF(M14&lt;PARAMETRI!$B$5,"OK","NO")))</f>
        <v/>
      </c>
      <c r="AG14" s="13">
        <f>IF(OR(AE14="DATI MANCANTI",AF14="N/D"),"DA COMPLETARE",IF(AND(AE14="OK",AF14="OTTIMO"),"PASSA FORTE",IF(AND(AE14="OK",AF14="OK"),"PASSA","SCARTA")))</f>
        <v/>
      </c>
      <c r="AH14" s="11" t="inlineStr">
        <is>
          <t>2026-10-12</t>
        </is>
      </c>
      <c r="AI14" s="11" t="inlineStr">
        <is>
          <t>yahoo</t>
        </is>
      </c>
      <c r="AJ14" s="23" t="inlineStr"/>
    </row>
    <row r="15">
      <c r="A15" s="10">
        <f>IF(AD15="","",RANK(AD15,AD$2:AD$21))</f>
        <v/>
      </c>
      <c r="B15" s="11" t="inlineStr">
        <is>
          <t>Akzo Nobel</t>
        </is>
      </c>
      <c r="C15" s="12" t="inlineStr">
        <is>
          <t>AKZA.AS</t>
        </is>
      </c>
      <c r="D15" s="11" t="inlineStr">
        <is>
          <t>Vernici</t>
        </is>
      </c>
      <c r="E15" s="13" t="inlineStr">
        <is>
          <t>Materiali</t>
        </is>
      </c>
      <c r="F15" s="14" t="n">
        <v>57.98</v>
      </c>
      <c r="G15" s="15" t="inlineStr">
        <is>
          <t>EUR</t>
        </is>
      </c>
      <c r="H15" s="14" t="n">
        <v>57.98</v>
      </c>
      <c r="I15" s="16" t="n">
        <v>9937.799999999999</v>
      </c>
      <c r="J15" s="16" t="n">
        <v>9937.799999999999</v>
      </c>
      <c r="K15" s="14" t="n">
        <v>3.71</v>
      </c>
      <c r="L15" s="14" t="n">
        <v>4.26369</v>
      </c>
      <c r="M15" s="17">
        <f>IF(OR(F15="",K15="",K15&lt;=0),"",F15/K15)</f>
        <v/>
      </c>
      <c r="N15" s="18" t="n">
        <v>2.0477502</v>
      </c>
      <c r="O15" s="19">
        <f>IF(OR(N15="",M15="",M15&lt;=0),"",N15/M15)</f>
        <v/>
      </c>
      <c r="P15" s="20" t="n">
        <v>0.14142999</v>
      </c>
      <c r="Q15" s="20" t="n">
        <v>0.1095739188578381</v>
      </c>
      <c r="R15" s="20" t="n">
        <v>0.02031009237336849</v>
      </c>
      <c r="S15" s="21" t="n">
        <v>4</v>
      </c>
      <c r="T15" s="20" t="n"/>
      <c r="U15" s="20" t="n">
        <v>0.1362953423481434</v>
      </c>
      <c r="V15" s="20" t="n">
        <v>0.1184958460865763</v>
      </c>
      <c r="W15" s="20" t="n">
        <v>0.1022674687644609</v>
      </c>
      <c r="X15" s="20" t="n">
        <v>0.08123701823217171</v>
      </c>
      <c r="Y15" s="14" t="n">
        <v>1.98</v>
      </c>
      <c r="Z15" s="19">
        <f>IF(OR(Y15="",F15="",F15=0),"",Y15/F15)</f>
        <v/>
      </c>
      <c r="AA15" s="22" t="n">
        <v>130.976</v>
      </c>
      <c r="AB15" s="20" t="n">
        <v>-0.014</v>
      </c>
      <c r="AC15" s="20" t="n">
        <v>0.06280763929907462</v>
      </c>
      <c r="AD15" s="17">
        <f>IF(OR(Q15="",M15="",M15&lt;=0),"",ROUND(40*MAX(0,MIN(N(Q15)/0.3,1))+IF(OR(R15="",N(Q15)&lt;=0),10,20*MAX(0,1-MIN(R15/Q15,1)))+30*MAX(0,MIN((PARAMETRI!$B$5-M15)/MAX(PARAMETRI!$B$5-10,1),1))+IF(AB15="",3,10*MAX(0,MIN(AB15/0.15,1)))+IF(AND(P15&lt;&gt;"",N(P15)&lt;N(Q15)*0.6),-8,0),1))</f>
        <v/>
      </c>
      <c r="AE15" s="13">
        <f>IF(AND(P15="",Q15=""),"DATI MANCANTI",IF(AND(N(P15)&gt;=PARAMETRI!$B$4,N(Q15)&gt;=PARAMETRI!$B$4),"OK","NO"))</f>
        <v/>
      </c>
      <c r="AF15" s="13">
        <f>IF(M15="","N/D",IF(M15&lt;PARAMETRI!$B$6,"OTTIMO",IF(M15&lt;PARAMETRI!$B$5,"OK","NO")))</f>
        <v/>
      </c>
      <c r="AG15" s="13">
        <f>IF(OR(AE15="DATI MANCANTI",AF15="N/D"),"DA COMPLETARE",IF(AND(AE15="OK",AF15="OTTIMO"),"PASSA FORTE",IF(AND(AE15="OK",AF15="OK"),"PASSA","SCARTA")))</f>
        <v/>
      </c>
      <c r="AH15" s="11" t="inlineStr">
        <is>
          <t>2026-10-12</t>
        </is>
      </c>
      <c r="AI15" s="11" t="inlineStr">
        <is>
          <t>yahoo</t>
        </is>
      </c>
      <c r="AJ15" s="23" t="inlineStr"/>
    </row>
    <row r="16">
      <c r="A16" s="10">
        <f>IF(AD16="","",RANK(AD16,AD$2:AD$21))</f>
        <v/>
      </c>
      <c r="B16" s="11" t="inlineStr">
        <is>
          <t>IMCD</t>
        </is>
      </c>
      <c r="C16" s="12" t="inlineStr">
        <is>
          <t>IMCD.AS</t>
        </is>
      </c>
      <c r="D16" s="11" t="inlineStr">
        <is>
          <t>Distribuzione chimica</t>
        </is>
      </c>
      <c r="E16" s="13" t="inlineStr">
        <is>
          <t>Industriale</t>
        </is>
      </c>
      <c r="F16" s="14" t="n">
        <v>100.35</v>
      </c>
      <c r="G16" s="15" t="inlineStr">
        <is>
          <t>EUR</t>
        </is>
      </c>
      <c r="H16" s="14" t="n">
        <v>100.35</v>
      </c>
      <c r="I16" s="16" t="n">
        <v>5923.9</v>
      </c>
      <c r="J16" s="16" t="n">
        <v>5923.9</v>
      </c>
      <c r="K16" s="14" t="n">
        <v>3.89</v>
      </c>
      <c r="L16" s="14" t="n">
        <v>6.53018</v>
      </c>
      <c r="M16" s="17">
        <f>IF(OR(F16="",K16="",K16&lt;=0),"",F16/K16)</f>
        <v/>
      </c>
      <c r="N16" s="18" t="n">
        <v>2.7909884</v>
      </c>
      <c r="O16" s="19">
        <f>IF(OR(N16="",M16="",M16&lt;=0),"",N16/M16)</f>
        <v/>
      </c>
      <c r="P16" s="20" t="n">
        <v>0.11225</v>
      </c>
      <c r="Q16" s="20" t="n">
        <v>0.1472518322261252</v>
      </c>
      <c r="R16" s="20" t="n">
        <v>0.03244122481509759</v>
      </c>
      <c r="S16" s="21" t="n">
        <v>4</v>
      </c>
      <c r="T16" s="20" t="n"/>
      <c r="U16" s="20" t="n">
        <v>0.1066097892969804</v>
      </c>
      <c r="V16" s="20" t="n">
        <v>0.1256902408615362</v>
      </c>
      <c r="W16" s="20" t="n">
        <v>0.1694539770556378</v>
      </c>
      <c r="X16" s="20" t="n">
        <v>0.1872533216903464</v>
      </c>
      <c r="Y16" s="14" t="n">
        <v>1.81</v>
      </c>
      <c r="Z16" s="19">
        <f>IF(OR(Y16="",F16="",F16=0),"",Y16/F16)</f>
        <v/>
      </c>
      <c r="AA16" s="22" t="n">
        <v>85.125</v>
      </c>
      <c r="AB16" s="20" t="n">
        <v>0.066</v>
      </c>
      <c r="AC16" s="20" t="n">
        <v>0.04817180950993896</v>
      </c>
      <c r="AD16" s="17">
        <f>IF(OR(Q16="",M16="",M16&lt;=0),"",ROUND(40*MAX(0,MIN(N(Q16)/0.3,1))+IF(OR(R16="",N(Q16)&lt;=0),10,20*MAX(0,1-MIN(R16/Q16,1)))+30*MAX(0,MIN((PARAMETRI!$B$5-M16)/MAX(PARAMETRI!$B$5-10,1),1))+IF(AB16="",3,10*MAX(0,MIN(AB16/0.15,1)))+IF(AND(P16&lt;&gt;"",N(P16)&lt;N(Q16)*0.6),-8,0),1))</f>
        <v/>
      </c>
      <c r="AE16" s="13">
        <f>IF(AND(P16="",Q16=""),"DATI MANCANTI",IF(AND(N(P16)&gt;=PARAMETRI!$B$4,N(Q16)&gt;=PARAMETRI!$B$4),"OK","NO"))</f>
        <v/>
      </c>
      <c r="AF16" s="13">
        <f>IF(M16="","N/D",IF(M16&lt;PARAMETRI!$B$6,"OTTIMO",IF(M16&lt;PARAMETRI!$B$5,"OK","NO")))</f>
        <v/>
      </c>
      <c r="AG16" s="13">
        <f>IF(OR(AE16="DATI MANCANTI",AF16="N/D"),"DA COMPLETARE",IF(AND(AE16="OK",AF16="OTTIMO"),"PASSA FORTE",IF(AND(AE16="OK",AF16="OK"),"PASSA","SCARTA")))</f>
        <v/>
      </c>
      <c r="AH16" s="11" t="inlineStr">
        <is>
          <t>2026-10-12</t>
        </is>
      </c>
      <c r="AI16" s="11" t="inlineStr">
        <is>
          <t>yahoo</t>
        </is>
      </c>
      <c r="AJ16" s="23" t="inlineStr"/>
    </row>
    <row r="17">
      <c r="A17" s="10">
        <f>IF(AD17="","",RANK(AD17,AD$2:AD$21))</f>
        <v/>
      </c>
      <c r="B17" s="11" t="inlineStr">
        <is>
          <t>Heineken</t>
        </is>
      </c>
      <c r="C17" s="12" t="inlineStr">
        <is>
          <t>HEIA.AS</t>
        </is>
      </c>
      <c r="D17" s="11" t="inlineStr">
        <is>
          <t>Bevande</t>
        </is>
      </c>
      <c r="E17" s="13" t="inlineStr">
        <is>
          <t>Consumi</t>
        </is>
      </c>
      <c r="F17" s="14" t="n">
        <v>72.23999999999999</v>
      </c>
      <c r="G17" s="15" t="inlineStr">
        <is>
          <t>EUR</t>
        </is>
      </c>
      <c r="H17" s="14" t="n">
        <v>72.23999999999999</v>
      </c>
      <c r="I17" s="16" t="n">
        <v>39985.8</v>
      </c>
      <c r="J17" s="16" t="n">
        <v>39985.8</v>
      </c>
      <c r="K17" s="14" t="n">
        <v>4.1</v>
      </c>
      <c r="L17" s="14" t="n">
        <v>5.69277</v>
      </c>
      <c r="M17" s="17">
        <f>IF(OR(F17="",K17="",K17&lt;=0),"",F17/K17)</f>
        <v/>
      </c>
      <c r="N17" s="18" t="n">
        <v>2.071873</v>
      </c>
      <c r="O17" s="19">
        <f>IF(OR(N17="",M17="",M17&lt;=0),"",N17/M17)</f>
        <v/>
      </c>
      <c r="P17" s="20" t="n">
        <v>0.121309996</v>
      </c>
      <c r="Q17" s="20" t="n">
        <v>0.1017136934542739</v>
      </c>
      <c r="R17" s="20" t="n">
        <v>0.03209687783167284</v>
      </c>
      <c r="S17" s="21" t="n">
        <v>4</v>
      </c>
      <c r="T17" s="20" t="n"/>
      <c r="U17" s="20" t="n">
        <v>0.1048503726777172</v>
      </c>
      <c r="V17" s="20" t="n">
        <v>0.0499463765895511</v>
      </c>
      <c r="W17" s="20" t="n">
        <v>0.1148783406461907</v>
      </c>
      <c r="X17" s="20" t="n">
        <v>0.1371796839036366</v>
      </c>
      <c r="Y17" s="14" t="n">
        <v>1.92</v>
      </c>
      <c r="Z17" s="19">
        <f>IF(OR(Y17="",F17="",F17=0),"",Y17/F17)</f>
        <v/>
      </c>
      <c r="AA17" s="22" t="n">
        <v>95.107</v>
      </c>
      <c r="AB17" s="20" t="n">
        <v>0.047</v>
      </c>
      <c r="AC17" s="20" t="n">
        <v>0.07880916328730915</v>
      </c>
      <c r="AD17" s="17">
        <f>IF(OR(Q17="",M17="",M17&lt;=0),"",ROUND(40*MAX(0,MIN(N(Q17)/0.3,1))+IF(OR(R17="",N(Q17)&lt;=0),10,20*MAX(0,1-MIN(R17/Q17,1)))+30*MAX(0,MIN((PARAMETRI!$B$5-M17)/MAX(PARAMETRI!$B$5-10,1),1))+IF(AB17="",3,10*MAX(0,MIN(AB17/0.15,1)))+IF(AND(P17&lt;&gt;"",N(P17)&lt;N(Q17)*0.6),-8,0),1))</f>
        <v/>
      </c>
      <c r="AE17" s="13">
        <f>IF(AND(P17="",Q17=""),"DATI MANCANTI",IF(AND(N(P17)&gt;=PARAMETRI!$B$4,N(Q17)&gt;=PARAMETRI!$B$4),"OK","NO"))</f>
        <v/>
      </c>
      <c r="AF17" s="13">
        <f>IF(M17="","N/D",IF(M17&lt;PARAMETRI!$B$6,"OTTIMO",IF(M17&lt;PARAMETRI!$B$5,"OK","NO")))</f>
        <v/>
      </c>
      <c r="AG17" s="13">
        <f>IF(OR(AE17="DATI MANCANTI",AF17="N/D"),"DA COMPLETARE",IF(AND(AE17="OK",AF17="OTTIMO"),"PASSA FORTE",IF(AND(AE17="OK",AF17="OK"),"PASSA","SCARTA")))</f>
        <v/>
      </c>
      <c r="AH17" s="11" t="inlineStr">
        <is>
          <t>2026-10-12</t>
        </is>
      </c>
      <c r="AI17" s="11" t="inlineStr">
        <is>
          <t>yahoo</t>
        </is>
      </c>
      <c r="AJ17" s="23" t="inlineStr"/>
    </row>
    <row r="18">
      <c r="A18" s="10">
        <f>IF(AD18="","",RANK(AD18,AD$2:AD$21))</f>
        <v/>
      </c>
      <c r="B18" s="11" t="inlineStr">
        <is>
          <t>Randstad</t>
        </is>
      </c>
      <c r="C18" s="12" t="inlineStr">
        <is>
          <t>RAND.AS</t>
        </is>
      </c>
      <c r="D18" s="11" t="inlineStr">
        <is>
          <t>Servizi per il lavoro</t>
        </is>
      </c>
      <c r="E18" s="13" t="inlineStr">
        <is>
          <t>Industriale</t>
        </is>
      </c>
      <c r="F18" s="14" t="n">
        <v>34.86</v>
      </c>
      <c r="G18" s="15" t="inlineStr">
        <is>
          <t>EUR</t>
        </is>
      </c>
      <c r="H18" s="14" t="n">
        <v>34.86</v>
      </c>
      <c r="I18" s="16" t="n">
        <v>6116.2</v>
      </c>
      <c r="J18" s="16" t="n">
        <v>6116.2</v>
      </c>
      <c r="K18" s="14" t="n">
        <v>1.78</v>
      </c>
      <c r="L18" s="14" t="n">
        <v>2.89977</v>
      </c>
      <c r="M18" s="17">
        <f>IF(OR(F18="",K18="",K18&lt;=0),"",F18/K18)</f>
        <v/>
      </c>
      <c r="N18" s="18" t="n">
        <v>1.5672346</v>
      </c>
      <c r="O18" s="19">
        <f>IF(OR(N18="",M18="",M18&lt;=0),"",N18/M18)</f>
        <v/>
      </c>
      <c r="P18" s="20" t="n">
        <v>0.083100006</v>
      </c>
      <c r="Q18" s="20" t="n">
        <v>0.1065862211865292</v>
      </c>
      <c r="R18" s="20" t="n">
        <v>0.06000674405242745</v>
      </c>
      <c r="S18" s="21" t="n">
        <v>4</v>
      </c>
      <c r="T18" s="20" t="n"/>
      <c r="U18" s="20" t="n">
        <v>0.07473131717070733</v>
      </c>
      <c r="V18" s="20" t="n">
        <v>0.0297676669893514</v>
      </c>
      <c r="W18" s="20" t="n">
        <v>0.132794211534369</v>
      </c>
      <c r="X18" s="20" t="n">
        <v>0.1890516890516891</v>
      </c>
      <c r="Y18" s="14" t="n">
        <v>1.62</v>
      </c>
      <c r="Z18" s="19">
        <f>IF(OR(Y18="",F18="",F18=0),"",Y18/F18)</f>
        <v/>
      </c>
      <c r="AA18" s="22" t="n">
        <v>53.49</v>
      </c>
      <c r="AB18" s="20" t="n">
        <v>0.018</v>
      </c>
      <c r="AC18" s="20" t="n">
        <v>0.01356328812237293</v>
      </c>
      <c r="AD18" s="17">
        <f>IF(OR(Q18="",M18="",M18&lt;=0),"",ROUND(40*MAX(0,MIN(N(Q18)/0.3,1))+IF(OR(R18="",N(Q18)&lt;=0),10,20*MAX(0,1-MIN(R18/Q18,1)))+30*MAX(0,MIN((PARAMETRI!$B$5-M18)/MAX(PARAMETRI!$B$5-10,1),1))+IF(AB18="",3,10*MAX(0,MIN(AB18/0.15,1)))+IF(AND(P18&lt;&gt;"",N(P18)&lt;N(Q18)*0.6),-8,0),1))</f>
        <v/>
      </c>
      <c r="AE18" s="13">
        <f>IF(AND(P18="",Q18=""),"DATI MANCANTI",IF(AND(N(P18)&gt;=PARAMETRI!$B$4,N(Q18)&gt;=PARAMETRI!$B$4),"OK","NO"))</f>
        <v/>
      </c>
      <c r="AF18" s="13">
        <f>IF(M18="","N/D",IF(M18&lt;PARAMETRI!$B$6,"OTTIMO",IF(M18&lt;PARAMETRI!$B$5,"OK","NO")))</f>
        <v/>
      </c>
      <c r="AG18" s="13">
        <f>IF(OR(AE18="DATI MANCANTI",AF18="N/D"),"DA COMPLETARE",IF(AND(AE18="OK",AF18="OTTIMO"),"PASSA FORTE",IF(AND(AE18="OK",AF18="OK"),"PASSA","SCARTA")))</f>
        <v/>
      </c>
      <c r="AH18" s="11" t="inlineStr">
        <is>
          <t>2026-10-12</t>
        </is>
      </c>
      <c r="AI18" s="11" t="inlineStr">
        <is>
          <t>yahoo</t>
        </is>
      </c>
      <c r="AJ18" s="23" t="inlineStr"/>
    </row>
    <row r="19">
      <c r="A19" s="10">
        <f>IF(AD19="","",RANK(AD19,AD$2:AD$21))</f>
        <v/>
      </c>
      <c r="B19" s="11" t="inlineStr">
        <is>
          <t>Philips</t>
        </is>
      </c>
      <c r="C19" s="12" t="inlineStr">
        <is>
          <t>PHIA.AS</t>
        </is>
      </c>
      <c r="D19" s="11" t="inlineStr">
        <is>
          <t>Dispositivi medicali</t>
        </is>
      </c>
      <c r="E19" s="13" t="inlineStr">
        <is>
          <t>Salute</t>
        </is>
      </c>
      <c r="F19" s="14" t="n">
        <v>22.18</v>
      </c>
      <c r="G19" s="15" t="inlineStr">
        <is>
          <t>EUR</t>
        </is>
      </c>
      <c r="H19" s="14" t="n">
        <v>22.18</v>
      </c>
      <c r="I19" s="16" t="n">
        <v>21679.3</v>
      </c>
      <c r="J19" s="16" t="n">
        <v>21679.3</v>
      </c>
      <c r="K19" s="14" t="n">
        <v>1.15</v>
      </c>
      <c r="L19" s="14" t="n">
        <v>1.68369</v>
      </c>
      <c r="M19" s="17">
        <f>IF(OR(F19="",K19="",K19&lt;=0),"",F19/K19)</f>
        <v/>
      </c>
      <c r="N19" s="18" t="n">
        <v>1.8939458</v>
      </c>
      <c r="O19" s="19">
        <f>IF(OR(N19="",M19="",M19&lt;=0),"",N19/M19)</f>
        <v/>
      </c>
      <c r="P19" s="20" t="n">
        <v>0.10154</v>
      </c>
      <c r="Q19" s="20" t="n">
        <v>-0.0342246014377813</v>
      </c>
      <c r="R19" s="20" t="n">
        <v>0.07354719819959123</v>
      </c>
      <c r="S19" s="21" t="n">
        <v>4</v>
      </c>
      <c r="T19" s="20" t="n"/>
      <c r="U19" s="20" t="n">
        <v>0.08168294241124395</v>
      </c>
      <c r="V19" s="20" t="n">
        <v>-0.05847076461769116</v>
      </c>
      <c r="W19" s="20" t="n">
        <v>-0.0387429331559694</v>
      </c>
      <c r="X19" s="20" t="n">
        <v>-0.1213676503887086</v>
      </c>
      <c r="Y19" s="14" t="n">
        <v>0.85</v>
      </c>
      <c r="Z19" s="19">
        <f>IF(OR(Y19="",F19="",F19=0),"",Y19/F19)</f>
        <v/>
      </c>
      <c r="AA19" s="22" t="n">
        <v>65.04900000000001</v>
      </c>
      <c r="AB19" s="20" t="n">
        <v>0.005</v>
      </c>
      <c r="AC19" s="20" t="n">
        <v>0.06224066390041494</v>
      </c>
      <c r="AD19" s="17">
        <f>IF(OR(Q19="",M19="",M19&lt;=0),"",ROUND(40*MAX(0,MIN(N(Q19)/0.3,1))+IF(OR(R19="",N(Q19)&lt;=0),10,20*MAX(0,1-MIN(R19/Q19,1)))+30*MAX(0,MIN((PARAMETRI!$B$5-M19)/MAX(PARAMETRI!$B$5-10,1),1))+IF(AB19="",3,10*MAX(0,MIN(AB19/0.15,1)))+IF(AND(P19&lt;&gt;"",N(P19)&lt;N(Q19)*0.6),-8,0),1))</f>
        <v/>
      </c>
      <c r="AE19" s="13">
        <f>IF(AND(P19="",Q19=""),"DATI MANCANTI",IF(AND(N(P19)&gt;=PARAMETRI!$B$4,N(Q19)&gt;=PARAMETRI!$B$4),"OK","NO"))</f>
        <v/>
      </c>
      <c r="AF19" s="13">
        <f>IF(M19="","N/D",IF(M19&lt;PARAMETRI!$B$6,"OTTIMO",IF(M19&lt;PARAMETRI!$B$5,"OK","NO")))</f>
        <v/>
      </c>
      <c r="AG19" s="13">
        <f>IF(OR(AE19="DATI MANCANTI",AF19="N/D"),"DA COMPLETARE",IF(AND(AE19="OK",AF19="OTTIMO"),"PASSA FORTE",IF(AND(AE19="OK",AF19="OK"),"PASSA","SCARTA")))</f>
        <v/>
      </c>
      <c r="AH19" s="11" t="inlineStr">
        <is>
          <t>2026-10-12</t>
        </is>
      </c>
      <c r="AI19" s="11" t="inlineStr">
        <is>
          <t>yahoo</t>
        </is>
      </c>
      <c r="AJ19" s="23" t="inlineStr"/>
    </row>
    <row r="20">
      <c r="A20" s="10">
        <f>IF(AD20="","",RANK(AD20,AD$2:AD$21))</f>
        <v/>
      </c>
      <c r="B20" s="11" t="inlineStr">
        <is>
          <t>ArcelorMittal</t>
        </is>
      </c>
      <c r="C20" s="12" t="inlineStr">
        <is>
          <t>MT.AS</t>
        </is>
      </c>
      <c r="D20" s="11" t="inlineStr">
        <is>
          <t>Acciaio</t>
        </is>
      </c>
      <c r="E20" s="13" t="inlineStr">
        <is>
          <t>Materiali</t>
        </is>
      </c>
      <c r="F20" s="14" t="n">
        <v>56.82</v>
      </c>
      <c r="G20" s="15" t="inlineStr">
        <is>
          <t>EUR</t>
        </is>
      </c>
      <c r="H20" s="14" t="n">
        <v>56.82</v>
      </c>
      <c r="I20" s="16" t="n">
        <v>42753.7</v>
      </c>
      <c r="J20" s="16" t="n">
        <v>42753.7</v>
      </c>
      <c r="K20" s="14" t="n">
        <v>2.03</v>
      </c>
      <c r="L20" s="14" t="n">
        <v>6.6213355</v>
      </c>
      <c r="M20" s="17">
        <f>IF(OR(F20="",K20="",K20&lt;=0),"",F20/K20)</f>
        <v/>
      </c>
      <c r="N20" s="18" t="n">
        <v>0.8797088</v>
      </c>
      <c r="O20" s="19">
        <f>IF(OR(N20="",M20="",M20&lt;=0),"",N20/M20)</f>
        <v/>
      </c>
      <c r="P20" s="20" t="n">
        <v>0.03284</v>
      </c>
      <c r="Q20" s="20" t="n">
        <v>0.06927800998623151</v>
      </c>
      <c r="R20" s="20" t="n">
        <v>0.06286682212857607</v>
      </c>
      <c r="S20" s="21" t="n">
        <v>4</v>
      </c>
      <c r="T20" s="20" t="n"/>
      <c r="U20" s="20" t="n">
        <v>0.05787096537289318</v>
      </c>
      <c r="V20" s="20" t="n">
        <v>0.02720273043089613</v>
      </c>
      <c r="W20" s="20" t="n">
        <v>0.01703081855414095</v>
      </c>
      <c r="X20" s="20" t="n">
        <v>0.1750075255869958</v>
      </c>
      <c r="Y20" s="14" t="n">
        <v>0.54</v>
      </c>
      <c r="Z20" s="19">
        <f>IF(OR(Y20="",F20="",F20=0),"",Y20/F20)</f>
        <v/>
      </c>
      <c r="AA20" s="22" t="n">
        <v>25.379</v>
      </c>
      <c r="AB20" s="20" t="n">
        <v>0.052</v>
      </c>
      <c r="AC20" s="20" t="n">
        <v>0.02953448950319468</v>
      </c>
      <c r="AD20" s="17">
        <f>IF(OR(Q20="",M20="",M20&lt;=0),"",ROUND(40*MAX(0,MIN(N(Q20)/0.3,1))+IF(OR(R20="",N(Q20)&lt;=0),10,20*MAX(0,1-MIN(R20/Q20,1)))+30*MAX(0,MIN((PARAMETRI!$B$5-M20)/MAX(PARAMETRI!$B$5-10,1),1))+IF(AB20="",3,10*MAX(0,MIN(AB20/0.15,1)))+IF(AND(P20&lt;&gt;"",N(P20)&lt;N(Q20)*0.6),-8,0),1))</f>
        <v/>
      </c>
      <c r="AE20" s="13">
        <f>IF(AND(P20="",Q20=""),"DATI MANCANTI",IF(AND(N(P20)&gt;=PARAMETRI!$B$4,N(Q20)&gt;=PARAMETRI!$B$4),"OK","NO"))</f>
        <v/>
      </c>
      <c r="AF20" s="13">
        <f>IF(M20="","N/D",IF(M20&lt;PARAMETRI!$B$6,"OTTIMO",IF(M20&lt;PARAMETRI!$B$5,"OK","NO")))</f>
        <v/>
      </c>
      <c r="AG20" s="13">
        <f>IF(OR(AE20="DATI MANCANTI",AF20="N/D"),"DA COMPLETARE",IF(AND(AE20="OK",AF20="OTTIMO"),"PASSA FORTE",IF(AND(AE20="OK",AF20="OK"),"PASSA","SCARTA")))</f>
        <v/>
      </c>
      <c r="AH20" s="11" t="inlineStr">
        <is>
          <t>2026-10-12</t>
        </is>
      </c>
      <c r="AI20" s="11" t="inlineStr">
        <is>
          <t>yahoo</t>
        </is>
      </c>
      <c r="AJ20" s="23" t="inlineStr"/>
    </row>
    <row r="21">
      <c r="A21" s="10">
        <f>IF(AD21="","",RANK(AD21,AD$2:AD$21))</f>
        <v/>
      </c>
      <c r="B21" s="11" t="inlineStr">
        <is>
          <t>DSM-Firmenich</t>
        </is>
      </c>
      <c r="C21" s="12" t="inlineStr">
        <is>
          <t>DSFIR.AS</t>
        </is>
      </c>
      <c r="D21" s="11" t="inlineStr">
        <is>
          <t>Nutrizione e aromi</t>
        </is>
      </c>
      <c r="E21" s="13" t="inlineStr">
        <is>
          <t>Materiali</t>
        </is>
      </c>
      <c r="F21" s="14" t="n">
        <v>99.66</v>
      </c>
      <c r="G21" s="15" t="inlineStr">
        <is>
          <t>EUR</t>
        </is>
      </c>
      <c r="H21" s="14" t="n">
        <v>99.66</v>
      </c>
      <c r="I21" s="16" t="n">
        <v>24353</v>
      </c>
      <c r="J21" s="16" t="n">
        <v>24353</v>
      </c>
      <c r="K21" s="14" t="n">
        <v>-5.36</v>
      </c>
      <c r="L21" s="14" t="n">
        <v>4.13858</v>
      </c>
      <c r="M21" s="17">
        <f>IF(OR(F21="",K21="",K21&lt;=0),"",F21/K21)</f>
        <v/>
      </c>
      <c r="N21" s="18" t="n">
        <v>1.3987957</v>
      </c>
      <c r="O21" s="19">
        <f>IF(OR(N21="",M21="",M21&lt;=0),"",N21/M21)</f>
        <v/>
      </c>
      <c r="P21" s="20" t="n">
        <v>0.01874</v>
      </c>
      <c r="Q21" s="20" t="n">
        <v>0.05084552238003513</v>
      </c>
      <c r="R21" s="20" t="n">
        <v>0.08221334340492942</v>
      </c>
      <c r="S21" s="21" t="n">
        <v>4</v>
      </c>
      <c r="T21" s="20" t="n"/>
      <c r="U21" s="20" t="n">
        <v>-0.0592523569392677</v>
      </c>
      <c r="V21" s="20" t="n">
        <v>0.01110568166674071</v>
      </c>
      <c r="W21" s="20" t="n">
        <v>0.09328618823118562</v>
      </c>
      <c r="X21" s="20" t="n">
        <v>0.1582425765614819</v>
      </c>
      <c r="Y21" s="14" t="n">
        <v>2.5</v>
      </c>
      <c r="Z21" s="19">
        <f>IF(OR(Y21="",F21="",F21=0),"",Y21/F21)</f>
        <v/>
      </c>
      <c r="AA21" s="22" t="n">
        <v>37.638</v>
      </c>
      <c r="AB21" s="20" t="n">
        <v>0.005</v>
      </c>
      <c r="AC21" s="20" t="n">
        <v>0.03586451184414435</v>
      </c>
      <c r="AD21" s="17">
        <f>IF(OR(Q21="",M21="",M21&lt;=0),"",ROUND(40*MAX(0,MIN(N(Q21)/0.3,1))+IF(OR(R21="",N(Q21)&lt;=0),10,20*MAX(0,1-MIN(R21/Q21,1)))+30*MAX(0,MIN((PARAMETRI!$B$5-M21)/MAX(PARAMETRI!$B$5-10,1),1))+IF(AB21="",3,10*MAX(0,MIN(AB21/0.15,1)))+IF(AND(P21&lt;&gt;"",N(P21)&lt;N(Q21)*0.6),-8,0),1))</f>
        <v/>
      </c>
      <c r="AE21" s="13">
        <f>IF(AND(P21="",Q21=""),"DATI MANCANTI",IF(AND(N(P21)&gt;=PARAMETRI!$B$4,N(Q21)&gt;=PARAMETRI!$B$4),"OK","NO"))</f>
        <v/>
      </c>
      <c r="AF21" s="13">
        <f>IF(M21="","N/D",IF(M21&lt;PARAMETRI!$B$6,"OTTIMO",IF(M21&lt;PARAMETRI!$B$5,"OK","NO")))</f>
        <v/>
      </c>
      <c r="AG21" s="13">
        <f>IF(OR(AE21="DATI MANCANTI",AF21="N/D"),"DA COMPLETARE",IF(AND(AE21="OK",AF21="OTTIMO"),"PASSA FORTE",IF(AND(AE21="OK",AF21="OK"),"PASSA","SCARTA")))</f>
        <v/>
      </c>
      <c r="AH21" s="11" t="inlineStr">
        <is>
          <t>2026-10-12</t>
        </is>
      </c>
      <c r="AI21" s="11" t="inlineStr">
        <is>
          <t>yahoo</t>
        </is>
      </c>
      <c r="AJ21" s="23" t="inlineStr"/>
    </row>
  </sheetData>
  <autoFilter ref="A1:AJ21"/>
  <conditionalFormatting sqref="AG2:AG21">
    <cfRule type="cellIs" priority="1" operator="equal" dxfId="0">
      <formula>"PASSA FORTE"</formula>
    </cfRule>
    <cfRule type="cellIs" priority="2" operator="equal" dxfId="1">
      <formula>"PASSA"</formula>
    </cfRule>
    <cfRule type="cellIs" priority="3" operator="equal" dxfId="2">
      <formula>"SCARTA"</formula>
    </cfRule>
    <cfRule type="cellIs" priority="4" operator="equal" dxfId="3">
      <formula>"DA COMPLETARE"</formula>
    </cfRule>
  </conditionalFormatting>
  <conditionalFormatting sqref="P2:P21">
    <cfRule type="dataBar" priority="5">
      <dataBar>
        <cfvo type="num" val="0"/>
        <cfvo type="num" val="0.4"/>
        <color rgb="00638EC6"/>
      </dataBar>
    </cfRule>
  </conditionalFormatting>
  <conditionalFormatting sqref="Q2:Q21">
    <cfRule type="dataBar" priority="6">
      <dataBar>
        <cfvo type="num" val="0"/>
        <cfvo type="num" val="0.4"/>
        <color rgb="00638EC6"/>
      </dataBar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1" customWidth="1" min="3" max="3"/>
    <col width="24" customWidth="1" min="4" max="4"/>
    <col width="12" customWidth="1" min="5" max="5"/>
    <col width="10" customWidth="1" min="6" max="6"/>
    <col width="6" customWidth="1" min="7" max="7"/>
    <col width="10" customWidth="1" min="8" max="8"/>
    <col width="12" customWidth="1" min="9" max="9"/>
    <col width="11" customWidth="1" min="10" max="10"/>
    <col width="10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9" customWidth="1" min="17" max="17"/>
    <col width="9" customWidth="1" min="18" max="18"/>
    <col width="6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11" customWidth="1" min="30" max="30"/>
    <col width="10" customWidth="1" min="31" max="31"/>
    <col width="10" customWidth="1" min="32" max="32"/>
    <col width="14" customWidth="1" min="33" max="33"/>
    <col width="12" customWidth="1" min="34" max="34"/>
    <col width="10" customWidth="1" min="35" max="35"/>
    <col width="42" customWidth="1" min="36" max="36"/>
  </cols>
  <sheetData>
    <row r="1" ht="30" customHeight="1">
      <c r="A1" s="9" t="inlineStr">
        <is>
          <t>POS.</t>
        </is>
      </c>
      <c r="B1" s="9" t="inlineStr">
        <is>
          <t>TITOLO</t>
        </is>
      </c>
      <c r="C1" s="9" t="inlineStr">
        <is>
          <t>TICKER</t>
        </is>
      </c>
      <c r="D1" s="9" t="inlineStr">
        <is>
          <t>SETTORE</t>
        </is>
      </c>
      <c r="E1" s="9" t="inlineStr">
        <is>
          <t>CLASSE</t>
        </is>
      </c>
      <c r="F1" s="9" t="inlineStr">
        <is>
          <t>PREZZO</t>
        </is>
      </c>
      <c r="G1" s="9" t="inlineStr">
        <is>
          <t>VAL.</t>
        </is>
      </c>
      <c r="H1" s="9" t="inlineStr">
        <is>
          <t>PREZZO €</t>
        </is>
      </c>
      <c r="I1" s="9" t="inlineStr">
        <is>
          <t>CAP. MLN €</t>
        </is>
      </c>
      <c r="J1" s="9" t="inlineStr">
        <is>
          <t>CAP. MLN
locale</t>
        </is>
      </c>
      <c r="K1" s="9" t="inlineStr">
        <is>
          <t>EPS TTM</t>
        </is>
      </c>
      <c r="L1" s="9" t="inlineStr">
        <is>
          <t>EPS ATTESO</t>
        </is>
      </c>
      <c r="M1" s="9" t="inlineStr">
        <is>
          <t>P/E</t>
        </is>
      </c>
      <c r="N1" s="9" t="inlineStr">
        <is>
          <t>P/B</t>
        </is>
      </c>
      <c r="O1" s="9" t="inlineStr">
        <is>
          <t>ROE IMPL.</t>
        </is>
      </c>
      <c r="P1" s="9" t="inlineStr">
        <is>
          <t>ROE 1a</t>
        </is>
      </c>
      <c r="Q1" s="9" t="inlineStr">
        <is>
          <t>ROE 5a</t>
        </is>
      </c>
      <c r="R1" s="9" t="inlineStr">
        <is>
          <t>VARIAB.
ROE</t>
        </is>
      </c>
      <c r="S1" s="9" t="inlineStr">
        <is>
          <t>ANNI</t>
        </is>
      </c>
      <c r="T1" s="9" t="inlineStr">
        <is>
          <t>2026</t>
        </is>
      </c>
      <c r="U1" s="9" t="inlineStr">
        <is>
          <t>2025</t>
        </is>
      </c>
      <c r="V1" s="9" t="inlineStr">
        <is>
          <t>2024</t>
        </is>
      </c>
      <c r="W1" s="9" t="inlineStr">
        <is>
          <t>2023</t>
        </is>
      </c>
      <c r="X1" s="9" t="inlineStr">
        <is>
          <t>2022</t>
        </is>
      </c>
      <c r="Y1" s="9" t="inlineStr">
        <is>
          <t>DIVID.</t>
        </is>
      </c>
      <c r="Z1" s="9" t="inlineStr">
        <is>
          <t>RENDIM.</t>
        </is>
      </c>
      <c r="AA1" s="9" t="inlineStr">
        <is>
          <t>DEBITO/MP</t>
        </is>
      </c>
      <c r="AB1" s="9" t="inlineStr">
        <is>
          <t>CRESC.
RICAVI</t>
        </is>
      </c>
      <c r="AC1" s="9" t="inlineStr">
        <is>
          <t>MARGINE</t>
        </is>
      </c>
      <c r="AD1" s="9" t="inlineStr">
        <is>
          <t>PUNTEGGIO</t>
        </is>
      </c>
      <c r="AE1" s="9" t="inlineStr">
        <is>
          <t>ESITO ROE</t>
        </is>
      </c>
      <c r="AF1" s="9" t="inlineStr">
        <is>
          <t>ESITO P/E</t>
        </is>
      </c>
      <c r="AG1" s="9" t="inlineStr">
        <is>
          <t>GIUDIZIO</t>
        </is>
      </c>
      <c r="AH1" s="9" t="inlineStr">
        <is>
          <t>RILEVATO</t>
        </is>
      </c>
      <c r="AI1" s="9" t="inlineStr">
        <is>
          <t>FONTE</t>
        </is>
      </c>
      <c r="AJ1" s="9" t="inlineStr">
        <is>
          <t>NOTE</t>
        </is>
      </c>
    </row>
    <row r="2">
      <c r="A2" s="10">
        <f>IF(AD2="","",RANK(AD2,AD$2:AD$24))</f>
        <v/>
      </c>
      <c r="B2" s="11" t="inlineStr">
        <is>
          <t>Partners Group</t>
        </is>
      </c>
      <c r="C2" s="12" t="inlineStr">
        <is>
          <t>PGHN.SW</t>
        </is>
      </c>
      <c r="D2" s="11" t="inlineStr">
        <is>
          <t>Private equity</t>
        </is>
      </c>
      <c r="E2" s="13" t="inlineStr">
        <is>
          <t>Finanziario</t>
        </is>
      </c>
      <c r="F2" s="14" t="n">
        <v>597.6</v>
      </c>
      <c r="G2" s="15" t="inlineStr">
        <is>
          <t>CHF</t>
        </is>
      </c>
      <c r="H2" s="14" t="n">
        <v>641.6698879010437</v>
      </c>
      <c r="I2" s="16" t="n">
        <v>16544.25976034016</v>
      </c>
      <c r="J2" s="16" t="n">
        <v>15408</v>
      </c>
      <c r="K2" s="14" t="n">
        <v>45.8</v>
      </c>
      <c r="L2" s="14" t="n">
        <v>45.59957</v>
      </c>
      <c r="M2" s="17">
        <f>IF(OR(F2="",K2="",K2&lt;=0),"",F2/K2)</f>
        <v/>
      </c>
      <c r="N2" s="18" t="n">
        <v>10.513722</v>
      </c>
      <c r="O2" s="19">
        <f>IF(OR(N2="",M2="",M2&lt;=0),"",N2/M2)</f>
        <v/>
      </c>
      <c r="P2" s="20" t="n">
        <v>0.7539199599999999</v>
      </c>
      <c r="Q2" s="20" t="n">
        <v>0.4682156755524319</v>
      </c>
      <c r="R2" s="20" t="n">
        <v>0.06603560908861808</v>
      </c>
      <c r="S2" s="21" t="n">
        <v>4</v>
      </c>
      <c r="T2" s="20" t="n"/>
      <c r="U2" s="20" t="n">
        <v>0.576399049012436</v>
      </c>
      <c r="V2" s="20" t="n">
        <v>0.4671306076798807</v>
      </c>
      <c r="W2" s="20" t="n">
        <v>0.4134492562528329</v>
      </c>
      <c r="X2" s="20" t="n">
        <v>0.4158837892645781</v>
      </c>
      <c r="Y2" s="14" t="n">
        <v>46</v>
      </c>
      <c r="Z2" s="19">
        <f>IF(OR(Y2="",F2="",F2=0),"",Y2/F2)</f>
        <v/>
      </c>
      <c r="AA2" s="22" t="n">
        <v>192.836</v>
      </c>
      <c r="AB2" s="20" t="n">
        <v>-0.074</v>
      </c>
      <c r="AC2" s="20" t="n">
        <v>0.4813099561189664</v>
      </c>
      <c r="AD2" s="17">
        <f>IF(OR(Q2="",M2="",M2&lt;=0),"",ROUND(40*MAX(0,MIN(N(Q2)/0.3,1))+IF(OR(R2="",N(Q2)&lt;=0),10,20*MAX(0,1-MIN(R2/Q2,1)))+30*MAX(0,MIN((PARAMETRI!$B$5-M2)/MAX(PARAMETRI!$B$5-10,1),1))+IF(AB2="",3,10*MAX(0,MIN(AB2/0.15,1)))+IF(AND(P2&lt;&gt;"",N(P2)&lt;N(Q2)*0.6),-8,0),1))</f>
        <v/>
      </c>
      <c r="AE2" s="13">
        <f>IF(AND(P2="",Q2=""),"DATI MANCANTI",IF(AND(N(P2)&gt;=PARAMETRI!$B$4,N(Q2)&gt;=PARAMETRI!$B$4),"OK","NO"))</f>
        <v/>
      </c>
      <c r="AF2" s="13">
        <f>IF(M2="","N/D",IF(M2&lt;PARAMETRI!$B$6,"OTTIMO",IF(M2&lt;PARAMETRI!$B$5,"OK","NO")))</f>
        <v/>
      </c>
      <c r="AG2" s="13">
        <f>IF(OR(AE2="DATI MANCANTI",AF2="N/D"),"DA COMPLETARE",IF(AND(AE2="OK",AF2="OTTIMO"),"PASSA FORTE",IF(AND(AE2="OK",AF2="OK"),"PASSA","SCARTA")))</f>
        <v/>
      </c>
      <c r="AH2" s="11" t="inlineStr">
        <is>
          <t>2026-10-12</t>
        </is>
      </c>
      <c r="AI2" s="11" t="inlineStr">
        <is>
          <t>yahoo</t>
        </is>
      </c>
      <c r="AJ2" s="23" t="inlineStr"/>
    </row>
    <row r="3">
      <c r="A3" s="10">
        <f>IF(AD3="","",RANK(AD3,AD$2:AD$24))</f>
        <v/>
      </c>
      <c r="B3" s="11" t="inlineStr">
        <is>
          <t>Zurich Insurance</t>
        </is>
      </c>
      <c r="C3" s="12" t="inlineStr">
        <is>
          <t>ZURN.SW</t>
        </is>
      </c>
      <c r="D3" s="11" t="inlineStr">
        <is>
          <t>Assicurazione</t>
        </is>
      </c>
      <c r="E3" s="13" t="inlineStr">
        <is>
          <t>Finanziario</t>
        </is>
      </c>
      <c r="F3" s="14" t="n">
        <v>578.8</v>
      </c>
      <c r="G3" s="15" t="inlineStr">
        <is>
          <t>CHF</t>
        </is>
      </c>
      <c r="H3" s="14" t="n">
        <v>621.4834858050938</v>
      </c>
      <c r="I3" s="16" t="n">
        <v>92830.49864708156</v>
      </c>
      <c r="J3" s="16" t="n">
        <v>86454.89999999999</v>
      </c>
      <c r="K3" s="14" t="n">
        <v>39.19</v>
      </c>
      <c r="L3" s="14" t="n">
        <v>43.01317</v>
      </c>
      <c r="M3" s="17">
        <f>IF(OR(F3="",K3="",K3&lt;=0),"",F3/K3)</f>
        <v/>
      </c>
      <c r="N3" s="18" t="n">
        <v>3.3583837</v>
      </c>
      <c r="O3" s="19">
        <f>IF(OR(N3="",M3="",M3&lt;=0),"",N3/M3)</f>
        <v/>
      </c>
      <c r="P3" s="20" t="n">
        <v>0.25695</v>
      </c>
      <c r="Q3" s="20" t="n">
        <v>0.1990037305965541</v>
      </c>
      <c r="R3" s="20" t="n">
        <v>0.03527491247151992</v>
      </c>
      <c r="S3" s="21" t="n">
        <v>4</v>
      </c>
      <c r="T3" s="20" t="n"/>
      <c r="U3" s="20" t="n">
        <v>0.238400841662283</v>
      </c>
      <c r="V3" s="20" t="n">
        <v>0.2282506281407035</v>
      </c>
      <c r="W3" s="20" t="n">
        <v>0.1750201126307321</v>
      </c>
      <c r="X3" s="20" t="n">
        <v>0.1543433399524978</v>
      </c>
      <c r="Y3" s="14" t="n">
        <v>30</v>
      </c>
      <c r="Z3" s="19">
        <f>IF(OR(Y3="",F3="",F3=0),"",Y3/F3)</f>
        <v/>
      </c>
      <c r="AA3" s="22" t="n">
        <v>46.416</v>
      </c>
      <c r="AB3" s="20" t="n">
        <v>0.113</v>
      </c>
      <c r="AC3" s="20" t="n">
        <v>0.08144806730574039</v>
      </c>
      <c r="AD3" s="17">
        <f>IF(OR(Q3="",M3="",M3&lt;=0),"",ROUND(40*MAX(0,MIN(N(Q3)/0.3,1))+IF(OR(R3="",N(Q3)&lt;=0),10,20*MAX(0,1-MIN(R3/Q3,1)))+30*MAX(0,MIN((PARAMETRI!$B$5-M3)/MAX(PARAMETRI!$B$5-10,1),1))+IF(AB3="",3,10*MAX(0,MIN(AB3/0.15,1)))+IF(AND(P3&lt;&gt;"",N(P3)&lt;N(Q3)*0.6),-8,0),1))</f>
        <v/>
      </c>
      <c r="AE3" s="13">
        <f>IF(AND(P3="",Q3=""),"DATI MANCANTI",IF(AND(N(P3)&gt;=PARAMETRI!$B$4,N(Q3)&gt;=PARAMETRI!$B$4),"OK","NO"))</f>
        <v/>
      </c>
      <c r="AF3" s="13">
        <f>IF(M3="","N/D",IF(M3&lt;PARAMETRI!$B$6,"OTTIMO",IF(M3&lt;PARAMETRI!$B$5,"OK","NO")))</f>
        <v/>
      </c>
      <c r="AG3" s="13">
        <f>IF(OR(AE3="DATI MANCANTI",AF3="N/D"),"DA COMPLETARE",IF(AND(AE3="OK",AF3="OTTIMO"),"PASSA FORTE",IF(AND(AE3="OK",AF3="OK"),"PASSA","SCARTA")))</f>
        <v/>
      </c>
      <c r="AH3" s="11" t="inlineStr">
        <is>
          <t>2026-10-12</t>
        </is>
      </c>
      <c r="AI3" s="11" t="inlineStr">
        <is>
          <t>yahoo</t>
        </is>
      </c>
      <c r="AJ3" s="23" t="inlineStr"/>
    </row>
    <row r="4">
      <c r="A4" s="10">
        <f>IF(AD4="","",RANK(AD4,AD$2:AD$24))</f>
        <v/>
      </c>
      <c r="B4" s="11" t="inlineStr">
        <is>
          <t>Geberit</t>
        </is>
      </c>
      <c r="C4" s="12" t="inlineStr">
        <is>
          <t>GEBN.SW</t>
        </is>
      </c>
      <c r="D4" s="11" t="inlineStr">
        <is>
          <t>Sanitari e impianti</t>
        </is>
      </c>
      <c r="E4" s="13" t="inlineStr">
        <is>
          <t>Industriale</t>
        </is>
      </c>
      <c r="F4" s="14" t="n">
        <v>530.8</v>
      </c>
      <c r="G4" s="15" t="inlineStr">
        <is>
          <t>CHF</t>
        </is>
      </c>
      <c r="H4" s="14" t="n">
        <v>569.9437357728815</v>
      </c>
      <c r="I4" s="16" t="n">
        <v>18442.42580423485</v>
      </c>
      <c r="J4" s="16" t="n">
        <v>17175.8</v>
      </c>
      <c r="K4" s="14" t="n">
        <v>18.86</v>
      </c>
      <c r="L4" s="14" t="n">
        <v>21.0625</v>
      </c>
      <c r="M4" s="17">
        <f>IF(OR(F4="",K4="",K4&lt;=0),"",F4/K4)</f>
        <v/>
      </c>
      <c r="N4" s="18" t="n">
        <v>15.495999</v>
      </c>
      <c r="O4" s="19">
        <f>IF(OR(N4="",M4="",M4&lt;=0),"",N4/M4)</f>
        <v/>
      </c>
      <c r="P4" s="20" t="n">
        <v>0.54099</v>
      </c>
      <c r="Q4" s="20" t="n">
        <v>0.4479606337234692</v>
      </c>
      <c r="R4" s="20" t="n">
        <v>0.03149127407751199</v>
      </c>
      <c r="S4" s="21" t="n">
        <v>4</v>
      </c>
      <c r="T4" s="20" t="n"/>
      <c r="U4" s="20" t="n">
        <v>0.3940412629358645</v>
      </c>
      <c r="V4" s="20" t="n">
        <v>0.4586021505376344</v>
      </c>
      <c r="W4" s="20" t="n">
        <v>0.4673888341792288</v>
      </c>
      <c r="X4" s="20" t="n">
        <v>0.471810287241149</v>
      </c>
      <c r="Y4" s="14" t="n">
        <v>12.9</v>
      </c>
      <c r="Z4" s="19">
        <f>IF(OR(Y4="",F4="",F4=0),"",Y4/F4)</f>
        <v/>
      </c>
      <c r="AA4" s="22" t="n">
        <v>134.428</v>
      </c>
      <c r="AB4" s="20" t="n">
        <v>0.065</v>
      </c>
      <c r="AC4" s="20" t="n">
        <v>0.196939507414082</v>
      </c>
      <c r="AD4" s="17">
        <f>IF(OR(Q4="",M4="",M4&lt;=0),"",ROUND(40*MAX(0,MIN(N(Q4)/0.3,1))+IF(OR(R4="",N(Q4)&lt;=0),10,20*MAX(0,1-MIN(R4/Q4,1)))+30*MAX(0,MIN((PARAMETRI!$B$5-M4)/MAX(PARAMETRI!$B$5-10,1),1))+IF(AB4="",3,10*MAX(0,MIN(AB4/0.15,1)))+IF(AND(P4&lt;&gt;"",N(P4)&lt;N(Q4)*0.6),-8,0),1))</f>
        <v/>
      </c>
      <c r="AE4" s="13">
        <f>IF(AND(P4="",Q4=""),"DATI MANCANTI",IF(AND(N(P4)&gt;=PARAMETRI!$B$4,N(Q4)&gt;=PARAMETRI!$B$4),"OK","NO"))</f>
        <v/>
      </c>
      <c r="AF4" s="13">
        <f>IF(M4="","N/D",IF(M4&lt;PARAMETRI!$B$6,"OTTIMO",IF(M4&lt;PARAMETRI!$B$5,"OK","NO")))</f>
        <v/>
      </c>
      <c r="AG4" s="13">
        <f>IF(OR(AE4="DATI MANCANTI",AF4="N/D"),"DA COMPLETARE",IF(AND(AE4="OK",AF4="OTTIMO"),"PASSA FORTE",IF(AND(AE4="OK",AF4="OK"),"PASSA","SCARTA")))</f>
        <v/>
      </c>
      <c r="AH4" s="11" t="inlineStr">
        <is>
          <t>2026-10-12</t>
        </is>
      </c>
      <c r="AI4" s="11" t="inlineStr">
        <is>
          <t>yahoo</t>
        </is>
      </c>
      <c r="AJ4" s="23" t="inlineStr"/>
    </row>
    <row r="5">
      <c r="A5" s="10">
        <f>IF(AD5="","",RANK(AD5,AD$2:AD$24))</f>
        <v/>
      </c>
      <c r="B5" s="11" t="inlineStr">
        <is>
          <t>Julius Baer Gruppe</t>
        </is>
      </c>
      <c r="C5" s="12" t="inlineStr">
        <is>
          <t>BAER.SW</t>
        </is>
      </c>
      <c r="D5" s="11" t="inlineStr">
        <is>
          <t>Gestione patrimoni</t>
        </is>
      </c>
      <c r="E5" s="13" t="inlineStr">
        <is>
          <t>Finanziario</t>
        </is>
      </c>
      <c r="F5" s="14" t="n">
        <v>71.76000000000001</v>
      </c>
      <c r="G5" s="15" t="inlineStr">
        <is>
          <t>CHF</t>
        </is>
      </c>
      <c r="H5" s="14" t="n">
        <v>77.05192629815747</v>
      </c>
      <c r="I5" s="16" t="n">
        <v>15854.48610574239</v>
      </c>
      <c r="J5" s="16" t="n">
        <v>14765.6</v>
      </c>
      <c r="K5" s="14" t="n">
        <v>5.54</v>
      </c>
      <c r="L5" s="14" t="n">
        <v>6.2272</v>
      </c>
      <c r="M5" s="17">
        <f>IF(OR(F5="",K5="",K5&lt;=0),"",F5/K5)</f>
        <v/>
      </c>
      <c r="N5" s="18" t="n">
        <v>2.002232</v>
      </c>
      <c r="O5" s="19">
        <f>IF(OR(N5="",M5="",M5&lt;=0),"",N5/M5)</f>
        <v/>
      </c>
      <c r="P5" s="20" t="n">
        <v>0.16169001</v>
      </c>
      <c r="Q5" s="20" t="n">
        <v>0.1200210000885957</v>
      </c>
      <c r="R5" s="20" t="n">
        <v>0.03239015609690895</v>
      </c>
      <c r="S5" s="21" t="n">
        <v>4</v>
      </c>
      <c r="T5" s="20" t="n"/>
      <c r="U5" s="20" t="n">
        <v>0.1056556265736975</v>
      </c>
      <c r="V5" s="20" t="n">
        <v>0.1497055980314615</v>
      </c>
      <c r="W5" s="20" t="n">
        <v>0.07368574813756837</v>
      </c>
      <c r="X5" s="20" t="n">
        <v>0.1510370276116554</v>
      </c>
      <c r="Y5" s="14" t="n">
        <v>2.6</v>
      </c>
      <c r="Z5" s="19">
        <f>IF(OR(Y5="",F5="",F5=0),"",Y5/F5)</f>
        <v/>
      </c>
      <c r="AA5" s="22" t="n"/>
      <c r="AB5" s="20" t="n">
        <v>0.257</v>
      </c>
      <c r="AC5" s="20" t="n">
        <v>0.2798606497202866</v>
      </c>
      <c r="AD5" s="17">
        <f>IF(OR(Q5="",M5="",M5&lt;=0),"",ROUND(40*MAX(0,MIN(N(Q5)/0.3,1))+IF(OR(R5="",N(Q5)&lt;=0),10,20*MAX(0,1-MIN(R5/Q5,1)))+30*MAX(0,MIN((PARAMETRI!$B$5-M5)/MAX(PARAMETRI!$B$5-10,1),1))+IF(AB5="",3,10*MAX(0,MIN(AB5/0.15,1)))+IF(AND(P5&lt;&gt;"",N(P5)&lt;N(Q5)*0.6),-8,0),1))</f>
        <v/>
      </c>
      <c r="AE5" s="13">
        <f>IF(AND(P5="",Q5=""),"DATI MANCANTI",IF(AND(N(P5)&gt;=PARAMETRI!$B$4,N(Q5)&gt;=PARAMETRI!$B$4),"OK","NO"))</f>
        <v/>
      </c>
      <c r="AF5" s="13">
        <f>IF(M5="","N/D",IF(M5&lt;PARAMETRI!$B$6,"OTTIMO",IF(M5&lt;PARAMETRI!$B$5,"OK","NO")))</f>
        <v/>
      </c>
      <c r="AG5" s="13">
        <f>IF(OR(AE5="DATI MANCANTI",AF5="N/D"),"DA COMPLETARE",IF(AND(AE5="OK",AF5="OTTIMO"),"PASSA FORTE",IF(AND(AE5="OK",AF5="OK"),"PASSA","SCARTA")))</f>
        <v/>
      </c>
      <c r="AH5" s="11" t="inlineStr">
        <is>
          <t>2026-10-12</t>
        </is>
      </c>
      <c r="AI5" s="11" t="inlineStr">
        <is>
          <t>yahoo</t>
        </is>
      </c>
      <c r="AJ5" s="23" t="inlineStr"/>
    </row>
    <row r="6">
      <c r="A6" s="10">
        <f>IF(AD6="","",RANK(AD6,AD$2:AD$24))</f>
        <v/>
      </c>
      <c r="B6" s="11" t="inlineStr">
        <is>
          <t>ABB</t>
        </is>
      </c>
      <c r="C6" s="12" t="inlineStr">
        <is>
          <t>ABBN.SW</t>
        </is>
      </c>
      <c r="D6" s="11" t="inlineStr">
        <is>
          <t>Automazione / Elettrificazione</t>
        </is>
      </c>
      <c r="E6" s="13" t="inlineStr">
        <is>
          <t>Industriale</t>
        </is>
      </c>
      <c r="F6" s="14" t="n">
        <v>80.02</v>
      </c>
      <c r="G6" s="15" t="inlineStr">
        <is>
          <t>CHF</t>
        </is>
      </c>
      <c r="H6" s="14" t="n">
        <v>85.92105828286732</v>
      </c>
      <c r="I6" s="16" t="n">
        <v>155442.5976034016</v>
      </c>
      <c r="J6" s="16" t="n">
        <v>144766.8</v>
      </c>
      <c r="K6" s="14" t="n">
        <v>2.18</v>
      </c>
      <c r="L6" s="14" t="n">
        <v>2.971381</v>
      </c>
      <c r="M6" s="17">
        <f>IF(OR(F6="",K6="",K6&lt;=0),"",F6/K6)</f>
        <v/>
      </c>
      <c r="N6" s="18" t="n">
        <v>10.999004</v>
      </c>
      <c r="O6" s="19">
        <f>IF(OR(N6="",M6="",M6&lt;=0),"",N6/M6)</f>
        <v/>
      </c>
      <c r="P6" s="20" t="n">
        <v>0.32575</v>
      </c>
      <c r="Q6" s="20" t="n">
        <v>0.2600388332410384</v>
      </c>
      <c r="R6" s="20" t="n">
        <v>0.03907452780269946</v>
      </c>
      <c r="S6" s="21" t="n">
        <v>4</v>
      </c>
      <c r="T6" s="20" t="n"/>
      <c r="U6" s="20" t="n">
        <v>0.2942748803381612</v>
      </c>
      <c r="V6" s="20" t="n">
        <v>0.2729038074762466</v>
      </c>
      <c r="W6" s="20" t="n">
        <v>0.2792692020879941</v>
      </c>
      <c r="X6" s="20" t="n">
        <v>0.1937074430617516</v>
      </c>
      <c r="Y6" s="14" t="n">
        <v>0.9399999999999999</v>
      </c>
      <c r="Z6" s="19">
        <f>IF(OR(Y6="",F6="",F6=0),"",Y6/F6)</f>
        <v/>
      </c>
      <c r="AA6" s="22" t="n">
        <v>55.751</v>
      </c>
      <c r="AB6" s="20" t="n">
        <v>0.142</v>
      </c>
      <c r="AC6" s="20" t="n">
        <v>0.1496989822998194</v>
      </c>
      <c r="AD6" s="17">
        <f>IF(OR(Q6="",M6="",M6&lt;=0),"",ROUND(40*MAX(0,MIN(N(Q6)/0.3,1))+IF(OR(R6="",N(Q6)&lt;=0),10,20*MAX(0,1-MIN(R6/Q6,1)))+30*MAX(0,MIN((PARAMETRI!$B$5-M6)/MAX(PARAMETRI!$B$5-10,1),1))+IF(AB6="",3,10*MAX(0,MIN(AB6/0.15,1)))+IF(AND(P6&lt;&gt;"",N(P6)&lt;N(Q6)*0.6),-8,0),1))</f>
        <v/>
      </c>
      <c r="AE6" s="13">
        <f>IF(AND(P6="",Q6=""),"DATI MANCANTI",IF(AND(N(P6)&gt;=PARAMETRI!$B$4,N(Q6)&gt;=PARAMETRI!$B$4),"OK","NO"))</f>
        <v/>
      </c>
      <c r="AF6" s="13">
        <f>IF(M6="","N/D",IF(M6&lt;PARAMETRI!$B$6,"OTTIMO",IF(M6&lt;PARAMETRI!$B$5,"OK","NO")))</f>
        <v/>
      </c>
      <c r="AG6" s="13">
        <f>IF(OR(AE6="DATI MANCANTI",AF6="N/D"),"DA COMPLETARE",IF(AND(AE6="OK",AF6="OTTIMO"),"PASSA FORTE",IF(AND(AE6="OK",AF6="OK"),"PASSA","SCARTA")))</f>
        <v/>
      </c>
      <c r="AH6" s="11" t="inlineStr">
        <is>
          <t>2026-10-12</t>
        </is>
      </c>
      <c r="AI6" s="11" t="inlineStr">
        <is>
          <t>yahoo</t>
        </is>
      </c>
      <c r="AJ6" s="23" t="inlineStr"/>
    </row>
    <row r="7">
      <c r="A7" s="10">
        <f>IF(AD7="","",RANK(AD7,AD$2:AD$24))</f>
        <v/>
      </c>
      <c r="B7" s="11" t="inlineStr">
        <is>
          <t>SGS</t>
        </is>
      </c>
      <c r="C7" s="12" t="inlineStr">
        <is>
          <t>SGSN.SW</t>
        </is>
      </c>
      <c r="D7" s="11" t="inlineStr">
        <is>
          <t>Ispezione e certificazione</t>
        </is>
      </c>
      <c r="E7" s="13" t="inlineStr">
        <is>
          <t>Industriale</t>
        </is>
      </c>
      <c r="F7" s="14" t="n">
        <v>97</v>
      </c>
      <c r="G7" s="15" t="inlineStr">
        <is>
          <t>CHF</t>
        </is>
      </c>
      <c r="H7" s="14" t="n">
        <v>104.1532448567625</v>
      </c>
      <c r="I7" s="16" t="n">
        <v>20600.00858995834</v>
      </c>
      <c r="J7" s="16" t="n">
        <v>19185.2</v>
      </c>
      <c r="K7" s="14" t="n">
        <v>3.4</v>
      </c>
      <c r="L7" s="14" t="n">
        <v>4.5083</v>
      </c>
      <c r="M7" s="17">
        <f>IF(OR(F7="",K7="",K7&lt;=0),"",F7/K7)</f>
        <v/>
      </c>
      <c r="N7" s="18" t="n">
        <v>19.034536</v>
      </c>
      <c r="O7" s="19">
        <f>IF(OR(N7="",M7="",M7&lt;=0),"",N7/M7)</f>
        <v/>
      </c>
      <c r="P7" s="20" t="n">
        <v>0.76313</v>
      </c>
      <c r="Q7" s="20" t="n">
        <v>0.8843363128257563</v>
      </c>
      <c r="R7" s="20" t="n">
        <v>0.1921909984470007</v>
      </c>
      <c r="S7" s="21" t="n">
        <v>4</v>
      </c>
      <c r="T7" s="20" t="n"/>
      <c r="U7" s="20" t="n">
        <v>0.7413984461709212</v>
      </c>
      <c r="V7" s="20" t="n">
        <v>0.7289836888331243</v>
      </c>
      <c r="W7" s="20" t="n">
        <v>1.20479302832244</v>
      </c>
      <c r="X7" s="20" t="n">
        <v>0.8621700879765396</v>
      </c>
      <c r="Y7" s="14" t="n">
        <v>3.2</v>
      </c>
      <c r="Z7" s="19">
        <f>IF(OR(Y7="",F7="",F7=0),"",Y7/F7)</f>
        <v/>
      </c>
      <c r="AA7" s="22" t="n">
        <v>464.47</v>
      </c>
      <c r="AB7" s="20" t="n">
        <v>0.076</v>
      </c>
      <c r="AC7" s="20" t="n">
        <v>0.09546436285097193</v>
      </c>
      <c r="AD7" s="17">
        <f>IF(OR(Q7="",M7="",M7&lt;=0),"",ROUND(40*MAX(0,MIN(N(Q7)/0.3,1))+IF(OR(R7="",N(Q7)&lt;=0),10,20*MAX(0,1-MIN(R7/Q7,1)))+30*MAX(0,MIN((PARAMETRI!$B$5-M7)/MAX(PARAMETRI!$B$5-10,1),1))+IF(AB7="",3,10*MAX(0,MIN(AB7/0.15,1)))+IF(AND(P7&lt;&gt;"",N(P7)&lt;N(Q7)*0.6),-8,0),1))</f>
        <v/>
      </c>
      <c r="AE7" s="13">
        <f>IF(AND(P7="",Q7=""),"DATI MANCANTI",IF(AND(N(P7)&gt;=PARAMETRI!$B$4,N(Q7)&gt;=PARAMETRI!$B$4),"OK","NO"))</f>
        <v/>
      </c>
      <c r="AF7" s="13">
        <f>IF(M7="","N/D",IF(M7&lt;PARAMETRI!$B$6,"OTTIMO",IF(M7&lt;PARAMETRI!$B$5,"OK","NO")))</f>
        <v/>
      </c>
      <c r="AG7" s="13">
        <f>IF(OR(AE7="DATI MANCANTI",AF7="N/D"),"DA COMPLETARE",IF(AND(AE7="OK",AF7="OTTIMO"),"PASSA FORTE",IF(AND(AE7="OK",AF7="OK"),"PASSA","SCARTA")))</f>
        <v/>
      </c>
      <c r="AH7" s="11" t="inlineStr">
        <is>
          <t>2026-10-12</t>
        </is>
      </c>
      <c r="AI7" s="11" t="inlineStr">
        <is>
          <t>yahoo</t>
        </is>
      </c>
      <c r="AJ7" s="23" t="inlineStr"/>
    </row>
    <row r="8">
      <c r="A8" s="10">
        <f>IF(AD8="","",RANK(AD8,AD$2:AD$24))</f>
        <v/>
      </c>
      <c r="B8" s="11" t="inlineStr">
        <is>
          <t>Kuehne + Nagel</t>
        </is>
      </c>
      <c r="C8" s="12" t="inlineStr">
        <is>
          <t>KNIN.SW</t>
        </is>
      </c>
      <c r="D8" s="11" t="inlineStr">
        <is>
          <t>Logistica</t>
        </is>
      </c>
      <c r="E8" s="13" t="inlineStr">
        <is>
          <t>Industriale</t>
        </is>
      </c>
      <c r="F8" s="14" t="n">
        <v>228.6</v>
      </c>
      <c r="G8" s="15" t="inlineStr">
        <is>
          <t>CHF</t>
        </is>
      </c>
      <c r="H8" s="14" t="n">
        <v>245.4580595284113</v>
      </c>
      <c r="I8" s="16" t="n">
        <v>29150.66786926083</v>
      </c>
      <c r="J8" s="16" t="n">
        <v>27148.6</v>
      </c>
      <c r="K8" s="14" t="n">
        <v>7.26</v>
      </c>
      <c r="L8" s="14" t="n">
        <v>9.558909999999999</v>
      </c>
      <c r="M8" s="17">
        <f>IF(OR(F8="",K8="",K8&lt;=0),"",F8/K8)</f>
        <v/>
      </c>
      <c r="N8" s="18" t="n">
        <v>13.236827</v>
      </c>
      <c r="O8" s="19">
        <f>IF(OR(N8="",M8="",M8&lt;=0),"",N8/M8)</f>
        <v/>
      </c>
      <c r="P8" s="20" t="n">
        <v>0.44268</v>
      </c>
      <c r="Q8" s="20" t="n">
        <v>0.464756209938601</v>
      </c>
      <c r="R8" s="20" t="n">
        <v>0.1055333217304714</v>
      </c>
      <c r="S8" s="21" t="n">
        <v>4</v>
      </c>
      <c r="T8" s="20" t="n"/>
      <c r="U8" s="20" t="n">
        <v>0.4045871559633027</v>
      </c>
      <c r="V8" s="20" t="n">
        <v>0.3619368679129635</v>
      </c>
      <c r="W8" s="20" t="n">
        <v>0.4538534728829686</v>
      </c>
      <c r="X8" s="20" t="n">
        <v>0.6386473429951691</v>
      </c>
      <c r="Y8" s="14" t="n">
        <v>6</v>
      </c>
      <c r="Z8" s="19">
        <f>IF(OR(Y8="",F8="",F8=0),"",Y8/F8)</f>
        <v/>
      </c>
      <c r="AA8" s="22" t="n">
        <v>196.252</v>
      </c>
      <c r="AB8" s="20" t="n">
        <v>0.076</v>
      </c>
      <c r="AC8" s="20" t="n">
        <v>0.03529988560222259</v>
      </c>
      <c r="AD8" s="17">
        <f>IF(OR(Q8="",M8="",M8&lt;=0),"",ROUND(40*MAX(0,MIN(N(Q8)/0.3,1))+IF(OR(R8="",N(Q8)&lt;=0),10,20*MAX(0,1-MIN(R8/Q8,1)))+30*MAX(0,MIN((PARAMETRI!$B$5-M8)/MAX(PARAMETRI!$B$5-10,1),1))+IF(AB8="",3,10*MAX(0,MIN(AB8/0.15,1)))+IF(AND(P8&lt;&gt;"",N(P8)&lt;N(Q8)*0.6),-8,0),1))</f>
        <v/>
      </c>
      <c r="AE8" s="13">
        <f>IF(AND(P8="",Q8=""),"DATI MANCANTI",IF(AND(N(P8)&gt;=PARAMETRI!$B$4,N(Q8)&gt;=PARAMETRI!$B$4),"OK","NO"))</f>
        <v/>
      </c>
      <c r="AF8" s="13">
        <f>IF(M8="","N/D",IF(M8&lt;PARAMETRI!$B$6,"OTTIMO",IF(M8&lt;PARAMETRI!$B$5,"OK","NO")))</f>
        <v/>
      </c>
      <c r="AG8" s="13">
        <f>IF(OR(AE8="DATI MANCANTI",AF8="N/D"),"DA COMPLETARE",IF(AND(AE8="OK",AF8="OTTIMO"),"PASSA FORTE",IF(AND(AE8="OK",AF8="OK"),"PASSA","SCARTA")))</f>
        <v/>
      </c>
      <c r="AH8" s="11" t="inlineStr">
        <is>
          <t>2026-10-12</t>
        </is>
      </c>
      <c r="AI8" s="11" t="inlineStr">
        <is>
          <t>yahoo</t>
        </is>
      </c>
      <c r="AJ8" s="23" t="inlineStr"/>
    </row>
    <row r="9">
      <c r="A9" s="10">
        <f>IF(AD9="","",RANK(AD9,AD$2:AD$24))</f>
        <v/>
      </c>
      <c r="B9" s="11" t="inlineStr">
        <is>
          <t>Logitech International</t>
        </is>
      </c>
      <c r="C9" s="12" t="inlineStr">
        <is>
          <t>LOGN.SW</t>
        </is>
      </c>
      <c r="D9" s="11" t="inlineStr">
        <is>
          <t>Periferiche</t>
        </is>
      </c>
      <c r="E9" s="13" t="inlineStr">
        <is>
          <t>Tecnologia</t>
        </is>
      </c>
      <c r="F9" s="14" t="n">
        <v>82.7</v>
      </c>
      <c r="G9" s="15" t="inlineStr">
        <is>
          <t>CHF</t>
        </is>
      </c>
      <c r="H9" s="14" t="n">
        <v>88.79869432633252</v>
      </c>
      <c r="I9" s="16" t="n">
        <v>12714.96370742602</v>
      </c>
      <c r="J9" s="16" t="n">
        <v>11841.7</v>
      </c>
      <c r="K9" s="14" t="n">
        <v>4.33</v>
      </c>
      <c r="L9" s="14" t="n">
        <v>5.030275</v>
      </c>
      <c r="M9" s="17">
        <f>IF(OR(F9="",K9="",K9&lt;=0),"",F9/K9)</f>
        <v/>
      </c>
      <c r="N9" s="18" t="n">
        <v>6.052382</v>
      </c>
      <c r="O9" s="19">
        <f>IF(OR(N9="",M9="",M9&lt;=0),"",N9/M9)</f>
        <v/>
      </c>
      <c r="P9" s="20" t="n">
        <v>0.35287997</v>
      </c>
      <c r="Q9" s="20" t="n">
        <v>0.2634996625637651</v>
      </c>
      <c r="R9" s="20" t="n">
        <v>0.06124827333549866</v>
      </c>
      <c r="S9" s="21" t="n">
        <v>4</v>
      </c>
      <c r="T9" s="20" t="n">
        <v>0.3216012162464039</v>
      </c>
      <c r="U9" s="20" t="n">
        <v>0.2968520555414539</v>
      </c>
      <c r="V9" s="20" t="n">
        <v>0.2740546539681857</v>
      </c>
      <c r="W9" s="20" t="n">
        <v>0.1614907244990166</v>
      </c>
      <c r="X9" s="20" t="n"/>
      <c r="Y9" s="14" t="n">
        <v>1.36</v>
      </c>
      <c r="Z9" s="19">
        <f>IF(OR(Y9="",F9="",F9=0),"",Y9/F9)</f>
        <v/>
      </c>
      <c r="AA9" s="22" t="n">
        <v>3.588</v>
      </c>
      <c r="AB9" s="20" t="n">
        <v>0.06900000000000001</v>
      </c>
      <c r="AC9" s="20" t="n">
        <v>0.1654427871981285</v>
      </c>
      <c r="AD9" s="17">
        <f>IF(OR(Q9="",M9="",M9&lt;=0),"",ROUND(40*MAX(0,MIN(N(Q9)/0.3,1))+IF(OR(R9="",N(Q9)&lt;=0),10,20*MAX(0,1-MIN(R9/Q9,1)))+30*MAX(0,MIN((PARAMETRI!$B$5-M9)/MAX(PARAMETRI!$B$5-10,1),1))+IF(AB9="",3,10*MAX(0,MIN(AB9/0.15,1)))+IF(AND(P9&lt;&gt;"",N(P9)&lt;N(Q9)*0.6),-8,0),1))</f>
        <v/>
      </c>
      <c r="AE9" s="13">
        <f>IF(AND(P9="",Q9=""),"DATI MANCANTI",IF(AND(N(P9)&gt;=PARAMETRI!$B$4,N(Q9)&gt;=PARAMETRI!$B$4),"OK","NO"))</f>
        <v/>
      </c>
      <c r="AF9" s="13">
        <f>IF(M9="","N/D",IF(M9&lt;PARAMETRI!$B$6,"OTTIMO",IF(M9&lt;PARAMETRI!$B$5,"OK","NO")))</f>
        <v/>
      </c>
      <c r="AG9" s="13">
        <f>IF(OR(AE9="DATI MANCANTI",AF9="N/D"),"DA COMPLETARE",IF(AND(AE9="OK",AF9="OTTIMO"),"PASSA FORTE",IF(AND(AE9="OK",AF9="OK"),"PASSA","SCARTA")))</f>
        <v/>
      </c>
      <c r="AH9" s="11" t="inlineStr">
        <is>
          <t>2026-10-12</t>
        </is>
      </c>
      <c r="AI9" s="11" t="inlineStr">
        <is>
          <t>yahoo</t>
        </is>
      </c>
      <c r="AJ9" s="23" t="inlineStr"/>
    </row>
    <row r="10">
      <c r="A10" s="10">
        <f>IF(AD10="","",RANK(AD10,AD$2:AD$24))</f>
        <v/>
      </c>
      <c r="B10" s="11" t="inlineStr">
        <is>
          <t>Nestle</t>
        </is>
      </c>
      <c r="C10" s="12" t="inlineStr">
        <is>
          <t>NESN.SW</t>
        </is>
      </c>
      <c r="D10" s="11" t="inlineStr">
        <is>
          <t>Alimentare</t>
        </is>
      </c>
      <c r="E10" s="13" t="inlineStr">
        <is>
          <t>Consumi</t>
        </is>
      </c>
      <c r="F10" s="14" t="n">
        <v>76.38</v>
      </c>
      <c r="G10" s="15" t="inlineStr">
        <is>
          <t>CHF</t>
        </is>
      </c>
      <c r="H10" s="14" t="n">
        <v>82.01262723875789</v>
      </c>
      <c r="I10" s="16" t="n">
        <v>210954.4517459091</v>
      </c>
      <c r="J10" s="16" t="n">
        <v>196466.1</v>
      </c>
      <c r="K10" s="14" t="n">
        <v>2.88</v>
      </c>
      <c r="L10" s="14" t="n">
        <v>4.82053</v>
      </c>
      <c r="M10" s="17">
        <f>IF(OR(F10="",K10="",K10&lt;=0),"",F10/K10)</f>
        <v/>
      </c>
      <c r="N10" s="18" t="n">
        <v>6.7235913</v>
      </c>
      <c r="O10" s="19">
        <f>IF(OR(N10="",M10="",M10&lt;=0),"",N10/M10)</f>
        <v/>
      </c>
      <c r="P10" s="20" t="n">
        <v>0.26244</v>
      </c>
      <c r="Q10" s="20" t="n">
        <v>0.2781904882450918</v>
      </c>
      <c r="R10" s="20" t="n">
        <v>0.03595995564025928</v>
      </c>
      <c r="S10" s="21" t="n">
        <v>4</v>
      </c>
      <c r="T10" s="20" t="n"/>
      <c r="U10" s="20" t="n">
        <v>0.275312404754648</v>
      </c>
      <c r="V10" s="20" t="n">
        <v>0.3030319904223627</v>
      </c>
      <c r="W10" s="20" t="n">
        <v>0.3136086396955962</v>
      </c>
      <c r="X10" s="20" t="n">
        <v>0.2208089181077605</v>
      </c>
      <c r="Y10" s="14" t="n">
        <v>3.1</v>
      </c>
      <c r="Z10" s="19">
        <f>IF(OR(Y10="",F10="",F10=0),"",Y10/F10)</f>
        <v/>
      </c>
      <c r="AA10" s="22" t="n">
        <v>213.005</v>
      </c>
      <c r="AB10" s="20" t="n">
        <v>-0.025</v>
      </c>
      <c r="AC10" s="20" t="n">
        <v>0.08277243144017356</v>
      </c>
      <c r="AD10" s="17">
        <f>IF(OR(Q10="",M10="",M10&lt;=0),"",ROUND(40*MAX(0,MIN(N(Q10)/0.3,1))+IF(OR(R10="",N(Q10)&lt;=0),10,20*MAX(0,1-MIN(R10/Q10,1)))+30*MAX(0,MIN((PARAMETRI!$B$5-M10)/MAX(PARAMETRI!$B$5-10,1),1))+IF(AB10="",3,10*MAX(0,MIN(AB10/0.15,1)))+IF(AND(P10&lt;&gt;"",N(P10)&lt;N(Q10)*0.6),-8,0),1))</f>
        <v/>
      </c>
      <c r="AE10" s="13">
        <f>IF(AND(P10="",Q10=""),"DATI MANCANTI",IF(AND(N(P10)&gt;=PARAMETRI!$B$4,N(Q10)&gt;=PARAMETRI!$B$4),"OK","NO"))</f>
        <v/>
      </c>
      <c r="AF10" s="13">
        <f>IF(M10="","N/D",IF(M10&lt;PARAMETRI!$B$6,"OTTIMO",IF(M10&lt;PARAMETRI!$B$5,"OK","NO")))</f>
        <v/>
      </c>
      <c r="AG10" s="13">
        <f>IF(OR(AE10="DATI MANCANTI",AF10="N/D"),"DA COMPLETARE",IF(AND(AE10="OK",AF10="OTTIMO"),"PASSA FORTE",IF(AND(AE10="OK",AF10="OK"),"PASSA","SCARTA")))</f>
        <v/>
      </c>
      <c r="AH10" s="11" t="inlineStr">
        <is>
          <t>2026-10-12</t>
        </is>
      </c>
      <c r="AI10" s="11" t="inlineStr">
        <is>
          <t>yahoo</t>
        </is>
      </c>
      <c r="AJ10" s="23" t="inlineStr"/>
    </row>
    <row r="11">
      <c r="A11" s="10">
        <f>IF(AD11="","",RANK(AD11,AD$2:AD$24))</f>
        <v/>
      </c>
      <c r="B11" s="11" t="inlineStr">
        <is>
          <t>Swiss Re</t>
        </is>
      </c>
      <c r="C11" s="12" t="inlineStr">
        <is>
          <t>SREN.SW</t>
        </is>
      </c>
      <c r="D11" s="11" t="inlineStr">
        <is>
          <t>Riassicurazione</t>
        </is>
      </c>
      <c r="E11" s="13" t="inlineStr">
        <is>
          <t>Finanziario</t>
        </is>
      </c>
      <c r="F11" s="14" t="n">
        <v>144.95</v>
      </c>
      <c r="G11" s="15" t="inlineStr">
        <is>
          <t>CHF</t>
        </is>
      </c>
      <c r="H11" s="14" t="n">
        <v>155.6393076493579</v>
      </c>
      <c r="I11" s="16" t="n">
        <v>45901.08662972985</v>
      </c>
      <c r="J11" s="16" t="n">
        <v>42748.6</v>
      </c>
      <c r="K11" s="14" t="n">
        <v>13.03</v>
      </c>
      <c r="L11" s="14" t="n">
        <v>13.149076</v>
      </c>
      <c r="M11" s="17">
        <f>IF(OR(F11="",K11="",K11&lt;=0),"",F11/K11)</f>
        <v/>
      </c>
      <c r="N11" s="18" t="n">
        <v>2.101796</v>
      </c>
      <c r="O11" s="19">
        <f>IF(OR(N11="",M11="",M11&lt;=0),"",N11/M11)</f>
        <v/>
      </c>
      <c r="P11" s="20" t="n">
        <v>0.20356001</v>
      </c>
      <c r="Q11" s="20" t="n">
        <v>0.1225654204666228</v>
      </c>
      <c r="R11" s="20" t="n">
        <v>0.05927774515888339</v>
      </c>
      <c r="S11" s="21" t="n">
        <v>4</v>
      </c>
      <c r="T11" s="20" t="n"/>
      <c r="U11" s="20" t="n">
        <v>0.1854605211675405</v>
      </c>
      <c r="V11" s="20" t="n">
        <v>0.1402665974205834</v>
      </c>
      <c r="W11" s="20" t="n">
        <v>0.1394441954280592</v>
      </c>
      <c r="X11" s="20" t="n">
        <v>0.02509036785030831</v>
      </c>
      <c r="Y11" s="14" t="n">
        <v>6.25</v>
      </c>
      <c r="Z11" s="19">
        <f>IF(OR(Y11="",F11="",F11=0),"",Y11/F11)</f>
        <v/>
      </c>
      <c r="AA11" s="22" t="n">
        <v>37.837</v>
      </c>
      <c r="AB11" s="20" t="n">
        <v>-0.052</v>
      </c>
      <c r="AC11" s="20" t="n">
        <v>0.1046654163601557</v>
      </c>
      <c r="AD11" s="17">
        <f>IF(OR(Q11="",M11="",M11&lt;=0),"",ROUND(40*MAX(0,MIN(N(Q11)/0.3,1))+IF(OR(R11="",N(Q11)&lt;=0),10,20*MAX(0,1-MIN(R11/Q11,1)))+30*MAX(0,MIN((PARAMETRI!$B$5-M11)/MAX(PARAMETRI!$B$5-10,1),1))+IF(AB11="",3,10*MAX(0,MIN(AB11/0.15,1)))+IF(AND(P11&lt;&gt;"",N(P11)&lt;N(Q11)*0.6),-8,0),1))</f>
        <v/>
      </c>
      <c r="AE11" s="13">
        <f>IF(AND(P11="",Q11=""),"DATI MANCANTI",IF(AND(N(P11)&gt;=PARAMETRI!$B$4,N(Q11)&gt;=PARAMETRI!$B$4),"OK","NO"))</f>
        <v/>
      </c>
      <c r="AF11" s="13">
        <f>IF(M11="","N/D",IF(M11&lt;PARAMETRI!$B$6,"OTTIMO",IF(M11&lt;PARAMETRI!$B$5,"OK","NO")))</f>
        <v/>
      </c>
      <c r="AG11" s="13">
        <f>IF(OR(AE11="DATI MANCANTI",AF11="N/D"),"DA COMPLETARE",IF(AND(AE11="OK",AF11="OTTIMO"),"PASSA FORTE",IF(AND(AE11="OK",AF11="OK"),"PASSA","SCARTA")))</f>
        <v/>
      </c>
      <c r="AH11" s="11" t="inlineStr">
        <is>
          <t>2026-10-12</t>
        </is>
      </c>
      <c r="AI11" s="11" t="inlineStr">
        <is>
          <t>yahoo</t>
        </is>
      </c>
      <c r="AJ11" s="23" t="inlineStr"/>
    </row>
    <row r="12">
      <c r="A12" s="10">
        <f>IF(AD12="","",RANK(AD12,AD$2:AD$24))</f>
        <v/>
      </c>
      <c r="B12" s="11" t="inlineStr">
        <is>
          <t>Sonova Holding</t>
        </is>
      </c>
      <c r="C12" s="12" t="inlineStr">
        <is>
          <t>SOON.SW</t>
        </is>
      </c>
      <c r="D12" s="11" t="inlineStr">
        <is>
          <t>Apparecchi acustici</t>
        </is>
      </c>
      <c r="E12" s="13" t="inlineStr">
        <is>
          <t>Salute</t>
        </is>
      </c>
      <c r="F12" s="14" t="n">
        <v>267.8</v>
      </c>
      <c r="G12" s="15" t="inlineStr">
        <is>
          <t>CHF</t>
        </is>
      </c>
      <c r="H12" s="14" t="n">
        <v>287.5488553880514</v>
      </c>
      <c r="I12" s="16" t="n">
        <v>17081.77640338444</v>
      </c>
      <c r="J12" s="16" t="n">
        <v>15908.6</v>
      </c>
      <c r="K12" s="14" t="n">
        <v>9.01</v>
      </c>
      <c r="L12" s="14" t="n">
        <v>12.20397</v>
      </c>
      <c r="M12" s="17">
        <f>IF(OR(F12="",K12="",K12&lt;=0),"",F12/K12)</f>
        <v/>
      </c>
      <c r="N12" s="18" t="n">
        <v>6.0860868</v>
      </c>
      <c r="O12" s="19">
        <f>IF(OR(N12="",M12="",M12&lt;=0),"",N12/M12)</f>
        <v/>
      </c>
      <c r="P12" s="20" t="n">
        <v>0.20524</v>
      </c>
      <c r="Q12" s="20" t="n">
        <v>0.225882106970715</v>
      </c>
      <c r="R12" s="20" t="n">
        <v>0.04752069499990572</v>
      </c>
      <c r="S12" s="21" t="n">
        <v>4</v>
      </c>
      <c r="T12" s="20" t="n">
        <v>0.1647346876315085</v>
      </c>
      <c r="U12" s="20" t="n">
        <v>0.2028447046461007</v>
      </c>
      <c r="V12" s="20" t="n">
        <v>0.2432804404145078</v>
      </c>
      <c r="W12" s="20" t="n">
        <v>0.2926685951907431</v>
      </c>
      <c r="X12" s="20" t="n"/>
      <c r="Y12" s="14" t="n">
        <v>4.7</v>
      </c>
      <c r="Z12" s="19">
        <f>IF(OR(Y12="",F12="",F12=0),"",Y12/F12)</f>
        <v/>
      </c>
      <c r="AA12" s="22" t="n">
        <v>64.938</v>
      </c>
      <c r="AB12" s="20" t="n"/>
      <c r="AC12" s="20" t="n">
        <v>0.1489503402756593</v>
      </c>
      <c r="AD12" s="17">
        <f>IF(OR(Q12="",M12="",M12&lt;=0),"",ROUND(40*MAX(0,MIN(N(Q12)/0.3,1))+IF(OR(R12="",N(Q12)&lt;=0),10,20*MAX(0,1-MIN(R12/Q12,1)))+30*MAX(0,MIN((PARAMETRI!$B$5-M12)/MAX(PARAMETRI!$B$5-10,1),1))+IF(AB12="",3,10*MAX(0,MIN(AB12/0.15,1)))+IF(AND(P12&lt;&gt;"",N(P12)&lt;N(Q12)*0.6),-8,0),1))</f>
        <v/>
      </c>
      <c r="AE12" s="13">
        <f>IF(AND(P12="",Q12=""),"DATI MANCANTI",IF(AND(N(P12)&gt;=PARAMETRI!$B$4,N(Q12)&gt;=PARAMETRI!$B$4),"OK","NO"))</f>
        <v/>
      </c>
      <c r="AF12" s="13">
        <f>IF(M12="","N/D",IF(M12&lt;PARAMETRI!$B$6,"OTTIMO",IF(M12&lt;PARAMETRI!$B$5,"OK","NO")))</f>
        <v/>
      </c>
      <c r="AG12" s="13">
        <f>IF(OR(AE12="DATI MANCANTI",AF12="N/D"),"DA COMPLETARE",IF(AND(AE12="OK",AF12="OTTIMO"),"PASSA FORTE",IF(AND(AE12="OK",AF12="OK"),"PASSA","SCARTA")))</f>
        <v/>
      </c>
      <c r="AH12" s="11" t="inlineStr">
        <is>
          <t>2026-10-12</t>
        </is>
      </c>
      <c r="AI12" s="11" t="inlineStr">
        <is>
          <t>yahoo</t>
        </is>
      </c>
      <c r="AJ12" s="23" t="inlineStr"/>
    </row>
    <row r="13">
      <c r="A13" s="10">
        <f>IF(AD13="","",RANK(AD13,AD$2:AD$24))</f>
        <v/>
      </c>
      <c r="B13" s="11" t="inlineStr">
        <is>
          <t>Givaudan</t>
        </is>
      </c>
      <c r="C13" s="12" t="inlineStr">
        <is>
          <t>GIVN.SW</t>
        </is>
      </c>
      <c r="D13" s="11" t="inlineStr">
        <is>
          <t>Aromi e fragranze</t>
        </is>
      </c>
      <c r="E13" s="13" t="inlineStr">
        <is>
          <t>Materiali</t>
        </is>
      </c>
      <c r="F13" s="14" t="n">
        <v>3488</v>
      </c>
      <c r="G13" s="15" t="inlineStr">
        <is>
          <t>CHF</t>
        </is>
      </c>
      <c r="H13" s="14" t="n">
        <v>3745.221835674097</v>
      </c>
      <c r="I13" s="16" t="n">
        <v>34573.29381952497</v>
      </c>
      <c r="J13" s="16" t="n">
        <v>32198.8</v>
      </c>
      <c r="K13" s="14" t="n">
        <v>102.43</v>
      </c>
      <c r="L13" s="14" t="n">
        <v>131.79533</v>
      </c>
      <c r="M13" s="17">
        <f>IF(OR(F13="",K13="",K13&lt;=0),"",F13/K13)</f>
        <v/>
      </c>
      <c r="N13" s="18" t="n">
        <v>7.3145924</v>
      </c>
      <c r="O13" s="19">
        <f>IF(OR(N13="",M13="",M13&lt;=0),"",N13/M13)</f>
        <v/>
      </c>
      <c r="P13" s="20" t="n">
        <v>0.22337</v>
      </c>
      <c r="Q13" s="20" t="n">
        <v>0.2250160278421974</v>
      </c>
      <c r="R13" s="20" t="n">
        <v>0.01425094170273812</v>
      </c>
      <c r="S13" s="21" t="n">
        <v>4</v>
      </c>
      <c r="T13" s="20" t="n"/>
      <c r="U13" s="20" t="n">
        <v>0.2360590698699581</v>
      </c>
      <c r="V13" s="20" t="n">
        <v>0.2380952380952381</v>
      </c>
      <c r="W13" s="20" t="n">
        <v>0.223641372401703</v>
      </c>
      <c r="X13" s="20" t="n">
        <v>0.2022684310018903</v>
      </c>
      <c r="Y13" s="14" t="n">
        <v>72</v>
      </c>
      <c r="Z13" s="19">
        <f>IF(OR(Y13="",F13="",F13=0),"",Y13/F13)</f>
        <v/>
      </c>
      <c r="AA13" s="22" t="n">
        <v>110.755</v>
      </c>
      <c r="AB13" s="20" t="n">
        <v>-0.017</v>
      </c>
      <c r="AC13" s="20" t="n">
        <v>0.1276766595289079</v>
      </c>
      <c r="AD13" s="17">
        <f>IF(OR(Q13="",M13="",M13&lt;=0),"",ROUND(40*MAX(0,MIN(N(Q13)/0.3,1))+IF(OR(R13="",N(Q13)&lt;=0),10,20*MAX(0,1-MIN(R13/Q13,1)))+30*MAX(0,MIN((PARAMETRI!$B$5-M13)/MAX(PARAMETRI!$B$5-10,1),1))+IF(AB13="",3,10*MAX(0,MIN(AB13/0.15,1)))+IF(AND(P13&lt;&gt;"",N(P13)&lt;N(Q13)*0.6),-8,0),1))</f>
        <v/>
      </c>
      <c r="AE13" s="13">
        <f>IF(AND(P13="",Q13=""),"DATI MANCANTI",IF(AND(N(P13)&gt;=PARAMETRI!$B$4,N(Q13)&gt;=PARAMETRI!$B$4),"OK","NO"))</f>
        <v/>
      </c>
      <c r="AF13" s="13">
        <f>IF(M13="","N/D",IF(M13&lt;PARAMETRI!$B$6,"OTTIMO",IF(M13&lt;PARAMETRI!$B$5,"OK","NO")))</f>
        <v/>
      </c>
      <c r="AG13" s="13">
        <f>IF(OR(AE13="DATI MANCANTI",AF13="N/D"),"DA COMPLETARE",IF(AND(AE13="OK",AF13="OTTIMO"),"PASSA FORTE",IF(AND(AE13="OK",AF13="OK"),"PASSA","SCARTA")))</f>
        <v/>
      </c>
      <c r="AH13" s="11" t="inlineStr">
        <is>
          <t>2026-10-12</t>
        </is>
      </c>
      <c r="AI13" s="11" t="inlineStr">
        <is>
          <t>yahoo</t>
        </is>
      </c>
      <c r="AJ13" s="23" t="inlineStr"/>
    </row>
    <row r="14">
      <c r="A14" s="10">
        <f>IF(AD14="","",RANK(AD14,AD$2:AD$24))</f>
        <v/>
      </c>
      <c r="B14" s="11" t="inlineStr">
        <is>
          <t>Novartis</t>
        </is>
      </c>
      <c r="C14" s="12" t="inlineStr">
        <is>
          <t>NOVN.SW</t>
        </is>
      </c>
      <c r="D14" s="11" t="inlineStr">
        <is>
          <t>Farmaceutica</t>
        </is>
      </c>
      <c r="E14" s="13" t="inlineStr">
        <is>
          <t>Salute</t>
        </is>
      </c>
      <c r="F14" s="14" t="n">
        <v>119.96</v>
      </c>
      <c r="G14" s="15" t="inlineStr">
        <is>
          <t>CHF</t>
        </is>
      </c>
      <c r="H14" s="14" t="n">
        <v>128.8064252888373</v>
      </c>
      <c r="I14" s="16" t="n">
        <v>244824.3353519735</v>
      </c>
      <c r="J14" s="16" t="n">
        <v>228009.8</v>
      </c>
      <c r="K14" s="14" t="n">
        <v>5.25</v>
      </c>
      <c r="L14" s="14" t="n">
        <v>8.252195</v>
      </c>
      <c r="M14" s="17">
        <f>IF(OR(F14="",K14="",K14&lt;=0),"",F14/K14)</f>
        <v/>
      </c>
      <c r="N14" s="18" t="n">
        <v>6.601258</v>
      </c>
      <c r="O14" s="19">
        <f>IF(OR(N14="",M14="",M14&lt;=0),"",N14/M14)</f>
        <v/>
      </c>
      <c r="P14" s="20" t="n">
        <v>0.3035</v>
      </c>
      <c r="Q14" s="20" t="n">
        <v>0.2524150557605632</v>
      </c>
      <c r="R14" s="20" t="n">
        <v>0.07989744316384528</v>
      </c>
      <c r="S14" s="21" t="n">
        <v>4</v>
      </c>
      <c r="T14" s="20" t="n"/>
      <c r="U14" s="20" t="n">
        <v>0.3031432907001951</v>
      </c>
      <c r="V14" s="20" t="n">
        <v>0.2711029378377151</v>
      </c>
      <c r="W14" s="20" t="n">
        <v>0.3182120127713374</v>
      </c>
      <c r="X14" s="20" t="n">
        <v>0.1172019817330053</v>
      </c>
      <c r="Y14" s="14" t="n">
        <v>3.7</v>
      </c>
      <c r="Z14" s="19">
        <f>IF(OR(Y14="",F14="",F14=0),"",Y14/F14)</f>
        <v/>
      </c>
      <c r="AA14" s="22" t="n">
        <v>116.85</v>
      </c>
      <c r="AB14" s="20" t="n">
        <v>0.008</v>
      </c>
      <c r="AC14" s="20" t="n">
        <v>0.2250944029360906</v>
      </c>
      <c r="AD14" s="17">
        <f>IF(OR(Q14="",M14="",M14&lt;=0),"",ROUND(40*MAX(0,MIN(N(Q14)/0.3,1))+IF(OR(R14="",N(Q14)&lt;=0),10,20*MAX(0,1-MIN(R14/Q14,1)))+30*MAX(0,MIN((PARAMETRI!$B$5-M14)/MAX(PARAMETRI!$B$5-10,1),1))+IF(AB14="",3,10*MAX(0,MIN(AB14/0.15,1)))+IF(AND(P14&lt;&gt;"",N(P14)&lt;N(Q14)*0.6),-8,0),1))</f>
        <v/>
      </c>
      <c r="AE14" s="13">
        <f>IF(AND(P14="",Q14=""),"DATI MANCANTI",IF(AND(N(P14)&gt;=PARAMETRI!$B$4,N(Q14)&gt;=PARAMETRI!$B$4),"OK","NO"))</f>
        <v/>
      </c>
      <c r="AF14" s="13">
        <f>IF(M14="","N/D",IF(M14&lt;PARAMETRI!$B$6,"OTTIMO",IF(M14&lt;PARAMETRI!$B$5,"OK","NO")))</f>
        <v/>
      </c>
      <c r="AG14" s="13">
        <f>IF(OR(AE14="DATI MANCANTI",AF14="N/D"),"DA COMPLETARE",IF(AND(AE14="OK",AF14="OTTIMO"),"PASSA FORTE",IF(AND(AE14="OK",AF14="OK"),"PASSA","SCARTA")))</f>
        <v/>
      </c>
      <c r="AH14" s="11" t="inlineStr">
        <is>
          <t>2026-10-12</t>
        </is>
      </c>
      <c r="AI14" s="11" t="inlineStr">
        <is>
          <t>yahoo</t>
        </is>
      </c>
      <c r="AJ14" s="23" t="inlineStr"/>
    </row>
    <row r="15">
      <c r="A15" s="10">
        <f>IF(AD15="","",RANK(AD15,AD$2:AD$24))</f>
        <v/>
      </c>
      <c r="B15" s="11" t="inlineStr">
        <is>
          <t>UBS Group</t>
        </is>
      </c>
      <c r="C15" s="12" t="inlineStr">
        <is>
          <t>UBSG.SW</t>
        </is>
      </c>
      <c r="D15" s="11" t="inlineStr">
        <is>
          <t>Banca</t>
        </is>
      </c>
      <c r="E15" s="13" t="inlineStr">
        <is>
          <t>Finanziario</t>
        </is>
      </c>
      <c r="F15" s="14" t="n">
        <v>40.01</v>
      </c>
      <c r="G15" s="15" t="inlineStr">
        <is>
          <t>CHF</t>
        </is>
      </c>
      <c r="H15" s="14" t="n">
        <v>42.96052914143366</v>
      </c>
      <c r="I15" s="16" t="n">
        <v>131534.059184813</v>
      </c>
      <c r="J15" s="16" t="n">
        <v>122500.3</v>
      </c>
      <c r="K15" s="14" t="n">
        <v>2.33</v>
      </c>
      <c r="L15" s="14" t="n">
        <v>3.55269</v>
      </c>
      <c r="M15" s="17">
        <f>IF(OR(F15="",K15="",K15&lt;=0),"",F15/K15)</f>
        <v/>
      </c>
      <c r="N15" s="18" t="n">
        <v>1.641836</v>
      </c>
      <c r="O15" s="19">
        <f>IF(OR(N15="",M15="",M15&lt;=0),"",N15/M15)</f>
        <v/>
      </c>
      <c r="P15" s="20" t="n">
        <v>0.10672</v>
      </c>
      <c r="Q15" s="20" t="n">
        <v>0.1499041326772791</v>
      </c>
      <c r="R15" s="20" t="n">
        <v>0.1015400164616229</v>
      </c>
      <c r="S15" s="21" t="n">
        <v>4</v>
      </c>
      <c r="T15" s="20" t="n"/>
      <c r="U15" s="20" t="n">
        <v>0.086096238901267</v>
      </c>
      <c r="V15" s="20" t="n">
        <v>0.05977973412945616</v>
      </c>
      <c r="W15" s="20" t="n">
        <v>0.3196066523404653</v>
      </c>
      <c r="X15" s="20" t="n">
        <v>0.1341339053379281</v>
      </c>
      <c r="Y15" s="14" t="n">
        <v>0.86</v>
      </c>
      <c r="Z15" s="19">
        <f>IF(OR(Y15="",F15="",F15=0),"",Y15/F15)</f>
        <v/>
      </c>
      <c r="AA15" s="22" t="n"/>
      <c r="AB15" s="20" t="n">
        <v>0.146</v>
      </c>
      <c r="AC15" s="20" t="n">
        <v>0.2012897769320224</v>
      </c>
      <c r="AD15" s="17">
        <f>IF(OR(Q15="",M15="",M15&lt;=0),"",ROUND(40*MAX(0,MIN(N(Q15)/0.3,1))+IF(OR(R15="",N(Q15)&lt;=0),10,20*MAX(0,1-MIN(R15/Q15,1)))+30*MAX(0,MIN((PARAMETRI!$B$5-M15)/MAX(PARAMETRI!$B$5-10,1),1))+IF(AB15="",3,10*MAX(0,MIN(AB15/0.15,1)))+IF(AND(P15&lt;&gt;"",N(P15)&lt;N(Q15)*0.6),-8,0),1))</f>
        <v/>
      </c>
      <c r="AE15" s="13">
        <f>IF(AND(P15="",Q15=""),"DATI MANCANTI",IF(AND(N(P15)&gt;=PARAMETRI!$B$4,N(Q15)&gt;=PARAMETRI!$B$4),"OK","NO"))</f>
        <v/>
      </c>
      <c r="AF15" s="13">
        <f>IF(M15="","N/D",IF(M15&lt;PARAMETRI!$B$6,"OTTIMO",IF(M15&lt;PARAMETRI!$B$5,"OK","NO")))</f>
        <v/>
      </c>
      <c r="AG15" s="13">
        <f>IF(OR(AE15="DATI MANCANTI",AF15="N/D"),"DA COMPLETARE",IF(AND(AE15="OK",AF15="OTTIMO"),"PASSA FORTE",IF(AND(AE15="OK",AF15="OK"),"PASSA","SCARTA")))</f>
        <v/>
      </c>
      <c r="AH15" s="11" t="inlineStr">
        <is>
          <t>2026-10-12</t>
        </is>
      </c>
      <c r="AI15" s="11" t="inlineStr">
        <is>
          <t>yahoo</t>
        </is>
      </c>
      <c r="AJ15" s="23" t="inlineStr"/>
    </row>
    <row r="16">
      <c r="A16" s="10">
        <f>IF(AD16="","",RANK(AD16,AD$2:AD$24))</f>
        <v/>
      </c>
      <c r="B16" s="11" t="inlineStr">
        <is>
          <t>Sika</t>
        </is>
      </c>
      <c r="C16" s="12" t="inlineStr">
        <is>
          <t>SIKA.SW</t>
        </is>
      </c>
      <c r="D16" s="11" t="inlineStr">
        <is>
          <t>Chimica per costruzioni</t>
        </is>
      </c>
      <c r="E16" s="13" t="inlineStr">
        <is>
          <t>Materiali</t>
        </is>
      </c>
      <c r="F16" s="14" t="n">
        <v>174.75</v>
      </c>
      <c r="G16" s="15" t="inlineStr">
        <is>
          <t>CHF</t>
        </is>
      </c>
      <c r="H16" s="14" t="n">
        <v>187.6369024610231</v>
      </c>
      <c r="I16" s="16" t="n">
        <v>30104.36799381523</v>
      </c>
      <c r="J16" s="16" t="n">
        <v>28036.8</v>
      </c>
      <c r="K16" s="14" t="n">
        <v>6.48</v>
      </c>
      <c r="L16" s="14" t="n">
        <v>8.393980000000001</v>
      </c>
      <c r="M16" s="17">
        <f>IF(OR(F16="",K16="",K16&lt;=0),"",F16/K16)</f>
        <v/>
      </c>
      <c r="N16" s="18" t="n">
        <v>4.1143785</v>
      </c>
      <c r="O16" s="19">
        <f>IF(OR(N16="",M16="",M16&lt;=0),"",N16/M16)</f>
        <v/>
      </c>
      <c r="P16" s="20" t="n">
        <v>0.16042</v>
      </c>
      <c r="Q16" s="20" t="n">
        <v>0.1868506104877989</v>
      </c>
      <c r="R16" s="20" t="n">
        <v>0.02864567451687284</v>
      </c>
      <c r="S16" s="21" t="n">
        <v>4</v>
      </c>
      <c r="T16" s="20" t="n"/>
      <c r="U16" s="20" t="n">
        <v>0.1568415359653867</v>
      </c>
      <c r="V16" s="20" t="n">
        <v>0.1770987373450119</v>
      </c>
      <c r="W16" s="20" t="n">
        <v>0.1793797716370515</v>
      </c>
      <c r="X16" s="20" t="n">
        <v>0.2340823970037453</v>
      </c>
      <c r="Y16" s="14" t="n">
        <v>3.7</v>
      </c>
      <c r="Z16" s="19">
        <f>IF(OR(Y16="",F16="",F16=0),"",Y16/F16)</f>
        <v/>
      </c>
      <c r="AA16" s="22" t="n">
        <v>89.155</v>
      </c>
      <c r="AB16" s="20" t="n">
        <v>-0.015</v>
      </c>
      <c r="AC16" s="20" t="n">
        <v>0.09298028193156152</v>
      </c>
      <c r="AD16" s="17">
        <f>IF(OR(Q16="",M16="",M16&lt;=0),"",ROUND(40*MAX(0,MIN(N(Q16)/0.3,1))+IF(OR(R16="",N(Q16)&lt;=0),10,20*MAX(0,1-MIN(R16/Q16,1)))+30*MAX(0,MIN((PARAMETRI!$B$5-M16)/MAX(PARAMETRI!$B$5-10,1),1))+IF(AB16="",3,10*MAX(0,MIN(AB16/0.15,1)))+IF(AND(P16&lt;&gt;"",N(P16)&lt;N(Q16)*0.6),-8,0),1))</f>
        <v/>
      </c>
      <c r="AE16" s="13">
        <f>IF(AND(P16="",Q16=""),"DATI MANCANTI",IF(AND(N(P16)&gt;=PARAMETRI!$B$4,N(Q16)&gt;=PARAMETRI!$B$4),"OK","NO"))</f>
        <v/>
      </c>
      <c r="AF16" s="13">
        <f>IF(M16="","N/D",IF(M16&lt;PARAMETRI!$B$6,"OTTIMO",IF(M16&lt;PARAMETRI!$B$5,"OK","NO")))</f>
        <v/>
      </c>
      <c r="AG16" s="13">
        <f>IF(OR(AE16="DATI MANCANTI",AF16="N/D"),"DA COMPLETARE",IF(AND(AE16="OK",AF16="OTTIMO"),"PASSA FORTE",IF(AND(AE16="OK",AF16="OK"),"PASSA","SCARTA")))</f>
        <v/>
      </c>
      <c r="AH16" s="11" t="inlineStr">
        <is>
          <t>2026-10-12</t>
        </is>
      </c>
      <c r="AI16" s="11" t="inlineStr">
        <is>
          <t>yahoo</t>
        </is>
      </c>
      <c r="AJ16" s="23" t="inlineStr"/>
    </row>
    <row r="17">
      <c r="A17" s="10">
        <f>IF(AD17="","",RANK(AD17,AD$2:AD$24))</f>
        <v/>
      </c>
      <c r="B17" s="11" t="inlineStr">
        <is>
          <t>Straumann Holding</t>
        </is>
      </c>
      <c r="C17" s="12" t="inlineStr">
        <is>
          <t>STMN.SW</t>
        </is>
      </c>
      <c r="D17" s="11" t="inlineStr">
        <is>
          <t>Implantologia dentale</t>
        </is>
      </c>
      <c r="E17" s="13" t="inlineStr">
        <is>
          <t>Salute</t>
        </is>
      </c>
      <c r="F17" s="14" t="n">
        <v>91.64</v>
      </c>
      <c r="G17" s="15" t="inlineStr">
        <is>
          <t>CHF</t>
        </is>
      </c>
      <c r="H17" s="14" t="n">
        <v>98.39797276983207</v>
      </c>
      <c r="I17" s="16" t="n">
        <v>15689.66628011854</v>
      </c>
      <c r="J17" s="16" t="n">
        <v>14612.1</v>
      </c>
      <c r="K17" s="14" t="n">
        <v>2.31</v>
      </c>
      <c r="L17" s="14" t="n">
        <v>3.85146</v>
      </c>
      <c r="M17" s="17">
        <f>IF(OR(F17="",K17="",K17&lt;=0),"",F17/K17)</f>
        <v/>
      </c>
      <c r="N17" s="18" t="n">
        <v>6.3882885</v>
      </c>
      <c r="O17" s="19">
        <f>IF(OR(N17="",M17="",M17&lt;=0),"",N17/M17)</f>
        <v/>
      </c>
      <c r="P17" s="20" t="n">
        <v>0.17048</v>
      </c>
      <c r="Q17" s="20" t="n">
        <v>0.1809767786180531</v>
      </c>
      <c r="R17" s="20" t="n">
        <v>0.03693192782087251</v>
      </c>
      <c r="S17" s="21" t="n">
        <v>4</v>
      </c>
      <c r="T17" s="20" t="n"/>
      <c r="U17" s="20" t="n">
        <v>0.1647370296828064</v>
      </c>
      <c r="V17" s="20" t="n">
        <v>0.1903387576582092</v>
      </c>
      <c r="W17" s="20" t="n">
        <v>0.1340130782456395</v>
      </c>
      <c r="X17" s="20" t="n">
        <v>0.2348182488855572</v>
      </c>
      <c r="Y17" s="14" t="n">
        <v>1</v>
      </c>
      <c r="Z17" s="19">
        <f>IF(OR(Y17="",F17="",F17=0),"",Y17/F17)</f>
        <v/>
      </c>
      <c r="AA17" s="22" t="n">
        <v>20.764</v>
      </c>
      <c r="AB17" s="20" t="n">
        <v>0.023</v>
      </c>
      <c r="AC17" s="20" t="n">
        <v>0.1416968572495589</v>
      </c>
      <c r="AD17" s="17">
        <f>IF(OR(Q17="",M17="",M17&lt;=0),"",ROUND(40*MAX(0,MIN(N(Q17)/0.3,1))+IF(OR(R17="",N(Q17)&lt;=0),10,20*MAX(0,1-MIN(R17/Q17,1)))+30*MAX(0,MIN((PARAMETRI!$B$5-M17)/MAX(PARAMETRI!$B$5-10,1),1))+IF(AB17="",3,10*MAX(0,MIN(AB17/0.15,1)))+IF(AND(P17&lt;&gt;"",N(P17)&lt;N(Q17)*0.6),-8,0),1))</f>
        <v/>
      </c>
      <c r="AE17" s="13">
        <f>IF(AND(P17="",Q17=""),"DATI MANCANTI",IF(AND(N(P17)&gt;=PARAMETRI!$B$4,N(Q17)&gt;=PARAMETRI!$B$4),"OK","NO"))</f>
        <v/>
      </c>
      <c r="AF17" s="13">
        <f>IF(M17="","N/D",IF(M17&lt;PARAMETRI!$B$6,"OTTIMO",IF(M17&lt;PARAMETRI!$B$5,"OK","NO")))</f>
        <v/>
      </c>
      <c r="AG17" s="13">
        <f>IF(OR(AE17="DATI MANCANTI",AF17="N/D"),"DA COMPLETARE",IF(AND(AE17="OK",AF17="OTTIMO"),"PASSA FORTE",IF(AND(AE17="OK",AF17="OK"),"PASSA","SCARTA")))</f>
        <v/>
      </c>
      <c r="AH17" s="11" t="inlineStr">
        <is>
          <t>2026-10-12</t>
        </is>
      </c>
      <c r="AI17" s="11" t="inlineStr">
        <is>
          <t>yahoo</t>
        </is>
      </c>
      <c r="AJ17" s="23" t="inlineStr"/>
    </row>
    <row r="18">
      <c r="A18" s="10">
        <f>IF(AD18="","",RANK(AD18,AD$2:AD$24))</f>
        <v/>
      </c>
      <c r="B18" s="11" t="inlineStr">
        <is>
          <t>Swiss Life Holding</t>
        </is>
      </c>
      <c r="C18" s="12" t="inlineStr">
        <is>
          <t>SLHN.SW</t>
        </is>
      </c>
      <c r="D18" s="11" t="inlineStr">
        <is>
          <t>Assicurazione vita</t>
        </is>
      </c>
      <c r="E18" s="13" t="inlineStr">
        <is>
          <t>Finanziario</t>
        </is>
      </c>
      <c r="F18" s="14" t="n">
        <v>890.8</v>
      </c>
      <c r="G18" s="15" t="inlineStr">
        <is>
          <t>CHF</t>
        </is>
      </c>
      <c r="H18" s="14" t="n">
        <v>956.4918610144741</v>
      </c>
      <c r="I18" s="16" t="n">
        <v>26729.58811149766</v>
      </c>
      <c r="J18" s="16" t="n">
        <v>24893.8</v>
      </c>
      <c r="K18" s="14" t="n">
        <v>45.92</v>
      </c>
      <c r="L18" s="14" t="n">
        <v>51.40119</v>
      </c>
      <c r="M18" s="17">
        <f>IF(OR(F18="",K18="",K18&lt;=0),"",F18/K18)</f>
        <v/>
      </c>
      <c r="N18" s="18" t="n">
        <v>3.9426396</v>
      </c>
      <c r="O18" s="19">
        <f>IF(OR(N18="",M18="",M18&lt;=0),"",N18/M18)</f>
        <v/>
      </c>
      <c r="P18" s="20" t="n">
        <v>0.19368</v>
      </c>
      <c r="Q18" s="20" t="n">
        <v>0.1480861132410386</v>
      </c>
      <c r="R18" s="20" t="n">
        <v>0.01700739311090991</v>
      </c>
      <c r="S18" s="21" t="n">
        <v>4</v>
      </c>
      <c r="T18" s="20" t="n"/>
      <c r="U18" s="20" t="n">
        <v>0.1683533916849015</v>
      </c>
      <c r="V18" s="20" t="n">
        <v>0.161436170212766</v>
      </c>
      <c r="W18" s="20" t="n">
        <v>0.1324932713481771</v>
      </c>
      <c r="X18" s="20" t="n">
        <v>0.1300616197183098</v>
      </c>
      <c r="Y18" s="14" t="n">
        <v>36.5</v>
      </c>
      <c r="Z18" s="19">
        <f>IF(OR(Y18="",F18="",F18=0),"",Y18/F18)</f>
        <v/>
      </c>
      <c r="AA18" s="22" t="n">
        <v>257.891</v>
      </c>
      <c r="AB18" s="20" t="n">
        <v>0.034</v>
      </c>
      <c r="AC18" s="20" t="n">
        <v>0.07243200359631378</v>
      </c>
      <c r="AD18" s="17">
        <f>IF(OR(Q18="",M18="",M18&lt;=0),"",ROUND(40*MAX(0,MIN(N(Q18)/0.3,1))+IF(OR(R18="",N(Q18)&lt;=0),10,20*MAX(0,1-MIN(R18/Q18,1)))+30*MAX(0,MIN((PARAMETRI!$B$5-M18)/MAX(PARAMETRI!$B$5-10,1),1))+IF(AB18="",3,10*MAX(0,MIN(AB18/0.15,1)))+IF(AND(P18&lt;&gt;"",N(P18)&lt;N(Q18)*0.6),-8,0),1))</f>
        <v/>
      </c>
      <c r="AE18" s="13">
        <f>IF(AND(P18="",Q18=""),"DATI MANCANTI",IF(AND(N(P18)&gt;=PARAMETRI!$B$4,N(Q18)&gt;=PARAMETRI!$B$4),"OK","NO"))</f>
        <v/>
      </c>
      <c r="AF18" s="13">
        <f>IF(M18="","N/D",IF(M18&lt;PARAMETRI!$B$6,"OTTIMO",IF(M18&lt;PARAMETRI!$B$5,"OK","NO")))</f>
        <v/>
      </c>
      <c r="AG18" s="13">
        <f>IF(OR(AE18="DATI MANCANTI",AF18="N/D"),"DA COMPLETARE",IF(AND(AE18="OK",AF18="OTTIMO"),"PASSA FORTE",IF(AND(AE18="OK",AF18="OK"),"PASSA","SCARTA")))</f>
        <v/>
      </c>
      <c r="AH18" s="11" t="inlineStr">
        <is>
          <t>2026-10-12</t>
        </is>
      </c>
      <c r="AI18" s="11" t="inlineStr">
        <is>
          <t>yahoo</t>
        </is>
      </c>
      <c r="AJ18" s="23" t="inlineStr"/>
    </row>
    <row r="19">
      <c r="A19" s="10">
        <f>IF(AD19="","",RANK(AD19,AD$2:AD$24))</f>
        <v/>
      </c>
      <c r="B19" s="11" t="inlineStr">
        <is>
          <t>Swisscom</t>
        </is>
      </c>
      <c r="C19" s="12" t="inlineStr">
        <is>
          <t>SCMN.SW</t>
        </is>
      </c>
      <c r="D19" s="11" t="inlineStr">
        <is>
          <t>Telecomunicazioni</t>
        </is>
      </c>
      <c r="E19" s="13" t="inlineStr">
        <is>
          <t>Industriale</t>
        </is>
      </c>
      <c r="F19" s="14" t="n">
        <v>626</v>
      </c>
      <c r="G19" s="15" t="inlineStr">
        <is>
          <t>CHF</t>
        </is>
      </c>
      <c r="H19" s="14" t="n">
        <v>672.164240003436</v>
      </c>
      <c r="I19" s="16" t="n">
        <v>34819.39612592879</v>
      </c>
      <c r="J19" s="16" t="n">
        <v>32428</v>
      </c>
      <c r="K19" s="14" t="n">
        <v>25.38</v>
      </c>
      <c r="L19" s="14" t="n">
        <v>31.26468</v>
      </c>
      <c r="M19" s="17">
        <f>IF(OR(F19="",K19="",K19&lt;=0),"",F19/K19)</f>
        <v/>
      </c>
      <c r="N19" s="18" t="n">
        <v>2.8154192</v>
      </c>
      <c r="O19" s="19">
        <f>IF(OR(N19="",M19="",M19&lt;=0),"",N19/M19)</f>
        <v/>
      </c>
      <c r="P19" s="20" t="n">
        <v>0.11364</v>
      </c>
      <c r="Q19" s="20" t="n">
        <v>0.1303592998522721</v>
      </c>
      <c r="R19" s="20" t="n">
        <v>0.01711917560174847</v>
      </c>
      <c r="S19" s="21" t="n">
        <v>4</v>
      </c>
      <c r="T19" s="20" t="n"/>
      <c r="U19" s="20" t="n">
        <v>0.1038483536236621</v>
      </c>
      <c r="V19" s="20" t="n">
        <v>0.1268718117492184</v>
      </c>
      <c r="W19" s="20" t="n">
        <v>0.147271475296953</v>
      </c>
      <c r="X19" s="20" t="n">
        <v>0.143445558739255</v>
      </c>
      <c r="Y19" s="14" t="n">
        <v>26</v>
      </c>
      <c r="Z19" s="19">
        <f>IF(OR(Y19="",F19="",F19=0),"",Y19/F19)</f>
        <v/>
      </c>
      <c r="AA19" s="22" t="n">
        <v>143.288</v>
      </c>
      <c r="AB19" s="20" t="n">
        <v>-0.02</v>
      </c>
      <c r="AC19" s="20" t="n">
        <v>0.08732057416267942</v>
      </c>
      <c r="AD19" s="17">
        <f>IF(OR(Q19="",M19="",M19&lt;=0),"",ROUND(40*MAX(0,MIN(N(Q19)/0.3,1))+IF(OR(R19="",N(Q19)&lt;=0),10,20*MAX(0,1-MIN(R19/Q19,1)))+30*MAX(0,MIN((PARAMETRI!$B$5-M19)/MAX(PARAMETRI!$B$5-10,1),1))+IF(AB19="",3,10*MAX(0,MIN(AB19/0.15,1)))+IF(AND(P19&lt;&gt;"",N(P19)&lt;N(Q19)*0.6),-8,0),1))</f>
        <v/>
      </c>
      <c r="AE19" s="13">
        <f>IF(AND(P19="",Q19=""),"DATI MANCANTI",IF(AND(N(P19)&gt;=PARAMETRI!$B$4,N(Q19)&gt;=PARAMETRI!$B$4),"OK","NO"))</f>
        <v/>
      </c>
      <c r="AF19" s="13">
        <f>IF(M19="","N/D",IF(M19&lt;PARAMETRI!$B$6,"OTTIMO",IF(M19&lt;PARAMETRI!$B$5,"OK","NO")))</f>
        <v/>
      </c>
      <c r="AG19" s="13">
        <f>IF(OR(AE19="DATI MANCANTI",AF19="N/D"),"DA COMPLETARE",IF(AND(AE19="OK",AF19="OTTIMO"),"PASSA FORTE",IF(AND(AE19="OK",AF19="OK"),"PASSA","SCARTA")))</f>
        <v/>
      </c>
      <c r="AH19" s="11" t="inlineStr">
        <is>
          <t>2026-10-12</t>
        </is>
      </c>
      <c r="AI19" s="11" t="inlineStr">
        <is>
          <t>yahoo</t>
        </is>
      </c>
      <c r="AJ19" s="23" t="inlineStr"/>
    </row>
    <row r="20">
      <c r="A20" s="10">
        <f>IF(AD20="","",RANK(AD20,AD$2:AD$24))</f>
        <v/>
      </c>
      <c r="B20" s="11" t="inlineStr">
        <is>
          <t>Holcim</t>
        </is>
      </c>
      <c r="C20" s="12" t="inlineStr">
        <is>
          <t>HOLN.SW</t>
        </is>
      </c>
      <c r="D20" s="11" t="inlineStr">
        <is>
          <t>Cemento</t>
        </is>
      </c>
      <c r="E20" s="13" t="inlineStr">
        <is>
          <t>Materiali</t>
        </is>
      </c>
      <c r="F20" s="14" t="n">
        <v>64.26000000000001</v>
      </c>
      <c r="G20" s="15" t="inlineStr">
        <is>
          <t>CHF</t>
        </is>
      </c>
      <c r="H20" s="14" t="n">
        <v>68.99884035562428</v>
      </c>
      <c r="I20" s="16" t="n">
        <v>38164.97014989478</v>
      </c>
      <c r="J20" s="16" t="n">
        <v>35543.8</v>
      </c>
      <c r="K20" s="14" t="n">
        <v>0.7</v>
      </c>
      <c r="L20" s="14" t="n">
        <v>4.30259</v>
      </c>
      <c r="M20" s="17">
        <f>IF(OR(F20="",K20="",K20&lt;=0),"",F20/K20)</f>
        <v/>
      </c>
      <c r="N20" s="18" t="n">
        <v>2.252366</v>
      </c>
      <c r="O20" s="19">
        <f>IF(OR(N20="",M20="",M20&lt;=0),"",N20/M20)</f>
        <v/>
      </c>
      <c r="P20" s="20" t="n">
        <v>0.02781</v>
      </c>
      <c r="Q20" s="20" t="n">
        <v>0.2993876197264939</v>
      </c>
      <c r="R20" s="20" t="n">
        <v>0.3219944348802556</v>
      </c>
      <c r="S20" s="21" t="n">
        <v>4</v>
      </c>
      <c r="T20" s="20" t="n"/>
      <c r="U20" s="20" t="n">
        <v>0.8570592443259414</v>
      </c>
      <c r="V20" s="20" t="n">
        <v>0.1074195087925401</v>
      </c>
      <c r="W20" s="20" t="n">
        <v>0.1177058891410547</v>
      </c>
      <c r="X20" s="20" t="n">
        <v>0.1153658366464393</v>
      </c>
      <c r="Y20" s="14" t="n">
        <v>1.7</v>
      </c>
      <c r="Z20" s="19">
        <f>IF(OR(Y20="",F20="",F20=0),"",Y20/F20)</f>
        <v/>
      </c>
      <c r="AA20" s="22" t="n">
        <v>65.636</v>
      </c>
      <c r="AB20" s="20" t="n">
        <v>0.007</v>
      </c>
      <c r="AC20" s="20" t="n">
        <v>0.02499364029509031</v>
      </c>
      <c r="AD20" s="17">
        <f>IF(OR(Q20="",M20="",M20&lt;=0),"",ROUND(40*MAX(0,MIN(N(Q20)/0.3,1))+IF(OR(R20="",N(Q20)&lt;=0),10,20*MAX(0,1-MIN(R20/Q20,1)))+30*MAX(0,MIN((PARAMETRI!$B$5-M20)/MAX(PARAMETRI!$B$5-10,1),1))+IF(AB20="",3,10*MAX(0,MIN(AB20/0.15,1)))+IF(AND(P20&lt;&gt;"",N(P20)&lt;N(Q20)*0.6),-8,0),1))</f>
        <v/>
      </c>
      <c r="AE20" s="13">
        <f>IF(AND(P20="",Q20=""),"DATI MANCANTI",IF(AND(N(P20)&gt;=PARAMETRI!$B$4,N(Q20)&gt;=PARAMETRI!$B$4),"OK","NO"))</f>
        <v/>
      </c>
      <c r="AF20" s="13">
        <f>IF(M20="","N/D",IF(M20&lt;PARAMETRI!$B$6,"OTTIMO",IF(M20&lt;PARAMETRI!$B$5,"OK","NO")))</f>
        <v/>
      </c>
      <c r="AG20" s="13">
        <f>IF(OR(AE20="DATI MANCANTI",AF20="N/D"),"DA COMPLETARE",IF(AND(AE20="OK",AF20="OTTIMO"),"PASSA FORTE",IF(AND(AE20="OK",AF20="OK"),"PASSA","SCARTA")))</f>
        <v/>
      </c>
      <c r="AH20" s="11" t="inlineStr">
        <is>
          <t>2026-10-12</t>
        </is>
      </c>
      <c r="AI20" s="11" t="inlineStr">
        <is>
          <t>yahoo</t>
        </is>
      </c>
      <c r="AJ20" s="23" t="inlineStr"/>
    </row>
    <row r="21">
      <c r="A21" s="10">
        <f>IF(AD21="","",RANK(AD21,AD$2:AD$24))</f>
        <v/>
      </c>
      <c r="B21" s="11" t="inlineStr">
        <is>
          <t>Compagnie Financiere Richemont</t>
        </is>
      </c>
      <c r="C21" s="12" t="inlineStr">
        <is>
          <t>CFR.SW</t>
        </is>
      </c>
      <c r="D21" s="11" t="inlineStr">
        <is>
          <t>Lusso</t>
        </is>
      </c>
      <c r="E21" s="13" t="inlineStr">
        <is>
          <t>Consumi</t>
        </is>
      </c>
      <c r="F21" s="14" t="n">
        <v>171.65</v>
      </c>
      <c r="G21" s="15" t="inlineStr">
        <is>
          <t>CHF</t>
        </is>
      </c>
      <c r="H21" s="14" t="n">
        <v>184.308293604776</v>
      </c>
      <c r="I21" s="16" t="n">
        <v>108362.2170682472</v>
      </c>
      <c r="J21" s="16" t="n">
        <v>100919.9</v>
      </c>
      <c r="K21" s="14" t="n">
        <v>5.47</v>
      </c>
      <c r="L21" s="14" t="n">
        <v>8.030867000000001</v>
      </c>
      <c r="M21" s="17">
        <f>IF(OR(F21="",K21="",K21&lt;=0),"",F21/K21)</f>
        <v/>
      </c>
      <c r="N21" s="18" t="n">
        <v>4.464954</v>
      </c>
      <c r="O21" s="19">
        <f>IF(OR(N21="",M21="",M21&lt;=0),"",N21/M21)</f>
        <v/>
      </c>
      <c r="P21" s="20" t="n">
        <v>0.14961</v>
      </c>
      <c r="Q21" s="20" t="n">
        <v>0.1002011517378296</v>
      </c>
      <c r="R21" s="20" t="n">
        <v>0.04948980593430292</v>
      </c>
      <c r="S21" s="21" t="n">
        <v>4</v>
      </c>
      <c r="T21" s="20" t="n">
        <v>0.1447084233261339</v>
      </c>
      <c r="U21" s="20" t="n">
        <v>0.1244852708267342</v>
      </c>
      <c r="V21" s="20" t="n">
        <v>0.1151016032357098</v>
      </c>
      <c r="W21" s="20" t="n">
        <v>0.01650930956274065</v>
      </c>
      <c r="X21" s="20" t="n"/>
      <c r="Y21" s="14" t="n">
        <v>3.3</v>
      </c>
      <c r="Z21" s="19">
        <f>IF(OR(Y21="",F21="",F21=0),"",Y21/F21)</f>
        <v/>
      </c>
      <c r="AA21" s="22" t="n">
        <v>55.981</v>
      </c>
      <c r="AB21" s="20" t="n">
        <v>0.042</v>
      </c>
      <c r="AC21" s="20" t="n">
        <v>0.1545049063336307</v>
      </c>
      <c r="AD21" s="17">
        <f>IF(OR(Q21="",M21="",M21&lt;=0),"",ROUND(40*MAX(0,MIN(N(Q21)/0.3,1))+IF(OR(R21="",N(Q21)&lt;=0),10,20*MAX(0,1-MIN(R21/Q21,1)))+30*MAX(0,MIN((PARAMETRI!$B$5-M21)/MAX(PARAMETRI!$B$5-10,1),1))+IF(AB21="",3,10*MAX(0,MIN(AB21/0.15,1)))+IF(AND(P21&lt;&gt;"",N(P21)&lt;N(Q21)*0.6),-8,0),1))</f>
        <v/>
      </c>
      <c r="AE21" s="13">
        <f>IF(AND(P21="",Q21=""),"DATI MANCANTI",IF(AND(N(P21)&gt;=PARAMETRI!$B$4,N(Q21)&gt;=PARAMETRI!$B$4),"OK","NO"))</f>
        <v/>
      </c>
      <c r="AF21" s="13">
        <f>IF(M21="","N/D",IF(M21&lt;PARAMETRI!$B$6,"OTTIMO",IF(M21&lt;PARAMETRI!$B$5,"OK","NO")))</f>
        <v/>
      </c>
      <c r="AG21" s="13">
        <f>IF(OR(AE21="DATI MANCANTI",AF21="N/D"),"DA COMPLETARE",IF(AND(AE21="OK",AF21="OTTIMO"),"PASSA FORTE",IF(AND(AE21="OK",AF21="OK"),"PASSA","SCARTA")))</f>
        <v/>
      </c>
      <c r="AH21" s="11" t="inlineStr">
        <is>
          <t>2026-10-12</t>
        </is>
      </c>
      <c r="AI21" s="11" t="inlineStr">
        <is>
          <t>yahoo</t>
        </is>
      </c>
      <c r="AJ21" s="23" t="inlineStr"/>
    </row>
    <row r="22">
      <c r="A22" s="10">
        <f>IF(AD22="","",RANK(AD22,AD$2:AD$24))</f>
        <v/>
      </c>
      <c r="B22" s="11" t="inlineStr">
        <is>
          <t>Alcon</t>
        </is>
      </c>
      <c r="C22" s="12" t="inlineStr">
        <is>
          <t>ALC.SW</t>
        </is>
      </c>
      <c r="D22" s="11" t="inlineStr">
        <is>
          <t>Oftalmologia</t>
        </is>
      </c>
      <c r="E22" s="13" t="inlineStr">
        <is>
          <t>Salute</t>
        </is>
      </c>
      <c r="F22" s="14" t="n">
        <v>53.44</v>
      </c>
      <c r="G22" s="15" t="inlineStr">
        <is>
          <t>CHF</t>
        </is>
      </c>
      <c r="H22" s="14" t="n">
        <v>57.38092170252974</v>
      </c>
      <c r="I22" s="16" t="n">
        <v>27737.94184598205</v>
      </c>
      <c r="J22" s="16" t="n">
        <v>25832.9</v>
      </c>
      <c r="K22" s="14" t="n">
        <v>1.05</v>
      </c>
      <c r="L22" s="14" t="n">
        <v>3.6697109</v>
      </c>
      <c r="M22" s="17">
        <f>IF(OR(F22="",K22="",K22&lt;=0),"",F22/K22)</f>
        <v/>
      </c>
      <c r="N22" s="18" t="n">
        <v>1.4264184</v>
      </c>
      <c r="O22" s="19">
        <f>IF(OR(N22="",M22="",M22&lt;=0),"",N22/M22)</f>
        <v/>
      </c>
      <c r="P22" s="20" t="n">
        <v>0.029409999</v>
      </c>
      <c r="Q22" s="20" t="n">
        <v>0.03901122106961034</v>
      </c>
      <c r="R22" s="20" t="n">
        <v>0.01274277636462059</v>
      </c>
      <c r="S22" s="21" t="n">
        <v>4</v>
      </c>
      <c r="T22" s="20" t="n"/>
      <c r="U22" s="20" t="n">
        <v>0.04451712546561279</v>
      </c>
      <c r="V22" s="20" t="n">
        <v>0.04727627362652673</v>
      </c>
      <c r="W22" s="20" t="n">
        <v>0.04722653219550039</v>
      </c>
      <c r="X22" s="20" t="n">
        <v>0.01702495299080144</v>
      </c>
      <c r="Y22" s="14" t="n">
        <v>0.28</v>
      </c>
      <c r="Z22" s="19">
        <f>IF(OR(Y22="",F22="",F22=0),"",Y22/F22)</f>
        <v/>
      </c>
      <c r="AA22" s="22" t="n">
        <v>24.537</v>
      </c>
      <c r="AB22" s="20" t="n">
        <v>0.08699999999999999</v>
      </c>
      <c r="AC22" s="20" t="n">
        <v>0.06182097875204307</v>
      </c>
      <c r="AD22" s="17">
        <f>IF(OR(Q22="",M22="",M22&lt;=0),"",ROUND(40*MAX(0,MIN(N(Q22)/0.3,1))+IF(OR(R22="",N(Q22)&lt;=0),10,20*MAX(0,1-MIN(R22/Q22,1)))+30*MAX(0,MIN((PARAMETRI!$B$5-M22)/MAX(PARAMETRI!$B$5-10,1),1))+IF(AB22="",3,10*MAX(0,MIN(AB22/0.15,1)))+IF(AND(P22&lt;&gt;"",N(P22)&lt;N(Q22)*0.6),-8,0),1))</f>
        <v/>
      </c>
      <c r="AE22" s="13">
        <f>IF(AND(P22="",Q22=""),"DATI MANCANTI",IF(AND(N(P22)&gt;=PARAMETRI!$B$4,N(Q22)&gt;=PARAMETRI!$B$4),"OK","NO"))</f>
        <v/>
      </c>
      <c r="AF22" s="13">
        <f>IF(M22="","N/D",IF(M22&lt;PARAMETRI!$B$6,"OTTIMO",IF(M22&lt;PARAMETRI!$B$5,"OK","NO")))</f>
        <v/>
      </c>
      <c r="AG22" s="13">
        <f>IF(OR(AE22="DATI MANCANTI",AF22="N/D"),"DA COMPLETARE",IF(AND(AE22="OK",AF22="OTTIMO"),"PASSA FORTE",IF(AND(AE22="OK",AF22="OK"),"PASSA","SCARTA")))</f>
        <v/>
      </c>
      <c r="AH22" s="11" t="inlineStr">
        <is>
          <t>2026-10-12</t>
        </is>
      </c>
      <c r="AI22" s="11" t="inlineStr">
        <is>
          <t>yahoo</t>
        </is>
      </c>
      <c r="AJ22" s="23" t="inlineStr"/>
    </row>
    <row r="23">
      <c r="A23" s="10">
        <f>IF(AD23="","",RANK(AD23,AD$2:AD$24))</f>
        <v/>
      </c>
      <c r="B23" s="11" t="inlineStr">
        <is>
          <t>Lonza Group</t>
        </is>
      </c>
      <c r="C23" s="12" t="inlineStr">
        <is>
          <t>LONN.SW</t>
        </is>
      </c>
      <c r="D23" s="11" t="inlineStr">
        <is>
          <t>Produzione conto terzi farma</t>
        </is>
      </c>
      <c r="E23" s="13" t="inlineStr">
        <is>
          <t>Salute</t>
        </is>
      </c>
      <c r="F23" s="14" t="n">
        <v>574</v>
      </c>
      <c r="G23" s="15" t="inlineStr">
        <is>
          <t>CHF</t>
        </is>
      </c>
      <c r="H23" s="14" t="n">
        <v>616.3295108018726</v>
      </c>
      <c r="I23" s="16" t="n">
        <v>43047.07297169609</v>
      </c>
      <c r="J23" s="16" t="n">
        <v>40090.6</v>
      </c>
      <c r="K23" s="14" t="n">
        <v>15.09</v>
      </c>
      <c r="L23" s="14" t="n">
        <v>22.0563</v>
      </c>
      <c r="M23" s="17">
        <f>IF(OR(F23="",K23="",K23&lt;=0),"",F23/K23)</f>
        <v/>
      </c>
      <c r="N23" s="18" t="n">
        <v>4.9324155</v>
      </c>
      <c r="O23" s="19">
        <f>IF(OR(N23="",M23="",M23&lt;=0),"",N23/M23)</f>
        <v/>
      </c>
      <c r="P23" s="20" t="n">
        <v>0.12895</v>
      </c>
      <c r="Q23" s="20" t="n">
        <v>0.05431891912538291</v>
      </c>
      <c r="R23" s="20" t="n">
        <v>0.05474401601007729</v>
      </c>
      <c r="S23" s="21" t="n">
        <v>4</v>
      </c>
      <c r="T23" s="20" t="n"/>
      <c r="U23" s="20" t="n">
        <v>-0.03475293820295716</v>
      </c>
      <c r="V23" s="20" t="n">
        <v>0.06818181818181818</v>
      </c>
      <c r="W23" s="20" t="n">
        <v>0.06919170545916208</v>
      </c>
      <c r="X23" s="20" t="n">
        <v>0.1146550910635085</v>
      </c>
      <c r="Y23" s="14" t="n">
        <v>5</v>
      </c>
      <c r="Z23" s="19">
        <f>IF(OR(Y23="",F23="",F23=0),"",Y23/F23)</f>
        <v/>
      </c>
      <c r="AA23" s="22" t="n">
        <v>51.116</v>
      </c>
      <c r="AB23" s="20" t="n">
        <v>0.112</v>
      </c>
      <c r="AC23" s="20" t="n">
        <v>0.1655182875516766</v>
      </c>
      <c r="AD23" s="17">
        <f>IF(OR(Q23="",M23="",M23&lt;=0),"",ROUND(40*MAX(0,MIN(N(Q23)/0.3,1))+IF(OR(R23="",N(Q23)&lt;=0),10,20*MAX(0,1-MIN(R23/Q23,1)))+30*MAX(0,MIN((PARAMETRI!$B$5-M23)/MAX(PARAMETRI!$B$5-10,1),1))+IF(AB23="",3,10*MAX(0,MIN(AB23/0.15,1)))+IF(AND(P23&lt;&gt;"",N(P23)&lt;N(Q23)*0.6),-8,0),1))</f>
        <v/>
      </c>
      <c r="AE23" s="13">
        <f>IF(AND(P23="",Q23=""),"DATI MANCANTI",IF(AND(N(P23)&gt;=PARAMETRI!$B$4,N(Q23)&gt;=PARAMETRI!$B$4),"OK","NO"))</f>
        <v/>
      </c>
      <c r="AF23" s="13">
        <f>IF(M23="","N/D",IF(M23&lt;PARAMETRI!$B$6,"OTTIMO",IF(M23&lt;PARAMETRI!$B$5,"OK","NO")))</f>
        <v/>
      </c>
      <c r="AG23" s="13">
        <f>IF(OR(AE23="DATI MANCANTI",AF23="N/D"),"DA COMPLETARE",IF(AND(AE23="OK",AF23="OTTIMO"),"PASSA FORTE",IF(AND(AE23="OK",AF23="OK"),"PASSA","SCARTA")))</f>
        <v/>
      </c>
      <c r="AH23" s="11" t="inlineStr">
        <is>
          <t>2026-10-12</t>
        </is>
      </c>
      <c r="AI23" s="11" t="inlineStr">
        <is>
          <t>yahoo</t>
        </is>
      </c>
      <c r="AJ23" s="23" t="inlineStr"/>
    </row>
    <row r="24">
      <c r="A24" s="10">
        <f>IF(AD24="","",RANK(AD24,AD$2:AD$24))</f>
        <v/>
      </c>
      <c r="B24" s="11" t="inlineStr">
        <is>
          <t>Roche Holding</t>
        </is>
      </c>
      <c r="C24" s="12" t="inlineStr">
        <is>
          <t>ROG.SW</t>
        </is>
      </c>
      <c r="D24" s="11" t="inlineStr">
        <is>
          <t>Farmaceutica</t>
        </is>
      </c>
      <c r="E24" s="13" t="inlineStr">
        <is>
          <t>Salute</t>
        </is>
      </c>
      <c r="F24" s="14" t="n"/>
      <c r="G24" s="15" t="n"/>
      <c r="H24" s="14" t="n"/>
      <c r="I24" s="16" t="n"/>
      <c r="J24" s="16" t="n"/>
      <c r="K24" s="14" t="n"/>
      <c r="L24" s="14" t="n"/>
      <c r="M24" s="17">
        <f>IF(OR(F24="",K24="",K24&lt;=0),"",F24/K24)</f>
        <v/>
      </c>
      <c r="N24" s="18" t="n"/>
      <c r="O24" s="19">
        <f>IF(OR(N24="",M24="",M24&lt;=0),"",N24/M24)</f>
        <v/>
      </c>
      <c r="P24" s="20" t="n"/>
      <c r="Q24" s="20" t="n"/>
      <c r="R24" s="20" t="n"/>
      <c r="S24" s="21" t="n"/>
      <c r="T24" s="20" t="n"/>
      <c r="U24" s="20" t="n"/>
      <c r="V24" s="20" t="n"/>
      <c r="W24" s="20" t="n"/>
      <c r="X24" s="20" t="n"/>
      <c r="Y24" s="14" t="n"/>
      <c r="Z24" s="19">
        <f>IF(OR(Y24="",F24="",F24=0),"",Y24/F24)</f>
        <v/>
      </c>
      <c r="AA24" s="22" t="n"/>
      <c r="AB24" s="20" t="n"/>
      <c r="AC24" s="20" t="n"/>
      <c r="AD24" s="17">
        <f>IF(OR(Q24="",M24="",M24&lt;=0),"",ROUND(40*MAX(0,MIN(N(Q24)/0.3,1))+IF(OR(R24="",N(Q24)&lt;=0),10,20*MAX(0,1-MIN(R24/Q24,1)))+30*MAX(0,MIN((PARAMETRI!$B$5-M24)/MAX(PARAMETRI!$B$5-10,1),1))+IF(AB24="",3,10*MAX(0,MIN(AB24/0.15,1)))+IF(AND(P24&lt;&gt;"",N(P24)&lt;N(Q24)*0.6),-8,0),1))</f>
        <v/>
      </c>
      <c r="AE24" s="13">
        <f>IF(AND(P24="",Q24=""),"DATI MANCANTI",IF(AND(N(P24)&gt;=PARAMETRI!$B$4,N(Q24)&gt;=PARAMETRI!$B$4),"OK","NO"))</f>
        <v/>
      </c>
      <c r="AF24" s="13">
        <f>IF(M24="","N/D",IF(M24&lt;PARAMETRI!$B$6,"OTTIMO",IF(M24&lt;PARAMETRI!$B$5,"OK","NO")))</f>
        <v/>
      </c>
      <c r="AG24" s="13">
        <f>IF(OR(AE24="DATI MANCANTI",AF24="N/D"),"DA COMPLETARE",IF(AND(AE24="OK",AF24="OTTIMO"),"PASSA FORTE",IF(AND(AE24="OK",AF24="OK"),"PASSA","SCARTA")))</f>
        <v/>
      </c>
      <c r="AH24" s="11" t="inlineStr">
        <is>
          <t>2000-01-01</t>
        </is>
      </c>
      <c r="AI24" s="11" t="inlineStr">
        <is>
          <t>mai scaricato</t>
        </is>
      </c>
      <c r="AJ24" s="23" t="inlineStr"/>
    </row>
  </sheetData>
  <autoFilter ref="A1:AJ24"/>
  <conditionalFormatting sqref="AG2:AG24">
    <cfRule type="cellIs" priority="1" operator="equal" dxfId="0">
      <formula>"PASSA FORTE"</formula>
    </cfRule>
    <cfRule type="cellIs" priority="2" operator="equal" dxfId="1">
      <formula>"PASSA"</formula>
    </cfRule>
    <cfRule type="cellIs" priority="3" operator="equal" dxfId="2">
      <formula>"SCARTA"</formula>
    </cfRule>
    <cfRule type="cellIs" priority="4" operator="equal" dxfId="3">
      <formula>"DA COMPLETARE"</formula>
    </cfRule>
  </conditionalFormatting>
  <conditionalFormatting sqref="P2:P24">
    <cfRule type="dataBar" priority="5">
      <dataBar>
        <cfvo type="num" val="0"/>
        <cfvo type="num" val="0.4"/>
        <color rgb="00638EC6"/>
      </dataBar>
    </cfRule>
  </conditionalFormatting>
  <conditionalFormatting sqref="Q2:Q24">
    <cfRule type="dataBar" priority="6">
      <dataBar>
        <cfvo type="num" val="0"/>
        <cfvo type="num" val="0.4"/>
        <color rgb="00638EC6"/>
      </dataBar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6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1" customWidth="1" min="3" max="3"/>
    <col width="24" customWidth="1" min="4" max="4"/>
    <col width="12" customWidth="1" min="5" max="5"/>
    <col width="10" customWidth="1" min="6" max="6"/>
    <col width="6" customWidth="1" min="7" max="7"/>
    <col width="10" customWidth="1" min="8" max="8"/>
    <col width="12" customWidth="1" min="9" max="9"/>
    <col width="11" customWidth="1" min="10" max="10"/>
    <col width="10" customWidth="1" min="11" max="11"/>
    <col width="10" customWidth="1" min="12" max="12"/>
    <col width="8" customWidth="1" min="13" max="13"/>
    <col width="8" customWidth="1" min="14" max="14"/>
    <col width="10" customWidth="1" min="15" max="15"/>
    <col width="9" customWidth="1" min="16" max="16"/>
    <col width="9" customWidth="1" min="17" max="17"/>
    <col width="9" customWidth="1" min="18" max="18"/>
    <col width="6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11" customWidth="1" min="30" max="30"/>
    <col width="10" customWidth="1" min="31" max="31"/>
    <col width="10" customWidth="1" min="32" max="32"/>
    <col width="14" customWidth="1" min="33" max="33"/>
    <col width="12" customWidth="1" min="34" max="34"/>
    <col width="10" customWidth="1" min="35" max="35"/>
    <col width="42" customWidth="1" min="36" max="36"/>
  </cols>
  <sheetData>
    <row r="1" ht="30" customHeight="1">
      <c r="A1" s="9" t="inlineStr">
        <is>
          <t>POS.</t>
        </is>
      </c>
      <c r="B1" s="9" t="inlineStr">
        <is>
          <t>TITOLO</t>
        </is>
      </c>
      <c r="C1" s="9" t="inlineStr">
        <is>
          <t>TICKER</t>
        </is>
      </c>
      <c r="D1" s="9" t="inlineStr">
        <is>
          <t>SETTORE</t>
        </is>
      </c>
      <c r="E1" s="9" t="inlineStr">
        <is>
          <t>CLASSE</t>
        </is>
      </c>
      <c r="F1" s="9" t="inlineStr">
        <is>
          <t>PREZZO</t>
        </is>
      </c>
      <c r="G1" s="9" t="inlineStr">
        <is>
          <t>VAL.</t>
        </is>
      </c>
      <c r="H1" s="9" t="inlineStr">
        <is>
          <t>PREZZO €</t>
        </is>
      </c>
      <c r="I1" s="9" t="inlineStr">
        <is>
          <t>CAP. MLN €</t>
        </is>
      </c>
      <c r="J1" s="9" t="inlineStr">
        <is>
          <t>CAP. MLN
locale</t>
        </is>
      </c>
      <c r="K1" s="9" t="inlineStr">
        <is>
          <t>EPS TTM</t>
        </is>
      </c>
      <c r="L1" s="9" t="inlineStr">
        <is>
          <t>EPS ATTESO</t>
        </is>
      </c>
      <c r="M1" s="9" t="inlineStr">
        <is>
          <t>P/E</t>
        </is>
      </c>
      <c r="N1" s="9" t="inlineStr">
        <is>
          <t>P/B</t>
        </is>
      </c>
      <c r="O1" s="9" t="inlineStr">
        <is>
          <t>ROE IMPL.</t>
        </is>
      </c>
      <c r="P1" s="9" t="inlineStr">
        <is>
          <t>ROE 1a</t>
        </is>
      </c>
      <c r="Q1" s="9" t="inlineStr">
        <is>
          <t>ROE 5a</t>
        </is>
      </c>
      <c r="R1" s="9" t="inlineStr">
        <is>
          <t>VARIAB.
ROE</t>
        </is>
      </c>
      <c r="S1" s="9" t="inlineStr">
        <is>
          <t>ANNI</t>
        </is>
      </c>
      <c r="T1" s="9" t="inlineStr">
        <is>
          <t>2026</t>
        </is>
      </c>
      <c r="U1" s="9" t="inlineStr">
        <is>
          <t>2025</t>
        </is>
      </c>
      <c r="V1" s="9" t="inlineStr">
        <is>
          <t>2024</t>
        </is>
      </c>
      <c r="W1" s="9" t="inlineStr">
        <is>
          <t>2023</t>
        </is>
      </c>
      <c r="X1" s="9" t="inlineStr">
        <is>
          <t>2022</t>
        </is>
      </c>
      <c r="Y1" s="9" t="inlineStr">
        <is>
          <t>DIVID.</t>
        </is>
      </c>
      <c r="Z1" s="9" t="inlineStr">
        <is>
          <t>RENDIM.</t>
        </is>
      </c>
      <c r="AA1" s="9" t="inlineStr">
        <is>
          <t>DEBITO/MP</t>
        </is>
      </c>
      <c r="AB1" s="9" t="inlineStr">
        <is>
          <t>CRESC.
RICAVI</t>
        </is>
      </c>
      <c r="AC1" s="9" t="inlineStr">
        <is>
          <t>MARGINE</t>
        </is>
      </c>
      <c r="AD1" s="9" t="inlineStr">
        <is>
          <t>PUNTEGGIO</t>
        </is>
      </c>
      <c r="AE1" s="9" t="inlineStr">
        <is>
          <t>ESITO ROE</t>
        </is>
      </c>
      <c r="AF1" s="9" t="inlineStr">
        <is>
          <t>ESITO P/E</t>
        </is>
      </c>
      <c r="AG1" s="9" t="inlineStr">
        <is>
          <t>GIUDIZIO</t>
        </is>
      </c>
      <c r="AH1" s="9" t="inlineStr">
        <is>
          <t>RILEVATO</t>
        </is>
      </c>
      <c r="AI1" s="9" t="inlineStr">
        <is>
          <t>FONTE</t>
        </is>
      </c>
      <c r="AJ1" s="9" t="inlineStr">
        <is>
          <t>NOTE</t>
        </is>
      </c>
    </row>
    <row r="2">
      <c r="A2" s="10">
        <f>IF(AD2="","",RANK(AD2,AD$2:AD$167))</f>
        <v/>
      </c>
      <c r="B2" s="11" t="inlineStr">
        <is>
          <t>Honeywell</t>
        </is>
      </c>
      <c r="C2" s="12" t="inlineStr">
        <is>
          <t>HON</t>
        </is>
      </c>
      <c r="D2" s="11" t="inlineStr">
        <is>
          <t>Conglomerata industriale</t>
        </is>
      </c>
      <c r="E2" s="13" t="inlineStr">
        <is>
          <t>Industriale</t>
        </is>
      </c>
      <c r="F2" s="14" t="n">
        <v>210.345</v>
      </c>
      <c r="G2" s="15" t="inlineStr">
        <is>
          <t>USD</t>
        </is>
      </c>
      <c r="H2" s="14" t="n">
        <v>188.4270522285444</v>
      </c>
      <c r="I2" s="16" t="n">
        <v>59720.03024937458</v>
      </c>
      <c r="J2" s="16" t="n">
        <v>66666.7</v>
      </c>
      <c r="K2" s="14" t="n">
        <v>27.09</v>
      </c>
      <c r="L2" s="14" t="n">
        <v>9.822089999999999</v>
      </c>
      <c r="M2" s="17">
        <f>IF(OR(F2="",K2="",K2&lt;=0),"",F2/K2)</f>
        <v/>
      </c>
      <c r="N2" s="18" t="n">
        <v>3.5964403</v>
      </c>
      <c r="O2" s="19">
        <f>IF(OR(N2="",M2="",M2&lt;=0),"",N2/M2)</f>
        <v/>
      </c>
      <c r="P2" s="20" t="n">
        <v>0.46577</v>
      </c>
      <c r="Q2" s="20" t="n">
        <v>0.3251951529160505</v>
      </c>
      <c r="R2" s="20" t="n">
        <v>0.02423002500425542</v>
      </c>
      <c r="S2" s="21" t="n">
        <v>4</v>
      </c>
      <c r="T2" s="20" t="n"/>
      <c r="U2" s="20" t="n">
        <v>0.3401179516685846</v>
      </c>
      <c r="V2" s="20" t="n">
        <v>0.3064074332670927</v>
      </c>
      <c r="W2" s="20" t="n">
        <v>0.3568365287588295</v>
      </c>
      <c r="X2" s="20" t="n">
        <v>0.2974186979696952</v>
      </c>
      <c r="Y2" s="14" t="n">
        <v>2.8</v>
      </c>
      <c r="Z2" s="19">
        <f>IF(OR(Y2="",F2="",F2=0),"",Y2/F2)</f>
        <v/>
      </c>
      <c r="AA2" s="22" t="n">
        <v>185.369</v>
      </c>
      <c r="AB2" s="20" t="n">
        <v>0.043</v>
      </c>
      <c r="AC2" s="20" t="n">
        <v>0.2207681179424176</v>
      </c>
      <c r="AD2" s="17">
        <f>IF(OR(Q2="",M2="",M2&lt;=0),"",ROUND(40*MAX(0,MIN(N(Q2)/0.3,1))+IF(OR(R2="",N(Q2)&lt;=0),10,20*MAX(0,1-MIN(R2/Q2,1)))+30*MAX(0,MIN((PARAMETRI!$B$5-M2)/MAX(PARAMETRI!$B$5-10,1),1))+IF(AB2="",3,10*MAX(0,MIN(AB2/0.15,1)))+IF(AND(P2&lt;&gt;"",N(P2)&lt;N(Q2)*0.6),-8,0),1))</f>
        <v/>
      </c>
      <c r="AE2" s="13">
        <f>IF(AND(P2="",Q2=""),"DATI MANCANTI",IF(AND(N(P2)&gt;=PARAMETRI!$B$4,N(Q2)&gt;=PARAMETRI!$B$4),"OK","NO"))</f>
        <v/>
      </c>
      <c r="AF2" s="13">
        <f>IF(M2="","N/D",IF(M2&lt;PARAMETRI!$B$6,"OTTIMO",IF(M2&lt;PARAMETRI!$B$5,"OK","NO")))</f>
        <v/>
      </c>
      <c r="AG2" s="13">
        <f>IF(OR(AE2="DATI MANCANTI",AF2="N/D"),"DA COMPLETARE",IF(AND(AE2="OK",AF2="OTTIMO"),"PASSA FORTE",IF(AND(AE2="OK",AF2="OK"),"PASSA","SCARTA")))</f>
        <v/>
      </c>
      <c r="AH2" s="11" t="inlineStr">
        <is>
          <t>2026-10-12</t>
        </is>
      </c>
      <c r="AI2" s="11" t="inlineStr">
        <is>
          <t>yahoo</t>
        </is>
      </c>
      <c r="AJ2" s="23" t="inlineStr"/>
    </row>
    <row r="3">
      <c r="A3" s="10">
        <f>IF(AD3="","",RANK(AD3,AD$2:AD$167))</f>
        <v/>
      </c>
      <c r="B3" s="11" t="inlineStr">
        <is>
          <t>Simon Property Group</t>
        </is>
      </c>
      <c r="C3" s="12" t="inlineStr">
        <is>
          <t>SPG</t>
        </is>
      </c>
      <c r="D3" s="11" t="inlineStr">
        <is>
          <t>REIT / Centri commerciali</t>
        </is>
      </c>
      <c r="E3" s="13" t="inlineStr">
        <is>
          <t>Immobiliare</t>
        </is>
      </c>
      <c r="F3" s="14" t="n">
        <v>201</v>
      </c>
      <c r="G3" s="15" t="inlineStr">
        <is>
          <t>USD</t>
        </is>
      </c>
      <c r="H3" s="14" t="n">
        <v>180.0558011739638</v>
      </c>
      <c r="I3" s="16" t="n">
        <v>68353.3923856641</v>
      </c>
      <c r="J3" s="16" t="n">
        <v>76304.3</v>
      </c>
      <c r="K3" s="14" t="n">
        <v>14.17</v>
      </c>
      <c r="L3" s="14" t="n">
        <v>6.77333</v>
      </c>
      <c r="M3" s="17">
        <f>IF(OR(F3="",K3="",K3&lt;=0),"",F3/K3)</f>
        <v/>
      </c>
      <c r="N3" s="18" t="n">
        <v>14.800088</v>
      </c>
      <c r="O3" s="19">
        <f>IF(OR(N3="",M3="",M3&lt;=0),"",N3/M3)</f>
        <v/>
      </c>
      <c r="P3" s="20" t="n">
        <v>1.20508</v>
      </c>
      <c r="Q3" s="20" t="n">
        <v>0.7828516039546615</v>
      </c>
      <c r="R3" s="20" t="n">
        <v>0.07530997649584731</v>
      </c>
      <c r="S3" s="21" t="n">
        <v>4</v>
      </c>
      <c r="T3" s="20" t="n"/>
      <c r="U3" s="20" t="n">
        <v>0.8885126495026754</v>
      </c>
      <c r="V3" s="20" t="n">
        <v>0.8058995385674346</v>
      </c>
      <c r="W3" s="20" t="n">
        <v>0.7552932116020926</v>
      </c>
      <c r="X3" s="20" t="n">
        <v>0.6817010161464434</v>
      </c>
      <c r="Y3" s="14" t="n">
        <v>8.9</v>
      </c>
      <c r="Z3" s="19">
        <f>IF(OR(Y3="",F3="",F3=0),"",Y3/F3)</f>
        <v/>
      </c>
      <c r="AA3" s="22" t="n">
        <v>503.504</v>
      </c>
      <c r="AB3" s="20" t="n">
        <v>0.195</v>
      </c>
      <c r="AC3" s="20" t="n">
        <v>0.725453271856963</v>
      </c>
      <c r="AD3" s="17">
        <f>IF(OR(Q3="",M3="",M3&lt;=0),"",ROUND(40*MAX(0,MIN(N(Q3)/0.3,1))+IF(OR(R3="",N(Q3)&lt;=0),10,20*MAX(0,1-MIN(R3/Q3,1)))+30*MAX(0,MIN((PARAMETRI!$B$5-M3)/MAX(PARAMETRI!$B$5-10,1),1))+IF(AB3="",3,10*MAX(0,MIN(AB3/0.15,1)))+IF(AND(P3&lt;&gt;"",N(P3)&lt;N(Q3)*0.6),-8,0),1))</f>
        <v/>
      </c>
      <c r="AE3" s="13">
        <f>IF(AND(P3="",Q3=""),"DATI MANCANTI",IF(AND(N(P3)&gt;=PARAMETRI!$B$4,N(Q3)&gt;=PARAMETRI!$B$4),"OK","NO"))</f>
        <v/>
      </c>
      <c r="AF3" s="13">
        <f>IF(M3="","N/D",IF(M3&lt;PARAMETRI!$B$6,"OTTIMO",IF(M3&lt;PARAMETRI!$B$5,"OK","NO")))</f>
        <v/>
      </c>
      <c r="AG3" s="13">
        <f>IF(OR(AE3="DATI MANCANTI",AF3="N/D"),"DA COMPLETARE",IF(AND(AE3="OK",AF3="OTTIMO"),"PASSA FORTE",IF(AND(AE3="OK",AF3="OK"),"PASSA","SCARTA")))</f>
        <v/>
      </c>
      <c r="AH3" s="11" t="inlineStr">
        <is>
          <t>2026-10-12</t>
        </is>
      </c>
      <c r="AI3" s="11" t="inlineStr">
        <is>
          <t>yahoo</t>
        </is>
      </c>
      <c r="AJ3" s="23" t="inlineStr"/>
    </row>
    <row r="4">
      <c r="A4" s="10">
        <f>IF(AD4="","",RANK(AD4,AD$2:AD$167))</f>
        <v/>
      </c>
      <c r="B4" s="11" t="inlineStr">
        <is>
          <t>EOG Resources</t>
        </is>
      </c>
      <c r="C4" s="12" t="inlineStr">
        <is>
          <t>EOG</t>
        </is>
      </c>
      <c r="D4" s="11" t="inlineStr">
        <is>
          <t>Esplorazione e produzione</t>
        </is>
      </c>
      <c r="E4" s="13" t="inlineStr">
        <is>
          <t>Energia</t>
        </is>
      </c>
      <c r="F4" s="14" t="n">
        <v>150.4</v>
      </c>
      <c r="G4" s="15" t="inlineStr">
        <is>
          <t>USD</t>
        </is>
      </c>
      <c r="H4" s="14" t="n">
        <v>134.7283208784286</v>
      </c>
      <c r="I4" s="16" t="n">
        <v>71760.11980787598</v>
      </c>
      <c r="J4" s="16" t="n">
        <v>80107.3</v>
      </c>
      <c r="K4" s="14" t="n">
        <v>12.85</v>
      </c>
      <c r="L4" s="14" t="n">
        <v>15.41362</v>
      </c>
      <c r="M4" s="17">
        <f>IF(OR(F4="",K4="",K4&lt;=0),"",F4/K4)</f>
        <v/>
      </c>
      <c r="N4" s="18" t="n">
        <v>2.4803746</v>
      </c>
      <c r="O4" s="19">
        <f>IF(OR(N4="",M4="",M4&lt;=0),"",N4/M4)</f>
        <v/>
      </c>
      <c r="P4" s="20" t="n">
        <v>0.22507</v>
      </c>
      <c r="Q4" s="20" t="n">
        <v>0.242138828379117</v>
      </c>
      <c r="R4" s="20" t="n">
        <v>0.05492470394983165</v>
      </c>
      <c r="S4" s="21" t="n">
        <v>4</v>
      </c>
      <c r="T4" s="20" t="n"/>
      <c r="U4" s="20" t="n">
        <v>0.1669292394328428</v>
      </c>
      <c r="V4" s="20" t="n">
        <v>0.2181527034854008</v>
      </c>
      <c r="W4" s="20" t="n">
        <v>0.2703453186187255</v>
      </c>
      <c r="X4" s="20" t="n">
        <v>0.3131280519794988</v>
      </c>
      <c r="Y4" s="14" t="n">
        <v>4.08</v>
      </c>
      <c r="Z4" s="19">
        <f>IF(OR(Y4="",F4="",F4=0),"",Y4/F4)</f>
        <v/>
      </c>
      <c r="AA4" s="22" t="n">
        <v>25.891</v>
      </c>
      <c r="AB4" s="20" t="n">
        <v>0.587</v>
      </c>
      <c r="AC4" s="20" t="n">
        <v>0.3044903133469135</v>
      </c>
      <c r="AD4" s="17">
        <f>IF(OR(Q4="",M4="",M4&lt;=0),"",ROUND(40*MAX(0,MIN(N(Q4)/0.3,1))+IF(OR(R4="",N(Q4)&lt;=0),10,20*MAX(0,1-MIN(R4/Q4,1)))+30*MAX(0,MIN((PARAMETRI!$B$5-M4)/MAX(PARAMETRI!$B$5-10,1),1))+IF(AB4="",3,10*MAX(0,MIN(AB4/0.15,1)))+IF(AND(P4&lt;&gt;"",N(P4)&lt;N(Q4)*0.6),-8,0),1))</f>
        <v/>
      </c>
      <c r="AE4" s="13">
        <f>IF(AND(P4="",Q4=""),"DATI MANCANTI",IF(AND(N(P4)&gt;=PARAMETRI!$B$4,N(Q4)&gt;=PARAMETRI!$B$4),"OK","NO"))</f>
        <v/>
      </c>
      <c r="AF4" s="13">
        <f>IF(M4="","N/D",IF(M4&lt;PARAMETRI!$B$6,"OTTIMO",IF(M4&lt;PARAMETRI!$B$5,"OK","NO")))</f>
        <v/>
      </c>
      <c r="AG4" s="13">
        <f>IF(OR(AE4="DATI MANCANTI",AF4="N/D"),"DA COMPLETARE",IF(AND(AE4="OK",AF4="OTTIMO"),"PASSA FORTE",IF(AND(AE4="OK",AF4="OK"),"PASSA","SCARTA")))</f>
        <v/>
      </c>
      <c r="AH4" s="11" t="inlineStr">
        <is>
          <t>2026-10-12</t>
        </is>
      </c>
      <c r="AI4" s="11" t="inlineStr">
        <is>
          <t>yahoo</t>
        </is>
      </c>
      <c r="AJ4" s="23" t="inlineStr"/>
    </row>
    <row r="5">
      <c r="A5" s="10">
        <f>IF(AD5="","",RANK(AD5,AD$2:AD$167))</f>
        <v/>
      </c>
      <c r="B5" s="11" t="inlineStr">
        <is>
          <t>Adobe</t>
        </is>
      </c>
      <c r="C5" s="12" t="inlineStr">
        <is>
          <t>ADBE</t>
        </is>
      </c>
      <c r="D5" s="11" t="inlineStr">
        <is>
          <t>Software</t>
        </is>
      </c>
      <c r="E5" s="13" t="inlineStr">
        <is>
          <t>Tecnologia</t>
        </is>
      </c>
      <c r="F5" s="14" t="n">
        <v>238.33</v>
      </c>
      <c r="G5" s="15" t="inlineStr">
        <is>
          <t>USD</t>
        </is>
      </c>
      <c r="H5" s="14" t="n">
        <v>213.496015391994</v>
      </c>
      <c r="I5" s="16" t="n">
        <v>83092.61694176384</v>
      </c>
      <c r="J5" s="16" t="n">
        <v>92758</v>
      </c>
      <c r="K5" s="14" t="n">
        <v>17.91</v>
      </c>
      <c r="L5" s="14" t="n">
        <v>27.67328</v>
      </c>
      <c r="M5" s="17">
        <f>IF(OR(F5="",K5="",K5&lt;=0),"",F5/K5)</f>
        <v/>
      </c>
      <c r="N5" s="18" t="n">
        <v>7.9213614</v>
      </c>
      <c r="O5" s="19">
        <f>IF(OR(N5="",M5="",M5&lt;=0),"",N5/M5)</f>
        <v/>
      </c>
      <c r="P5" s="20" t="n">
        <v>0.61902</v>
      </c>
      <c r="Q5" s="20" t="n">
        <v>0.61902</v>
      </c>
      <c r="R5" s="20" t="n"/>
      <c r="S5" s="21" t="n">
        <v>0</v>
      </c>
      <c r="T5" s="20" t="n"/>
      <c r="U5" s="20" t="n">
        <v>0.6134388712036479</v>
      </c>
      <c r="V5" s="20" t="n">
        <v>0.3941864587025877</v>
      </c>
      <c r="W5" s="20" t="n">
        <v>0.3286112120111394</v>
      </c>
      <c r="X5" s="20" t="n">
        <v>0.3384812468863426</v>
      </c>
      <c r="Y5" s="14" t="n"/>
      <c r="Z5" s="19">
        <f>IF(OR(Y5="",F5="",F5=0),"",Y5/F5)</f>
        <v/>
      </c>
      <c r="AA5" s="22" t="n">
        <v>57.693</v>
      </c>
      <c r="AB5" s="20" t="n">
        <v>0.129</v>
      </c>
      <c r="AC5" s="20" t="n">
        <v>0.3064495664100298</v>
      </c>
      <c r="AD5" s="17">
        <f>IF(OR(Q5="",M5="",M5&lt;=0),"",ROUND(40*MAX(0,MIN(N(Q5)/0.3,1))+IF(OR(R5="",N(Q5)&lt;=0),10,20*MAX(0,1-MIN(R5/Q5,1)))+30*MAX(0,MIN((PARAMETRI!$B$5-M5)/MAX(PARAMETRI!$B$5-10,1),1))+IF(AB5="",3,10*MAX(0,MIN(AB5/0.15,1)))+IF(AND(P5&lt;&gt;"",N(P5)&lt;N(Q5)*0.6),-8,0),1))</f>
        <v/>
      </c>
      <c r="AE5" s="13">
        <f>IF(AND(P5="",Q5=""),"DATI MANCANTI",IF(AND(N(P5)&gt;=PARAMETRI!$B$4,N(Q5)&gt;=PARAMETRI!$B$4),"OK","NO"))</f>
        <v/>
      </c>
      <c r="AF5" s="13">
        <f>IF(M5="","N/D",IF(M5&lt;PARAMETRI!$B$6,"OTTIMO",IF(M5&lt;PARAMETRI!$B$5,"OK","NO")))</f>
        <v/>
      </c>
      <c r="AG5" s="13">
        <f>IF(OR(AE5="DATI MANCANTI",AF5="N/D"),"DA COMPLETARE",IF(AND(AE5="OK",AF5="OTTIMO"),"PASSA FORTE",IF(AND(AE5="OK",AF5="OK"),"PASSA","SCARTA")))</f>
        <v/>
      </c>
      <c r="AH5" s="11" t="inlineStr">
        <is>
          <t>2026-10-12</t>
        </is>
      </c>
      <c r="AI5" s="11" t="inlineStr">
        <is>
          <t>yahoo</t>
        </is>
      </c>
      <c r="AJ5" s="23" t="inlineStr"/>
    </row>
    <row r="6">
      <c r="A6" s="10">
        <f>IF(AD6="","",RANK(AD6,AD$2:AD$167))</f>
        <v/>
      </c>
      <c r="B6" s="11" t="inlineStr">
        <is>
          <t>Zoetis</t>
        </is>
      </c>
      <c r="C6" s="12" t="inlineStr">
        <is>
          <t>ZTS</t>
        </is>
      </c>
      <c r="D6" s="11" t="inlineStr">
        <is>
          <t>Salute animale</t>
        </is>
      </c>
      <c r="E6" s="13" t="inlineStr">
        <is>
          <t>Salute</t>
        </is>
      </c>
      <c r="F6" s="14" t="n">
        <v>75.51000000000001</v>
      </c>
      <c r="G6" s="15" t="inlineStr">
        <is>
          <t>USD</t>
        </is>
      </c>
      <c r="H6" s="14" t="n">
        <v>67.64185844102491</v>
      </c>
      <c r="I6" s="16" t="n">
        <v>27951.19968224182</v>
      </c>
      <c r="J6" s="16" t="n">
        <v>31202.5</v>
      </c>
      <c r="K6" s="14" t="n">
        <v>6.08</v>
      </c>
      <c r="L6" s="14" t="n">
        <v>6.54458</v>
      </c>
      <c r="M6" s="17">
        <f>IF(OR(F6="",K6="",K6&lt;=0),"",F6/K6)</f>
        <v/>
      </c>
      <c r="N6" s="18" t="n">
        <v>9.934219000000001</v>
      </c>
      <c r="O6" s="19">
        <f>IF(OR(N6="",M6="",M6&lt;=0),"",N6/M6)</f>
        <v/>
      </c>
      <c r="P6" s="20" t="n">
        <v>0.64911</v>
      </c>
      <c r="Q6" s="20" t="n">
        <v>0.5681565925915136</v>
      </c>
      <c r="R6" s="20" t="n">
        <v>0.1366654174339068</v>
      </c>
      <c r="S6" s="21" t="n">
        <v>4</v>
      </c>
      <c r="T6" s="20" t="n"/>
      <c r="U6" s="20" t="n">
        <v>0.8024617232062444</v>
      </c>
      <c r="V6" s="20" t="n">
        <v>0.5211740041928721</v>
      </c>
      <c r="W6" s="20" t="n">
        <v>0.4690814488693216</v>
      </c>
      <c r="X6" s="20" t="n">
        <v>0.4799091940976163</v>
      </c>
      <c r="Y6" s="14" t="n">
        <v>2.12</v>
      </c>
      <c r="Z6" s="19">
        <f>IF(OR(Y6="",F6="",F6=0),"",Y6/F6)</f>
        <v/>
      </c>
      <c r="AA6" s="22" t="n">
        <v>293.996</v>
      </c>
      <c r="AB6" s="20" t="n">
        <v>-0.002</v>
      </c>
      <c r="AC6" s="20" t="n">
        <v>0.2785465232914334</v>
      </c>
      <c r="AD6" s="17">
        <f>IF(OR(Q6="",M6="",M6&lt;=0),"",ROUND(40*MAX(0,MIN(N(Q6)/0.3,1))+IF(OR(R6="",N(Q6)&lt;=0),10,20*MAX(0,1-MIN(R6/Q6,1)))+30*MAX(0,MIN((PARAMETRI!$B$5-M6)/MAX(PARAMETRI!$B$5-10,1),1))+IF(AB6="",3,10*MAX(0,MIN(AB6/0.15,1)))+IF(AND(P6&lt;&gt;"",N(P6)&lt;N(Q6)*0.6),-8,0),1))</f>
        <v/>
      </c>
      <c r="AE6" s="13">
        <f>IF(AND(P6="",Q6=""),"DATI MANCANTI",IF(AND(N(P6)&gt;=PARAMETRI!$B$4,N(Q6)&gt;=PARAMETRI!$B$4),"OK","NO"))</f>
        <v/>
      </c>
      <c r="AF6" s="13">
        <f>IF(M6="","N/D",IF(M6&lt;PARAMETRI!$B$6,"OTTIMO",IF(M6&lt;PARAMETRI!$B$5,"OK","NO")))</f>
        <v/>
      </c>
      <c r="AG6" s="13">
        <f>IF(OR(AE6="DATI MANCANTI",AF6="N/D"),"DA COMPLETARE",IF(AND(AE6="OK",AF6="OTTIMO"),"PASSA FORTE",IF(AND(AE6="OK",AF6="OK"),"PASSA","SCARTA")))</f>
        <v/>
      </c>
      <c r="AH6" s="11" t="inlineStr">
        <is>
          <t>2026-10-12</t>
        </is>
      </c>
      <c r="AI6" s="11" t="inlineStr">
        <is>
          <t>yahoo</t>
        </is>
      </c>
      <c r="AJ6" s="23" t="inlineStr"/>
    </row>
    <row r="7">
      <c r="A7" s="10">
        <f>IF(AD7="","",RANK(AD7,AD$2:AD$167))</f>
        <v/>
      </c>
      <c r="B7" s="11" t="inlineStr">
        <is>
          <t>Marathon Petroleum</t>
        </is>
      </c>
      <c r="C7" s="12" t="inlineStr">
        <is>
          <t>MPC</t>
        </is>
      </c>
      <c r="D7" s="11" t="inlineStr">
        <is>
          <t>Raffinazione</t>
        </is>
      </c>
      <c r="E7" s="13" t="inlineStr">
        <is>
          <t>Energia</t>
        </is>
      </c>
      <c r="F7" s="14" t="n">
        <v>458.195</v>
      </c>
      <c r="G7" s="15" t="inlineStr">
        <is>
          <t>USD</t>
        </is>
      </c>
      <c r="H7" s="14" t="n">
        <v>410.451083676141</v>
      </c>
      <c r="I7" s="16" t="n">
        <v>119825.7024012636</v>
      </c>
      <c r="J7" s="16" t="n">
        <v>133763.9</v>
      </c>
      <c r="K7" s="14" t="n">
        <v>28.88</v>
      </c>
      <c r="L7" s="14" t="n">
        <v>52.17741</v>
      </c>
      <c r="M7" s="17">
        <f>IF(OR(F7="",K7="",K7&lt;=0),"",F7/K7)</f>
        <v/>
      </c>
      <c r="N7" s="18" t="n">
        <v>6.797137</v>
      </c>
      <c r="O7" s="19">
        <f>IF(OR(N7="",M7="",M7&lt;=0),"",N7/M7)</f>
        <v/>
      </c>
      <c r="P7" s="20" t="n">
        <v>0.42099</v>
      </c>
      <c r="Q7" s="20" t="n">
        <v>0.3370844086701393</v>
      </c>
      <c r="R7" s="20" t="n">
        <v>0.1318279662032452</v>
      </c>
      <c r="S7" s="21" t="n">
        <v>4</v>
      </c>
      <c r="T7" s="20" t="n"/>
      <c r="U7" s="20" t="n">
        <v>0.2337414808825228</v>
      </c>
      <c r="V7" s="20" t="n">
        <v>0.1941391941391941</v>
      </c>
      <c r="W7" s="20" t="n">
        <v>0.3966972627438125</v>
      </c>
      <c r="X7" s="20" t="n">
        <v>0.523759696915028</v>
      </c>
      <c r="Y7" s="14" t="n">
        <v>4</v>
      </c>
      <c r="Z7" s="19">
        <f>IF(OR(Y7="",F7="",F7=0),"",Y7/F7)</f>
        <v/>
      </c>
      <c r="AA7" s="22" t="n">
        <v>133.328</v>
      </c>
      <c r="AB7" s="20" t="n">
        <v>0.537</v>
      </c>
      <c r="AC7" s="20" t="n">
        <v>0.06440138864648566</v>
      </c>
      <c r="AD7" s="17">
        <f>IF(OR(Q7="",M7="",M7&lt;=0),"",ROUND(40*MAX(0,MIN(N(Q7)/0.3,1))+IF(OR(R7="",N(Q7)&lt;=0),10,20*MAX(0,1-MIN(R7/Q7,1)))+30*MAX(0,MIN((PARAMETRI!$B$5-M7)/MAX(PARAMETRI!$B$5-10,1),1))+IF(AB7="",3,10*MAX(0,MIN(AB7/0.15,1)))+IF(AND(P7&lt;&gt;"",N(P7)&lt;N(Q7)*0.6),-8,0),1))</f>
        <v/>
      </c>
      <c r="AE7" s="13">
        <f>IF(AND(P7="",Q7=""),"DATI MANCANTI",IF(AND(N(P7)&gt;=PARAMETRI!$B$4,N(Q7)&gt;=PARAMETRI!$B$4),"OK","NO"))</f>
        <v/>
      </c>
      <c r="AF7" s="13">
        <f>IF(M7="","N/D",IF(M7&lt;PARAMETRI!$B$6,"OTTIMO",IF(M7&lt;PARAMETRI!$B$5,"OK","NO")))</f>
        <v/>
      </c>
      <c r="AG7" s="13">
        <f>IF(OR(AE7="DATI MANCANTI",AF7="N/D"),"DA COMPLETARE",IF(AND(AE7="OK",AF7="OTTIMO"),"PASSA FORTE",IF(AND(AE7="OK",AF7="OK"),"PASSA","SCARTA")))</f>
        <v/>
      </c>
      <c r="AH7" s="11" t="inlineStr">
        <is>
          <t>2026-10-12</t>
        </is>
      </c>
      <c r="AI7" s="11" t="inlineStr">
        <is>
          <t>yahoo</t>
        </is>
      </c>
      <c r="AJ7" s="23" t="inlineStr"/>
    </row>
    <row r="8">
      <c r="A8" s="10">
        <f>IF(AD8="","",RANK(AD8,AD$2:AD$167))</f>
        <v/>
      </c>
      <c r="B8" s="11" t="inlineStr">
        <is>
          <t>PepsiCo</t>
        </is>
      </c>
      <c r="C8" s="12" t="inlineStr">
        <is>
          <t>PEP</t>
        </is>
      </c>
      <c r="D8" s="11" t="inlineStr">
        <is>
          <t>Bevande e snack</t>
        </is>
      </c>
      <c r="E8" s="13" t="inlineStr">
        <is>
          <t>Consumi</t>
        </is>
      </c>
      <c r="F8" s="14" t="n">
        <v>126.75</v>
      </c>
      <c r="G8" s="15" t="inlineStr">
        <is>
          <t>USD</t>
        </is>
      </c>
      <c r="H8" s="14" t="n">
        <v>113.5426507402981</v>
      </c>
      <c r="I8" s="16" t="n">
        <v>154729.2059288344</v>
      </c>
      <c r="J8" s="16" t="n">
        <v>172727.4</v>
      </c>
      <c r="K8" s="14" t="n">
        <v>7.95</v>
      </c>
      <c r="L8" s="14" t="n">
        <v>8.68665</v>
      </c>
      <c r="M8" s="17">
        <f>IF(OR(F8="",K8="",K8&lt;=0),"",F8/K8)</f>
        <v/>
      </c>
      <c r="N8" s="18" t="n">
        <v>7.835198</v>
      </c>
      <c r="O8" s="19">
        <f>IF(OR(N8="",M8="",M8&lt;=0),"",N8/M8)</f>
        <v/>
      </c>
      <c r="P8" s="20" t="n">
        <v>0.5218699999999999</v>
      </c>
      <c r="Q8" s="20" t="n">
        <v>0.486168855450935</v>
      </c>
      <c r="R8" s="20" t="n">
        <v>0.04979556056471136</v>
      </c>
      <c r="S8" s="21" t="n">
        <v>4</v>
      </c>
      <c r="T8" s="20" t="n"/>
      <c r="U8" s="20" t="n">
        <v>0.4038028030971283</v>
      </c>
      <c r="V8" s="20" t="n">
        <v>0.5309018347098277</v>
      </c>
      <c r="W8" s="20" t="n">
        <v>0.490406961033346</v>
      </c>
      <c r="X8" s="20" t="n">
        <v>0.5195638229634381</v>
      </c>
      <c r="Y8" s="14" t="n">
        <v>5.92</v>
      </c>
      <c r="Z8" s="19">
        <f>IF(OR(Y8="",F8="",F8=0),"",Y8/F8)</f>
        <v/>
      </c>
      <c r="AA8" s="22" t="n">
        <v>230.716</v>
      </c>
      <c r="AB8" s="20" t="n">
        <v>0.056</v>
      </c>
      <c r="AC8" s="20" t="n">
        <v>0.1160074527548576</v>
      </c>
      <c r="AD8" s="17">
        <f>IF(OR(Q8="",M8="",M8&lt;=0),"",ROUND(40*MAX(0,MIN(N(Q8)/0.3,1))+IF(OR(R8="",N(Q8)&lt;=0),10,20*MAX(0,1-MIN(R8/Q8,1)))+30*MAX(0,MIN((PARAMETRI!$B$5-M8)/MAX(PARAMETRI!$B$5-10,1),1))+IF(AB8="",3,10*MAX(0,MIN(AB8/0.15,1)))+IF(AND(P8&lt;&gt;"",N(P8)&lt;N(Q8)*0.6),-8,0),1))</f>
        <v/>
      </c>
      <c r="AE8" s="13">
        <f>IF(AND(P8="",Q8=""),"DATI MANCANTI",IF(AND(N(P8)&gt;=PARAMETRI!$B$4,N(Q8)&gt;=PARAMETRI!$B$4),"OK","NO"))</f>
        <v/>
      </c>
      <c r="AF8" s="13">
        <f>IF(M8="","N/D",IF(M8&lt;PARAMETRI!$B$6,"OTTIMO",IF(M8&lt;PARAMETRI!$B$5,"OK","NO")))</f>
        <v/>
      </c>
      <c r="AG8" s="13">
        <f>IF(OR(AE8="DATI MANCANTI",AF8="N/D"),"DA COMPLETARE",IF(AND(AE8="OK",AF8="OTTIMO"),"PASSA FORTE",IF(AND(AE8="OK",AF8="OK"),"PASSA","SCARTA")))</f>
        <v/>
      </c>
      <c r="AH8" s="11" t="inlineStr">
        <is>
          <t>2026-10-12</t>
        </is>
      </c>
      <c r="AI8" s="11" t="inlineStr">
        <is>
          <t>yahoo</t>
        </is>
      </c>
      <c r="AJ8" s="23" t="inlineStr"/>
    </row>
    <row r="9">
      <c r="A9" s="10">
        <f>IF(AD9="","",RANK(AD9,AD$2:AD$167))</f>
        <v/>
      </c>
      <c r="B9" s="11" t="inlineStr">
        <is>
          <t>PayPal</t>
        </is>
      </c>
      <c r="C9" s="12" t="inlineStr">
        <is>
          <t>PYPL</t>
        </is>
      </c>
      <c r="D9" s="11" t="inlineStr">
        <is>
          <t>Pagamenti</t>
        </is>
      </c>
      <c r="E9" s="13" t="inlineStr">
        <is>
          <t>Finanziario</t>
        </is>
      </c>
      <c r="F9" s="14" t="n">
        <v>55.99</v>
      </c>
      <c r="G9" s="15" t="inlineStr">
        <is>
          <t>USD</t>
        </is>
      </c>
      <c r="H9" s="14" t="n">
        <v>50.15584232701609</v>
      </c>
      <c r="I9" s="16" t="n">
        <v>43234.35400188799</v>
      </c>
      <c r="J9" s="16" t="n">
        <v>48263.4</v>
      </c>
      <c r="K9" s="14" t="n">
        <v>5.29</v>
      </c>
      <c r="L9" s="14" t="n">
        <v>5.78532</v>
      </c>
      <c r="M9" s="17">
        <f>IF(OR(F9="",K9="",K9&lt;=0),"",F9/K9)</f>
        <v/>
      </c>
      <c r="N9" s="18" t="n">
        <v>2.435089</v>
      </c>
      <c r="O9" s="19">
        <f>IF(OR(N9="",M9="",M9&lt;=0),"",N9/M9)</f>
        <v/>
      </c>
      <c r="P9" s="20" t="n">
        <v>0.24497</v>
      </c>
      <c r="Q9" s="20" t="n">
        <v>0.1956185673090926</v>
      </c>
      <c r="R9" s="20" t="n">
        <v>0.04962294251893289</v>
      </c>
      <c r="S9" s="21" t="n">
        <v>4</v>
      </c>
      <c r="T9" s="20" t="n"/>
      <c r="U9" s="20" t="n">
        <v>0.2583432069510269</v>
      </c>
      <c r="V9" s="20" t="n">
        <v>0.2031150511828378</v>
      </c>
      <c r="W9" s="20" t="n">
        <v>0.2017006317989644</v>
      </c>
      <c r="X9" s="20" t="n">
        <v>0.1193153793035415</v>
      </c>
      <c r="Y9" s="14" t="n">
        <v>0.5600000000000001</v>
      </c>
      <c r="Z9" s="19">
        <f>IF(OR(Y9="",F9="",F9=0),"",Y9/F9)</f>
        <v/>
      </c>
      <c r="AA9" s="22" t="n">
        <v>71.751</v>
      </c>
      <c r="AB9" s="20" t="n">
        <v>0.048</v>
      </c>
      <c r="AC9" s="20" t="n">
        <v>0.1477752359821536</v>
      </c>
      <c r="AD9" s="17">
        <f>IF(OR(Q9="",M9="",M9&lt;=0),"",ROUND(40*MAX(0,MIN(N(Q9)/0.3,1))+IF(OR(R9="",N(Q9)&lt;=0),10,20*MAX(0,1-MIN(R9/Q9,1)))+30*MAX(0,MIN((PARAMETRI!$B$5-M9)/MAX(PARAMETRI!$B$5-10,1),1))+IF(AB9="",3,10*MAX(0,MIN(AB9/0.15,1)))+IF(AND(P9&lt;&gt;"",N(P9)&lt;N(Q9)*0.6),-8,0),1))</f>
        <v/>
      </c>
      <c r="AE9" s="13">
        <f>IF(AND(P9="",Q9=""),"DATI MANCANTI",IF(AND(N(P9)&gt;=PARAMETRI!$B$4,N(Q9)&gt;=PARAMETRI!$B$4),"OK","NO"))</f>
        <v/>
      </c>
      <c r="AF9" s="13">
        <f>IF(M9="","N/D",IF(M9&lt;PARAMETRI!$B$6,"OTTIMO",IF(M9&lt;PARAMETRI!$B$5,"OK","NO")))</f>
        <v/>
      </c>
      <c r="AG9" s="13">
        <f>IF(OR(AE9="DATI MANCANTI",AF9="N/D"),"DA COMPLETARE",IF(AND(AE9="OK",AF9="OTTIMO"),"PASSA FORTE",IF(AND(AE9="OK",AF9="OK"),"PASSA","SCARTA")))</f>
        <v/>
      </c>
      <c r="AH9" s="11" t="inlineStr">
        <is>
          <t>2026-10-12</t>
        </is>
      </c>
      <c r="AI9" s="11" t="inlineStr">
        <is>
          <t>yahoo</t>
        </is>
      </c>
      <c r="AJ9" s="23" t="inlineStr"/>
    </row>
    <row r="10">
      <c r="A10" s="10">
        <f>IF(AD10="","",RANK(AD10,AD$2:AD$167))</f>
        <v/>
      </c>
      <c r="B10" s="11" t="inlineStr">
        <is>
          <t>Progressive</t>
        </is>
      </c>
      <c r="C10" s="12" t="inlineStr">
        <is>
          <t>PGR</t>
        </is>
      </c>
      <c r="D10" s="11" t="inlineStr">
        <is>
          <t>Assicurazione</t>
        </is>
      </c>
      <c r="E10" s="13" t="inlineStr">
        <is>
          <t>Finanziario</t>
        </is>
      </c>
      <c r="F10" s="14" t="n">
        <v>219.565</v>
      </c>
      <c r="G10" s="15" t="inlineStr">
        <is>
          <t>USD</t>
        </is>
      </c>
      <c r="H10" s="14" t="n">
        <v>196.6863282823948</v>
      </c>
      <c r="I10" s="16" t="n">
        <v>114156.7216443018</v>
      </c>
      <c r="J10" s="16" t="n">
        <v>127435.5</v>
      </c>
      <c r="K10" s="14" t="n">
        <v>19.94</v>
      </c>
      <c r="L10" s="14" t="n">
        <v>16.36587</v>
      </c>
      <c r="M10" s="17">
        <f>IF(OR(F10="",K10="",K10&lt;=0),"",F10/K10)</f>
        <v/>
      </c>
      <c r="N10" s="18" t="n">
        <v>3.715584</v>
      </c>
      <c r="O10" s="19">
        <f>IF(OR(N10="",M10="",M10&lt;=0),"",N10/M10)</f>
        <v/>
      </c>
      <c r="P10" s="20" t="n">
        <v>0.34943</v>
      </c>
      <c r="Q10" s="20" t="n">
        <v>0.2355508402188087</v>
      </c>
      <c r="R10" s="20" t="n">
        <v>0.128500392044818</v>
      </c>
      <c r="S10" s="21" t="n">
        <v>4</v>
      </c>
      <c r="T10" s="20" t="n"/>
      <c r="U10" s="20" t="n">
        <v>0.3729182468753092</v>
      </c>
      <c r="V10" s="20" t="n">
        <v>0.3313664960337619</v>
      </c>
      <c r="W10" s="20" t="n">
        <v>0.1924840952803669</v>
      </c>
      <c r="X10" s="20" t="n">
        <v>0.04543452268579699</v>
      </c>
      <c r="Y10" s="14" t="n">
        <v>0.4</v>
      </c>
      <c r="Z10" s="19">
        <f>IF(OR(Y10="",F10="",F10=0),"",Y10/F10)</f>
        <v/>
      </c>
      <c r="AA10" s="22" t="n">
        <v>24.428</v>
      </c>
      <c r="AB10" s="20" t="n">
        <v>0.073</v>
      </c>
      <c r="AC10" s="20" t="n">
        <v>0.1334481959902781</v>
      </c>
      <c r="AD10" s="17">
        <f>IF(OR(Q10="",M10="",M10&lt;=0),"",ROUND(40*MAX(0,MIN(N(Q10)/0.3,1))+IF(OR(R10="",N(Q10)&lt;=0),10,20*MAX(0,1-MIN(R10/Q10,1)))+30*MAX(0,MIN((PARAMETRI!$B$5-M10)/MAX(PARAMETRI!$B$5-10,1),1))+IF(AB10="",3,10*MAX(0,MIN(AB10/0.15,1)))+IF(AND(P10&lt;&gt;"",N(P10)&lt;N(Q10)*0.6),-8,0),1))</f>
        <v/>
      </c>
      <c r="AE10" s="13">
        <f>IF(AND(P10="",Q10=""),"DATI MANCANTI",IF(AND(N(P10)&gt;=PARAMETRI!$B$4,N(Q10)&gt;=PARAMETRI!$B$4),"OK","NO"))</f>
        <v/>
      </c>
      <c r="AF10" s="13">
        <f>IF(M10="","N/D",IF(M10&lt;PARAMETRI!$B$6,"OTTIMO",IF(M10&lt;PARAMETRI!$B$5,"OK","NO")))</f>
        <v/>
      </c>
      <c r="AG10" s="13">
        <f>IF(OR(AE10="DATI MANCANTI",AF10="N/D"),"DA COMPLETARE",IF(AND(AE10="OK",AF10="OTTIMO"),"PASSA FORTE",IF(AND(AE10="OK",AF10="OK"),"PASSA","SCARTA")))</f>
        <v/>
      </c>
      <c r="AH10" s="11" t="inlineStr">
        <is>
          <t>2026-10-12</t>
        </is>
      </c>
      <c r="AI10" s="11" t="inlineStr">
        <is>
          <t>yahoo</t>
        </is>
      </c>
      <c r="AJ10" s="23" t="inlineStr"/>
    </row>
    <row r="11">
      <c r="A11" s="10">
        <f>IF(AD11="","",RANK(AD11,AD$2:AD$167))</f>
        <v/>
      </c>
      <c r="B11" s="11" t="inlineStr">
        <is>
          <t>Alphabet</t>
        </is>
      </c>
      <c r="C11" s="12" t="inlineStr">
        <is>
          <t>GOOGL</t>
        </is>
      </c>
      <c r="D11" s="11" t="inlineStr">
        <is>
          <t>Internet / Cloud</t>
        </is>
      </c>
      <c r="E11" s="13" t="inlineStr">
        <is>
          <t>Tecnologia</t>
        </is>
      </c>
      <c r="F11" s="14" t="n">
        <v>352.235</v>
      </c>
      <c r="G11" s="15" t="inlineStr">
        <is>
          <t>USD</t>
        </is>
      </c>
      <c r="H11" s="14" t="n">
        <v>315.5321150572694</v>
      </c>
      <c r="I11" s="16" t="n">
        <v>3858937.11896027</v>
      </c>
      <c r="J11" s="16" t="n">
        <v>4307811</v>
      </c>
      <c r="K11" s="14" t="n">
        <v>19.93</v>
      </c>
      <c r="L11" s="14" t="n">
        <v>15.21313</v>
      </c>
      <c r="M11" s="17">
        <f>IF(OR(F11="",K11="",K11&lt;=0),"",F11/K11)</f>
        <v/>
      </c>
      <c r="N11" s="18" t="n">
        <v>6.920681</v>
      </c>
      <c r="O11" s="19">
        <f>IF(OR(N11="",M11="",M11&lt;=0),"",N11/M11)</f>
        <v/>
      </c>
      <c r="P11" s="20" t="n">
        <v>0.48676</v>
      </c>
      <c r="Q11" s="20" t="n">
        <v>0.280199841988681</v>
      </c>
      <c r="R11" s="20" t="n">
        <v>0.03440628523217517</v>
      </c>
      <c r="S11" s="21" t="n">
        <v>4</v>
      </c>
      <c r="T11" s="20" t="n"/>
      <c r="U11" s="20" t="n">
        <v>0.3182786895115167</v>
      </c>
      <c r="V11" s="20" t="n">
        <v>0.3079757847202569</v>
      </c>
      <c r="W11" s="20" t="n">
        <v>0.2604109690555758</v>
      </c>
      <c r="X11" s="20" t="n">
        <v>0.2341339246673746</v>
      </c>
      <c r="Y11" s="14" t="n">
        <v>0.88</v>
      </c>
      <c r="Z11" s="19">
        <f>IF(OR(Y11="",F11="",F11=0),"",Y11/F11)</f>
        <v/>
      </c>
      <c r="AA11" s="22" t="n">
        <v>18.859</v>
      </c>
      <c r="AB11" s="20" t="n">
        <v>0.242</v>
      </c>
      <c r="AC11" s="20" t="n">
        <v>0.6060009406905044</v>
      </c>
      <c r="AD11" s="17">
        <f>IF(OR(Q11="",M11="",M11&lt;=0),"",ROUND(40*MAX(0,MIN(N(Q11)/0.3,1))+IF(OR(R11="",N(Q11)&lt;=0),10,20*MAX(0,1-MIN(R11/Q11,1)))+30*MAX(0,MIN((PARAMETRI!$B$5-M11)/MAX(PARAMETRI!$B$5-10,1),1))+IF(AB11="",3,10*MAX(0,MIN(AB11/0.15,1)))+IF(AND(P11&lt;&gt;"",N(P11)&lt;N(Q11)*0.6),-8,0),1))</f>
        <v/>
      </c>
      <c r="AE11" s="13">
        <f>IF(AND(P11="",Q11=""),"DATI MANCANTI",IF(AND(N(P11)&gt;=PARAMETRI!$B$4,N(Q11)&gt;=PARAMETRI!$B$4),"OK","NO"))</f>
        <v/>
      </c>
      <c r="AF11" s="13">
        <f>IF(M11="","N/D",IF(M11&lt;PARAMETRI!$B$6,"OTTIMO",IF(M11&lt;PARAMETRI!$B$5,"OK","NO")))</f>
        <v/>
      </c>
      <c r="AG11" s="13">
        <f>IF(OR(AE11="DATI MANCANTI",AF11="N/D"),"DA COMPLETARE",IF(AND(AE11="OK",AF11="OTTIMO"),"PASSA FORTE",IF(AND(AE11="OK",AF11="OK"),"PASSA","SCARTA")))</f>
        <v/>
      </c>
      <c r="AH11" s="11" t="inlineStr">
        <is>
          <t>2026-10-12</t>
        </is>
      </c>
      <c r="AI11" s="11" t="inlineStr">
        <is>
          <t>yahoo</t>
        </is>
      </c>
      <c r="AJ11" s="23" t="inlineStr"/>
    </row>
    <row r="12">
      <c r="A12" s="10">
        <f>IF(AD12="","",RANK(AD12,AD$2:AD$167))</f>
        <v/>
      </c>
      <c r="B12" s="11" t="inlineStr">
        <is>
          <t>Target</t>
        </is>
      </c>
      <c r="C12" s="12" t="inlineStr">
        <is>
          <t>TGT</t>
        </is>
      </c>
      <c r="D12" s="11" t="inlineStr">
        <is>
          <t>Grande distribuzione</t>
        </is>
      </c>
      <c r="E12" s="13" t="inlineStr">
        <is>
          <t>Consumi</t>
        </is>
      </c>
      <c r="F12" s="14" t="n">
        <v>151.755</v>
      </c>
      <c r="G12" s="15" t="inlineStr">
        <is>
          <t>USD</t>
        </is>
      </c>
      <c r="H12" s="14" t="n">
        <v>135.9421298863427</v>
      </c>
      <c r="I12" s="16" t="n">
        <v>61757.3482026579</v>
      </c>
      <c r="J12" s="16" t="n">
        <v>68941</v>
      </c>
      <c r="K12" s="14" t="n">
        <v>9.630000000000001</v>
      </c>
      <c r="L12" s="14" t="n">
        <v>9.545249999999999</v>
      </c>
      <c r="M12" s="17">
        <f>IF(OR(F12="",K12="",K12&lt;=0),"",F12/K12)</f>
        <v/>
      </c>
      <c r="N12" s="18" t="n">
        <v>3.8637116</v>
      </c>
      <c r="O12" s="19">
        <f>IF(OR(N12="",M12="",M12&lt;=0),"",N12/M12)</f>
        <v/>
      </c>
      <c r="P12" s="20" t="n">
        <v>0.26408002</v>
      </c>
      <c r="Q12" s="20" t="n">
        <v>0.265930196598988</v>
      </c>
      <c r="R12" s="20" t="n">
        <v>0.03014032785235156</v>
      </c>
      <c r="S12" s="21" t="n">
        <v>4</v>
      </c>
      <c r="T12" s="20" t="n">
        <v>0.2291988864831426</v>
      </c>
      <c r="U12" s="20" t="n">
        <v>0.278944497477158</v>
      </c>
      <c r="V12" s="20" t="n">
        <v>0.3080702799285289</v>
      </c>
      <c r="W12" s="20" t="n">
        <v>0.2475071225071225</v>
      </c>
      <c r="X12" s="20" t="n"/>
      <c r="Y12" s="14" t="n">
        <v>4.64</v>
      </c>
      <c r="Z12" s="19">
        <f>IF(OR(Y12="",F12="",F12=0),"",Y12/F12)</f>
        <v/>
      </c>
      <c r="AA12" s="22" t="n">
        <v>107.583</v>
      </c>
      <c r="AB12" s="20" t="n">
        <v>0.053</v>
      </c>
      <c r="AC12" s="20" t="n">
        <v>0.04191639625882802</v>
      </c>
      <c r="AD12" s="17">
        <f>IF(OR(Q12="",M12="",M12&lt;=0),"",ROUND(40*MAX(0,MIN(N(Q12)/0.3,1))+IF(OR(R12="",N(Q12)&lt;=0),10,20*MAX(0,1-MIN(R12/Q12,1)))+30*MAX(0,MIN((PARAMETRI!$B$5-M12)/MAX(PARAMETRI!$B$5-10,1),1))+IF(AB12="",3,10*MAX(0,MIN(AB12/0.15,1)))+IF(AND(P12&lt;&gt;"",N(P12)&lt;N(Q12)*0.6),-8,0),1))</f>
        <v/>
      </c>
      <c r="AE12" s="13">
        <f>IF(AND(P12="",Q12=""),"DATI MANCANTI",IF(AND(N(P12)&gt;=PARAMETRI!$B$4,N(Q12)&gt;=PARAMETRI!$B$4),"OK","NO"))</f>
        <v/>
      </c>
      <c r="AF12" s="13">
        <f>IF(M12="","N/D",IF(M12&lt;PARAMETRI!$B$6,"OTTIMO",IF(M12&lt;PARAMETRI!$B$5,"OK","NO")))</f>
        <v/>
      </c>
      <c r="AG12" s="13">
        <f>IF(OR(AE12="DATI MANCANTI",AF12="N/D"),"DA COMPLETARE",IF(AND(AE12="OK",AF12="OTTIMO"),"PASSA FORTE",IF(AND(AE12="OK",AF12="OK"),"PASSA","SCARTA")))</f>
        <v/>
      </c>
      <c r="AH12" s="11" t="inlineStr">
        <is>
          <t>2026-10-12</t>
        </is>
      </c>
      <c r="AI12" s="11" t="inlineStr">
        <is>
          <t>yahoo</t>
        </is>
      </c>
      <c r="AJ12" s="23" t="inlineStr"/>
    </row>
    <row r="13">
      <c r="A13" s="10">
        <f>IF(AD13="","",RANK(AD13,AD$2:AD$167))</f>
        <v/>
      </c>
      <c r="B13" s="11" t="inlineStr">
        <is>
          <t>Microsoft</t>
        </is>
      </c>
      <c r="C13" s="12" t="inlineStr">
        <is>
          <t>MSFT</t>
        </is>
      </c>
      <c r="D13" s="11" t="inlineStr">
        <is>
          <t>Software / Cloud</t>
        </is>
      </c>
      <c r="E13" s="13" t="inlineStr">
        <is>
          <t>Tecnologia</t>
        </is>
      </c>
      <c r="F13" s="14" t="n">
        <v>539.965</v>
      </c>
      <c r="G13" s="15" t="inlineStr">
        <is>
          <t>USD</t>
        </is>
      </c>
      <c r="H13" s="14" t="n">
        <v>483.7006501537282</v>
      </c>
      <c r="I13" s="16" t="n">
        <v>3591741.386838153</v>
      </c>
      <c r="J13" s="16" t="n">
        <v>4009534.9</v>
      </c>
      <c r="K13" s="14" t="n">
        <v>17.95</v>
      </c>
      <c r="L13" s="14" t="n">
        <v>23.67732</v>
      </c>
      <c r="M13" s="17">
        <f>IF(OR(F13="",K13="",K13&lt;=0),"",F13/K13)</f>
        <v/>
      </c>
      <c r="N13" s="18" t="n">
        <v>9.06514</v>
      </c>
      <c r="O13" s="19">
        <f>IF(OR(N13="",M13="",M13&lt;=0),"",N13/M13)</f>
        <v/>
      </c>
      <c r="P13" s="20" t="n">
        <v>0.34039003</v>
      </c>
      <c r="Q13" s="20" t="n">
        <v>0.3194939082909419</v>
      </c>
      <c r="R13" s="20" t="n">
        <v>0.0217208688577156</v>
      </c>
      <c r="S13" s="21" t="n">
        <v>4</v>
      </c>
      <c r="T13" s="20" t="n">
        <v>0.30233483352811</v>
      </c>
      <c r="U13" s="20" t="n">
        <v>0.2964722734140952</v>
      </c>
      <c r="V13" s="20" t="n">
        <v>0.3282813797829982</v>
      </c>
      <c r="W13" s="20" t="n">
        <v>0.3508871464385641</v>
      </c>
      <c r="X13" s="20" t="n"/>
      <c r="Y13" s="14" t="n">
        <v>3.92</v>
      </c>
      <c r="Z13" s="19">
        <f>IF(OR(Y13="",F13="",F13=0),"",Y13/F13)</f>
        <v/>
      </c>
      <c r="AA13" s="22" t="n">
        <v>29.118</v>
      </c>
      <c r="AB13" s="20" t="n">
        <v>0.177</v>
      </c>
      <c r="AC13" s="20" t="n">
        <v>0.403053884998448</v>
      </c>
      <c r="AD13" s="17">
        <f>IF(OR(Q13="",M13="",M13&lt;=0),"",ROUND(40*MAX(0,MIN(N(Q13)/0.3,1))+IF(OR(R13="",N(Q13)&lt;=0),10,20*MAX(0,1-MIN(R13/Q13,1)))+30*MAX(0,MIN((PARAMETRI!$B$5-M13)/MAX(PARAMETRI!$B$5-10,1),1))+IF(AB13="",3,10*MAX(0,MIN(AB13/0.15,1)))+IF(AND(P13&lt;&gt;"",N(P13)&lt;N(Q13)*0.6),-8,0),1))</f>
        <v/>
      </c>
      <c r="AE13" s="13">
        <f>IF(AND(P13="",Q13=""),"DATI MANCANTI",IF(AND(N(P13)&gt;=PARAMETRI!$B$4,N(Q13)&gt;=PARAMETRI!$B$4),"OK","NO"))</f>
        <v/>
      </c>
      <c r="AF13" s="13">
        <f>IF(M13="","N/D",IF(M13&lt;PARAMETRI!$B$6,"OTTIMO",IF(M13&lt;PARAMETRI!$B$5,"OK","NO")))</f>
        <v/>
      </c>
      <c r="AG13" s="13">
        <f>IF(OR(AE13="DATI MANCANTI",AF13="N/D"),"DA COMPLETARE",IF(AND(AE13="OK",AF13="OTTIMO"),"PASSA FORTE",IF(AND(AE13="OK",AF13="OK"),"PASSA","SCARTA")))</f>
        <v/>
      </c>
      <c r="AH13" s="11" t="inlineStr">
        <is>
          <t>2026-10-12</t>
        </is>
      </c>
      <c r="AI13" s="11" t="inlineStr">
        <is>
          <t>yahoo</t>
        </is>
      </c>
      <c r="AJ13" s="23" t="inlineStr"/>
    </row>
    <row r="14">
      <c r="A14" s="10">
        <f>IF(AD14="","",RANK(AD14,AD$2:AD$167))</f>
        <v/>
      </c>
      <c r="B14" s="11" t="inlineStr">
        <is>
          <t>Moody's</t>
        </is>
      </c>
      <c r="C14" s="12" t="inlineStr">
        <is>
          <t>MCO</t>
        </is>
      </c>
      <c r="D14" s="11" t="inlineStr">
        <is>
          <t>Dati e rating</t>
        </is>
      </c>
      <c r="E14" s="13" t="inlineStr">
        <is>
          <t>Finanziario</t>
        </is>
      </c>
      <c r="F14" s="14" t="n">
        <v>470.815</v>
      </c>
      <c r="G14" s="15" t="inlineStr">
        <is>
          <t>USD</t>
        </is>
      </c>
      <c r="H14" s="14" t="n">
        <v>421.7560797498496</v>
      </c>
      <c r="I14" s="16" t="n">
        <v>73040.12843622162</v>
      </c>
      <c r="J14" s="16" t="n">
        <v>81536.2</v>
      </c>
      <c r="K14" s="14" t="n">
        <v>15.76</v>
      </c>
      <c r="L14" s="14" t="n">
        <v>18.9289</v>
      </c>
      <c r="M14" s="17">
        <f>IF(OR(F14="",K14="",K14&lt;=0),"",F14/K14)</f>
        <v/>
      </c>
      <c r="N14" s="18" t="n">
        <v>26.954544</v>
      </c>
      <c r="O14" s="19">
        <f>IF(OR(N14="",M14="",M14&lt;=0),"",N14/M14)</f>
        <v/>
      </c>
      <c r="P14" s="20" t="n">
        <v>0.76932</v>
      </c>
      <c r="Q14" s="20" t="n">
        <v>0.5534057442590806</v>
      </c>
      <c r="R14" s="20" t="n">
        <v>0.04536086460562505</v>
      </c>
      <c r="S14" s="21" t="n">
        <v>4</v>
      </c>
      <c r="T14" s="20" t="n"/>
      <c r="U14" s="20" t="n">
        <v>0.6065614208189443</v>
      </c>
      <c r="V14" s="20" t="n">
        <v>0.5772791023842917</v>
      </c>
      <c r="W14" s="20" t="n">
        <v>0.4843279083785413</v>
      </c>
      <c r="X14" s="20" t="n">
        <v>0.5454545454545454</v>
      </c>
      <c r="Y14" s="14" t="n">
        <v>4.12</v>
      </c>
      <c r="Z14" s="19">
        <f>IF(OR(Y14="",F14="",F14=0),"",Y14/F14)</f>
        <v/>
      </c>
      <c r="AA14" s="22" t="n">
        <v>240.682</v>
      </c>
      <c r="AB14" s="20" t="n">
        <v>0.151</v>
      </c>
      <c r="AC14" s="20" t="n">
        <v>0.3621404591863177</v>
      </c>
      <c r="AD14" s="17">
        <f>IF(OR(Q14="",M14="",M14&lt;=0),"",ROUND(40*MAX(0,MIN(N(Q14)/0.3,1))+IF(OR(R14="",N(Q14)&lt;=0),10,20*MAX(0,1-MIN(R14/Q14,1)))+30*MAX(0,MIN((PARAMETRI!$B$5-M14)/MAX(PARAMETRI!$B$5-10,1),1))+IF(AB14="",3,10*MAX(0,MIN(AB14/0.15,1)))+IF(AND(P14&lt;&gt;"",N(P14)&lt;N(Q14)*0.6),-8,0),1))</f>
        <v/>
      </c>
      <c r="AE14" s="13">
        <f>IF(AND(P14="",Q14=""),"DATI MANCANTI",IF(AND(N(P14)&gt;=PARAMETRI!$B$4,N(Q14)&gt;=PARAMETRI!$B$4),"OK","NO"))</f>
        <v/>
      </c>
      <c r="AF14" s="13">
        <f>IF(M14="","N/D",IF(M14&lt;PARAMETRI!$B$6,"OTTIMO",IF(M14&lt;PARAMETRI!$B$5,"OK","NO")))</f>
        <v/>
      </c>
      <c r="AG14" s="13">
        <f>IF(OR(AE14="DATI MANCANTI",AF14="N/D"),"DA COMPLETARE",IF(AND(AE14="OK",AF14="OTTIMO"),"PASSA FORTE",IF(AND(AE14="OK",AF14="OK"),"PASSA","SCARTA")))</f>
        <v/>
      </c>
      <c r="AH14" s="11" t="inlineStr">
        <is>
          <t>2026-10-12</t>
        </is>
      </c>
      <c r="AI14" s="11" t="inlineStr">
        <is>
          <t>yahoo</t>
        </is>
      </c>
      <c r="AJ14" s="23" t="inlineStr"/>
    </row>
    <row r="15">
      <c r="A15" s="10">
        <f>IF(AD15="","",RANK(AD15,AD$2:AD$167))</f>
        <v/>
      </c>
      <c r="B15" s="11" t="inlineStr">
        <is>
          <t>Lam Research</t>
        </is>
      </c>
      <c r="C15" s="12" t="inlineStr">
        <is>
          <t>LRCX</t>
        </is>
      </c>
      <c r="D15" s="11" t="inlineStr">
        <is>
          <t>Apparecchiature semicond.</t>
        </is>
      </c>
      <c r="E15" s="13" t="inlineStr">
        <is>
          <t>Tecnologia</t>
        </is>
      </c>
      <c r="F15" s="14" t="n">
        <v>310.655</v>
      </c>
      <c r="G15" s="15" t="inlineStr">
        <is>
          <t>USD</t>
        </is>
      </c>
      <c r="H15" s="14" t="n">
        <v>278.2847508144165</v>
      </c>
      <c r="I15" s="16" t="n">
        <v>348252.3748106054</v>
      </c>
      <c r="J15" s="16" t="n">
        <v>388761.3</v>
      </c>
      <c r="K15" s="14" t="n">
        <v>5.76</v>
      </c>
      <c r="L15" s="14" t="n">
        <v>11.76415</v>
      </c>
      <c r="M15" s="17">
        <f>IF(OR(F15="",K15="",K15&lt;=0),"",F15/K15)</f>
        <v/>
      </c>
      <c r="N15" s="18" t="n">
        <v>31.168356</v>
      </c>
      <c r="O15" s="19">
        <f>IF(OR(N15="",M15="",M15&lt;=0),"",N15/M15)</f>
        <v/>
      </c>
      <c r="P15" s="20" t="n">
        <v>0.65066004</v>
      </c>
      <c r="Q15" s="20" t="n">
        <v>0.5309012392377671</v>
      </c>
      <c r="R15" s="20" t="n">
        <v>0.05000376314785111</v>
      </c>
      <c r="S15" s="21" t="n">
        <v>4</v>
      </c>
      <c r="T15" s="20" t="n">
        <v>0.5825869637054072</v>
      </c>
      <c r="U15" s="20" t="n">
        <v>0.5433405001754783</v>
      </c>
      <c r="V15" s="20" t="n">
        <v>0.4482455201468384</v>
      </c>
      <c r="W15" s="20" t="n">
        <v>0.5494319729233443</v>
      </c>
      <c r="X15" s="20" t="n">
        <v>0.7335166506699354</v>
      </c>
      <c r="Y15" s="14" t="n">
        <v>1.32</v>
      </c>
      <c r="Z15" s="19">
        <f>IF(OR(Y15="",F15="",F15=0),"",Y15/F15)</f>
        <v/>
      </c>
      <c r="AA15" s="22" t="n">
        <v>33.049</v>
      </c>
      <c r="AB15" s="20" t="n">
        <v>0.3</v>
      </c>
      <c r="AC15" s="20" t="n">
        <v>0.3127229874801411</v>
      </c>
      <c r="AD15" s="17">
        <f>IF(OR(Q15="",M15="",M15&lt;=0),"",ROUND(40*MAX(0,MIN(N(Q15)/0.3,1))+IF(OR(R15="",N(Q15)&lt;=0),10,20*MAX(0,1-MIN(R15/Q15,1)))+30*MAX(0,MIN((PARAMETRI!$B$5-M15)/MAX(PARAMETRI!$B$5-10,1),1))+IF(AB15="",3,10*MAX(0,MIN(AB15/0.15,1)))+IF(AND(P15&lt;&gt;"",N(P15)&lt;N(Q15)*0.6),-8,0),1))</f>
        <v/>
      </c>
      <c r="AE15" s="13">
        <f>IF(AND(P15="",Q15=""),"DATI MANCANTI",IF(AND(N(P15)&gt;=PARAMETRI!$B$4,N(Q15)&gt;=PARAMETRI!$B$4),"OK","NO"))</f>
        <v/>
      </c>
      <c r="AF15" s="13">
        <f>IF(M15="","N/D",IF(M15&lt;PARAMETRI!$B$6,"OTTIMO",IF(M15&lt;PARAMETRI!$B$5,"OK","NO")))</f>
        <v/>
      </c>
      <c r="AG15" s="13">
        <f>IF(OR(AE15="DATI MANCANTI",AF15="N/D"),"DA COMPLETARE",IF(AND(AE15="OK",AF15="OTTIMO"),"PASSA FORTE",IF(AND(AE15="OK",AF15="OK"),"PASSA","SCARTA")))</f>
        <v/>
      </c>
      <c r="AH15" s="11" t="inlineStr">
        <is>
          <t>2026-10-12</t>
        </is>
      </c>
      <c r="AI15" s="11" t="inlineStr">
        <is>
          <t>yahoo</t>
        </is>
      </c>
      <c r="AJ15" s="23" t="inlineStr"/>
    </row>
    <row r="16">
      <c r="A16" s="10">
        <f>IF(AD16="","",RANK(AD16,AD$2:AD$167))</f>
        <v/>
      </c>
      <c r="B16" s="11" t="inlineStr">
        <is>
          <t>Apple</t>
        </is>
      </c>
      <c r="C16" s="12" t="inlineStr">
        <is>
          <t>AAPL</t>
        </is>
      </c>
      <c r="D16" s="11" t="inlineStr">
        <is>
          <t>Hardware / Consumer tech</t>
        </is>
      </c>
      <c r="E16" s="13" t="inlineStr">
        <is>
          <t>Tecnologia</t>
        </is>
      </c>
      <c r="F16" s="14" t="n">
        <v>339.97</v>
      </c>
      <c r="G16" s="15" t="inlineStr">
        <is>
          <t>USD</t>
        </is>
      </c>
      <c r="H16" s="14" t="n">
        <v>304.5451279856342</v>
      </c>
      <c r="I16" s="16" t="n">
        <v>4444586.259538702</v>
      </c>
      <c r="J16" s="16" t="n">
        <v>4961583.2</v>
      </c>
      <c r="K16" s="14" t="n">
        <v>8.720000000000001</v>
      </c>
      <c r="L16" s="14" t="n">
        <v>9.587680000000001</v>
      </c>
      <c r="M16" s="17">
        <f>IF(OR(F16="",K16="",K16&lt;=0),"",F16/K16)</f>
        <v/>
      </c>
      <c r="N16" s="18" t="n">
        <v>46.191574</v>
      </c>
      <c r="O16" s="19">
        <f>IF(OR(N16="",M16="",M16&lt;=0),"",N16/M16)</f>
        <v/>
      </c>
      <c r="P16" s="20" t="n">
        <v>1.4875101</v>
      </c>
      <c r="Q16" s="20" t="n">
        <v>1.673853434253124</v>
      </c>
      <c r="R16" s="20" t="n">
        <v>0.1767542683955699</v>
      </c>
      <c r="S16" s="21" t="n">
        <v>4</v>
      </c>
      <c r="T16" s="20" t="n"/>
      <c r="U16" s="20" t="n">
        <v>1.519129833317511</v>
      </c>
      <c r="V16" s="20" t="n">
        <v>1.64593503072871</v>
      </c>
      <c r="W16" s="20" t="n">
        <v>1.560760145463908</v>
      </c>
      <c r="X16" s="20" t="n">
        <v>1.969588727502368</v>
      </c>
      <c r="Y16" s="14" t="n">
        <v>1.08</v>
      </c>
      <c r="Z16" s="19">
        <f>IF(OR(Y16="",F16="",F16=0),"",Y16/F16)</f>
        <v/>
      </c>
      <c r="AA16" s="22" t="n">
        <v>78.44499999999999</v>
      </c>
      <c r="AB16" s="20" t="n">
        <v>0.164</v>
      </c>
      <c r="AC16" s="20" t="n">
        <v>0.3098079752787983</v>
      </c>
      <c r="AD16" s="17">
        <f>IF(OR(Q16="",M16="",M16&lt;=0),"",ROUND(40*MAX(0,MIN(N(Q16)/0.3,1))+IF(OR(R16="",N(Q16)&lt;=0),10,20*MAX(0,1-MIN(R16/Q16,1)))+30*MAX(0,MIN((PARAMETRI!$B$5-M16)/MAX(PARAMETRI!$B$5-10,1),1))+IF(AB16="",3,10*MAX(0,MIN(AB16/0.15,1)))+IF(AND(P16&lt;&gt;"",N(P16)&lt;N(Q16)*0.6),-8,0),1))</f>
        <v/>
      </c>
      <c r="AE16" s="13">
        <f>IF(AND(P16="",Q16=""),"DATI MANCANTI",IF(AND(N(P16)&gt;=PARAMETRI!$B$4,N(Q16)&gt;=PARAMETRI!$B$4),"OK","NO"))</f>
        <v/>
      </c>
      <c r="AF16" s="13">
        <f>IF(M16="","N/D",IF(M16&lt;PARAMETRI!$B$6,"OTTIMO",IF(M16&lt;PARAMETRI!$B$5,"OK","NO")))</f>
        <v/>
      </c>
      <c r="AG16" s="13">
        <f>IF(OR(AE16="DATI MANCANTI",AF16="N/D"),"DA COMPLETARE",IF(AND(AE16="OK",AF16="OTTIMO"),"PASSA FORTE",IF(AND(AE16="OK",AF16="OK"),"PASSA","SCARTA")))</f>
        <v/>
      </c>
      <c r="AH16" s="11" t="inlineStr">
        <is>
          <t>2026-10-12</t>
        </is>
      </c>
      <c r="AI16" s="11" t="inlineStr">
        <is>
          <t>yahoo</t>
        </is>
      </c>
      <c r="AJ16" s="23" t="inlineStr"/>
    </row>
    <row r="17">
      <c r="A17" s="10">
        <f>IF(AD17="","",RANK(AD17,AD$2:AD$167))</f>
        <v/>
      </c>
      <c r="B17" s="11" t="inlineStr">
        <is>
          <t>Visa</t>
        </is>
      </c>
      <c r="C17" s="12" t="inlineStr">
        <is>
          <t>V</t>
        </is>
      </c>
      <c r="D17" s="11" t="inlineStr">
        <is>
          <t>Pagamenti</t>
        </is>
      </c>
      <c r="E17" s="13" t="inlineStr">
        <is>
          <t>Finanziario</t>
        </is>
      </c>
      <c r="F17" s="14" t="n">
        <v>391.23</v>
      </c>
      <c r="G17" s="15" t="inlineStr">
        <is>
          <t>USD</t>
        </is>
      </c>
      <c r="H17" s="14" t="n">
        <v>350.4638362850242</v>
      </c>
      <c r="I17" s="16" t="n">
        <v>657945.1279498021</v>
      </c>
      <c r="J17" s="16" t="n">
        <v>734477.7</v>
      </c>
      <c r="K17" s="14" t="n">
        <v>11.75</v>
      </c>
      <c r="L17" s="14" t="n">
        <v>15.00256</v>
      </c>
      <c r="M17" s="17">
        <f>IF(OR(F17="",K17="",K17&lt;=0),"",F17/K17)</f>
        <v/>
      </c>
      <c r="N17" s="18" t="n">
        <v>20.732908</v>
      </c>
      <c r="O17" s="19">
        <f>IF(OR(N17="",M17="",M17&lt;=0),"",N17/M17)</f>
        <v/>
      </c>
      <c r="P17" s="20" t="n">
        <v>0.6119</v>
      </c>
      <c r="Q17" s="20" t="n">
        <v>0.4749707904577081</v>
      </c>
      <c r="R17" s="20" t="n">
        <v>0.0436591756067068</v>
      </c>
      <c r="S17" s="21" t="n">
        <v>4</v>
      </c>
      <c r="T17" s="20" t="n"/>
      <c r="U17" s="20" t="n">
        <v>0.5291091825160252</v>
      </c>
      <c r="V17" s="20" t="n">
        <v>0.504458696374275</v>
      </c>
      <c r="W17" s="20" t="n">
        <v>0.445950481501562</v>
      </c>
      <c r="X17" s="20" t="n">
        <v>0.4203648014389703</v>
      </c>
      <c r="Y17" s="14" t="n">
        <v>2.68</v>
      </c>
      <c r="Z17" s="19">
        <f>IF(OR(Y17="",F17="",F17=0),"",Y17/F17)</f>
        <v/>
      </c>
      <c r="AA17" s="22" t="n">
        <v>67.821</v>
      </c>
      <c r="AB17" s="20" t="n">
        <v>0.144</v>
      </c>
      <c r="AC17" s="20" t="n">
        <v>0.5599499776</v>
      </c>
      <c r="AD17" s="17">
        <f>IF(OR(Q17="",M17="",M17&lt;=0),"",ROUND(40*MAX(0,MIN(N(Q17)/0.3,1))+IF(OR(R17="",N(Q17)&lt;=0),10,20*MAX(0,1-MIN(R17/Q17,1)))+30*MAX(0,MIN((PARAMETRI!$B$5-M17)/MAX(PARAMETRI!$B$5-10,1),1))+IF(AB17="",3,10*MAX(0,MIN(AB17/0.15,1)))+IF(AND(P17&lt;&gt;"",N(P17)&lt;N(Q17)*0.6),-8,0),1))</f>
        <v/>
      </c>
      <c r="AE17" s="13">
        <f>IF(AND(P17="",Q17=""),"DATI MANCANTI",IF(AND(N(P17)&gt;=PARAMETRI!$B$4,N(Q17)&gt;=PARAMETRI!$B$4),"OK","NO"))</f>
        <v/>
      </c>
      <c r="AF17" s="13">
        <f>IF(M17="","N/D",IF(M17&lt;PARAMETRI!$B$6,"OTTIMO",IF(M17&lt;PARAMETRI!$B$5,"OK","NO")))</f>
        <v/>
      </c>
      <c r="AG17" s="13">
        <f>IF(OR(AE17="DATI MANCANTI",AF17="N/D"),"DA COMPLETARE",IF(AND(AE17="OK",AF17="OTTIMO"),"PASSA FORTE",IF(AND(AE17="OK",AF17="OK"),"PASSA","SCARTA")))</f>
        <v/>
      </c>
      <c r="AH17" s="11" t="inlineStr">
        <is>
          <t>2026-10-12</t>
        </is>
      </c>
      <c r="AI17" s="11" t="inlineStr">
        <is>
          <t>yahoo</t>
        </is>
      </c>
      <c r="AJ17" s="23" t="inlineStr"/>
    </row>
    <row r="18">
      <c r="A18" s="10">
        <f>IF(AD18="","",RANK(AD18,AD$2:AD$167))</f>
        <v/>
      </c>
      <c r="B18" s="11" t="inlineStr">
        <is>
          <t>United Parcel Service</t>
        </is>
      </c>
      <c r="C18" s="12" t="inlineStr">
        <is>
          <t>UPS</t>
        </is>
      </c>
      <c r="D18" s="11" t="inlineStr">
        <is>
          <t>Logistica</t>
        </is>
      </c>
      <c r="E18" s="13" t="inlineStr">
        <is>
          <t>Industriale</t>
        </is>
      </c>
      <c r="F18" s="14" t="n">
        <v>94.55500000000001</v>
      </c>
      <c r="G18" s="15" t="inlineStr">
        <is>
          <t>USD</t>
        </is>
      </c>
      <c r="H18" s="14" t="n">
        <v>84.70236955225944</v>
      </c>
      <c r="I18" s="16" t="n">
        <v>72063.25852985244</v>
      </c>
      <c r="J18" s="16" t="n">
        <v>80445.7</v>
      </c>
      <c r="K18" s="14" t="n">
        <v>5.38</v>
      </c>
      <c r="L18" s="14" t="n">
        <v>8.05997</v>
      </c>
      <c r="M18" s="17">
        <f>IF(OR(F18="",K18="",K18&lt;=0),"",F18/K18)</f>
        <v/>
      </c>
      <c r="N18" s="18" t="n">
        <v>5.340582</v>
      </c>
      <c r="O18" s="19">
        <f>IF(OR(N18="",M18="",M18&lt;=0),"",N18/M18)</f>
        <v/>
      </c>
      <c r="P18" s="20" t="n">
        <v>0.29602</v>
      </c>
      <c r="Q18" s="20" t="n">
        <v>0.4151223305037616</v>
      </c>
      <c r="R18" s="20" t="n">
        <v>0.09887106435484694</v>
      </c>
      <c r="S18" s="21" t="n">
        <v>4</v>
      </c>
      <c r="T18" s="20" t="n"/>
      <c r="U18" s="20" t="n">
        <v>0.3433783200838109</v>
      </c>
      <c r="V18" s="20" t="n">
        <v>0.3458547673166646</v>
      </c>
      <c r="W18" s="20" t="n">
        <v>0.3876112330983474</v>
      </c>
      <c r="X18" s="20" t="n">
        <v>0.5836450015162236</v>
      </c>
      <c r="Y18" s="14" t="n">
        <v>6.56</v>
      </c>
      <c r="Z18" s="19">
        <f>IF(OR(Y18="",F18="",F18=0),"",Y18/F18)</f>
        <v/>
      </c>
      <c r="AA18" s="22" t="n">
        <v>189.9</v>
      </c>
      <c r="AB18" s="20" t="n">
        <v>0.076</v>
      </c>
      <c r="AC18" s="20" t="n">
        <v>0.05154464614655824</v>
      </c>
      <c r="AD18" s="17">
        <f>IF(OR(Q18="",M18="",M18&lt;=0),"",ROUND(40*MAX(0,MIN(N(Q18)/0.3,1))+IF(OR(R18="",N(Q18)&lt;=0),10,20*MAX(0,1-MIN(R18/Q18,1)))+30*MAX(0,MIN((PARAMETRI!$B$5-M18)/MAX(PARAMETRI!$B$5-10,1),1))+IF(AB18="",3,10*MAX(0,MIN(AB18/0.15,1)))+IF(AND(P18&lt;&gt;"",N(P18)&lt;N(Q18)*0.6),-8,0),1))</f>
        <v/>
      </c>
      <c r="AE18" s="13">
        <f>IF(AND(P18="",Q18=""),"DATI MANCANTI",IF(AND(N(P18)&gt;=PARAMETRI!$B$4,N(Q18)&gt;=PARAMETRI!$B$4),"OK","NO"))</f>
        <v/>
      </c>
      <c r="AF18" s="13">
        <f>IF(M18="","N/D",IF(M18&lt;PARAMETRI!$B$6,"OTTIMO",IF(M18&lt;PARAMETRI!$B$5,"OK","NO")))</f>
        <v/>
      </c>
      <c r="AG18" s="13">
        <f>IF(OR(AE18="DATI MANCANTI",AF18="N/D"),"DA COMPLETARE",IF(AND(AE18="OK",AF18="OTTIMO"),"PASSA FORTE",IF(AND(AE18="OK",AF18="OK"),"PASSA","SCARTA")))</f>
        <v/>
      </c>
      <c r="AH18" s="11" t="inlineStr">
        <is>
          <t>2026-10-12</t>
        </is>
      </c>
      <c r="AI18" s="11" t="inlineStr">
        <is>
          <t>yahoo</t>
        </is>
      </c>
      <c r="AJ18" s="23" t="inlineStr"/>
    </row>
    <row r="19">
      <c r="A19" s="10">
        <f>IF(AD19="","",RANK(AD19,AD$2:AD$167))</f>
        <v/>
      </c>
      <c r="B19" s="11" t="inlineStr">
        <is>
          <t>Arista Networks</t>
        </is>
      </c>
      <c r="C19" s="12" t="inlineStr">
        <is>
          <t>ANET</t>
        </is>
      </c>
      <c r="D19" s="11" t="inlineStr">
        <is>
          <t>Reti</t>
        </is>
      </c>
      <c r="E19" s="13" t="inlineStr">
        <is>
          <t>Tecnologia</t>
        </is>
      </c>
      <c r="F19" s="14" t="n">
        <v>212.44</v>
      </c>
      <c r="G19" s="15" t="inlineStr">
        <is>
          <t>USD</t>
        </is>
      </c>
      <c r="H19" s="14" t="n">
        <v>190.3037532407805</v>
      </c>
      <c r="I19" s="16" t="n">
        <v>240015.8162449031</v>
      </c>
      <c r="J19" s="16" t="n">
        <v>267934.6</v>
      </c>
      <c r="K19" s="14" t="n">
        <v>3.17</v>
      </c>
      <c r="L19" s="14" t="n">
        <v>5.21686</v>
      </c>
      <c r="M19" s="17">
        <f>IF(OR(F19="",K19="",K19&lt;=0),"",F19/K19)</f>
        <v/>
      </c>
      <c r="N19" s="18" t="n">
        <v>18.106197</v>
      </c>
      <c r="O19" s="19">
        <f>IF(OR(N19="",M19="",M19&lt;=0),"",N19/M19)</f>
        <v/>
      </c>
      <c r="P19" s="20" t="n">
        <v>0.31476</v>
      </c>
      <c r="Q19" s="20" t="n">
        <v>0.283789737682183</v>
      </c>
      <c r="R19" s="20" t="n">
        <v>0.00446577937764146</v>
      </c>
      <c r="S19" s="21" t="n">
        <v>4</v>
      </c>
      <c r="T19" s="20" t="n"/>
      <c r="U19" s="20" t="n">
        <v>0.2838527141182652</v>
      </c>
      <c r="V19" s="20" t="n">
        <v>0.2853583863609077</v>
      </c>
      <c r="W19" s="20" t="n">
        <v>0.2891374069667529</v>
      </c>
      <c r="X19" s="20" t="n">
        <v>0.2768104432828062</v>
      </c>
      <c r="Y19" s="14" t="n"/>
      <c r="Z19" s="19">
        <f>IF(OR(Y19="",F19="",F19=0),"",Y19/F19)</f>
        <v/>
      </c>
      <c r="AA19" s="22" t="n"/>
      <c r="AB19" s="20" t="n">
        <v>0.377</v>
      </c>
      <c r="AC19" s="20" t="n">
        <v>0.4491155672518516</v>
      </c>
      <c r="AD19" s="17">
        <f>IF(OR(Q19="",M19="",M19&lt;=0),"",ROUND(40*MAX(0,MIN(N(Q19)/0.3,1))+IF(OR(R19="",N(Q19)&lt;=0),10,20*MAX(0,1-MIN(R19/Q19,1)))+30*MAX(0,MIN((PARAMETRI!$B$5-M19)/MAX(PARAMETRI!$B$5-10,1),1))+IF(AB19="",3,10*MAX(0,MIN(AB19/0.15,1)))+IF(AND(P19&lt;&gt;"",N(P19)&lt;N(Q19)*0.6),-8,0),1))</f>
        <v/>
      </c>
      <c r="AE19" s="13">
        <f>IF(AND(P19="",Q19=""),"DATI MANCANTI",IF(AND(N(P19)&gt;=PARAMETRI!$B$4,N(Q19)&gt;=PARAMETRI!$B$4),"OK","NO"))</f>
        <v/>
      </c>
      <c r="AF19" s="13">
        <f>IF(M19="","N/D",IF(M19&lt;PARAMETRI!$B$6,"OTTIMO",IF(M19&lt;PARAMETRI!$B$5,"OK","NO")))</f>
        <v/>
      </c>
      <c r="AG19" s="13">
        <f>IF(OR(AE19="DATI MANCANTI",AF19="N/D"),"DA COMPLETARE",IF(AND(AE19="OK",AF19="OTTIMO"),"PASSA FORTE",IF(AND(AE19="OK",AF19="OK"),"PASSA","SCARTA")))</f>
        <v/>
      </c>
      <c r="AH19" s="11" t="inlineStr">
        <is>
          <t>2026-10-12</t>
        </is>
      </c>
      <c r="AI19" s="11" t="inlineStr">
        <is>
          <t>yahoo</t>
        </is>
      </c>
      <c r="AJ19" s="23" t="inlineStr"/>
    </row>
    <row r="20">
      <c r="A20" s="10">
        <f>IF(AD20="","",RANK(AD20,AD$2:AD$167))</f>
        <v/>
      </c>
      <c r="B20" s="11" t="inlineStr">
        <is>
          <t>Caterpillar</t>
        </is>
      </c>
      <c r="C20" s="12" t="inlineStr">
        <is>
          <t>CAT</t>
        </is>
      </c>
      <c r="D20" s="11" t="inlineStr">
        <is>
          <t>Macchine movimento terra</t>
        </is>
      </c>
      <c r="E20" s="13" t="inlineStr">
        <is>
          <t>Industriale</t>
        </is>
      </c>
      <c r="F20" s="14" t="n">
        <v>806.98</v>
      </c>
      <c r="G20" s="15" t="inlineStr">
        <is>
          <t>USD</t>
        </is>
      </c>
      <c r="H20" s="14" t="n">
        <v>722.8926887132602</v>
      </c>
      <c r="I20" s="16" t="n">
        <v>332295.5788865671</v>
      </c>
      <c r="J20" s="16" t="n">
        <v>370948.4</v>
      </c>
      <c r="K20" s="14" t="n">
        <v>23.23</v>
      </c>
      <c r="L20" s="14" t="n">
        <v>32.41743</v>
      </c>
      <c r="M20" s="17">
        <f>IF(OR(F20="",K20="",K20&lt;=0),"",F20/K20)</f>
        <v/>
      </c>
      <c r="N20" s="18" t="n">
        <v>19.125921</v>
      </c>
      <c r="O20" s="19">
        <f>IF(OR(N20="",M20="",M20&lt;=0),"",N20/M20)</f>
        <v/>
      </c>
      <c r="P20" s="20" t="n">
        <v>0.56972003</v>
      </c>
      <c r="Q20" s="20" t="n">
        <v>0.4807783755577582</v>
      </c>
      <c r="R20" s="20" t="n">
        <v>0.06174601377681064</v>
      </c>
      <c r="S20" s="21" t="n">
        <v>4</v>
      </c>
      <c r="T20" s="20" t="n"/>
      <c r="U20" s="20" t="n">
        <v>0.4167370297401257</v>
      </c>
      <c r="V20" s="20" t="n">
        <v>0.5536914473346672</v>
      </c>
      <c r="W20" s="20" t="n">
        <v>0.5301631271160357</v>
      </c>
      <c r="X20" s="20" t="n">
        <v>0.4225218980402042</v>
      </c>
      <c r="Y20" s="14" t="n">
        <v>6.52</v>
      </c>
      <c r="Z20" s="19">
        <f>IF(OR(Y20="",F20="",F20=0),"",Y20/F20)</f>
        <v/>
      </c>
      <c r="AA20" s="22" t="n">
        <v>232.783</v>
      </c>
      <c r="AB20" s="20" t="n">
        <v>0.24</v>
      </c>
      <c r="AC20" s="20" t="n">
        <v>0.160440312121795</v>
      </c>
      <c r="AD20" s="17">
        <f>IF(OR(Q20="",M20="",M20&lt;=0),"",ROUND(40*MAX(0,MIN(N(Q20)/0.3,1))+IF(OR(R20="",N(Q20)&lt;=0),10,20*MAX(0,1-MIN(R20/Q20,1)))+30*MAX(0,MIN((PARAMETRI!$B$5-M20)/MAX(PARAMETRI!$B$5-10,1),1))+IF(AB20="",3,10*MAX(0,MIN(AB20/0.15,1)))+IF(AND(P20&lt;&gt;"",N(P20)&lt;N(Q20)*0.6),-8,0),1))</f>
        <v/>
      </c>
      <c r="AE20" s="13">
        <f>IF(AND(P20="",Q20=""),"DATI MANCANTI",IF(AND(N(P20)&gt;=PARAMETRI!$B$4,N(Q20)&gt;=PARAMETRI!$B$4),"OK","NO"))</f>
        <v/>
      </c>
      <c r="AF20" s="13">
        <f>IF(M20="","N/D",IF(M20&lt;PARAMETRI!$B$6,"OTTIMO",IF(M20&lt;PARAMETRI!$B$5,"OK","NO")))</f>
        <v/>
      </c>
      <c r="AG20" s="13">
        <f>IF(OR(AE20="DATI MANCANTI",AF20="N/D"),"DA COMPLETARE",IF(AND(AE20="OK",AF20="OTTIMO"),"PASSA FORTE",IF(AND(AE20="OK",AF20="OK"),"PASSA","SCARTA")))</f>
        <v/>
      </c>
      <c r="AH20" s="11" t="inlineStr">
        <is>
          <t>2026-10-12</t>
        </is>
      </c>
      <c r="AI20" s="11" t="inlineStr">
        <is>
          <t>yahoo</t>
        </is>
      </c>
      <c r="AJ20" s="23" t="inlineStr"/>
    </row>
    <row r="21">
      <c r="A21" s="10">
        <f>IF(AD21="","",RANK(AD21,AD$2:AD$167))</f>
        <v/>
      </c>
      <c r="B21" s="11" t="inlineStr">
        <is>
          <t>Mastercard</t>
        </is>
      </c>
      <c r="C21" s="12" t="inlineStr">
        <is>
          <t>MA</t>
        </is>
      </c>
      <c r="D21" s="11" t="inlineStr">
        <is>
          <t>Pagamenti</t>
        </is>
      </c>
      <c r="E21" s="13" t="inlineStr">
        <is>
          <t>Finanziario</t>
        </is>
      </c>
      <c r="F21" s="14" t="n">
        <v>598.285</v>
      </c>
      <c r="G21" s="15" t="inlineStr">
        <is>
          <t>USD</t>
        </is>
      </c>
      <c r="H21" s="14" t="n">
        <v>535.9437064943529</v>
      </c>
      <c r="I21" s="16" t="n">
        <v>469492.0079410878</v>
      </c>
      <c r="J21" s="16" t="n">
        <v>524103.6</v>
      </c>
      <c r="K21" s="14" t="n">
        <v>18.18</v>
      </c>
      <c r="L21" s="14" t="n">
        <v>23.03455</v>
      </c>
      <c r="M21" s="17">
        <f>IF(OR(F21="",K21="",K21&lt;=0),"",F21/K21)</f>
        <v/>
      </c>
      <c r="N21" s="18" t="n">
        <v>93.54049000000001</v>
      </c>
      <c r="O21" s="19">
        <f>IF(OR(N21="",M21="",M21&lt;=0),"",N21/M21)</f>
        <v/>
      </c>
      <c r="P21" s="20" t="n">
        <v>2.41202</v>
      </c>
      <c r="Q21" s="20" t="n">
        <v>1.778040213012595</v>
      </c>
      <c r="R21" s="20" t="n">
        <v>0.1832547811414374</v>
      </c>
      <c r="S21" s="21" t="n">
        <v>4</v>
      </c>
      <c r="T21" s="20" t="n"/>
      <c r="U21" s="20" t="n">
        <v>1.934599974150187</v>
      </c>
      <c r="V21" s="20" t="n">
        <v>1.985196607555898</v>
      </c>
      <c r="W21" s="20" t="n">
        <v>1.615673257324289</v>
      </c>
      <c r="X21" s="20" t="n">
        <v>1.576691013020006</v>
      </c>
      <c r="Y21" s="14" t="n">
        <v>3.48</v>
      </c>
      <c r="Z21" s="19">
        <f>IF(OR(Y21="",F21="",F21=0),"",Y21/F21)</f>
        <v/>
      </c>
      <c r="AA21" s="22" t="n">
        <v>439.583</v>
      </c>
      <c r="AB21" s="20" t="n">
        <v>0.141</v>
      </c>
      <c r="AC21" s="20" t="n">
        <v>0.4957762937391357</v>
      </c>
      <c r="AD21" s="17">
        <f>IF(OR(Q21="",M21="",M21&lt;=0),"",ROUND(40*MAX(0,MIN(N(Q21)/0.3,1))+IF(OR(R21="",N(Q21)&lt;=0),10,20*MAX(0,1-MIN(R21/Q21,1)))+30*MAX(0,MIN((PARAMETRI!$B$5-M21)/MAX(PARAMETRI!$B$5-10,1),1))+IF(AB21="",3,10*MAX(0,MIN(AB21/0.15,1)))+IF(AND(P21&lt;&gt;"",N(P21)&lt;N(Q21)*0.6),-8,0),1))</f>
        <v/>
      </c>
      <c r="AE21" s="13">
        <f>IF(AND(P21="",Q21=""),"DATI MANCANTI",IF(AND(N(P21)&gt;=PARAMETRI!$B$4,N(Q21)&gt;=PARAMETRI!$B$4),"OK","NO"))</f>
        <v/>
      </c>
      <c r="AF21" s="13">
        <f>IF(M21="","N/D",IF(M21&lt;PARAMETRI!$B$6,"OTTIMO",IF(M21&lt;PARAMETRI!$B$5,"OK","NO")))</f>
        <v/>
      </c>
      <c r="AG21" s="13">
        <f>IF(OR(AE21="DATI MANCANTI",AF21="N/D"),"DA COMPLETARE",IF(AND(AE21="OK",AF21="OTTIMO"),"PASSA FORTE",IF(AND(AE21="OK",AF21="OK"),"PASSA","SCARTA")))</f>
        <v/>
      </c>
      <c r="AH21" s="11" t="inlineStr">
        <is>
          <t>2026-10-12</t>
        </is>
      </c>
      <c r="AI21" s="11" t="inlineStr">
        <is>
          <t>yahoo</t>
        </is>
      </c>
      <c r="AJ21" s="23" t="inlineStr"/>
    </row>
    <row r="22">
      <c r="A22" s="10">
        <f>IF(AD22="","",RANK(AD22,AD$2:AD$167))</f>
        <v/>
      </c>
      <c r="B22" s="11" t="inlineStr">
        <is>
          <t>Travelers</t>
        </is>
      </c>
      <c r="C22" s="12" t="inlineStr">
        <is>
          <t>TRV</t>
        </is>
      </c>
      <c r="D22" s="11" t="inlineStr">
        <is>
          <t>Assicurazione</t>
        </is>
      </c>
      <c r="E22" s="13" t="inlineStr">
        <is>
          <t>Finanziario</t>
        </is>
      </c>
      <c r="F22" s="14" t="n">
        <v>371.84</v>
      </c>
      <c r="G22" s="15" t="inlineStr">
        <is>
          <t>USD</t>
        </is>
      </c>
      <c r="H22" s="14" t="n">
        <v>333.0942741717746</v>
      </c>
      <c r="I22" s="16" t="n">
        <v>69475.11315297773</v>
      </c>
      <c r="J22" s="16" t="n">
        <v>77556.5</v>
      </c>
      <c r="K22" s="14" t="n">
        <v>37.23</v>
      </c>
      <c r="L22" s="14" t="n">
        <v>30.47587</v>
      </c>
      <c r="M22" s="17">
        <f>IF(OR(F22="",K22="",K22&lt;=0),"",F22/K22)</f>
        <v/>
      </c>
      <c r="N22" s="18" t="n">
        <v>2.341886</v>
      </c>
      <c r="O22" s="19">
        <f>IF(OR(N22="",M22="",M22&lt;=0),"",N22/M22)</f>
        <v/>
      </c>
      <c r="P22" s="20" t="n">
        <v>0.26511</v>
      </c>
      <c r="Q22" s="20" t="n">
        <v>0.1556010112383756</v>
      </c>
      <c r="R22" s="20" t="n">
        <v>0.03026061633724604</v>
      </c>
      <c r="S22" s="21" t="n">
        <v>4</v>
      </c>
      <c r="T22" s="20" t="n"/>
      <c r="U22" s="20" t="n">
        <v>0.1911594819723962</v>
      </c>
      <c r="V22" s="20" t="n">
        <v>0.1794071202985932</v>
      </c>
      <c r="W22" s="20" t="n">
        <v>0.1200192608643313</v>
      </c>
      <c r="X22" s="20" t="n">
        <v>0.1318181818181818</v>
      </c>
      <c r="Y22" s="14" t="n">
        <v>5</v>
      </c>
      <c r="Z22" s="19">
        <f>IF(OR(Y22="",F22="",F22=0),"",Y22/F22)</f>
        <v/>
      </c>
      <c r="AA22" s="22" t="n">
        <v>27.378</v>
      </c>
      <c r="AB22" s="20" t="n">
        <v>0.003</v>
      </c>
      <c r="AC22" s="20" t="n">
        <v>0.1688170682395347</v>
      </c>
      <c r="AD22" s="17">
        <f>IF(OR(Q22="",M22="",M22&lt;=0),"",ROUND(40*MAX(0,MIN(N(Q22)/0.3,1))+IF(OR(R22="",N(Q22)&lt;=0),10,20*MAX(0,1-MIN(R22/Q22,1)))+30*MAX(0,MIN((PARAMETRI!$B$5-M22)/MAX(PARAMETRI!$B$5-10,1),1))+IF(AB22="",3,10*MAX(0,MIN(AB22/0.15,1)))+IF(AND(P22&lt;&gt;"",N(P22)&lt;N(Q22)*0.6),-8,0),1))</f>
        <v/>
      </c>
      <c r="AE22" s="13">
        <f>IF(AND(P22="",Q22=""),"DATI MANCANTI",IF(AND(N(P22)&gt;=PARAMETRI!$B$4,N(Q22)&gt;=PARAMETRI!$B$4),"OK","NO"))</f>
        <v/>
      </c>
      <c r="AF22" s="13">
        <f>IF(M22="","N/D",IF(M22&lt;PARAMETRI!$B$6,"OTTIMO",IF(M22&lt;PARAMETRI!$B$5,"OK","NO")))</f>
        <v/>
      </c>
      <c r="AG22" s="13">
        <f>IF(OR(AE22="DATI MANCANTI",AF22="N/D"),"DA COMPLETARE",IF(AND(AE22="OK",AF22="OTTIMO"),"PASSA FORTE",IF(AND(AE22="OK",AF22="OK"),"PASSA","SCARTA")))</f>
        <v/>
      </c>
      <c r="AH22" s="11" t="inlineStr">
        <is>
          <t>2026-10-12</t>
        </is>
      </c>
      <c r="AI22" s="11" t="inlineStr">
        <is>
          <t>yahoo</t>
        </is>
      </c>
      <c r="AJ22" s="23" t="inlineStr"/>
    </row>
    <row r="23">
      <c r="A23" s="10">
        <f>IF(AD23="","",RANK(AD23,AD$2:AD$167))</f>
        <v/>
      </c>
      <c r="B23" s="11" t="inlineStr">
        <is>
          <t>KLA Corporation</t>
        </is>
      </c>
      <c r="C23" s="12" t="inlineStr">
        <is>
          <t>KLAC</t>
        </is>
      </c>
      <c r="D23" s="11" t="inlineStr">
        <is>
          <t>Apparecchiature semicond.</t>
        </is>
      </c>
      <c r="E23" s="13" t="inlineStr">
        <is>
          <t>Tecnologia</t>
        </is>
      </c>
      <c r="F23" s="14" t="n">
        <v>190.53</v>
      </c>
      <c r="G23" s="15" t="inlineStr">
        <is>
          <t>USD</t>
        </is>
      </c>
      <c r="H23" s="14" t="n">
        <v>170.6767751128125</v>
      </c>
      <c r="I23" s="16" t="n">
        <v>222734.3112722277</v>
      </c>
      <c r="J23" s="16" t="n">
        <v>248642.9</v>
      </c>
      <c r="K23" s="14" t="n">
        <v>3.66</v>
      </c>
      <c r="L23" s="14" t="n">
        <v>6.74039</v>
      </c>
      <c r="M23" s="17">
        <f>IF(OR(F23="",K23="",K23&lt;=0),"",F23/K23)</f>
        <v/>
      </c>
      <c r="N23" s="18" t="n">
        <v>39.219845</v>
      </c>
      <c r="O23" s="19">
        <f>IF(OR(N23="",M23="",M23&lt;=0),"",N23/M23)</f>
        <v/>
      </c>
      <c r="P23" s="20" t="n">
        <v>0.87496</v>
      </c>
      <c r="Q23" s="20" t="n">
        <v>0.9016067947009443</v>
      </c>
      <c r="R23" s="20" t="n">
        <v>0.1538102798939616</v>
      </c>
      <c r="S23" s="21" t="n">
        <v>4</v>
      </c>
      <c r="T23" s="20" t="n">
        <v>0.7607729037988479</v>
      </c>
      <c r="U23" s="20" t="n">
        <v>0.8655692449130551</v>
      </c>
      <c r="V23" s="20" t="n">
        <v>0.8199605264095421</v>
      </c>
      <c r="W23" s="20" t="n">
        <v>1.160124503682332</v>
      </c>
      <c r="X23" s="20" t="n">
        <v>2.370431819008942</v>
      </c>
      <c r="Y23" s="14" t="n">
        <v>0.92</v>
      </c>
      <c r="Z23" s="19">
        <f>IF(OR(Y23="",F23="",F23=0),"",Y23/F23)</f>
        <v/>
      </c>
      <c r="AA23" s="22" t="n">
        <v>96.88</v>
      </c>
      <c r="AB23" s="20" t="n">
        <v>0.152</v>
      </c>
      <c r="AC23" s="20" t="n">
        <v>0.3557406191520203</v>
      </c>
      <c r="AD23" s="17">
        <f>IF(OR(Q23="",M23="",M23&lt;=0),"",ROUND(40*MAX(0,MIN(N(Q23)/0.3,1))+IF(OR(R23="",N(Q23)&lt;=0),10,20*MAX(0,1-MIN(R23/Q23,1)))+30*MAX(0,MIN((PARAMETRI!$B$5-M23)/MAX(PARAMETRI!$B$5-10,1),1))+IF(AB23="",3,10*MAX(0,MIN(AB23/0.15,1)))+IF(AND(P23&lt;&gt;"",N(P23)&lt;N(Q23)*0.6),-8,0),1))</f>
        <v/>
      </c>
      <c r="AE23" s="13">
        <f>IF(AND(P23="",Q23=""),"DATI MANCANTI",IF(AND(N(P23)&gt;=PARAMETRI!$B$4,N(Q23)&gt;=PARAMETRI!$B$4),"OK","NO"))</f>
        <v/>
      </c>
      <c r="AF23" s="13">
        <f>IF(M23="","N/D",IF(M23&lt;PARAMETRI!$B$6,"OTTIMO",IF(M23&lt;PARAMETRI!$B$5,"OK","NO")))</f>
        <v/>
      </c>
      <c r="AG23" s="13">
        <f>IF(OR(AE23="DATI MANCANTI",AF23="N/D"),"DA COMPLETARE",IF(AND(AE23="OK",AF23="OTTIMO"),"PASSA FORTE",IF(AND(AE23="OK",AF23="OK"),"PASSA","SCARTA")))</f>
        <v/>
      </c>
      <c r="AH23" s="11" t="inlineStr">
        <is>
          <t>2026-10-12</t>
        </is>
      </c>
      <c r="AI23" s="11" t="inlineStr">
        <is>
          <t>yahoo</t>
        </is>
      </c>
      <c r="AJ23" s="23" t="inlineStr"/>
    </row>
    <row r="24">
      <c r="A24" s="10">
        <f>IF(AD24="","",RANK(AD24,AD$2:AD$167))</f>
        <v/>
      </c>
      <c r="B24" s="11" t="inlineStr">
        <is>
          <t>Lockheed Martin</t>
        </is>
      </c>
      <c r="C24" s="12" t="inlineStr">
        <is>
          <t>LMT</t>
        </is>
      </c>
      <c r="D24" s="11" t="inlineStr">
        <is>
          <t>Difesa</t>
        </is>
      </c>
      <c r="E24" s="13" t="inlineStr">
        <is>
          <t>Industriale</t>
        </is>
      </c>
      <c r="F24" s="14" t="n">
        <v>513.64</v>
      </c>
      <c r="G24" s="15" t="inlineStr">
        <is>
          <t>USD</t>
        </is>
      </c>
      <c r="H24" s="14" t="n">
        <v>460.118714999974</v>
      </c>
      <c r="I24" s="16" t="n">
        <v>106191.1784123665</v>
      </c>
      <c r="J24" s="16" t="n">
        <v>118543.4</v>
      </c>
      <c r="K24" s="14" t="n">
        <v>27.13</v>
      </c>
      <c r="L24" s="14" t="n">
        <v>32.63732</v>
      </c>
      <c r="M24" s="17">
        <f>IF(OR(F24="",K24="",K24&lt;=0),"",F24/K24)</f>
        <v/>
      </c>
      <c r="N24" s="18" t="n">
        <v>13.473584</v>
      </c>
      <c r="O24" s="19">
        <f>IF(OR(N24="",M24="",M24&lt;=0),"",N24/M24)</f>
        <v/>
      </c>
      <c r="P24" s="20" t="n">
        <v>0.8916500000000001</v>
      </c>
      <c r="Q24" s="20" t="n">
        <v>0.8050196518940778</v>
      </c>
      <c r="R24" s="20" t="n">
        <v>0.1437100287177017</v>
      </c>
      <c r="S24" s="21" t="n">
        <v>4</v>
      </c>
      <c r="T24" s="20" t="n"/>
      <c r="U24" s="20" t="n">
        <v>0.746466299657789</v>
      </c>
      <c r="V24" s="20" t="n">
        <v>0.8425706616137691</v>
      </c>
      <c r="W24" s="20" t="n">
        <v>1.012435991221653</v>
      </c>
      <c r="X24" s="20" t="n">
        <v>0.6186056550830995</v>
      </c>
      <c r="Y24" s="14" t="n">
        <v>13.8</v>
      </c>
      <c r="Z24" s="19">
        <f>IF(OR(Y24="",F24="",F24=0),"",Y24/F24)</f>
        <v/>
      </c>
      <c r="AA24" s="22" t="n">
        <v>234.238</v>
      </c>
      <c r="AB24" s="20" t="n">
        <v>0.105</v>
      </c>
      <c r="AC24" s="20" t="n">
        <v>0.08377305276622961</v>
      </c>
      <c r="AD24" s="17">
        <f>IF(OR(Q24="",M24="",M24&lt;=0),"",ROUND(40*MAX(0,MIN(N(Q24)/0.3,1))+IF(OR(R24="",N(Q24)&lt;=0),10,20*MAX(0,1-MIN(R24/Q24,1)))+30*MAX(0,MIN((PARAMETRI!$B$5-M24)/MAX(PARAMETRI!$B$5-10,1),1))+IF(AB24="",3,10*MAX(0,MIN(AB24/0.15,1)))+IF(AND(P24&lt;&gt;"",N(P24)&lt;N(Q24)*0.6),-8,0),1))</f>
        <v/>
      </c>
      <c r="AE24" s="13">
        <f>IF(AND(P24="",Q24=""),"DATI MANCANTI",IF(AND(N(P24)&gt;=PARAMETRI!$B$4,N(Q24)&gt;=PARAMETRI!$B$4),"OK","NO"))</f>
        <v/>
      </c>
      <c r="AF24" s="13">
        <f>IF(M24="","N/D",IF(M24&lt;PARAMETRI!$B$6,"OTTIMO",IF(M24&lt;PARAMETRI!$B$5,"OK","NO")))</f>
        <v/>
      </c>
      <c r="AG24" s="13">
        <f>IF(OR(AE24="DATI MANCANTI",AF24="N/D"),"DA COMPLETARE",IF(AND(AE24="OK",AF24="OTTIMO"),"PASSA FORTE",IF(AND(AE24="OK",AF24="OK"),"PASSA","SCARTA")))</f>
        <v/>
      </c>
      <c r="AH24" s="11" t="inlineStr">
        <is>
          <t>2026-10-12</t>
        </is>
      </c>
      <c r="AI24" s="11" t="inlineStr">
        <is>
          <t>yahoo</t>
        </is>
      </c>
      <c r="AJ24" s="23" t="inlineStr"/>
    </row>
    <row r="25">
      <c r="A25" s="10">
        <f>IF(AD25="","",RANK(AD25,AD$2:AD$167))</f>
        <v/>
      </c>
      <c r="B25" s="11" t="inlineStr">
        <is>
          <t>Applied Materials</t>
        </is>
      </c>
      <c r="C25" s="12" t="inlineStr">
        <is>
          <t>AMAT</t>
        </is>
      </c>
      <c r="D25" s="11" t="inlineStr">
        <is>
          <t>Apparecchiature semicond.</t>
        </is>
      </c>
      <c r="E25" s="13" t="inlineStr">
        <is>
          <t>Tecnologia</t>
        </is>
      </c>
      <c r="F25" s="14" t="n">
        <v>498.03</v>
      </c>
      <c r="G25" s="15" t="inlineStr">
        <is>
          <t>USD</t>
        </is>
      </c>
      <c r="H25" s="14" t="n">
        <v>446.1352769088019</v>
      </c>
      <c r="I25" s="16" t="n">
        <v>354051.7840484176</v>
      </c>
      <c r="J25" s="16" t="n">
        <v>395235.3</v>
      </c>
      <c r="K25" s="14" t="n">
        <v>11.59</v>
      </c>
      <c r="L25" s="14" t="n">
        <v>18.47894</v>
      </c>
      <c r="M25" s="17">
        <f>IF(OR(F25="",K25="",K25&lt;=0),"",F25/K25)</f>
        <v/>
      </c>
      <c r="N25" s="18" t="n">
        <v>15.4231825</v>
      </c>
      <c r="O25" s="19">
        <f>IF(OR(N25="",M25="",M25&lt;=0),"",N25/M25)</f>
        <v/>
      </c>
      <c r="P25" s="20" t="n">
        <v>0.41068</v>
      </c>
      <c r="Q25" s="20" t="n">
        <v>0.4187390558280515</v>
      </c>
      <c r="R25" s="20" t="n">
        <v>0.07244233633790677</v>
      </c>
      <c r="S25" s="21" t="n">
        <v>4</v>
      </c>
      <c r="T25" s="20" t="n"/>
      <c r="U25" s="20" t="n">
        <v>0.3427871662992897</v>
      </c>
      <c r="V25" s="20" t="n">
        <v>0.377716962265144</v>
      </c>
      <c r="W25" s="20" t="n">
        <v>0.4193528656186923</v>
      </c>
      <c r="X25" s="20" t="n">
        <v>0.5350992291290799</v>
      </c>
      <c r="Y25" s="14" t="n">
        <v>2.12</v>
      </c>
      <c r="Z25" s="19">
        <f>IF(OR(Y25="",F25="",F25=0),"",Y25/F25)</f>
        <v/>
      </c>
      <c r="AA25" s="22" t="n">
        <v>28.666</v>
      </c>
      <c r="AB25" s="20" t="n">
        <v>0.248</v>
      </c>
      <c r="AC25" s="20" t="n">
        <v>0.3266709080654258</v>
      </c>
      <c r="AD25" s="17">
        <f>IF(OR(Q25="",M25="",M25&lt;=0),"",ROUND(40*MAX(0,MIN(N(Q25)/0.3,1))+IF(OR(R25="",N(Q25)&lt;=0),10,20*MAX(0,1-MIN(R25/Q25,1)))+30*MAX(0,MIN((PARAMETRI!$B$5-M25)/MAX(PARAMETRI!$B$5-10,1),1))+IF(AB25="",3,10*MAX(0,MIN(AB25/0.15,1)))+IF(AND(P25&lt;&gt;"",N(P25)&lt;N(Q25)*0.6),-8,0),1))</f>
        <v/>
      </c>
      <c r="AE25" s="13">
        <f>IF(AND(P25="",Q25=""),"DATI MANCANTI",IF(AND(N(P25)&gt;=PARAMETRI!$B$4,N(Q25)&gt;=PARAMETRI!$B$4),"OK","NO"))</f>
        <v/>
      </c>
      <c r="AF25" s="13">
        <f>IF(M25="","N/D",IF(M25&lt;PARAMETRI!$B$6,"OTTIMO",IF(M25&lt;PARAMETRI!$B$5,"OK","NO")))</f>
        <v/>
      </c>
      <c r="AG25" s="13">
        <f>IF(OR(AE25="DATI MANCANTI",AF25="N/D"),"DA COMPLETARE",IF(AND(AE25="OK",AF25="OTTIMO"),"PASSA FORTE",IF(AND(AE25="OK",AF25="OK"),"PASSA","SCARTA")))</f>
        <v/>
      </c>
      <c r="AH25" s="11" t="inlineStr">
        <is>
          <t>2026-10-12</t>
        </is>
      </c>
      <c r="AI25" s="11" t="inlineStr">
        <is>
          <t>yahoo</t>
        </is>
      </c>
      <c r="AJ25" s="23" t="inlineStr"/>
    </row>
    <row r="26">
      <c r="A26" s="10">
        <f>IF(AD26="","",RANK(AD26,AD$2:AD$167))</f>
        <v/>
      </c>
      <c r="B26" s="11" t="inlineStr">
        <is>
          <t>Eli Lilly</t>
        </is>
      </c>
      <c r="C26" s="12" t="inlineStr">
        <is>
          <t>LLY</t>
        </is>
      </c>
      <c r="D26" s="11" t="inlineStr">
        <is>
          <t>Farmaceutica</t>
        </is>
      </c>
      <c r="E26" s="13" t="inlineStr">
        <is>
          <t>Salute</t>
        </is>
      </c>
      <c r="F26" s="14" t="n">
        <v>1181.96</v>
      </c>
      <c r="G26" s="15" t="inlineStr">
        <is>
          <t>USD</t>
        </is>
      </c>
      <c r="H26" s="14" t="n">
        <v>1058.799774903374</v>
      </c>
      <c r="I26" s="16" t="n">
        <v>943768.573293371</v>
      </c>
      <c r="J26" s="16" t="n">
        <v>1053548.3</v>
      </c>
      <c r="K26" s="14" t="n">
        <v>29.79</v>
      </c>
      <c r="L26" s="14" t="n">
        <v>47.63669</v>
      </c>
      <c r="M26" s="17">
        <f>IF(OR(F26="",K26="",K26&lt;=0),"",F26/K26)</f>
        <v/>
      </c>
      <c r="N26" s="18" t="n">
        <v>31.102573</v>
      </c>
      <c r="O26" s="19">
        <f>IF(OR(N26="",M26="",M26&lt;=0),"",N26/M26)</f>
        <v/>
      </c>
      <c r="P26" s="20" t="n">
        <v>1.02286</v>
      </c>
      <c r="Q26" s="20" t="n">
        <v>0.6481702467386419</v>
      </c>
      <c r="R26" s="20" t="n">
        <v>0.1178900700269788</v>
      </c>
      <c r="S26" s="21" t="n">
        <v>4</v>
      </c>
      <c r="T26" s="20" t="n"/>
      <c r="U26" s="20" t="n">
        <v>0.7778405879027699</v>
      </c>
      <c r="V26" s="20" t="n">
        <v>0.7420123318385651</v>
      </c>
      <c r="W26" s="20" t="n">
        <v>0.4864508582515619</v>
      </c>
      <c r="X26" s="20" t="n">
        <v>0.5863772089616707</v>
      </c>
      <c r="Y26" s="14" t="n">
        <v>6.92</v>
      </c>
      <c r="Z26" s="19">
        <f>IF(OR(Y26="",F26="",F26=0),"",Y26/F26)</f>
        <v/>
      </c>
      <c r="AA26" s="22" t="n">
        <v>162.071</v>
      </c>
      <c r="AB26" s="20" t="n">
        <v>0.477</v>
      </c>
      <c r="AC26" s="20" t="n">
        <v>0.4098098933705641</v>
      </c>
      <c r="AD26" s="17">
        <f>IF(OR(Q26="",M26="",M26&lt;=0),"",ROUND(40*MAX(0,MIN(N(Q26)/0.3,1))+IF(OR(R26="",N(Q26)&lt;=0),10,20*MAX(0,1-MIN(R26/Q26,1)))+30*MAX(0,MIN((PARAMETRI!$B$5-M26)/MAX(PARAMETRI!$B$5-10,1),1))+IF(AB26="",3,10*MAX(0,MIN(AB26/0.15,1)))+IF(AND(P26&lt;&gt;"",N(P26)&lt;N(Q26)*0.6),-8,0),1))</f>
        <v/>
      </c>
      <c r="AE26" s="13">
        <f>IF(AND(P26="",Q26=""),"DATI MANCANTI",IF(AND(N(P26)&gt;=PARAMETRI!$B$4,N(Q26)&gt;=PARAMETRI!$B$4),"OK","NO"))</f>
        <v/>
      </c>
      <c r="AF26" s="13">
        <f>IF(M26="","N/D",IF(M26&lt;PARAMETRI!$B$6,"OTTIMO",IF(M26&lt;PARAMETRI!$B$5,"OK","NO")))</f>
        <v/>
      </c>
      <c r="AG26" s="13">
        <f>IF(OR(AE26="DATI MANCANTI",AF26="N/D"),"DA COMPLETARE",IF(AND(AE26="OK",AF26="OTTIMO"),"PASSA FORTE",IF(AND(AE26="OK",AF26="OK"),"PASSA","SCARTA")))</f>
        <v/>
      </c>
      <c r="AH26" s="11" t="inlineStr">
        <is>
          <t>2026-10-12</t>
        </is>
      </c>
      <c r="AI26" s="11" t="inlineStr">
        <is>
          <t>yahoo</t>
        </is>
      </c>
      <c r="AJ26" s="23" t="inlineStr"/>
    </row>
    <row r="27">
      <c r="A27" s="10">
        <f>IF(AD27="","",RANK(AD27,AD$2:AD$167))</f>
        <v/>
      </c>
      <c r="B27" s="11" t="inlineStr">
        <is>
          <t>United Rentals</t>
        </is>
      </c>
      <c r="C27" s="12" t="inlineStr">
        <is>
          <t>URI</t>
        </is>
      </c>
      <c r="D27" s="11" t="inlineStr">
        <is>
          <t>Noleggio attrezzature</t>
        </is>
      </c>
      <c r="E27" s="13" t="inlineStr">
        <is>
          <t>Industriale</t>
        </is>
      </c>
      <c r="F27" s="14" t="n">
        <v>1066.7</v>
      </c>
      <c r="G27" s="15" t="inlineStr">
        <is>
          <t>USD</t>
        </is>
      </c>
      <c r="H27" s="14" t="n">
        <v>955.549866230185</v>
      </c>
      <c r="I27" s="16" t="n">
        <v>59475.83516778244</v>
      </c>
      <c r="J27" s="16" t="n">
        <v>66394.10000000001</v>
      </c>
      <c r="K27" s="14" t="n">
        <v>41.59</v>
      </c>
      <c r="L27" s="14" t="n">
        <v>57.31793</v>
      </c>
      <c r="M27" s="17">
        <f>IF(OR(F27="",K27="",K27&lt;=0),"",F27/K27)</f>
        <v/>
      </c>
      <c r="N27" s="18" t="n">
        <v>7.2089906</v>
      </c>
      <c r="O27" s="19">
        <f>IF(OR(N27="",M27="",M27&lt;=0),"",N27/M27)</f>
        <v/>
      </c>
      <c r="P27" s="20" t="n">
        <v>0.28895</v>
      </c>
      <c r="Q27" s="20" t="n">
        <v>0.2932459241968061</v>
      </c>
      <c r="R27" s="20" t="n">
        <v>0.008747380113543703</v>
      </c>
      <c r="S27" s="21" t="n">
        <v>4</v>
      </c>
      <c r="T27" s="20" t="n"/>
      <c r="U27" s="20" t="n">
        <v>0.278099910793934</v>
      </c>
      <c r="V27" s="20" t="n">
        <v>0.298654604500116</v>
      </c>
      <c r="W27" s="20" t="n">
        <v>0.2981549815498155</v>
      </c>
      <c r="X27" s="20" t="n">
        <v>0.2980741999433588</v>
      </c>
      <c r="Y27" s="14" t="n">
        <v>7.88</v>
      </c>
      <c r="Z27" s="19">
        <f>IF(OR(Y27="",F27="",F27=0),"",Y27/F27)</f>
        <v/>
      </c>
      <c r="AA27" s="22" t="n">
        <v>166.793</v>
      </c>
      <c r="AB27" s="20" t="n">
        <v>0.118</v>
      </c>
      <c r="AC27" s="20" t="n">
        <v>0.1638611173364805</v>
      </c>
      <c r="AD27" s="17">
        <f>IF(OR(Q27="",M27="",M27&lt;=0),"",ROUND(40*MAX(0,MIN(N(Q27)/0.3,1))+IF(OR(R27="",N(Q27)&lt;=0),10,20*MAX(0,1-MIN(R27/Q27,1)))+30*MAX(0,MIN((PARAMETRI!$B$5-M27)/MAX(PARAMETRI!$B$5-10,1),1))+IF(AB27="",3,10*MAX(0,MIN(AB27/0.15,1)))+IF(AND(P27&lt;&gt;"",N(P27)&lt;N(Q27)*0.6),-8,0),1))</f>
        <v/>
      </c>
      <c r="AE27" s="13">
        <f>IF(AND(P27="",Q27=""),"DATI MANCANTI",IF(AND(N(P27)&gt;=PARAMETRI!$B$4,N(Q27)&gt;=PARAMETRI!$B$4),"OK","NO"))</f>
        <v/>
      </c>
      <c r="AF27" s="13">
        <f>IF(M27="","N/D",IF(M27&lt;PARAMETRI!$B$6,"OTTIMO",IF(M27&lt;PARAMETRI!$B$5,"OK","NO")))</f>
        <v/>
      </c>
      <c r="AG27" s="13">
        <f>IF(OR(AE27="DATI MANCANTI",AF27="N/D"),"DA COMPLETARE",IF(AND(AE27="OK",AF27="OTTIMO"),"PASSA FORTE",IF(AND(AE27="OK",AF27="OK"),"PASSA","SCARTA")))</f>
        <v/>
      </c>
      <c r="AH27" s="11" t="inlineStr">
        <is>
          <t>2026-10-12</t>
        </is>
      </c>
      <c r="AI27" s="11" t="inlineStr">
        <is>
          <t>yahoo</t>
        </is>
      </c>
      <c r="AJ27" s="23" t="inlineStr"/>
    </row>
    <row r="28">
      <c r="A28" s="10">
        <f>IF(AD28="","",RANK(AD28,AD$2:AD$167))</f>
        <v/>
      </c>
      <c r="B28" s="11" t="inlineStr">
        <is>
          <t>JPMorgan Chase</t>
        </is>
      </c>
      <c r="C28" s="12" t="inlineStr">
        <is>
          <t>JPM</t>
        </is>
      </c>
      <c r="D28" s="11" t="inlineStr">
        <is>
          <t>Banca</t>
        </is>
      </c>
      <c r="E28" s="13" t="inlineStr">
        <is>
          <t>Finanziario</t>
        </is>
      </c>
      <c r="F28" s="14" t="n">
        <v>334.56</v>
      </c>
      <c r="G28" s="15" t="inlineStr">
        <is>
          <t>USD</t>
        </is>
      </c>
      <c r="H28" s="14" t="n">
        <v>299.6988499540365</v>
      </c>
      <c r="I28" s="16" t="n">
        <v>796655.3694341929</v>
      </c>
      <c r="J28" s="16" t="n">
        <v>889322.8</v>
      </c>
      <c r="K28" s="14" t="n">
        <v>23.34</v>
      </c>
      <c r="L28" s="14" t="n">
        <v>25.12247</v>
      </c>
      <c r="M28" s="17">
        <f>IF(OR(F28="",K28="",K28&lt;=0),"",F28/K28)</f>
        <v/>
      </c>
      <c r="N28" s="18" t="n">
        <v>2.5153563</v>
      </c>
      <c r="O28" s="19">
        <f>IF(OR(N28="",M28="",M28&lt;=0),"",N28/M28)</f>
        <v/>
      </c>
      <c r="P28" s="20" t="n">
        <v>0.17789</v>
      </c>
      <c r="Q28" s="20" t="n">
        <v>0.1517527710837262</v>
      </c>
      <c r="R28" s="20" t="n">
        <v>0.01478123957270239</v>
      </c>
      <c r="S28" s="21" t="n">
        <v>4</v>
      </c>
      <c r="T28" s="20" t="n"/>
      <c r="U28" s="20" t="n">
        <v>0.1574007140531622</v>
      </c>
      <c r="V28" s="20" t="n">
        <v>0.1696001253052866</v>
      </c>
      <c r="W28" s="20" t="n">
        <v>0.1511293834902006</v>
      </c>
      <c r="X28" s="20" t="n">
        <v>0.1288808614862554</v>
      </c>
      <c r="Y28" s="14" t="n">
        <v>6.6</v>
      </c>
      <c r="Z28" s="19">
        <f>IF(OR(Y28="",F28="",F28=0),"",Y28/F28)</f>
        <v/>
      </c>
      <c r="AA28" s="22" t="n"/>
      <c r="AB28" s="20" t="n">
        <v>0.304</v>
      </c>
      <c r="AC28" s="20" t="n">
        <v>0.349931546409894</v>
      </c>
      <c r="AD28" s="17">
        <f>IF(OR(Q28="",M28="",M28&lt;=0),"",ROUND(40*MAX(0,MIN(N(Q28)/0.3,1))+IF(OR(R28="",N(Q28)&lt;=0),10,20*MAX(0,1-MIN(R28/Q28,1)))+30*MAX(0,MIN((PARAMETRI!$B$5-M28)/MAX(PARAMETRI!$B$5-10,1),1))+IF(AB28="",3,10*MAX(0,MIN(AB28/0.15,1)))+IF(AND(P28&lt;&gt;"",N(P28)&lt;N(Q28)*0.6),-8,0),1))</f>
        <v/>
      </c>
      <c r="AE28" s="13">
        <f>IF(AND(P28="",Q28=""),"DATI MANCANTI",IF(AND(N(P28)&gt;=PARAMETRI!$B$4,N(Q28)&gt;=PARAMETRI!$B$4),"OK","NO"))</f>
        <v/>
      </c>
      <c r="AF28" s="13">
        <f>IF(M28="","N/D",IF(M28&lt;PARAMETRI!$B$6,"OTTIMO",IF(M28&lt;PARAMETRI!$B$5,"OK","NO")))</f>
        <v/>
      </c>
      <c r="AG28" s="13">
        <f>IF(OR(AE28="DATI MANCANTI",AF28="N/D"),"DA COMPLETARE",IF(AND(AE28="OK",AF28="OTTIMO"),"PASSA FORTE",IF(AND(AE28="OK",AF28="OK"),"PASSA","SCARTA")))</f>
        <v/>
      </c>
      <c r="AH28" s="11" t="inlineStr">
        <is>
          <t>2026-10-12</t>
        </is>
      </c>
      <c r="AI28" s="11" t="inlineStr">
        <is>
          <t>yahoo</t>
        </is>
      </c>
      <c r="AJ28" s="23" t="inlineStr"/>
    </row>
    <row r="29">
      <c r="A29" s="10">
        <f>IF(AD29="","",RANK(AD29,AD$2:AD$167))</f>
        <v/>
      </c>
      <c r="B29" s="11" t="inlineStr">
        <is>
          <t>Northrop Grumman</t>
        </is>
      </c>
      <c r="C29" s="12" t="inlineStr">
        <is>
          <t>NOC</t>
        </is>
      </c>
      <c r="D29" s="11" t="inlineStr">
        <is>
          <t>Difesa</t>
        </is>
      </c>
      <c r="E29" s="13" t="inlineStr">
        <is>
          <t>Industriale</t>
        </is>
      </c>
      <c r="F29" s="14" t="n">
        <v>484.61</v>
      </c>
      <c r="G29" s="15" t="inlineStr">
        <is>
          <t>USD</t>
        </is>
      </c>
      <c r="H29" s="14" t="n">
        <v>434.1136408304209</v>
      </c>
      <c r="I29" s="16" t="n">
        <v>61671.53056209837</v>
      </c>
      <c r="J29" s="16" t="n">
        <v>68845.2</v>
      </c>
      <c r="K29" s="14" t="n">
        <v>31.46</v>
      </c>
      <c r="L29" s="14" t="n">
        <v>30.40182</v>
      </c>
      <c r="M29" s="17">
        <f>IF(OR(F29="",K29="",K29&lt;=0),"",F29/K29)</f>
        <v/>
      </c>
      <c r="N29" s="18" t="n">
        <v>3.8495328</v>
      </c>
      <c r="O29" s="19">
        <f>IF(OR(N29="",M29="",M29&lt;=0),"",N29/M29)</f>
        <v/>
      </c>
      <c r="P29" s="20" t="n">
        <v>0.26958</v>
      </c>
      <c r="Q29" s="20" t="n">
        <v>0.2456284021316426</v>
      </c>
      <c r="R29" s="20" t="n">
        <v>0.06641956155607608</v>
      </c>
      <c r="S29" s="21" t="n">
        <v>4</v>
      </c>
      <c r="T29" s="20" t="n"/>
      <c r="U29" s="20" t="n">
        <v>0.250809643756747</v>
      </c>
      <c r="V29" s="20" t="n">
        <v>0.2729888816219752</v>
      </c>
      <c r="W29" s="20" t="n">
        <v>0.1389658668469077</v>
      </c>
      <c r="X29" s="20" t="n">
        <v>0.3197492163009404</v>
      </c>
      <c r="Y29" s="14" t="n">
        <v>9.880000000000001</v>
      </c>
      <c r="Z29" s="19">
        <f>IF(OR(Y29="",F29="",F29=0),"",Y29/F29)</f>
        <v/>
      </c>
      <c r="AA29" s="22" t="n">
        <v>95.348</v>
      </c>
      <c r="AB29" s="20" t="n">
        <v>0.051</v>
      </c>
      <c r="AC29" s="20" t="n">
        <v>0.1071649902273919</v>
      </c>
      <c r="AD29" s="17">
        <f>IF(OR(Q29="",M29="",M29&lt;=0),"",ROUND(40*MAX(0,MIN(N(Q29)/0.3,1))+IF(OR(R29="",N(Q29)&lt;=0),10,20*MAX(0,1-MIN(R29/Q29,1)))+30*MAX(0,MIN((PARAMETRI!$B$5-M29)/MAX(PARAMETRI!$B$5-10,1),1))+IF(AB29="",3,10*MAX(0,MIN(AB29/0.15,1)))+IF(AND(P29&lt;&gt;"",N(P29)&lt;N(Q29)*0.6),-8,0),1))</f>
        <v/>
      </c>
      <c r="AE29" s="13">
        <f>IF(AND(P29="",Q29=""),"DATI MANCANTI",IF(AND(N(P29)&gt;=PARAMETRI!$B$4,N(Q29)&gt;=PARAMETRI!$B$4),"OK","NO"))</f>
        <v/>
      </c>
      <c r="AF29" s="13">
        <f>IF(M29="","N/D",IF(M29&lt;PARAMETRI!$B$6,"OTTIMO",IF(M29&lt;PARAMETRI!$B$5,"OK","NO")))</f>
        <v/>
      </c>
      <c r="AG29" s="13">
        <f>IF(OR(AE29="DATI MANCANTI",AF29="N/D"),"DA COMPLETARE",IF(AND(AE29="OK",AF29="OTTIMO"),"PASSA FORTE",IF(AND(AE29="OK",AF29="OK"),"PASSA","SCARTA")))</f>
        <v/>
      </c>
      <c r="AH29" s="11" t="inlineStr">
        <is>
          <t>2026-10-12</t>
        </is>
      </c>
      <c r="AI29" s="11" t="inlineStr">
        <is>
          <t>yahoo</t>
        </is>
      </c>
      <c r="AJ29" s="23" t="inlineStr"/>
    </row>
    <row r="30">
      <c r="A30" s="10">
        <f>IF(AD30="","",RANK(AD30,AD$2:AD$167))</f>
        <v/>
      </c>
      <c r="B30" s="11" t="inlineStr">
        <is>
          <t>Union Pacific</t>
        </is>
      </c>
      <c r="C30" s="12" t="inlineStr">
        <is>
          <t>UNP</t>
        </is>
      </c>
      <c r="D30" s="11" t="inlineStr">
        <is>
          <t>Ferrovie</t>
        </is>
      </c>
      <c r="E30" s="13" t="inlineStr">
        <is>
          <t>Industriale</t>
        </is>
      </c>
      <c r="F30" s="14" t="n">
        <v>280.24</v>
      </c>
      <c r="G30" s="15" t="inlineStr">
        <is>
          <t>USD</t>
        </is>
      </c>
      <c r="H30" s="14" t="n">
        <v>251.0389936367742</v>
      </c>
      <c r="I30" s="16" t="n">
        <v>149136.0994323674</v>
      </c>
      <c r="J30" s="16" t="n">
        <v>166483.7</v>
      </c>
      <c r="K30" s="14" t="n">
        <v>12.34</v>
      </c>
      <c r="L30" s="14" t="n">
        <v>14.22628</v>
      </c>
      <c r="M30" s="17">
        <f>IF(OR(F30="",K30="",K30&lt;=0),"",F30/K30)</f>
        <v/>
      </c>
      <c r="N30" s="18" t="n">
        <v>8.051485</v>
      </c>
      <c r="O30" s="19">
        <f>IF(OR(N30="",M30="",M30&lt;=0),"",N30/M30)</f>
        <v/>
      </c>
      <c r="P30" s="20" t="n">
        <v>0.39696</v>
      </c>
      <c r="Q30" s="20" t="n">
        <v>0.4481773006556505</v>
      </c>
      <c r="R30" s="20" t="n">
        <v>0.07521532837259973</v>
      </c>
      <c r="S30" s="21" t="n">
        <v>4</v>
      </c>
      <c r="T30" s="20" t="n"/>
      <c r="U30" s="20" t="n">
        <v>0.3865273190014621</v>
      </c>
      <c r="V30" s="20" t="n">
        <v>0.3994671403197158</v>
      </c>
      <c r="W30" s="20" t="n">
        <v>0.4313632675142007</v>
      </c>
      <c r="X30" s="20" t="n">
        <v>0.5753514757872236</v>
      </c>
      <c r="Y30" s="14" t="n">
        <v>5.68</v>
      </c>
      <c r="Z30" s="19">
        <f>IF(OR(Y30="",F30="",F30=0),"",Y30/F30)</f>
        <v/>
      </c>
      <c r="AA30" s="22" t="n">
        <v>150.772</v>
      </c>
      <c r="AB30" s="20" t="n">
        <v>0.115</v>
      </c>
      <c r="AC30" s="20" t="n">
        <v>0.2990616022847817</v>
      </c>
      <c r="AD30" s="17">
        <f>IF(OR(Q30="",M30="",M30&lt;=0),"",ROUND(40*MAX(0,MIN(N(Q30)/0.3,1))+IF(OR(R30="",N(Q30)&lt;=0),10,20*MAX(0,1-MIN(R30/Q30,1)))+30*MAX(0,MIN((PARAMETRI!$B$5-M30)/MAX(PARAMETRI!$B$5-10,1),1))+IF(AB30="",3,10*MAX(0,MIN(AB30/0.15,1)))+IF(AND(P30&lt;&gt;"",N(P30)&lt;N(Q30)*0.6),-8,0),1))</f>
        <v/>
      </c>
      <c r="AE30" s="13">
        <f>IF(AND(P30="",Q30=""),"DATI MANCANTI",IF(AND(N(P30)&gt;=PARAMETRI!$B$4,N(Q30)&gt;=PARAMETRI!$B$4),"OK","NO"))</f>
        <v/>
      </c>
      <c r="AF30" s="13">
        <f>IF(M30="","N/D",IF(M30&lt;PARAMETRI!$B$6,"OTTIMO",IF(M30&lt;PARAMETRI!$B$5,"OK","NO")))</f>
        <v/>
      </c>
      <c r="AG30" s="13">
        <f>IF(OR(AE30="DATI MANCANTI",AF30="N/D"),"DA COMPLETARE",IF(AND(AE30="OK",AF30="OTTIMO"),"PASSA FORTE",IF(AND(AE30="OK",AF30="OK"),"PASSA","SCARTA")))</f>
        <v/>
      </c>
      <c r="AH30" s="11" t="inlineStr">
        <is>
          <t>2026-10-12</t>
        </is>
      </c>
      <c r="AI30" s="11" t="inlineStr">
        <is>
          <t>yahoo</t>
        </is>
      </c>
      <c r="AJ30" s="23" t="inlineStr"/>
    </row>
    <row r="31">
      <c r="A31" s="10">
        <f>IF(AD31="","",RANK(AD31,AD$2:AD$167))</f>
        <v/>
      </c>
      <c r="B31" s="11" t="inlineStr">
        <is>
          <t>Nike</t>
        </is>
      </c>
      <c r="C31" s="12" t="inlineStr">
        <is>
          <t>NKE</t>
        </is>
      </c>
      <c r="D31" s="11" t="inlineStr">
        <is>
          <t>Abbigliamento sportivo</t>
        </is>
      </c>
      <c r="E31" s="13" t="inlineStr">
        <is>
          <t>Consumi</t>
        </is>
      </c>
      <c r="F31" s="14" t="n">
        <v>35.1483</v>
      </c>
      <c r="G31" s="15" t="inlineStr">
        <is>
          <t>USD</t>
        </is>
      </c>
      <c r="H31" s="14" t="n">
        <v>31.48584734528772</v>
      </c>
      <c r="I31" s="16" t="n">
        <v>46755.20634484394</v>
      </c>
      <c r="J31" s="16" t="n">
        <v>52193.8</v>
      </c>
      <c r="K31" s="14" t="n">
        <v>2.08</v>
      </c>
      <c r="L31" s="14" t="n">
        <v>1.69088</v>
      </c>
      <c r="M31" s="17">
        <f>IF(OR(F31="",K31="",K31&lt;=0),"",F31/K31)</f>
        <v/>
      </c>
      <c r="N31" s="18" t="n">
        <v>3.5055864</v>
      </c>
      <c r="O31" s="19">
        <f>IF(OR(N31="",M31="",M31&lt;=0),"",N31/M31)</f>
        <v/>
      </c>
      <c r="P31" s="20" t="n">
        <v>0.21563</v>
      </c>
      <c r="Q31" s="20" t="n">
        <v>0.3024388129670675</v>
      </c>
      <c r="R31" s="20" t="n">
        <v>0.07793665822629463</v>
      </c>
      <c r="S31" s="21" t="n">
        <v>4</v>
      </c>
      <c r="T31" s="20" t="n">
        <v>0.2090817356205853</v>
      </c>
      <c r="U31" s="20" t="n">
        <v>0.2436237039279497</v>
      </c>
      <c r="V31" s="20" t="n">
        <v>0.395010395010395</v>
      </c>
      <c r="W31" s="20" t="n">
        <v>0.3620394173093402</v>
      </c>
      <c r="X31" s="20" t="n"/>
      <c r="Y31" s="14" t="n">
        <v>1.64</v>
      </c>
      <c r="Z31" s="19">
        <f>IF(OR(Y31="",F31="",F31=0),"",Y31/F31)</f>
        <v/>
      </c>
      <c r="AA31" s="22" t="n">
        <v>73.095</v>
      </c>
      <c r="AB31" s="20" t="n">
        <v>-0.043</v>
      </c>
      <c r="AC31" s="20" t="n">
        <v>0.06666235475667055</v>
      </c>
      <c r="AD31" s="17">
        <f>IF(OR(Q31="",M31="",M31&lt;=0),"",ROUND(40*MAX(0,MIN(N(Q31)/0.3,1))+IF(OR(R31="",N(Q31)&lt;=0),10,20*MAX(0,1-MIN(R31/Q31,1)))+30*MAX(0,MIN((PARAMETRI!$B$5-M31)/MAX(PARAMETRI!$B$5-10,1),1))+IF(AB31="",3,10*MAX(0,MIN(AB31/0.15,1)))+IF(AND(P31&lt;&gt;"",N(P31)&lt;N(Q31)*0.6),-8,0),1))</f>
        <v/>
      </c>
      <c r="AE31" s="13">
        <f>IF(AND(P31="",Q31=""),"DATI MANCANTI",IF(AND(N(P31)&gt;=PARAMETRI!$B$4,N(Q31)&gt;=PARAMETRI!$B$4),"OK","NO"))</f>
        <v/>
      </c>
      <c r="AF31" s="13">
        <f>IF(M31="","N/D",IF(M31&lt;PARAMETRI!$B$6,"OTTIMO",IF(M31&lt;PARAMETRI!$B$5,"OK","NO")))</f>
        <v/>
      </c>
      <c r="AG31" s="13">
        <f>IF(OR(AE31="DATI MANCANTI",AF31="N/D"),"DA COMPLETARE",IF(AND(AE31="OK",AF31="OTTIMO"),"PASSA FORTE",IF(AND(AE31="OK",AF31="OK"),"PASSA","SCARTA")))</f>
        <v/>
      </c>
      <c r="AH31" s="11" t="inlineStr">
        <is>
          <t>2026-10-12</t>
        </is>
      </c>
      <c r="AI31" s="11" t="inlineStr">
        <is>
          <t>yahoo</t>
        </is>
      </c>
      <c r="AJ31" s="23" t="inlineStr"/>
    </row>
    <row r="32">
      <c r="A32" s="10">
        <f>IF(AD32="","",RANK(AD32,AD$2:AD$167))</f>
        <v/>
      </c>
      <c r="B32" s="11" t="inlineStr">
        <is>
          <t>Airbnb</t>
        </is>
      </c>
      <c r="C32" s="12" t="inlineStr">
        <is>
          <t>ABNB</t>
        </is>
      </c>
      <c r="D32" s="11" t="inlineStr">
        <is>
          <t>Viaggi / Piattaforme</t>
        </is>
      </c>
      <c r="E32" s="13" t="inlineStr">
        <is>
          <t>Consumi</t>
        </is>
      </c>
      <c r="F32" s="14" t="n">
        <v>163.6</v>
      </c>
      <c r="G32" s="15" t="inlineStr">
        <is>
          <t>USD</t>
        </is>
      </c>
      <c r="H32" s="14" t="n">
        <v>146.5528809555248</v>
      </c>
      <c r="I32" s="16" t="n">
        <v>87745.76049210234</v>
      </c>
      <c r="J32" s="16" t="n">
        <v>97952.39999999999</v>
      </c>
      <c r="K32" s="14" t="n">
        <v>4.39</v>
      </c>
      <c r="L32" s="14" t="n">
        <v>6.18629</v>
      </c>
      <c r="M32" s="17">
        <f>IF(OR(F32="",K32="",K32&lt;=0),"",F32/K32)</f>
        <v/>
      </c>
      <c r="N32" s="18" t="n">
        <v>12.374991</v>
      </c>
      <c r="O32" s="19">
        <f>IF(OR(N32="",M32="",M32&lt;=0),"",N32/M32)</f>
        <v/>
      </c>
      <c r="P32" s="20" t="n">
        <v>0.34542</v>
      </c>
      <c r="Q32" s="20" t="n">
        <v>0.3871020421928419</v>
      </c>
      <c r="R32" s="20" t="n">
        <v>0.1160358943905926</v>
      </c>
      <c r="S32" s="21" t="n">
        <v>4</v>
      </c>
      <c r="T32" s="20" t="n"/>
      <c r="U32" s="20" t="n">
        <v>0.3062568605927552</v>
      </c>
      <c r="V32" s="20" t="n">
        <v>0.3147883975273419</v>
      </c>
      <c r="W32" s="20" t="n">
        <v>0.5868952847519902</v>
      </c>
      <c r="X32" s="20" t="n">
        <v>0.3404676258992806</v>
      </c>
      <c r="Y32" s="14" t="n"/>
      <c r="Z32" s="19">
        <f>IF(OR(Y32="",F32="",F32=0),"",Y32/F32)</f>
        <v/>
      </c>
      <c r="AA32" s="22" t="n">
        <v>32.004</v>
      </c>
      <c r="AB32" s="20" t="n">
        <v>0.165</v>
      </c>
      <c r="AC32" s="20" t="n">
        <v>0.2198349860305531</v>
      </c>
      <c r="AD32" s="17">
        <f>IF(OR(Q32="",M32="",M32&lt;=0),"",ROUND(40*MAX(0,MIN(N(Q32)/0.3,1))+IF(OR(R32="",N(Q32)&lt;=0),10,20*MAX(0,1-MIN(R32/Q32,1)))+30*MAX(0,MIN((PARAMETRI!$B$5-M32)/MAX(PARAMETRI!$B$5-10,1),1))+IF(AB32="",3,10*MAX(0,MIN(AB32/0.15,1)))+IF(AND(P32&lt;&gt;"",N(P32)&lt;N(Q32)*0.6),-8,0),1))</f>
        <v/>
      </c>
      <c r="AE32" s="13">
        <f>IF(AND(P32="",Q32=""),"DATI MANCANTI",IF(AND(N(P32)&gt;=PARAMETRI!$B$4,N(Q32)&gt;=PARAMETRI!$B$4),"OK","NO"))</f>
        <v/>
      </c>
      <c r="AF32" s="13">
        <f>IF(M32="","N/D",IF(M32&lt;PARAMETRI!$B$6,"OTTIMO",IF(M32&lt;PARAMETRI!$B$5,"OK","NO")))</f>
        <v/>
      </c>
      <c r="AG32" s="13">
        <f>IF(OR(AE32="DATI MANCANTI",AF32="N/D"),"DA COMPLETARE",IF(AND(AE32="OK",AF32="OTTIMO"),"PASSA FORTE",IF(AND(AE32="OK",AF32="OK"),"PASSA","SCARTA")))</f>
        <v/>
      </c>
      <c r="AH32" s="11" t="inlineStr">
        <is>
          <t>2026-10-12</t>
        </is>
      </c>
      <c r="AI32" s="11" t="inlineStr">
        <is>
          <t>yahoo</t>
        </is>
      </c>
      <c r="AJ32" s="23" t="inlineStr"/>
    </row>
    <row r="33">
      <c r="A33" s="10">
        <f>IF(AD33="","",RANK(AD33,AD$2:AD$167))</f>
        <v/>
      </c>
      <c r="B33" s="11" t="inlineStr">
        <is>
          <t>Bank of America</t>
        </is>
      </c>
      <c r="C33" s="12" t="inlineStr">
        <is>
          <t>BAC</t>
        </is>
      </c>
      <c r="D33" s="11" t="inlineStr">
        <is>
          <t>Banca</t>
        </is>
      </c>
      <c r="E33" s="13" t="inlineStr">
        <is>
          <t>Finanziario</t>
        </is>
      </c>
      <c r="F33" s="14" t="n">
        <v>54.53</v>
      </c>
      <c r="G33" s="15" t="inlineStr">
        <is>
          <t>USD</t>
        </is>
      </c>
      <c r="H33" s="14" t="n">
        <v>48.84797431848879</v>
      </c>
      <c r="I33" s="16" t="n">
        <v>341581.6209071121</v>
      </c>
      <c r="J33" s="16" t="n">
        <v>381314.6</v>
      </c>
      <c r="K33" s="14" t="n">
        <v>4.33</v>
      </c>
      <c r="L33" s="14" t="n">
        <v>5.23698</v>
      </c>
      <c r="M33" s="17">
        <f>IF(OR(F33="",K33="",K33&lt;=0),"",F33/K33)</f>
        <v/>
      </c>
      <c r="N33" s="18" t="n">
        <v>1.3860506</v>
      </c>
      <c r="O33" s="19">
        <f>IF(OR(N33="",M33="",M33&lt;=0),"",N33/M33)</f>
        <v/>
      </c>
      <c r="P33" s="20" t="n">
        <v>0.111990005</v>
      </c>
      <c r="Q33" s="20" t="n">
        <v>0.09583073596940467</v>
      </c>
      <c r="R33" s="20" t="n">
        <v>0.004886619979617854</v>
      </c>
      <c r="S33" s="21" t="n">
        <v>4</v>
      </c>
      <c r="T33" s="20" t="n"/>
      <c r="U33" s="20" t="n">
        <v>0.1006090824850038</v>
      </c>
      <c r="V33" s="20" t="n">
        <v>0.09175644553906444</v>
      </c>
      <c r="W33" s="20" t="n">
        <v>0.0901949623859062</v>
      </c>
      <c r="X33" s="20" t="n">
        <v>0.1007624534676442</v>
      </c>
      <c r="Y33" s="14" t="n">
        <v>1.28</v>
      </c>
      <c r="Z33" s="19">
        <f>IF(OR(Y33="",F33="",F33=0),"",Y33/F33)</f>
        <v/>
      </c>
      <c r="AA33" s="22" t="n"/>
      <c r="AB33" s="20" t="n">
        <v>0.168</v>
      </c>
      <c r="AC33" s="20" t="n">
        <v>0.2840482035774601</v>
      </c>
      <c r="AD33" s="17">
        <f>IF(OR(Q33="",M33="",M33&lt;=0),"",ROUND(40*MAX(0,MIN(N(Q33)/0.3,1))+IF(OR(R33="",N(Q33)&lt;=0),10,20*MAX(0,1-MIN(R33/Q33,1)))+30*MAX(0,MIN((PARAMETRI!$B$5-M33)/MAX(PARAMETRI!$B$5-10,1),1))+IF(AB33="",3,10*MAX(0,MIN(AB33/0.15,1)))+IF(AND(P33&lt;&gt;"",N(P33)&lt;N(Q33)*0.6),-8,0),1))</f>
        <v/>
      </c>
      <c r="AE33" s="13">
        <f>IF(AND(P33="",Q33=""),"DATI MANCANTI",IF(AND(N(P33)&gt;=PARAMETRI!$B$4,N(Q33)&gt;=PARAMETRI!$B$4),"OK","NO"))</f>
        <v/>
      </c>
      <c r="AF33" s="13">
        <f>IF(M33="","N/D",IF(M33&lt;PARAMETRI!$B$6,"OTTIMO",IF(M33&lt;PARAMETRI!$B$5,"OK","NO")))</f>
        <v/>
      </c>
      <c r="AG33" s="13">
        <f>IF(OR(AE33="DATI MANCANTI",AF33="N/D"),"DA COMPLETARE",IF(AND(AE33="OK",AF33="OTTIMO"),"PASSA FORTE",IF(AND(AE33="OK",AF33="OK"),"PASSA","SCARTA")))</f>
        <v/>
      </c>
      <c r="AH33" s="11" t="inlineStr">
        <is>
          <t>2026-10-12</t>
        </is>
      </c>
      <c r="AI33" s="11" t="inlineStr">
        <is>
          <t>yahoo</t>
        </is>
      </c>
      <c r="AJ33" s="23" t="inlineStr"/>
    </row>
    <row r="34">
      <c r="A34" s="10">
        <f>IF(AD34="","",RANK(AD34,AD$2:AD$167))</f>
        <v/>
      </c>
      <c r="B34" s="11" t="inlineStr">
        <is>
          <t>Netflix</t>
        </is>
      </c>
      <c r="C34" s="12" t="inlineStr">
        <is>
          <t>NFLX</t>
        </is>
      </c>
      <c r="D34" s="11" t="inlineStr">
        <is>
          <t>Streaming</t>
        </is>
      </c>
      <c r="E34" s="13" t="inlineStr">
        <is>
          <t>Consumi</t>
        </is>
      </c>
      <c r="F34" s="14" t="n">
        <v>70.80500000000001</v>
      </c>
      <c r="G34" s="15" t="inlineStr">
        <is>
          <t>USD</t>
        </is>
      </c>
      <c r="H34" s="14" t="n">
        <v>63.42711941354482</v>
      </c>
      <c r="I34" s="16" t="n">
        <v>264106.744961976</v>
      </c>
      <c r="J34" s="16" t="n">
        <v>294827.8</v>
      </c>
      <c r="K34" s="14" t="n">
        <v>3.18</v>
      </c>
      <c r="L34" s="14" t="n">
        <v>3.80662</v>
      </c>
      <c r="M34" s="17">
        <f>IF(OR(F34="",K34="",K34&lt;=0),"",F34/K34)</f>
        <v/>
      </c>
      <c r="N34" s="18" t="n">
        <v>9.778345</v>
      </c>
      <c r="O34" s="19">
        <f>IF(OR(N34="",M34="",M34&lt;=0),"",N34/M34)</f>
        <v/>
      </c>
      <c r="P34" s="20" t="n">
        <v>0.49541</v>
      </c>
      <c r="Q34" s="20" t="n">
        <v>0.3108822652973959</v>
      </c>
      <c r="R34" s="20" t="n">
        <v>0.07637252776064919</v>
      </c>
      <c r="S34" s="21" t="n">
        <v>4</v>
      </c>
      <c r="T34" s="20" t="n"/>
      <c r="U34" s="20" t="n">
        <v>0.4125868742290204</v>
      </c>
      <c r="V34" s="20" t="n">
        <v>0.3520766023750739</v>
      </c>
      <c r="W34" s="20" t="n">
        <v>0.262672808597771</v>
      </c>
      <c r="X34" s="20" t="n">
        <v>0.2161927759877186</v>
      </c>
      <c r="Y34" s="14" t="n"/>
      <c r="Z34" s="19">
        <f>IF(OR(Y34="",F34="",F34=0),"",Y34/F34)</f>
        <v/>
      </c>
      <c r="AA34" s="22" t="n">
        <v>55.236</v>
      </c>
      <c r="AB34" s="20" t="n">
        <v>0.134</v>
      </c>
      <c r="AC34" s="20" t="n">
        <v>0.3020966208645209</v>
      </c>
      <c r="AD34" s="17">
        <f>IF(OR(Q34="",M34="",M34&lt;=0),"",ROUND(40*MAX(0,MIN(N(Q34)/0.3,1))+IF(OR(R34="",N(Q34)&lt;=0),10,20*MAX(0,1-MIN(R34/Q34,1)))+30*MAX(0,MIN((PARAMETRI!$B$5-M34)/MAX(PARAMETRI!$B$5-10,1),1))+IF(AB34="",3,10*MAX(0,MIN(AB34/0.15,1)))+IF(AND(P34&lt;&gt;"",N(P34)&lt;N(Q34)*0.6),-8,0),1))</f>
        <v/>
      </c>
      <c r="AE34" s="13">
        <f>IF(AND(P34="",Q34=""),"DATI MANCANTI",IF(AND(N(P34)&gt;=PARAMETRI!$B$4,N(Q34)&gt;=PARAMETRI!$B$4),"OK","NO"))</f>
        <v/>
      </c>
      <c r="AF34" s="13">
        <f>IF(M34="","N/D",IF(M34&lt;PARAMETRI!$B$6,"OTTIMO",IF(M34&lt;PARAMETRI!$B$5,"OK","NO")))</f>
        <v/>
      </c>
      <c r="AG34" s="13">
        <f>IF(OR(AE34="DATI MANCANTI",AF34="N/D"),"DA COMPLETARE",IF(AND(AE34="OK",AF34="OTTIMO"),"PASSA FORTE",IF(AND(AE34="OK",AF34="OK"),"PASSA","SCARTA")))</f>
        <v/>
      </c>
      <c r="AH34" s="11" t="inlineStr">
        <is>
          <t>2026-10-12</t>
        </is>
      </c>
      <c r="AI34" s="11" t="inlineStr">
        <is>
          <t>yahoo</t>
        </is>
      </c>
      <c r="AJ34" s="23" t="inlineStr"/>
    </row>
    <row r="35">
      <c r="A35" s="10">
        <f>IF(AD35="","",RANK(AD35,AD$2:AD$167))</f>
        <v/>
      </c>
      <c r="B35" s="11" t="inlineStr">
        <is>
          <t>Coca-Cola</t>
        </is>
      </c>
      <c r="C35" s="12" t="inlineStr">
        <is>
          <t>KO</t>
        </is>
      </c>
      <c r="D35" s="11" t="inlineStr">
        <is>
          <t>Bevande</t>
        </is>
      </c>
      <c r="E35" s="13" t="inlineStr">
        <is>
          <t>Consumi</t>
        </is>
      </c>
      <c r="F35" s="14" t="n">
        <v>89.36499999999999</v>
      </c>
      <c r="G35" s="15" t="inlineStr">
        <is>
          <t>USD</t>
        </is>
      </c>
      <c r="H35" s="14" t="n">
        <v>80.05316752194663</v>
      </c>
      <c r="I35" s="16" t="n">
        <v>344432.683585701</v>
      </c>
      <c r="J35" s="16" t="n">
        <v>384497.3</v>
      </c>
      <c r="K35" s="14" t="n">
        <v>3.33</v>
      </c>
      <c r="L35" s="14" t="n">
        <v>3.52639</v>
      </c>
      <c r="M35" s="17">
        <f>IF(OR(F35="",K35="",K35&lt;=0),"",F35/K35)</f>
        <v/>
      </c>
      <c r="N35" s="18" t="n">
        <v>10.6374235</v>
      </c>
      <c r="O35" s="19">
        <f>IF(OR(N35="",M35="",M35&lt;=0),"",N35/M35)</f>
        <v/>
      </c>
      <c r="P35" s="20" t="n">
        <v>0.42054</v>
      </c>
      <c r="Q35" s="20" t="n">
        <v>0.4110027875944097</v>
      </c>
      <c r="R35" s="20" t="n">
        <v>0.01145865829768229</v>
      </c>
      <c r="S35" s="21" t="n">
        <v>4</v>
      </c>
      <c r="T35" s="20" t="n"/>
      <c r="U35" s="20" t="n">
        <v>0.4074419472162641</v>
      </c>
      <c r="V35" s="20" t="n">
        <v>0.4277035725780496</v>
      </c>
      <c r="W35" s="20" t="n">
        <v>0.4130141474885317</v>
      </c>
      <c r="X35" s="20" t="n">
        <v>0.3958514830947936</v>
      </c>
      <c r="Y35" s="14" t="n">
        <v>2.12</v>
      </c>
      <c r="Z35" s="19">
        <f>IF(OR(Y35="",F35="",F35=0),"",Y35/F35)</f>
        <v/>
      </c>
      <c r="AA35" s="22" t="n">
        <v>115.519</v>
      </c>
      <c r="AB35" s="20" t="n">
        <v>0.067</v>
      </c>
      <c r="AC35" s="20" t="n">
        <v>0.2986170554640079</v>
      </c>
      <c r="AD35" s="17">
        <f>IF(OR(Q35="",M35="",M35&lt;=0),"",ROUND(40*MAX(0,MIN(N(Q35)/0.3,1))+IF(OR(R35="",N(Q35)&lt;=0),10,20*MAX(0,1-MIN(R35/Q35,1)))+30*MAX(0,MIN((PARAMETRI!$B$5-M35)/MAX(PARAMETRI!$B$5-10,1),1))+IF(AB35="",3,10*MAX(0,MIN(AB35/0.15,1)))+IF(AND(P35&lt;&gt;"",N(P35)&lt;N(Q35)*0.6),-8,0),1))</f>
        <v/>
      </c>
      <c r="AE35" s="13">
        <f>IF(AND(P35="",Q35=""),"DATI MANCANTI",IF(AND(N(P35)&gt;=PARAMETRI!$B$4,N(Q35)&gt;=PARAMETRI!$B$4),"OK","NO"))</f>
        <v/>
      </c>
      <c r="AF35" s="13">
        <f>IF(M35="","N/D",IF(M35&lt;PARAMETRI!$B$6,"OTTIMO",IF(M35&lt;PARAMETRI!$B$5,"OK","NO")))</f>
        <v/>
      </c>
      <c r="AG35" s="13">
        <f>IF(OR(AE35="DATI MANCANTI",AF35="N/D"),"DA COMPLETARE",IF(AND(AE35="OK",AF35="OTTIMO"),"PASSA FORTE",IF(AND(AE35="OK",AF35="OK"),"PASSA","SCARTA")))</f>
        <v/>
      </c>
      <c r="AH35" s="11" t="inlineStr">
        <is>
          <t>2026-10-12</t>
        </is>
      </c>
      <c r="AI35" s="11" t="inlineStr">
        <is>
          <t>yahoo</t>
        </is>
      </c>
      <c r="AJ35" s="23" t="inlineStr"/>
    </row>
    <row r="36">
      <c r="A36" s="10">
        <f>IF(AD36="","",RANK(AD36,AD$2:AD$167))</f>
        <v/>
      </c>
      <c r="B36" s="11" t="inlineStr">
        <is>
          <t>Sherwin-Williams</t>
        </is>
      </c>
      <c r="C36" s="12" t="inlineStr">
        <is>
          <t>SHW</t>
        </is>
      </c>
      <c r="D36" s="11" t="inlineStr">
        <is>
          <t>Vernici</t>
        </is>
      </c>
      <c r="E36" s="13" t="inlineStr">
        <is>
          <t>Materiali</t>
        </is>
      </c>
      <c r="F36" s="14" t="n">
        <v>322.155</v>
      </c>
      <c r="G36" s="15" t="inlineStr">
        <is>
          <t>USD</t>
        </is>
      </c>
      <c r="H36" s="14" t="n">
        <v>288.5864508815836</v>
      </c>
      <c r="I36" s="16" t="n">
        <v>70056.66651676946</v>
      </c>
      <c r="J36" s="16" t="n">
        <v>78205.7</v>
      </c>
      <c r="K36" s="14" t="n">
        <v>10.85</v>
      </c>
      <c r="L36" s="14" t="n">
        <v>13.54297</v>
      </c>
      <c r="M36" s="17">
        <f>IF(OR(F36="",K36="",K36&lt;=0),"",F36/K36)</f>
        <v/>
      </c>
      <c r="N36" s="18" t="n">
        <v>20.168722</v>
      </c>
      <c r="O36" s="19">
        <f>IF(OR(N36="",M36="",M36&lt;=0),"",N36/M36)</f>
        <v/>
      </c>
      <c r="P36" s="20" t="n">
        <v>0.65124</v>
      </c>
      <c r="Q36" s="20" t="n">
        <v>0.628633586608092</v>
      </c>
      <c r="R36" s="20" t="n">
        <v>0.04100468246861673</v>
      </c>
      <c r="S36" s="21" t="n">
        <v>4</v>
      </c>
      <c r="T36" s="20" t="n"/>
      <c r="U36" s="20" t="n">
        <v>0.5585759954765892</v>
      </c>
      <c r="V36" s="20" t="n">
        <v>0.661877962085308</v>
      </c>
      <c r="W36" s="20" t="n">
        <v>0.642876365789332</v>
      </c>
      <c r="X36" s="20" t="n">
        <v>0.6512040230811386</v>
      </c>
      <c r="Y36" s="14" t="n">
        <v>3.2</v>
      </c>
      <c r="Z36" s="19">
        <f>IF(OR(Y36="",F36="",F36=0),"",Y36/F36)</f>
        <v/>
      </c>
      <c r="AA36" s="22" t="n">
        <v>389.958</v>
      </c>
      <c r="AB36" s="20" t="n">
        <v>0.075</v>
      </c>
      <c r="AC36" s="20" t="n">
        <v>0.1140309547261212</v>
      </c>
      <c r="AD36" s="17">
        <f>IF(OR(Q36="",M36="",M36&lt;=0),"",ROUND(40*MAX(0,MIN(N(Q36)/0.3,1))+IF(OR(R36="",N(Q36)&lt;=0),10,20*MAX(0,1-MIN(R36/Q36,1)))+30*MAX(0,MIN((PARAMETRI!$B$5-M36)/MAX(PARAMETRI!$B$5-10,1),1))+IF(AB36="",3,10*MAX(0,MIN(AB36/0.15,1)))+IF(AND(P36&lt;&gt;"",N(P36)&lt;N(Q36)*0.6),-8,0),1))</f>
        <v/>
      </c>
      <c r="AE36" s="13">
        <f>IF(AND(P36="",Q36=""),"DATI MANCANTI",IF(AND(N(P36)&gt;=PARAMETRI!$B$4,N(Q36)&gt;=PARAMETRI!$B$4),"OK","NO"))</f>
        <v/>
      </c>
      <c r="AF36" s="13">
        <f>IF(M36="","N/D",IF(M36&lt;PARAMETRI!$B$6,"OTTIMO",IF(M36&lt;PARAMETRI!$B$5,"OK","NO")))</f>
        <v/>
      </c>
      <c r="AG36" s="13">
        <f>IF(OR(AE36="DATI MANCANTI",AF36="N/D"),"DA COMPLETARE",IF(AND(AE36="OK",AF36="OTTIMO"),"PASSA FORTE",IF(AND(AE36="OK",AF36="OK"),"PASSA","SCARTA")))</f>
        <v/>
      </c>
      <c r="AH36" s="11" t="inlineStr">
        <is>
          <t>2026-10-12</t>
        </is>
      </c>
      <c r="AI36" s="11" t="inlineStr">
        <is>
          <t>yahoo</t>
        </is>
      </c>
      <c r="AJ36" s="23" t="inlineStr"/>
    </row>
    <row r="37">
      <c r="A37" s="10">
        <f>IF(AD37="","",RANK(AD37,AD$2:AD$167))</f>
        <v/>
      </c>
      <c r="B37" s="11" t="inlineStr">
        <is>
          <t>Texas Instruments</t>
        </is>
      </c>
      <c r="C37" s="12" t="inlineStr">
        <is>
          <t>TXN</t>
        </is>
      </c>
      <c r="D37" s="11" t="inlineStr">
        <is>
          <t>Semiconduttori</t>
        </is>
      </c>
      <c r="E37" s="13" t="inlineStr">
        <is>
          <t>Tecnologia</t>
        </is>
      </c>
      <c r="F37" s="14" t="n">
        <v>281.71</v>
      </c>
      <c r="G37" s="15" t="inlineStr">
        <is>
          <t>USD</t>
        </is>
      </c>
      <c r="H37" s="14" t="n">
        <v>252.3558196453599</v>
      </c>
      <c r="I37" s="16" t="n">
        <v>230463.3633026211</v>
      </c>
      <c r="J37" s="16" t="n">
        <v>257271</v>
      </c>
      <c r="K37" s="14" t="n">
        <v>6.57</v>
      </c>
      <c r="L37" s="14" t="n">
        <v>10.64485</v>
      </c>
      <c r="M37" s="17">
        <f>IF(OR(F37="",K37="",K37&lt;=0),"",F37/K37)</f>
        <v/>
      </c>
      <c r="N37" s="18" t="n">
        <v>14.283324</v>
      </c>
      <c r="O37" s="19">
        <f>IF(OR(N37="",M37="",M37&lt;=0),"",N37/M37)</f>
        <v/>
      </c>
      <c r="P37" s="20" t="n">
        <v>0.35176</v>
      </c>
      <c r="Q37" s="20" t="n">
        <v>0.3941751364874861</v>
      </c>
      <c r="R37" s="20" t="n">
        <v>0.124723387337169</v>
      </c>
      <c r="S37" s="21" t="n">
        <v>4</v>
      </c>
      <c r="T37" s="20" t="n"/>
      <c r="U37" s="20" t="n">
        <v>0.3073188717507528</v>
      </c>
      <c r="V37" s="20" t="n">
        <v>0.2839140980890966</v>
      </c>
      <c r="W37" s="20" t="n">
        <v>0.3852754926910102</v>
      </c>
      <c r="X37" s="20" t="n">
        <v>0.6001920834190848</v>
      </c>
      <c r="Y37" s="14" t="n">
        <v>6.08</v>
      </c>
      <c r="Z37" s="19">
        <f>IF(OR(Y37="",F37="",F37=0),"",Y37/F37)</f>
        <v/>
      </c>
      <c r="AA37" s="22" t="n">
        <v>78.036</v>
      </c>
      <c r="AB37" s="20" t="n">
        <v>0.228</v>
      </c>
      <c r="AC37" s="20" t="n">
        <v>0.3402895563850243</v>
      </c>
      <c r="AD37" s="17">
        <f>IF(OR(Q37="",M37="",M37&lt;=0),"",ROUND(40*MAX(0,MIN(N(Q37)/0.3,1))+IF(OR(R37="",N(Q37)&lt;=0),10,20*MAX(0,1-MIN(R37/Q37,1)))+30*MAX(0,MIN((PARAMETRI!$B$5-M37)/MAX(PARAMETRI!$B$5-10,1),1))+IF(AB37="",3,10*MAX(0,MIN(AB37/0.15,1)))+IF(AND(P37&lt;&gt;"",N(P37)&lt;N(Q37)*0.6),-8,0),1))</f>
        <v/>
      </c>
      <c r="AE37" s="13">
        <f>IF(AND(P37="",Q37=""),"DATI MANCANTI",IF(AND(N(P37)&gt;=PARAMETRI!$B$4,N(Q37)&gt;=PARAMETRI!$B$4),"OK","NO"))</f>
        <v/>
      </c>
      <c r="AF37" s="13">
        <f>IF(M37="","N/D",IF(M37&lt;PARAMETRI!$B$6,"OTTIMO",IF(M37&lt;PARAMETRI!$B$5,"OK","NO")))</f>
        <v/>
      </c>
      <c r="AG37" s="13">
        <f>IF(OR(AE37="DATI MANCANTI",AF37="N/D"),"DA COMPLETARE",IF(AND(AE37="OK",AF37="OTTIMO"),"PASSA FORTE",IF(AND(AE37="OK",AF37="OK"),"PASSA","SCARTA")))</f>
        <v/>
      </c>
      <c r="AH37" s="11" t="inlineStr">
        <is>
          <t>2026-10-12</t>
        </is>
      </c>
      <c r="AI37" s="11" t="inlineStr">
        <is>
          <t>yahoo</t>
        </is>
      </c>
      <c r="AJ37" s="23" t="inlineStr"/>
    </row>
    <row r="38">
      <c r="A38" s="10">
        <f>IF(AD38="","",RANK(AD38,AD$2:AD$167))</f>
        <v/>
      </c>
      <c r="B38" s="11" t="inlineStr">
        <is>
          <t>Chipotle Mexican Grill</t>
        </is>
      </c>
      <c r="C38" s="12" t="inlineStr">
        <is>
          <t>CMG</t>
        </is>
      </c>
      <c r="D38" s="11" t="inlineStr">
        <is>
          <t>Ristorazione</t>
        </is>
      </c>
      <c r="E38" s="13" t="inlineStr">
        <is>
          <t>Consumi</t>
        </is>
      </c>
      <c r="F38" s="14" t="n">
        <v>29.98</v>
      </c>
      <c r="G38" s="15" t="inlineStr">
        <is>
          <t>USD</t>
        </is>
      </c>
      <c r="H38" s="14" t="n">
        <v>26.85608417510166</v>
      </c>
      <c r="I38" s="16" t="n">
        <v>33984.14398157661</v>
      </c>
      <c r="J38" s="16" t="n">
        <v>37937.2</v>
      </c>
      <c r="K38" s="14" t="n">
        <v>1.09</v>
      </c>
      <c r="L38" s="14" t="n">
        <v>1.36869</v>
      </c>
      <c r="M38" s="17">
        <f>IF(OR(F38="",K38="",K38&lt;=0),"",F38/K38)</f>
        <v/>
      </c>
      <c r="N38" s="18" t="n">
        <v>17.27954</v>
      </c>
      <c r="O38" s="19">
        <f>IF(OR(N38="",M38="",M38&lt;=0),"",N38/M38)</f>
        <v/>
      </c>
      <c r="P38" s="20" t="n">
        <v>0.49560001</v>
      </c>
      <c r="Q38" s="20" t="n">
        <v>0.4357911689420391</v>
      </c>
      <c r="R38" s="20" t="n">
        <v>0.06324374116647129</v>
      </c>
      <c r="S38" s="21" t="n">
        <v>4</v>
      </c>
      <c r="T38" s="20" t="n"/>
      <c r="U38" s="20" t="n">
        <v>0.5425553600340846</v>
      </c>
      <c r="V38" s="20" t="n">
        <v>0.4196664465445107</v>
      </c>
      <c r="W38" s="20" t="n">
        <v>0.4012586347036631</v>
      </c>
      <c r="X38" s="20" t="n">
        <v>0.3796842344858982</v>
      </c>
      <c r="Y38" s="14" t="n"/>
      <c r="Z38" s="19">
        <f>IF(OR(Y38="",F38="",F38=0),"",Y38/F38)</f>
        <v/>
      </c>
      <c r="AA38" s="22" t="n">
        <v>246.35</v>
      </c>
      <c r="AB38" s="20" t="n">
        <v>0.093</v>
      </c>
      <c r="AC38" s="20" t="n">
        <v>0.1190217542914609</v>
      </c>
      <c r="AD38" s="17">
        <f>IF(OR(Q38="",M38="",M38&lt;=0),"",ROUND(40*MAX(0,MIN(N(Q38)/0.3,1))+IF(OR(R38="",N(Q38)&lt;=0),10,20*MAX(0,1-MIN(R38/Q38,1)))+30*MAX(0,MIN((PARAMETRI!$B$5-M38)/MAX(PARAMETRI!$B$5-10,1),1))+IF(AB38="",3,10*MAX(0,MIN(AB38/0.15,1)))+IF(AND(P38&lt;&gt;"",N(P38)&lt;N(Q38)*0.6),-8,0),1))</f>
        <v/>
      </c>
      <c r="AE38" s="13">
        <f>IF(AND(P38="",Q38=""),"DATI MANCANTI",IF(AND(N(P38)&gt;=PARAMETRI!$B$4,N(Q38)&gt;=PARAMETRI!$B$4),"OK","NO"))</f>
        <v/>
      </c>
      <c r="AF38" s="13">
        <f>IF(M38="","N/D",IF(M38&lt;PARAMETRI!$B$6,"OTTIMO",IF(M38&lt;PARAMETRI!$B$5,"OK","NO")))</f>
        <v/>
      </c>
      <c r="AG38" s="13">
        <f>IF(OR(AE38="DATI MANCANTI",AF38="N/D"),"DA COMPLETARE",IF(AND(AE38="OK",AF38="OTTIMO"),"PASSA FORTE",IF(AND(AE38="OK",AF38="OK"),"PASSA","SCARTA")))</f>
        <v/>
      </c>
      <c r="AH38" s="11" t="inlineStr">
        <is>
          <t>2026-10-12</t>
        </is>
      </c>
      <c r="AI38" s="11" t="inlineStr">
        <is>
          <t>yahoo</t>
        </is>
      </c>
      <c r="AJ38" s="23" t="inlineStr"/>
    </row>
    <row r="39">
      <c r="A39" s="10">
        <f>IF(AD39="","",RANK(AD39,AD$2:AD$167))</f>
        <v/>
      </c>
      <c r="B39" s="11" t="inlineStr">
        <is>
          <t>Costco Wholesale</t>
        </is>
      </c>
      <c r="C39" s="12" t="inlineStr">
        <is>
          <t>COST</t>
        </is>
      </c>
      <c r="D39" s="11" t="inlineStr">
        <is>
          <t>Grande distribuzione</t>
        </is>
      </c>
      <c r="E39" s="13" t="inlineStr">
        <is>
          <t>Consumi</t>
        </is>
      </c>
      <c r="F39" s="14" t="n">
        <v>960.63</v>
      </c>
      <c r="G39" s="15" t="inlineStr">
        <is>
          <t>USD</t>
        </is>
      </c>
      <c r="H39" s="14" t="n">
        <v>860.5323596106708</v>
      </c>
      <c r="I39" s="16" t="n">
        <v>381327.1922062532</v>
      </c>
      <c r="J39" s="16" t="n">
        <v>425683.4</v>
      </c>
      <c r="K39" s="14" t="n">
        <v>20.76</v>
      </c>
      <c r="L39" s="14" t="n">
        <v>24.9981</v>
      </c>
      <c r="M39" s="17">
        <f>IF(OR(F39="",K39="",K39&lt;=0),"",F39/K39)</f>
        <v/>
      </c>
      <c r="N39" s="18" t="n">
        <v>11.893253</v>
      </c>
      <c r="O39" s="19">
        <f>IF(OR(N39="",M39="",M39&lt;=0),"",N39/M39)</f>
        <v/>
      </c>
      <c r="P39" s="20" t="n">
        <v>0.28402</v>
      </c>
      <c r="Q39" s="20" t="n">
        <v>0.2809463090154591</v>
      </c>
      <c r="R39" s="20" t="n">
        <v>0.02157800377927351</v>
      </c>
      <c r="S39" s="21" t="n">
        <v>4</v>
      </c>
      <c r="T39" s="20" t="n"/>
      <c r="U39" s="20" t="n">
        <v>0.2777053902071047</v>
      </c>
      <c r="V39" s="20" t="n">
        <v>0.3118702904072475</v>
      </c>
      <c r="W39" s="20" t="n">
        <v>0.2510974539069359</v>
      </c>
      <c r="X39" s="20" t="n">
        <v>0.2831121015405484</v>
      </c>
      <c r="Y39" s="14" t="n">
        <v>5.88</v>
      </c>
      <c r="Z39" s="19">
        <f>IF(OR(Y39="",F39="",F39=0),"",Y39/F39)</f>
        <v/>
      </c>
      <c r="AA39" s="22" t="n">
        <v>28.436</v>
      </c>
      <c r="AB39" s="20" t="n">
        <v>0.111</v>
      </c>
      <c r="AC39" s="20" t="n">
        <v>0.03352044755935837</v>
      </c>
      <c r="AD39" s="17">
        <f>IF(OR(Q39="",M39="",M39&lt;=0),"",ROUND(40*MAX(0,MIN(N(Q39)/0.3,1))+IF(OR(R39="",N(Q39)&lt;=0),10,20*MAX(0,1-MIN(R39/Q39,1)))+30*MAX(0,MIN((PARAMETRI!$B$5-M39)/MAX(PARAMETRI!$B$5-10,1),1))+IF(AB39="",3,10*MAX(0,MIN(AB39/0.15,1)))+IF(AND(P39&lt;&gt;"",N(P39)&lt;N(Q39)*0.6),-8,0),1))</f>
        <v/>
      </c>
      <c r="AE39" s="13">
        <f>IF(AND(P39="",Q39=""),"DATI MANCANTI",IF(AND(N(P39)&gt;=PARAMETRI!$B$4,N(Q39)&gt;=PARAMETRI!$B$4),"OK","NO"))</f>
        <v/>
      </c>
      <c r="AF39" s="13">
        <f>IF(M39="","N/D",IF(M39&lt;PARAMETRI!$B$6,"OTTIMO",IF(M39&lt;PARAMETRI!$B$5,"OK","NO")))</f>
        <v/>
      </c>
      <c r="AG39" s="13">
        <f>IF(OR(AE39="DATI MANCANTI",AF39="N/D"),"DA COMPLETARE",IF(AND(AE39="OK",AF39="OTTIMO"),"PASSA FORTE",IF(AND(AE39="OK",AF39="OK"),"PASSA","SCARTA")))</f>
        <v/>
      </c>
      <c r="AH39" s="11" t="inlineStr">
        <is>
          <t>2026-10-12</t>
        </is>
      </c>
      <c r="AI39" s="11" t="inlineStr">
        <is>
          <t>yahoo</t>
        </is>
      </c>
      <c r="AJ39" s="23" t="inlineStr"/>
    </row>
    <row r="40">
      <c r="A40" s="10">
        <f>IF(AD40="","",RANK(AD40,AD$2:AD$167))</f>
        <v/>
      </c>
      <c r="B40" s="11" t="inlineStr">
        <is>
          <t>Illinois Tool Works</t>
        </is>
      </c>
      <c r="C40" s="12" t="inlineStr">
        <is>
          <t>ITW</t>
        </is>
      </c>
      <c r="D40" s="11" t="inlineStr">
        <is>
          <t>Componenti industriali</t>
        </is>
      </c>
      <c r="E40" s="13" t="inlineStr">
        <is>
          <t>Industriale</t>
        </is>
      </c>
      <c r="F40" s="14" t="n">
        <v>267.03</v>
      </c>
      <c r="G40" s="15" t="inlineStr">
        <is>
          <t>USD</t>
        </is>
      </c>
      <c r="H40" s="14" t="n">
        <v>239.2054755596197</v>
      </c>
      <c r="I40" s="16" t="n">
        <v>68125.68002417943</v>
      </c>
      <c r="J40" s="16" t="n">
        <v>76050.10000000001</v>
      </c>
      <c r="K40" s="14" t="n">
        <v>11.03</v>
      </c>
      <c r="L40" s="14" t="n">
        <v>12.34399</v>
      </c>
      <c r="M40" s="17">
        <f>IF(OR(F40="",K40="",K40&lt;=0),"",F40/K40)</f>
        <v/>
      </c>
      <c r="N40" s="18" t="n">
        <v>26.277308</v>
      </c>
      <c r="O40" s="19">
        <f>IF(OR(N40="",M40="",M40&lt;=0),"",N40/M40)</f>
        <v/>
      </c>
      <c r="P40" s="20" t="n">
        <v>1.04618</v>
      </c>
      <c r="Q40" s="20" t="n">
        <v>0.9917050145447759</v>
      </c>
      <c r="R40" s="20" t="n">
        <v>0.03703105237820289</v>
      </c>
      <c r="S40" s="21" t="n">
        <v>4</v>
      </c>
      <c r="T40" s="20" t="n"/>
      <c r="U40" s="20" t="n">
        <v>0.9506976744186046</v>
      </c>
      <c r="V40" s="20" t="n">
        <v>1.051869722557298</v>
      </c>
      <c r="W40" s="20" t="n">
        <v>0.9817397078353254</v>
      </c>
      <c r="X40" s="20" t="n">
        <v>0.9825129533678757</v>
      </c>
      <c r="Y40" s="14" t="n">
        <v>6.88</v>
      </c>
      <c r="Z40" s="19">
        <f>IF(OR(Y40="",F40="",F40=0),"",Y40/F40)</f>
        <v/>
      </c>
      <c r="AA40" s="22" t="n">
        <v>334.853</v>
      </c>
      <c r="AB40" s="20" t="n">
        <v>0.061</v>
      </c>
      <c r="AC40" s="20" t="n">
        <v>0.1990775287958115</v>
      </c>
      <c r="AD40" s="17">
        <f>IF(OR(Q40="",M40="",M40&lt;=0),"",ROUND(40*MAX(0,MIN(N(Q40)/0.3,1))+IF(OR(R40="",N(Q40)&lt;=0),10,20*MAX(0,1-MIN(R40/Q40,1)))+30*MAX(0,MIN((PARAMETRI!$B$5-M40)/MAX(PARAMETRI!$B$5-10,1),1))+IF(AB40="",3,10*MAX(0,MIN(AB40/0.15,1)))+IF(AND(P40&lt;&gt;"",N(P40)&lt;N(Q40)*0.6),-8,0),1))</f>
        <v/>
      </c>
      <c r="AE40" s="13">
        <f>IF(AND(P40="",Q40=""),"DATI MANCANTI",IF(AND(N(P40)&gt;=PARAMETRI!$B$4,N(Q40)&gt;=PARAMETRI!$B$4),"OK","NO"))</f>
        <v/>
      </c>
      <c r="AF40" s="13">
        <f>IF(M40="","N/D",IF(M40&lt;PARAMETRI!$B$6,"OTTIMO",IF(M40&lt;PARAMETRI!$B$5,"OK","NO")))</f>
        <v/>
      </c>
      <c r="AG40" s="13">
        <f>IF(OR(AE40="DATI MANCANTI",AF40="N/D"),"DA COMPLETARE",IF(AND(AE40="OK",AF40="OTTIMO"),"PASSA FORTE",IF(AND(AE40="OK",AF40="OK"),"PASSA","SCARTA")))</f>
        <v/>
      </c>
      <c r="AH40" s="11" t="inlineStr">
        <is>
          <t>2026-10-12</t>
        </is>
      </c>
      <c r="AI40" s="11" t="inlineStr">
        <is>
          <t>yahoo</t>
        </is>
      </c>
      <c r="AJ40" s="23" t="inlineStr"/>
    </row>
    <row r="41">
      <c r="A41" s="10">
        <f>IF(AD41="","",RANK(AD41,AD$2:AD$167))</f>
        <v/>
      </c>
      <c r="B41" s="11" t="inlineStr">
        <is>
          <t>Booking Holdings</t>
        </is>
      </c>
      <c r="C41" s="12" t="inlineStr">
        <is>
          <t>BKNG</t>
        </is>
      </c>
      <c r="D41" s="11" t="inlineStr">
        <is>
          <t>Viaggi</t>
        </is>
      </c>
      <c r="E41" s="13" t="inlineStr">
        <is>
          <t>Consumi</t>
        </is>
      </c>
      <c r="F41" s="14" t="n">
        <v>158.06</v>
      </c>
      <c r="G41" s="15" t="inlineStr">
        <is>
          <t>USD</t>
        </is>
      </c>
      <c r="H41" s="14" t="n">
        <v>141.5901489231678</v>
      </c>
      <c r="I41" s="16" t="n">
        <v>109715.1660553429</v>
      </c>
      <c r="J41" s="16" t="n">
        <v>122477.3</v>
      </c>
      <c r="K41" s="14" t="n">
        <v>9.02</v>
      </c>
      <c r="L41" s="14" t="n">
        <v>12.37827</v>
      </c>
      <c r="M41" s="17">
        <f>IF(OR(F41="",K41="",K41&lt;=0),"",F41/K41)</f>
        <v/>
      </c>
      <c r="N41" s="18" t="n">
        <v>-11.110642</v>
      </c>
      <c r="O41" s="19">
        <f>IF(OR(N41="",M41="",M41&lt;=0),"",N41/M41)</f>
        <v/>
      </c>
      <c r="P41" s="20" t="n">
        <v>1.09920920201294</v>
      </c>
      <c r="Q41" s="20" t="n">
        <v>1.09920920201294</v>
      </c>
      <c r="R41" s="20" t="n"/>
      <c r="S41" s="21" t="n">
        <v>1</v>
      </c>
      <c r="T41" s="20" t="n"/>
      <c r="U41" s="20" t="n"/>
      <c r="V41" s="20" t="n"/>
      <c r="W41" s="20" t="n"/>
      <c r="X41" s="20" t="n">
        <v>1.09920920201294</v>
      </c>
      <c r="Y41" s="14" t="n">
        <v>1.68</v>
      </c>
      <c r="Z41" s="19">
        <f>IF(OR(Y41="",F41="",F41=0),"",Y41/F41)</f>
        <v/>
      </c>
      <c r="AA41" s="22" t="n"/>
      <c r="AB41" s="20" t="n">
        <v>0.081</v>
      </c>
      <c r="AC41" s="20" t="n">
        <v>0.2678233063119961</v>
      </c>
      <c r="AD41" s="17">
        <f>IF(OR(Q41="",M41="",M41&lt;=0),"",ROUND(40*MAX(0,MIN(N(Q41)/0.3,1))+IF(OR(R41="",N(Q41)&lt;=0),10,20*MAX(0,1-MIN(R41/Q41,1)))+30*MAX(0,MIN((PARAMETRI!$B$5-M41)/MAX(PARAMETRI!$B$5-10,1),1))+IF(AB41="",3,10*MAX(0,MIN(AB41/0.15,1)))+IF(AND(P41&lt;&gt;"",N(P41)&lt;N(Q41)*0.6),-8,0),1))</f>
        <v/>
      </c>
      <c r="AE41" s="13">
        <f>IF(AND(P41="",Q41=""),"DATI MANCANTI",IF(AND(N(P41)&gt;=PARAMETRI!$B$4,N(Q41)&gt;=PARAMETRI!$B$4),"OK","NO"))</f>
        <v/>
      </c>
      <c r="AF41" s="13">
        <f>IF(M41="","N/D",IF(M41&lt;PARAMETRI!$B$6,"OTTIMO",IF(M41&lt;PARAMETRI!$B$5,"OK","NO")))</f>
        <v/>
      </c>
      <c r="AG41" s="13">
        <f>IF(OR(AE41="DATI MANCANTI",AF41="N/D"),"DA COMPLETARE",IF(AND(AE41="OK",AF41="OTTIMO"),"PASSA FORTE",IF(AND(AE41="OK",AF41="OK"),"PASSA","SCARTA")))</f>
        <v/>
      </c>
      <c r="AH41" s="11" t="inlineStr">
        <is>
          <t>2026-10-12</t>
        </is>
      </c>
      <c r="AI41" s="11" t="inlineStr">
        <is>
          <t>yahoo</t>
        </is>
      </c>
      <c r="AJ41" s="23" t="inlineStr"/>
    </row>
    <row r="42">
      <c r="A42" s="10">
        <f>IF(AD42="","",RANK(AD42,AD$2:AD$167))</f>
        <v/>
      </c>
      <c r="B42" s="11" t="inlineStr">
        <is>
          <t>Blackstone</t>
        </is>
      </c>
      <c r="C42" s="12" t="inlineStr">
        <is>
          <t>BX</t>
        </is>
      </c>
      <c r="D42" s="11" t="inlineStr">
        <is>
          <t>Private equity</t>
        </is>
      </c>
      <c r="E42" s="13" t="inlineStr">
        <is>
          <t>Finanziario</t>
        </is>
      </c>
      <c r="F42" s="14" t="n">
        <v>114.29</v>
      </c>
      <c r="G42" s="15" t="inlineStr">
        <is>
          <t>USD</t>
        </is>
      </c>
      <c r="H42" s="14" t="n">
        <v>102.380982667524</v>
      </c>
      <c r="I42" s="16" t="n">
        <v>122375.7762778901</v>
      </c>
      <c r="J42" s="16" t="n">
        <v>136610.6</v>
      </c>
      <c r="K42" s="14" t="n">
        <v>4.47</v>
      </c>
      <c r="L42" s="14" t="n">
        <v>7.42042</v>
      </c>
      <c r="M42" s="17">
        <f>IF(OR(F42="",K42="",K42&lt;=0),"",F42/K42)</f>
        <v/>
      </c>
      <c r="N42" s="18" t="n">
        <v>10.141982</v>
      </c>
      <c r="O42" s="19">
        <f>IF(OR(N42="",M42="",M42&lt;=0),"",N42/M42)</f>
        <v/>
      </c>
      <c r="P42" s="20" t="n">
        <v>0.31374002</v>
      </c>
      <c r="Q42" s="20" t="n">
        <v>0.2797041245748269</v>
      </c>
      <c r="R42" s="20" t="n">
        <v>0.06422837139830108</v>
      </c>
      <c r="S42" s="21" t="n">
        <v>4</v>
      </c>
      <c r="T42" s="20" t="n"/>
      <c r="U42" s="20" t="n">
        <v>0.3484167031522379</v>
      </c>
      <c r="V42" s="20" t="n">
        <v>0.3380905349413399</v>
      </c>
      <c r="W42" s="20" t="n">
        <v>0.2040371447122241</v>
      </c>
      <c r="X42" s="20" t="n">
        <v>0.2282721154935056</v>
      </c>
      <c r="Y42" s="14" t="n">
        <v>5.23</v>
      </c>
      <c r="Z42" s="19">
        <f>IF(OR(Y42="",F42="",F42=0),"",Y42/F42)</f>
        <v/>
      </c>
      <c r="AA42" s="22" t="n">
        <v>68.185</v>
      </c>
      <c r="AB42" s="20" t="n">
        <v>0.286</v>
      </c>
      <c r="AC42" s="20" t="n">
        <v>0.2835642627903986</v>
      </c>
      <c r="AD42" s="17">
        <f>IF(OR(Q42="",M42="",M42&lt;=0),"",ROUND(40*MAX(0,MIN(N(Q42)/0.3,1))+IF(OR(R42="",N(Q42)&lt;=0),10,20*MAX(0,1-MIN(R42/Q42,1)))+30*MAX(0,MIN((PARAMETRI!$B$5-M42)/MAX(PARAMETRI!$B$5-10,1),1))+IF(AB42="",3,10*MAX(0,MIN(AB42/0.15,1)))+IF(AND(P42&lt;&gt;"",N(P42)&lt;N(Q42)*0.6),-8,0),1))</f>
        <v/>
      </c>
      <c r="AE42" s="13">
        <f>IF(AND(P42="",Q42=""),"DATI MANCANTI",IF(AND(N(P42)&gt;=PARAMETRI!$B$4,N(Q42)&gt;=PARAMETRI!$B$4),"OK","NO"))</f>
        <v/>
      </c>
      <c r="AF42" s="13">
        <f>IF(M42="","N/D",IF(M42&lt;PARAMETRI!$B$6,"OTTIMO",IF(M42&lt;PARAMETRI!$B$5,"OK","NO")))</f>
        <v/>
      </c>
      <c r="AG42" s="13">
        <f>IF(OR(AE42="DATI MANCANTI",AF42="N/D"),"DA COMPLETARE",IF(AND(AE42="OK",AF42="OTTIMO"),"PASSA FORTE",IF(AND(AE42="OK",AF42="OK"),"PASSA","SCARTA")))</f>
        <v/>
      </c>
      <c r="AH42" s="11" t="inlineStr">
        <is>
          <t>2026-10-12</t>
        </is>
      </c>
      <c r="AI42" s="11" t="inlineStr">
        <is>
          <t>yahoo</t>
        </is>
      </c>
      <c r="AJ42" s="23" t="inlineStr"/>
    </row>
    <row r="43">
      <c r="A43" s="10">
        <f>IF(AD43="","",RANK(AD43,AD$2:AD$167))</f>
        <v/>
      </c>
      <c r="B43" s="11" t="inlineStr">
        <is>
          <t>Chubb</t>
        </is>
      </c>
      <c r="C43" s="12" t="inlineStr">
        <is>
          <t>CB</t>
        </is>
      </c>
      <c r="D43" s="11" t="inlineStr">
        <is>
          <t>Assicurazione</t>
        </is>
      </c>
      <c r="E43" s="13" t="inlineStr">
        <is>
          <t>Finanziario</t>
        </is>
      </c>
      <c r="F43" s="14" t="n">
        <v>345.53</v>
      </c>
      <c r="G43" s="15" t="inlineStr">
        <is>
          <t>USD</t>
        </is>
      </c>
      <c r="H43" s="14" t="n">
        <v>309.525776018108</v>
      </c>
      <c r="I43" s="16" t="n">
        <v>119414.9780985856</v>
      </c>
      <c r="J43" s="16" t="n">
        <v>133305.4</v>
      </c>
      <c r="K43" s="14" t="n">
        <v>28.23</v>
      </c>
      <c r="L43" s="14" t="n">
        <v>29.23972</v>
      </c>
      <c r="M43" s="17">
        <f>IF(OR(F43="",K43="",K43&lt;=0),"",F43/K43)</f>
        <v/>
      </c>
      <c r="N43" s="18" t="n">
        <v>1.767869</v>
      </c>
      <c r="O43" s="19">
        <f>IF(OR(N43="",M43="",M43&lt;=0),"",N43/M43)</f>
        <v/>
      </c>
      <c r="P43" s="20" t="n">
        <v>0.14822</v>
      </c>
      <c r="Q43" s="20" t="n">
        <v>0.1350415459271134</v>
      </c>
      <c r="R43" s="20" t="n">
        <v>0.0185040460098504</v>
      </c>
      <c r="S43" s="21" t="n">
        <v>4</v>
      </c>
      <c r="T43" s="20" t="n"/>
      <c r="U43" s="20" t="n">
        <v>0.1397833425979907</v>
      </c>
      <c r="V43" s="20" t="n">
        <v>0.1448274784836226</v>
      </c>
      <c r="W43" s="20" t="n">
        <v>0.1517132438200548</v>
      </c>
      <c r="X43" s="20" t="n">
        <v>0.1038421188067856</v>
      </c>
      <c r="Y43" s="14" t="n">
        <v>4.08</v>
      </c>
      <c r="Z43" s="19">
        <f>IF(OR(Y43="",F43="",F43=0),"",Y43/F43)</f>
        <v/>
      </c>
      <c r="AA43" s="22" t="n">
        <v>30.941</v>
      </c>
      <c r="AB43" s="20" t="n">
        <v>0.061</v>
      </c>
      <c r="AC43" s="20" t="n">
        <v>0.1870933283374872</v>
      </c>
      <c r="AD43" s="17">
        <f>IF(OR(Q43="",M43="",M43&lt;=0),"",ROUND(40*MAX(0,MIN(N(Q43)/0.3,1))+IF(OR(R43="",N(Q43)&lt;=0),10,20*MAX(0,1-MIN(R43/Q43,1)))+30*MAX(0,MIN((PARAMETRI!$B$5-M43)/MAX(PARAMETRI!$B$5-10,1),1))+IF(AB43="",3,10*MAX(0,MIN(AB43/0.15,1)))+IF(AND(P43&lt;&gt;"",N(P43)&lt;N(Q43)*0.6),-8,0),1))</f>
        <v/>
      </c>
      <c r="AE43" s="13">
        <f>IF(AND(P43="",Q43=""),"DATI MANCANTI",IF(AND(N(P43)&gt;=PARAMETRI!$B$4,N(Q43)&gt;=PARAMETRI!$B$4),"OK","NO"))</f>
        <v/>
      </c>
      <c r="AF43" s="13">
        <f>IF(M43="","N/D",IF(M43&lt;PARAMETRI!$B$6,"OTTIMO",IF(M43&lt;PARAMETRI!$B$5,"OK","NO")))</f>
        <v/>
      </c>
      <c r="AG43" s="13">
        <f>IF(OR(AE43="DATI MANCANTI",AF43="N/D"),"DA COMPLETARE",IF(AND(AE43="OK",AF43="OTTIMO"),"PASSA FORTE",IF(AND(AE43="OK",AF43="OK"),"PASSA","SCARTA")))</f>
        <v/>
      </c>
      <c r="AH43" s="11" t="inlineStr">
        <is>
          <t>2026-10-12</t>
        </is>
      </c>
      <c r="AI43" s="11" t="inlineStr">
        <is>
          <t>yahoo</t>
        </is>
      </c>
      <c r="AJ43" s="23" t="inlineStr"/>
    </row>
    <row r="44">
      <c r="A44" s="10">
        <f>IF(AD44="","",RANK(AD44,AD$2:AD$167))</f>
        <v/>
      </c>
      <c r="B44" s="11" t="inlineStr">
        <is>
          <t>TJX Companies</t>
        </is>
      </c>
      <c r="C44" s="12" t="inlineStr">
        <is>
          <t>TJX</t>
        </is>
      </c>
      <c r="D44" s="11" t="inlineStr">
        <is>
          <t>Abbigliamento / Retail</t>
        </is>
      </c>
      <c r="E44" s="13" t="inlineStr">
        <is>
          <t>Consumi</t>
        </is>
      </c>
      <c r="F44" s="14" t="n">
        <v>141.21</v>
      </c>
      <c r="G44" s="15" t="inlineStr">
        <is>
          <t>USD</t>
        </is>
      </c>
      <c r="H44" s="14" t="n">
        <v>126.4959188247534</v>
      </c>
      <c r="I44" s="16" t="n">
        <v>139740.5906511086</v>
      </c>
      <c r="J44" s="16" t="n">
        <v>155995.3</v>
      </c>
      <c r="K44" s="14" t="n">
        <v>5.4</v>
      </c>
      <c r="L44" s="14" t="n">
        <v>5.77352</v>
      </c>
      <c r="M44" s="17">
        <f>IF(OR(F44="",K44="",K44&lt;=0),"",F44/K44)</f>
        <v/>
      </c>
      <c r="N44" s="18" t="n">
        <v>14.599876</v>
      </c>
      <c r="O44" s="19">
        <f>IF(OR(N44="",M44="",M44&lt;=0),"",N44/M44)</f>
        <v/>
      </c>
      <c r="P44" s="20" t="n">
        <v>0.62171</v>
      </c>
      <c r="Q44" s="20" t="n">
        <v>0.5702624372175532</v>
      </c>
      <c r="R44" s="20" t="n">
        <v>0.02863520188802303</v>
      </c>
      <c r="S44" s="21" t="n">
        <v>4</v>
      </c>
      <c r="T44" s="20" t="n">
        <v>0.5391560353287537</v>
      </c>
      <c r="U44" s="20" t="n">
        <v>0.5795305611819374</v>
      </c>
      <c r="V44" s="20" t="n">
        <v>0.6127088468912627</v>
      </c>
      <c r="W44" s="20" t="n">
        <v>0.549654305468259</v>
      </c>
      <c r="X44" s="20" t="n"/>
      <c r="Y44" s="14" t="n">
        <v>1.92</v>
      </c>
      <c r="Z44" s="19">
        <f>IF(OR(Y44="",F44="",F44=0),"",Y44/F44)</f>
        <v/>
      </c>
      <c r="AA44" s="22" t="n">
        <v>134.419</v>
      </c>
      <c r="AB44" s="20" t="n">
        <v>0.054</v>
      </c>
      <c r="AC44" s="20" t="n">
        <v>0.1004936031272776</v>
      </c>
      <c r="AD44" s="17">
        <f>IF(OR(Q44="",M44="",M44&lt;=0),"",ROUND(40*MAX(0,MIN(N(Q44)/0.3,1))+IF(OR(R44="",N(Q44)&lt;=0),10,20*MAX(0,1-MIN(R44/Q44,1)))+30*MAX(0,MIN((PARAMETRI!$B$5-M44)/MAX(PARAMETRI!$B$5-10,1),1))+IF(AB44="",3,10*MAX(0,MIN(AB44/0.15,1)))+IF(AND(P44&lt;&gt;"",N(P44)&lt;N(Q44)*0.6),-8,0),1))</f>
        <v/>
      </c>
      <c r="AE44" s="13">
        <f>IF(AND(P44="",Q44=""),"DATI MANCANTI",IF(AND(N(P44)&gt;=PARAMETRI!$B$4,N(Q44)&gt;=PARAMETRI!$B$4),"OK","NO"))</f>
        <v/>
      </c>
      <c r="AF44" s="13">
        <f>IF(M44="","N/D",IF(M44&lt;PARAMETRI!$B$6,"OTTIMO",IF(M44&lt;PARAMETRI!$B$5,"OK","NO")))</f>
        <v/>
      </c>
      <c r="AG44" s="13">
        <f>IF(OR(AE44="DATI MANCANTI",AF44="N/D"),"DA COMPLETARE",IF(AND(AE44="OK",AF44="OTTIMO"),"PASSA FORTE",IF(AND(AE44="OK",AF44="OK"),"PASSA","SCARTA")))</f>
        <v/>
      </c>
      <c r="AH44" s="11" t="inlineStr">
        <is>
          <t>2026-10-12</t>
        </is>
      </c>
      <c r="AI44" s="11" t="inlineStr">
        <is>
          <t>yahoo</t>
        </is>
      </c>
      <c r="AJ44" s="23" t="inlineStr"/>
    </row>
    <row r="45">
      <c r="A45" s="10">
        <f>IF(AD45="","",RANK(AD45,AD$2:AD$167))</f>
        <v/>
      </c>
      <c r="B45" s="11" t="inlineStr">
        <is>
          <t>American Express</t>
        </is>
      </c>
      <c r="C45" s="12" t="inlineStr">
        <is>
          <t>AXP</t>
        </is>
      </c>
      <c r="D45" s="11" t="inlineStr">
        <is>
          <t>Pagamenti / Credito</t>
        </is>
      </c>
      <c r="E45" s="13" t="inlineStr">
        <is>
          <t>Finanziario</t>
        </is>
      </c>
      <c r="F45" s="14" t="n">
        <v>311.64</v>
      </c>
      <c r="G45" s="15" t="inlineStr">
        <is>
          <t>USD</t>
        </is>
      </c>
      <c r="H45" s="14" t="n">
        <v>279.1671138201696</v>
      </c>
      <c r="I45" s="16" t="n">
        <v>188524.3361091787</v>
      </c>
      <c r="J45" s="16" t="n">
        <v>210453.6</v>
      </c>
      <c r="K45" s="14" t="n">
        <v>16.48</v>
      </c>
      <c r="L45" s="14" t="n">
        <v>20.17547</v>
      </c>
      <c r="M45" s="17">
        <f>IF(OR(F45="",K45="",K45&lt;=0),"",F45/K45)</f>
        <v/>
      </c>
      <c r="N45" s="18" t="n">
        <v>6.136458</v>
      </c>
      <c r="O45" s="19">
        <f>IF(OR(N45="",M45="",M45&lt;=0),"",N45/M45)</f>
        <v/>
      </c>
      <c r="P45" s="20" t="n">
        <v>0.34377</v>
      </c>
      <c r="Q45" s="20" t="n">
        <v>0.34377</v>
      </c>
      <c r="R45" s="20" t="n"/>
      <c r="S45" s="21" t="n">
        <v>0</v>
      </c>
      <c r="T45" s="20" t="n"/>
      <c r="U45" s="20" t="n">
        <v>0.3236243054310808</v>
      </c>
      <c r="V45" s="20" t="n">
        <v>0.3346880782447793</v>
      </c>
      <c r="W45" s="20" t="n">
        <v>0.2984638414655879</v>
      </c>
      <c r="X45" s="20" t="n">
        <v>0.304075108251386</v>
      </c>
      <c r="Y45" s="14" t="n">
        <v>3.8</v>
      </c>
      <c r="Z45" s="19">
        <f>IF(OR(Y45="",F45="",F45=0),"",Y45/F45)</f>
        <v/>
      </c>
      <c r="AA45" s="22" t="n">
        <v>172.38</v>
      </c>
      <c r="AB45" s="20" t="n">
        <v>0.128</v>
      </c>
      <c r="AC45" s="20" t="n">
        <v>0.1565969756610827</v>
      </c>
      <c r="AD45" s="17">
        <f>IF(OR(Q45="",M45="",M45&lt;=0),"",ROUND(40*MAX(0,MIN(N(Q45)/0.3,1))+IF(OR(R45="",N(Q45)&lt;=0),10,20*MAX(0,1-MIN(R45/Q45,1)))+30*MAX(0,MIN((PARAMETRI!$B$5-M45)/MAX(PARAMETRI!$B$5-10,1),1))+IF(AB45="",3,10*MAX(0,MIN(AB45/0.15,1)))+IF(AND(P45&lt;&gt;"",N(P45)&lt;N(Q45)*0.6),-8,0),1))</f>
        <v/>
      </c>
      <c r="AE45" s="13">
        <f>IF(AND(P45="",Q45=""),"DATI MANCANTI",IF(AND(N(P45)&gt;=PARAMETRI!$B$4,N(Q45)&gt;=PARAMETRI!$B$4),"OK","NO"))</f>
        <v/>
      </c>
      <c r="AF45" s="13">
        <f>IF(M45="","N/D",IF(M45&lt;PARAMETRI!$B$6,"OTTIMO",IF(M45&lt;PARAMETRI!$B$5,"OK","NO")))</f>
        <v/>
      </c>
      <c r="AG45" s="13">
        <f>IF(OR(AE45="DATI MANCANTI",AF45="N/D"),"DA COMPLETARE",IF(AND(AE45="OK",AF45="OTTIMO"),"PASSA FORTE",IF(AND(AE45="OK",AF45="OK"),"PASSA","SCARTA")))</f>
        <v/>
      </c>
      <c r="AH45" s="11" t="inlineStr">
        <is>
          <t>2026-10-12</t>
        </is>
      </c>
      <c r="AI45" s="11" t="inlineStr">
        <is>
          <t>yahoo</t>
        </is>
      </c>
      <c r="AJ45" s="23" t="inlineStr"/>
    </row>
    <row r="46">
      <c r="A46" s="10">
        <f>IF(AD46="","",RANK(AD46,AD$2:AD$167))</f>
        <v/>
      </c>
      <c r="B46" s="11" t="inlineStr">
        <is>
          <t>NVIDIA</t>
        </is>
      </c>
      <c r="C46" s="12" t="inlineStr">
        <is>
          <t>NVDA</t>
        </is>
      </c>
      <c r="D46" s="11" t="inlineStr">
        <is>
          <t>Semiconduttori</t>
        </is>
      </c>
      <c r="E46" s="13" t="inlineStr">
        <is>
          <t>Tecnologia</t>
        </is>
      </c>
      <c r="F46" s="14" t="n">
        <v>226.3695</v>
      </c>
      <c r="G46" s="15" t="inlineStr">
        <is>
          <t>USD</t>
        </is>
      </c>
      <c r="H46" s="14" t="n">
        <v>202.7817994221373</v>
      </c>
      <c r="I46" s="16" t="n">
        <v>4896366.420184309</v>
      </c>
      <c r="J46" s="16" t="n">
        <v>5465914.7</v>
      </c>
      <c r="K46" s="14" t="n">
        <v>7.91</v>
      </c>
      <c r="L46" s="14" t="n">
        <v>15.9146</v>
      </c>
      <c r="M46" s="17">
        <f>IF(OR(F46="",K46="",K46&lt;=0),"",F46/K46)</f>
        <v/>
      </c>
      <c r="N46" s="18" t="n">
        <v>23.870085</v>
      </c>
      <c r="O46" s="19">
        <f>IF(OR(N46="",M46="",M46&lt;=0),"",N46/M46)</f>
        <v/>
      </c>
      <c r="P46" s="20" t="n">
        <v>1.17211</v>
      </c>
      <c r="Q46" s="20" t="n">
        <v>0.6430369043825913</v>
      </c>
      <c r="R46" s="20" t="n">
        <v>0.2698604910859732</v>
      </c>
      <c r="S46" s="21" t="n">
        <v>4</v>
      </c>
      <c r="T46" s="20" t="n">
        <v>0.7633333969089534</v>
      </c>
      <c r="U46" s="20" t="n">
        <v>0.9187288060811577</v>
      </c>
      <c r="V46" s="20" t="n">
        <v>0.6924472986178976</v>
      </c>
      <c r="W46" s="20" t="n">
        <v>0.1976381159223564</v>
      </c>
      <c r="X46" s="20" t="n"/>
      <c r="Y46" s="14" t="n">
        <v>1</v>
      </c>
      <c r="Z46" s="19">
        <f>IF(OR(Y46="",F46="",F46=0),"",Y46/F46)</f>
        <v/>
      </c>
      <c r="AA46" s="22" t="n">
        <v>16.971</v>
      </c>
      <c r="AB46" s="20" t="n">
        <v>1.059</v>
      </c>
      <c r="AC46" s="20" t="n">
        <v>0.8932193547407126</v>
      </c>
      <c r="AD46" s="17">
        <f>IF(OR(Q46="",M46="",M46&lt;=0),"",ROUND(40*MAX(0,MIN(N(Q46)/0.3,1))+IF(OR(R46="",N(Q46)&lt;=0),10,20*MAX(0,1-MIN(R46/Q46,1)))+30*MAX(0,MIN((PARAMETRI!$B$5-M46)/MAX(PARAMETRI!$B$5-10,1),1))+IF(AB46="",3,10*MAX(0,MIN(AB46/0.15,1)))+IF(AND(P46&lt;&gt;"",N(P46)&lt;N(Q46)*0.6),-8,0),1))</f>
        <v/>
      </c>
      <c r="AE46" s="13">
        <f>IF(AND(P46="",Q46=""),"DATI MANCANTI",IF(AND(N(P46)&gt;=PARAMETRI!$B$4,N(Q46)&gt;=PARAMETRI!$B$4),"OK","NO"))</f>
        <v/>
      </c>
      <c r="AF46" s="13">
        <f>IF(M46="","N/D",IF(M46&lt;PARAMETRI!$B$6,"OTTIMO",IF(M46&lt;PARAMETRI!$B$5,"OK","NO")))</f>
        <v/>
      </c>
      <c r="AG46" s="13">
        <f>IF(OR(AE46="DATI MANCANTI",AF46="N/D"),"DA COMPLETARE",IF(AND(AE46="OK",AF46="OTTIMO"),"PASSA FORTE",IF(AND(AE46="OK",AF46="OK"),"PASSA","SCARTA")))</f>
        <v/>
      </c>
      <c r="AH46" s="11" t="inlineStr">
        <is>
          <t>2026-10-12</t>
        </is>
      </c>
      <c r="AI46" s="11" t="inlineStr">
        <is>
          <t>yahoo</t>
        </is>
      </c>
      <c r="AJ46" s="23" t="inlineStr"/>
    </row>
    <row r="47">
      <c r="A47" s="10">
        <f>IF(AD47="","",RANK(AD47,AD$2:AD$167))</f>
        <v/>
      </c>
      <c r="B47" s="11" t="inlineStr">
        <is>
          <t>CSX Corporation</t>
        </is>
      </c>
      <c r="C47" s="12" t="inlineStr">
        <is>
          <t>CSX</t>
        </is>
      </c>
      <c r="D47" s="11" t="inlineStr">
        <is>
          <t>Ferrovie</t>
        </is>
      </c>
      <c r="E47" s="13" t="inlineStr">
        <is>
          <t>Industriale</t>
        </is>
      </c>
      <c r="F47" s="14" t="n">
        <v>47.645</v>
      </c>
      <c r="G47" s="15" t="inlineStr">
        <is>
          <t>USD</t>
        </is>
      </c>
      <c r="H47" s="14" t="n">
        <v>42.68039127827615</v>
      </c>
      <c r="I47" s="16" t="n">
        <v>79064.38347549977</v>
      </c>
      <c r="J47" s="16" t="n">
        <v>88261.2</v>
      </c>
      <c r="K47" s="14" t="n">
        <v>1.72</v>
      </c>
      <c r="L47" s="14" t="n">
        <v>2.28183</v>
      </c>
      <c r="M47" s="17">
        <f>IF(OR(F47="",K47="",K47&lt;=0),"",F47/K47)</f>
        <v/>
      </c>
      <c r="N47" s="18" t="n">
        <v>6.2674294</v>
      </c>
      <c r="O47" s="19">
        <f>IF(OR(N47="",M47="",M47&lt;=0),"",N47/M47)</f>
        <v/>
      </c>
      <c r="P47" s="20" t="n">
        <v>0.24357</v>
      </c>
      <c r="Q47" s="20" t="n">
        <v>0.2823661415471586</v>
      </c>
      <c r="R47" s="20" t="n">
        <v>0.04013263354129347</v>
      </c>
      <c r="S47" s="21" t="n">
        <v>4</v>
      </c>
      <c r="T47" s="20" t="n"/>
      <c r="U47" s="20" t="n">
        <v>0.219612314709236</v>
      </c>
      <c r="V47" s="20" t="n">
        <v>0.2775555911054231</v>
      </c>
      <c r="W47" s="20" t="n">
        <v>0.3061769616026711</v>
      </c>
      <c r="X47" s="20" t="n">
        <v>0.326119698771304</v>
      </c>
      <c r="Y47" s="14" t="n">
        <v>0.5600000000000001</v>
      </c>
      <c r="Z47" s="19">
        <f>IF(OR(Y47="",F47="",F47=0),"",Y47/F47)</f>
        <v/>
      </c>
      <c r="AA47" s="22" t="n">
        <v>138.068</v>
      </c>
      <c r="AB47" s="20" t="n">
        <v>0.101</v>
      </c>
      <c r="AC47" s="20" t="n">
        <v>0.2287113301163781</v>
      </c>
      <c r="AD47" s="17">
        <f>IF(OR(Q47="",M47="",M47&lt;=0),"",ROUND(40*MAX(0,MIN(N(Q47)/0.3,1))+IF(OR(R47="",N(Q47)&lt;=0),10,20*MAX(0,1-MIN(R47/Q47,1)))+30*MAX(0,MIN((PARAMETRI!$B$5-M47)/MAX(PARAMETRI!$B$5-10,1),1))+IF(AB47="",3,10*MAX(0,MIN(AB47/0.15,1)))+IF(AND(P47&lt;&gt;"",N(P47)&lt;N(Q47)*0.6),-8,0),1))</f>
        <v/>
      </c>
      <c r="AE47" s="13">
        <f>IF(AND(P47="",Q47=""),"DATI MANCANTI",IF(AND(N(P47)&gt;=PARAMETRI!$B$4,N(Q47)&gt;=PARAMETRI!$B$4),"OK","NO"))</f>
        <v/>
      </c>
      <c r="AF47" s="13">
        <f>IF(M47="","N/D",IF(M47&lt;PARAMETRI!$B$6,"OTTIMO",IF(M47&lt;PARAMETRI!$B$5,"OK","NO")))</f>
        <v/>
      </c>
      <c r="AG47" s="13">
        <f>IF(OR(AE47="DATI MANCANTI",AF47="N/D"),"DA COMPLETARE",IF(AND(AE47="OK",AF47="OTTIMO"),"PASSA FORTE",IF(AND(AE47="OK",AF47="OK"),"PASSA","SCARTA")))</f>
        <v/>
      </c>
      <c r="AH47" s="11" t="inlineStr">
        <is>
          <t>2026-10-12</t>
        </is>
      </c>
      <c r="AI47" s="11" t="inlineStr">
        <is>
          <t>yahoo</t>
        </is>
      </c>
      <c r="AJ47" s="23" t="inlineStr"/>
    </row>
    <row r="48">
      <c r="A48" s="10">
        <f>IF(AD48="","",RANK(AD48,AD$2:AD$167))</f>
        <v/>
      </c>
      <c r="B48" s="11" t="inlineStr">
        <is>
          <t>Cigna Group</t>
        </is>
      </c>
      <c r="C48" s="12" t="inlineStr">
        <is>
          <t>CI</t>
        </is>
      </c>
      <c r="D48" s="11" t="inlineStr">
        <is>
          <t>Assicurazione sanitaria</t>
        </is>
      </c>
      <c r="E48" s="13" t="inlineStr">
        <is>
          <t>Salute</t>
        </is>
      </c>
      <c r="F48" s="14" t="n">
        <v>282.7</v>
      </c>
      <c r="G48" s="15" t="inlineStr">
        <is>
          <t>USD</t>
        </is>
      </c>
      <c r="H48" s="14" t="n">
        <v>253.2426616511421</v>
      </c>
      <c r="I48" s="16" t="n">
        <v>66916.97707629869</v>
      </c>
      <c r="J48" s="16" t="n">
        <v>74700.8</v>
      </c>
      <c r="K48" s="14" t="n">
        <v>24.19</v>
      </c>
      <c r="L48" s="14" t="n">
        <v>33.48462</v>
      </c>
      <c r="M48" s="17">
        <f>IF(OR(F48="",K48="",K48&lt;=0),"",F48/K48)</f>
        <v/>
      </c>
      <c r="N48" s="18" t="n">
        <v>1.7491323</v>
      </c>
      <c r="O48" s="19">
        <f>IF(OR(N48="",M48="",M48&lt;=0),"",N48/M48)</f>
        <v/>
      </c>
      <c r="P48" s="20" t="n">
        <v>0.16758</v>
      </c>
      <c r="Q48" s="20" t="n">
        <v>0.1220696910352129</v>
      </c>
      <c r="R48" s="20" t="n">
        <v>0.02642867866442709</v>
      </c>
      <c r="S48" s="21" t="n">
        <v>4</v>
      </c>
      <c r="T48" s="20" t="n"/>
      <c r="U48" s="20" t="n">
        <v>0.1428091961738547</v>
      </c>
      <c r="V48" s="20" t="n">
        <v>0.0836887383325616</v>
      </c>
      <c r="W48" s="20" t="n">
        <v>0.1117192739545248</v>
      </c>
      <c r="X48" s="20" t="n">
        <v>0.1500615556799105</v>
      </c>
      <c r="Y48" s="14" t="n">
        <v>6.24</v>
      </c>
      <c r="Z48" s="19">
        <f>IF(OR(Y48="",F48="",F48=0),"",Y48/F48)</f>
        <v/>
      </c>
      <c r="AA48" s="22" t="n">
        <v>74.29000000000001</v>
      </c>
      <c r="AB48" s="20" t="n">
        <v>0.067</v>
      </c>
      <c r="AC48" s="20" t="n">
        <v>0.02342854221592527</v>
      </c>
      <c r="AD48" s="17">
        <f>IF(OR(Q48="",M48="",M48&lt;=0),"",ROUND(40*MAX(0,MIN(N(Q48)/0.3,1))+IF(OR(R48="",N(Q48)&lt;=0),10,20*MAX(0,1-MIN(R48/Q48,1)))+30*MAX(0,MIN((PARAMETRI!$B$5-M48)/MAX(PARAMETRI!$B$5-10,1),1))+IF(AB48="",3,10*MAX(0,MIN(AB48/0.15,1)))+IF(AND(P48&lt;&gt;"",N(P48)&lt;N(Q48)*0.6),-8,0),1))</f>
        <v/>
      </c>
      <c r="AE48" s="13">
        <f>IF(AND(P48="",Q48=""),"DATI MANCANTI",IF(AND(N(P48)&gt;=PARAMETRI!$B$4,N(Q48)&gt;=PARAMETRI!$B$4),"OK","NO"))</f>
        <v/>
      </c>
      <c r="AF48" s="13">
        <f>IF(M48="","N/D",IF(M48&lt;PARAMETRI!$B$6,"OTTIMO",IF(M48&lt;PARAMETRI!$B$5,"OK","NO")))</f>
        <v/>
      </c>
      <c r="AG48" s="13">
        <f>IF(OR(AE48="DATI MANCANTI",AF48="N/D"),"DA COMPLETARE",IF(AND(AE48="OK",AF48="OTTIMO"),"PASSA FORTE",IF(AND(AE48="OK",AF48="OK"),"PASSA","SCARTA")))</f>
        <v/>
      </c>
      <c r="AH48" s="11" t="inlineStr">
        <is>
          <t>2026-10-12</t>
        </is>
      </c>
      <c r="AI48" s="11" t="inlineStr">
        <is>
          <t>yahoo</t>
        </is>
      </c>
      <c r="AJ48" s="23" t="inlineStr"/>
    </row>
    <row r="49">
      <c r="A49" s="10">
        <f>IF(AD49="","",RANK(AD49,AD$2:AD$167))</f>
        <v/>
      </c>
      <c r="B49" s="11" t="inlineStr">
        <is>
          <t>Accenture</t>
        </is>
      </c>
      <c r="C49" s="12" t="inlineStr">
        <is>
          <t>ACN</t>
        </is>
      </c>
      <c r="D49" s="11" t="inlineStr">
        <is>
          <t>Consulenza IT</t>
        </is>
      </c>
      <c r="E49" s="13" t="inlineStr">
        <is>
          <t>Tecnologia</t>
        </is>
      </c>
      <c r="F49" s="14" t="n">
        <v>214.99</v>
      </c>
      <c r="G49" s="15" t="inlineStr">
        <is>
          <t>USD</t>
        </is>
      </c>
      <c r="H49" s="14" t="n">
        <v>192.588043255674</v>
      </c>
      <c r="I49" s="16" t="n">
        <v>117852.7028883996</v>
      </c>
      <c r="J49" s="16" t="n">
        <v>131561.4</v>
      </c>
      <c r="K49" s="14" t="n">
        <v>13.56</v>
      </c>
      <c r="L49" s="14" t="n">
        <v>15.90406</v>
      </c>
      <c r="M49" s="17">
        <f>IF(OR(F49="",K49="",K49&lt;=0),"",F49/K49)</f>
        <v/>
      </c>
      <c r="N49" s="18" t="n">
        <v>4.059096</v>
      </c>
      <c r="O49" s="19">
        <f>IF(OR(N49="",M49="",M49&lt;=0),"",N49/M49)</f>
        <v/>
      </c>
      <c r="P49" s="20" t="n">
        <v>0.26025</v>
      </c>
      <c r="Q49" s="20" t="n">
        <v>0.26025</v>
      </c>
      <c r="R49" s="20" t="n"/>
      <c r="S49" s="21" t="n">
        <v>0</v>
      </c>
      <c r="T49" s="20" t="n"/>
      <c r="U49" s="20" t="n">
        <v>0.2461395487020766</v>
      </c>
      <c r="V49" s="20" t="n">
        <v>0.2568092866657528</v>
      </c>
      <c r="W49" s="20" t="n">
        <v>0.2674502806015326</v>
      </c>
      <c r="X49" s="20" t="n">
        <v>0.3110982911185091</v>
      </c>
      <c r="Y49" s="14" t="n">
        <v>6.84</v>
      </c>
      <c r="Z49" s="19">
        <f>IF(OR(Y49="",F49="",F49=0),"",Y49/F49)</f>
        <v/>
      </c>
      <c r="AA49" s="22" t="n">
        <v>40.283</v>
      </c>
      <c r="AB49" s="20" t="n">
        <v>0.062</v>
      </c>
      <c r="AC49" s="20" t="n">
        <v>0.1200904027970557</v>
      </c>
      <c r="AD49" s="17">
        <f>IF(OR(Q49="",M49="",M49&lt;=0),"",ROUND(40*MAX(0,MIN(N(Q49)/0.3,1))+IF(OR(R49="",N(Q49)&lt;=0),10,20*MAX(0,1-MIN(R49/Q49,1)))+30*MAX(0,MIN((PARAMETRI!$B$5-M49)/MAX(PARAMETRI!$B$5-10,1),1))+IF(AB49="",3,10*MAX(0,MIN(AB49/0.15,1)))+IF(AND(P49&lt;&gt;"",N(P49)&lt;N(Q49)*0.6),-8,0),1))</f>
        <v/>
      </c>
      <c r="AE49" s="13">
        <f>IF(AND(P49="",Q49=""),"DATI MANCANTI",IF(AND(N(P49)&gt;=PARAMETRI!$B$4,N(Q49)&gt;=PARAMETRI!$B$4),"OK","NO"))</f>
        <v/>
      </c>
      <c r="AF49" s="13">
        <f>IF(M49="","N/D",IF(M49&lt;PARAMETRI!$B$6,"OTTIMO",IF(M49&lt;PARAMETRI!$B$5,"OK","NO")))</f>
        <v/>
      </c>
      <c r="AG49" s="13">
        <f>IF(OR(AE49="DATI MANCANTI",AF49="N/D"),"DA COMPLETARE",IF(AND(AE49="OK",AF49="OTTIMO"),"PASSA FORTE",IF(AND(AE49="OK",AF49="OK"),"PASSA","SCARTA")))</f>
        <v/>
      </c>
      <c r="AH49" s="11" t="inlineStr">
        <is>
          <t>2026-10-12</t>
        </is>
      </c>
      <c r="AI49" s="11" t="inlineStr">
        <is>
          <t>yahoo</t>
        </is>
      </c>
      <c r="AJ49" s="23" t="inlineStr"/>
    </row>
    <row r="50">
      <c r="A50" s="10">
        <f>IF(AD50="","",RANK(AD50,AD$2:AD$167))</f>
        <v/>
      </c>
      <c r="B50" s="11" t="inlineStr">
        <is>
          <t>Cadence Design</t>
        </is>
      </c>
      <c r="C50" s="12" t="inlineStr">
        <is>
          <t>CDNS</t>
        </is>
      </c>
      <c r="D50" s="11" t="inlineStr">
        <is>
          <t>Software EDA</t>
        </is>
      </c>
      <c r="E50" s="13" t="inlineStr">
        <is>
          <t>Tecnologia</t>
        </is>
      </c>
      <c r="F50" s="14" t="n">
        <v>351.81</v>
      </c>
      <c r="G50" s="15" t="inlineStr">
        <is>
          <t>USD</t>
        </is>
      </c>
      <c r="H50" s="14" t="n">
        <v>315.1514000547871</v>
      </c>
      <c r="I50" s="16" t="n">
        <v>86923.774406743</v>
      </c>
      <c r="J50" s="16" t="n">
        <v>97034.8</v>
      </c>
      <c r="K50" s="14" t="n">
        <v>5.03</v>
      </c>
      <c r="L50" s="14" t="n">
        <v>9.5677</v>
      </c>
      <c r="M50" s="17">
        <f>IF(OR(F50="",K50="",K50&lt;=0),"",F50/K50)</f>
        <v/>
      </c>
      <c r="N50" s="18" t="n">
        <v>14.127781</v>
      </c>
      <c r="O50" s="19">
        <f>IF(OR(N50="",M50="",M50&lt;=0),"",N50/M50)</f>
        <v/>
      </c>
      <c r="P50" s="20" t="n">
        <v>0.23229</v>
      </c>
      <c r="Q50" s="20" t="n">
        <v>0.2608754092791846</v>
      </c>
      <c r="R50" s="20" t="n">
        <v>0.04740689685132777</v>
      </c>
      <c r="S50" s="21" t="n">
        <v>4</v>
      </c>
      <c r="T50" s="20" t="n"/>
      <c r="U50" s="20" t="n">
        <v>0.2025669227963051</v>
      </c>
      <c r="V50" s="20" t="n">
        <v>0.2258406728206954</v>
      </c>
      <c r="W50" s="20" t="n">
        <v>0.3058346412491837</v>
      </c>
      <c r="X50" s="20" t="n">
        <v>0.3092594002505544</v>
      </c>
      <c r="Y50" s="14" t="n"/>
      <c r="Z50" s="19">
        <f>IF(OR(Y50="",F50="",F50=0),"",Y50/F50)</f>
        <v/>
      </c>
      <c r="AA50" s="22" t="n">
        <v>38.661</v>
      </c>
      <c r="AB50" s="20" t="n">
        <v>0.242</v>
      </c>
      <c r="AC50" s="20" t="n">
        <v>0.2601579539488204</v>
      </c>
      <c r="AD50" s="17">
        <f>IF(OR(Q50="",M50="",M50&lt;=0),"",ROUND(40*MAX(0,MIN(N(Q50)/0.3,1))+IF(OR(R50="",N(Q50)&lt;=0),10,20*MAX(0,1-MIN(R50/Q50,1)))+30*MAX(0,MIN((PARAMETRI!$B$5-M50)/MAX(PARAMETRI!$B$5-10,1),1))+IF(AB50="",3,10*MAX(0,MIN(AB50/0.15,1)))+IF(AND(P50&lt;&gt;"",N(P50)&lt;N(Q50)*0.6),-8,0),1))</f>
        <v/>
      </c>
      <c r="AE50" s="13">
        <f>IF(AND(P50="",Q50=""),"DATI MANCANTI",IF(AND(N(P50)&gt;=PARAMETRI!$B$4,N(Q50)&gt;=PARAMETRI!$B$4),"OK","NO"))</f>
        <v/>
      </c>
      <c r="AF50" s="13">
        <f>IF(M50="","N/D",IF(M50&lt;PARAMETRI!$B$6,"OTTIMO",IF(M50&lt;PARAMETRI!$B$5,"OK","NO")))</f>
        <v/>
      </c>
      <c r="AG50" s="13">
        <f>IF(OR(AE50="DATI MANCANTI",AF50="N/D"),"DA COMPLETARE",IF(AND(AE50="OK",AF50="OTTIMO"),"PASSA FORTE",IF(AND(AE50="OK",AF50="OK"),"PASSA","SCARTA")))</f>
        <v/>
      </c>
      <c r="AH50" s="11" t="inlineStr">
        <is>
          <t>2026-10-12</t>
        </is>
      </c>
      <c r="AI50" s="11" t="inlineStr">
        <is>
          <t>yahoo</t>
        </is>
      </c>
      <c r="AJ50" s="23" t="inlineStr"/>
    </row>
    <row r="51">
      <c r="A51" s="10">
        <f>IF(AD51="","",RANK(AD51,AD$2:AD$167))</f>
        <v/>
      </c>
      <c r="B51" s="11" t="inlineStr">
        <is>
          <t>Meta Platforms</t>
        </is>
      </c>
      <c r="C51" s="12" t="inlineStr">
        <is>
          <t>META</t>
        </is>
      </c>
      <c r="D51" s="11" t="inlineStr">
        <is>
          <t>Internet / Pubblicita'</t>
        </is>
      </c>
      <c r="E51" s="13" t="inlineStr">
        <is>
          <t>Tecnologia</t>
        </is>
      </c>
      <c r="F51" s="14" t="n">
        <v>747.0787</v>
      </c>
      <c r="G51" s="15" t="inlineStr">
        <is>
          <t>USD</t>
        </is>
      </c>
      <c r="H51" s="14" t="n">
        <v>669.2331038233998</v>
      </c>
      <c r="I51" s="16" t="n">
        <v>1705585.92218042</v>
      </c>
      <c r="J51" s="16" t="n">
        <v>1903980.7</v>
      </c>
      <c r="K51" s="14" t="n">
        <v>26.54</v>
      </c>
      <c r="L51" s="14" t="n">
        <v>34.54533</v>
      </c>
      <c r="M51" s="17">
        <f>IF(OR(F51="",K51="",K51&lt;=0),"",F51/K51)</f>
        <v/>
      </c>
      <c r="N51" s="18" t="n">
        <v>7.290188</v>
      </c>
      <c r="O51" s="19">
        <f>IF(OR(N51="",M51="",M51&lt;=0),"",N51/M51)</f>
        <v/>
      </c>
      <c r="P51" s="20" t="n">
        <v>0.29848</v>
      </c>
      <c r="Q51" s="20" t="n">
        <v>0.2648871265585463</v>
      </c>
      <c r="R51" s="20" t="n">
        <v>0.05609730945851681</v>
      </c>
      <c r="S51" s="21" t="n">
        <v>4</v>
      </c>
      <c r="T51" s="20" t="n"/>
      <c r="U51" s="20" t="n">
        <v>0.2782966539773433</v>
      </c>
      <c r="V51" s="20" t="n">
        <v>0.3414423145364849</v>
      </c>
      <c r="W51" s="20" t="n">
        <v>0.2552621957589052</v>
      </c>
      <c r="X51" s="20" t="n">
        <v>0.1845473419614519</v>
      </c>
      <c r="Y51" s="14" t="n">
        <v>2.1</v>
      </c>
      <c r="Z51" s="19">
        <f>IF(OR(Y51="",F51="",F51=0),"",Y51/F51)</f>
        <v/>
      </c>
      <c r="AA51" s="22" t="n">
        <v>42.997</v>
      </c>
      <c r="AB51" s="20" t="n">
        <v>0.28</v>
      </c>
      <c r="AC51" s="20" t="n">
        <v>0.3388533326433327</v>
      </c>
      <c r="AD51" s="17">
        <f>IF(OR(Q51="",M51="",M51&lt;=0),"",ROUND(40*MAX(0,MIN(N(Q51)/0.3,1))+IF(OR(R51="",N(Q51)&lt;=0),10,20*MAX(0,1-MIN(R51/Q51,1)))+30*MAX(0,MIN((PARAMETRI!$B$5-M51)/MAX(PARAMETRI!$B$5-10,1),1))+IF(AB51="",3,10*MAX(0,MIN(AB51/0.15,1)))+IF(AND(P51&lt;&gt;"",N(P51)&lt;N(Q51)*0.6),-8,0),1))</f>
        <v/>
      </c>
      <c r="AE51" s="13">
        <f>IF(AND(P51="",Q51=""),"DATI MANCANTI",IF(AND(N(P51)&gt;=PARAMETRI!$B$4,N(Q51)&gt;=PARAMETRI!$B$4),"OK","NO"))</f>
        <v/>
      </c>
      <c r="AF51" s="13">
        <f>IF(M51="","N/D",IF(M51&lt;PARAMETRI!$B$6,"OTTIMO",IF(M51&lt;PARAMETRI!$B$5,"OK","NO")))</f>
        <v/>
      </c>
      <c r="AG51" s="13">
        <f>IF(OR(AE51="DATI MANCANTI",AF51="N/D"),"DA COMPLETARE",IF(AND(AE51="OK",AF51="OTTIMO"),"PASSA FORTE",IF(AND(AE51="OK",AF51="OK"),"PASSA","SCARTA")))</f>
        <v/>
      </c>
      <c r="AH51" s="11" t="inlineStr">
        <is>
          <t>2026-10-12</t>
        </is>
      </c>
      <c r="AI51" s="11" t="inlineStr">
        <is>
          <t>yahoo</t>
        </is>
      </c>
      <c r="AJ51" s="23" t="inlineStr"/>
    </row>
    <row r="52">
      <c r="A52" s="10">
        <f>IF(AD52="","",RANK(AD52,AD$2:AD$167))</f>
        <v/>
      </c>
      <c r="B52" s="11" t="inlineStr">
        <is>
          <t>Waste Management</t>
        </is>
      </c>
      <c r="C52" s="12" t="inlineStr">
        <is>
          <t>WM</t>
        </is>
      </c>
      <c r="D52" s="11" t="inlineStr">
        <is>
          <t>Servizi ambientali</t>
        </is>
      </c>
      <c r="E52" s="13" t="inlineStr">
        <is>
          <t>Industriale</t>
        </is>
      </c>
      <c r="F52" s="14" t="n">
        <v>211.05</v>
      </c>
      <c r="G52" s="15" t="inlineStr">
        <is>
          <t>USD</t>
        </is>
      </c>
      <c r="H52" s="14" t="n">
        <v>189.058591232662</v>
      </c>
      <c r="I52" s="16" t="n">
        <v>75569.59891271377</v>
      </c>
      <c r="J52" s="16" t="n">
        <v>84359.89999999999</v>
      </c>
      <c r="K52" s="14" t="n">
        <v>7.06</v>
      </c>
      <c r="L52" s="14" t="n">
        <v>9.084300000000001</v>
      </c>
      <c r="M52" s="17">
        <f>IF(OR(F52="",K52="",K52&lt;=0),"",F52/K52)</f>
        <v/>
      </c>
      <c r="N52" s="18" t="n">
        <v>8.504936000000001</v>
      </c>
      <c r="O52" s="19">
        <f>IF(OR(N52="",M52="",M52&lt;=0),"",N52/M52)</f>
        <v/>
      </c>
      <c r="P52" s="20" t="n">
        <v>0.29841</v>
      </c>
      <c r="Q52" s="20" t="n">
        <v>0.3160924607555183</v>
      </c>
      <c r="R52" s="20" t="n">
        <v>0.02613080609356336</v>
      </c>
      <c r="S52" s="21" t="n">
        <v>4</v>
      </c>
      <c r="T52" s="20" t="n"/>
      <c r="U52" s="20" t="n">
        <v>0.2710710710710711</v>
      </c>
      <c r="V52" s="20" t="n">
        <v>0.3327678138633058</v>
      </c>
      <c r="W52" s="20" t="n">
        <v>0.333767926988266</v>
      </c>
      <c r="X52" s="20" t="n">
        <v>0.3267630310994306</v>
      </c>
      <c r="Y52" s="14" t="n">
        <v>3.78</v>
      </c>
      <c r="Z52" s="19">
        <f>IF(OR(Y52="",F52="",F52=0),"",Y52/F52)</f>
        <v/>
      </c>
      <c r="AA52" s="22" t="n">
        <v>235.301</v>
      </c>
      <c r="AB52" s="20" t="n">
        <v>0.04</v>
      </c>
      <c r="AC52" s="20" t="n">
        <v>0.1131963155054753</v>
      </c>
      <c r="AD52" s="17">
        <f>IF(OR(Q52="",M52="",M52&lt;=0),"",ROUND(40*MAX(0,MIN(N(Q52)/0.3,1))+IF(OR(R52="",N(Q52)&lt;=0),10,20*MAX(0,1-MIN(R52/Q52,1)))+30*MAX(0,MIN((PARAMETRI!$B$5-M52)/MAX(PARAMETRI!$B$5-10,1),1))+IF(AB52="",3,10*MAX(0,MIN(AB52/0.15,1)))+IF(AND(P52&lt;&gt;"",N(P52)&lt;N(Q52)*0.6),-8,0),1))</f>
        <v/>
      </c>
      <c r="AE52" s="13">
        <f>IF(AND(P52="",Q52=""),"DATI MANCANTI",IF(AND(N(P52)&gt;=PARAMETRI!$B$4,N(Q52)&gt;=PARAMETRI!$B$4),"OK","NO"))</f>
        <v/>
      </c>
      <c r="AF52" s="13">
        <f>IF(M52="","N/D",IF(M52&lt;PARAMETRI!$B$6,"OTTIMO",IF(M52&lt;PARAMETRI!$B$5,"OK","NO")))</f>
        <v/>
      </c>
      <c r="AG52" s="13">
        <f>IF(OR(AE52="DATI MANCANTI",AF52="N/D"),"DA COMPLETARE",IF(AND(AE52="OK",AF52="OTTIMO"),"PASSA FORTE",IF(AND(AE52="OK",AF52="OK"),"PASSA","SCARTA")))</f>
        <v/>
      </c>
      <c r="AH52" s="11" t="inlineStr">
        <is>
          <t>2026-10-12</t>
        </is>
      </c>
      <c r="AI52" s="11" t="inlineStr">
        <is>
          <t>yahoo</t>
        </is>
      </c>
      <c r="AJ52" s="23" t="inlineStr"/>
    </row>
    <row r="53">
      <c r="A53" s="10">
        <f>IF(AD53="","",RANK(AD53,AD$2:AD$167))</f>
        <v/>
      </c>
      <c r="B53" s="11" t="inlineStr">
        <is>
          <t>Cisco Systems</t>
        </is>
      </c>
      <c r="C53" s="12" t="inlineStr">
        <is>
          <t>CSCO</t>
        </is>
      </c>
      <c r="D53" s="11" t="inlineStr">
        <is>
          <t>Reti</t>
        </is>
      </c>
      <c r="E53" s="13" t="inlineStr">
        <is>
          <t>Tecnologia</t>
        </is>
      </c>
      <c r="F53" s="14" t="n">
        <v>115.6515</v>
      </c>
      <c r="G53" s="15" t="inlineStr">
        <is>
          <t>USD</t>
        </is>
      </c>
      <c r="H53" s="14" t="n">
        <v>103.600614375476</v>
      </c>
      <c r="I53" s="16" t="n">
        <v>408454.4350431229</v>
      </c>
      <c r="J53" s="16" t="n">
        <v>455966.1</v>
      </c>
      <c r="K53" s="14" t="n">
        <v>3.33</v>
      </c>
      <c r="L53" s="14" t="n">
        <v>5.62092</v>
      </c>
      <c r="M53" s="17">
        <f>IF(OR(F53="",K53="",K53&lt;=0),"",F53/K53)</f>
        <v/>
      </c>
      <c r="N53" s="18" t="n">
        <v>9.075688</v>
      </c>
      <c r="O53" s="19">
        <f>IF(OR(N53="",M53="",M53&lt;=0),"",N53/M53)</f>
        <v/>
      </c>
      <c r="P53" s="20" t="n">
        <v>0.27319</v>
      </c>
      <c r="Q53" s="20" t="n">
        <v>0.2481407932680991</v>
      </c>
      <c r="R53" s="20" t="n">
        <v>0.0271800865071588</v>
      </c>
      <c r="S53" s="21" t="n">
        <v>4</v>
      </c>
      <c r="T53" s="20" t="n">
        <v>0.2638361340359948</v>
      </c>
      <c r="U53" s="20" t="n">
        <v>0.2173216916081378</v>
      </c>
      <c r="V53" s="20" t="n">
        <v>0.2270277405020129</v>
      </c>
      <c r="W53" s="20" t="n">
        <v>0.2843776069262507</v>
      </c>
      <c r="X53" s="20" t="n">
        <v>0.2969853921001684</v>
      </c>
      <c r="Y53" s="14" t="n">
        <v>1.68</v>
      </c>
      <c r="Z53" s="19">
        <f>IF(OR(Y53="",F53="",F53=0),"",Y53/F53)</f>
        <v/>
      </c>
      <c r="AA53" s="22" t="n">
        <v>62.017</v>
      </c>
      <c r="AB53" s="20" t="n">
        <v>0.176</v>
      </c>
      <c r="AC53" s="20" t="n">
        <v>0.2095065190682985</v>
      </c>
      <c r="AD53" s="17">
        <f>IF(OR(Q53="",M53="",M53&lt;=0),"",ROUND(40*MAX(0,MIN(N(Q53)/0.3,1))+IF(OR(R53="",N(Q53)&lt;=0),10,20*MAX(0,1-MIN(R53/Q53,1)))+30*MAX(0,MIN((PARAMETRI!$B$5-M53)/MAX(PARAMETRI!$B$5-10,1),1))+IF(AB53="",3,10*MAX(0,MIN(AB53/0.15,1)))+IF(AND(P53&lt;&gt;"",N(P53)&lt;N(Q53)*0.6),-8,0),1))</f>
        <v/>
      </c>
      <c r="AE53" s="13">
        <f>IF(AND(P53="",Q53=""),"DATI MANCANTI",IF(AND(N(P53)&gt;=PARAMETRI!$B$4,N(Q53)&gt;=PARAMETRI!$B$4),"OK","NO"))</f>
        <v/>
      </c>
      <c r="AF53" s="13">
        <f>IF(M53="","N/D",IF(M53&lt;PARAMETRI!$B$6,"OTTIMO",IF(M53&lt;PARAMETRI!$B$5,"OK","NO")))</f>
        <v/>
      </c>
      <c r="AG53" s="13">
        <f>IF(OR(AE53="DATI MANCANTI",AF53="N/D"),"DA COMPLETARE",IF(AND(AE53="OK",AF53="OTTIMO"),"PASSA FORTE",IF(AND(AE53="OK",AF53="OK"),"PASSA","SCARTA")))</f>
        <v/>
      </c>
      <c r="AH53" s="11" t="inlineStr">
        <is>
          <t>2026-10-12</t>
        </is>
      </c>
      <c r="AI53" s="11" t="inlineStr">
        <is>
          <t>yahoo</t>
        </is>
      </c>
      <c r="AJ53" s="23" t="inlineStr"/>
    </row>
    <row r="54">
      <c r="A54" s="10">
        <f>IF(AD54="","",RANK(AD54,AD$2:AD$167))</f>
        <v/>
      </c>
      <c r="B54" s="11" t="inlineStr">
        <is>
          <t>Procter &amp; Gamble</t>
        </is>
      </c>
      <c r="C54" s="12" t="inlineStr">
        <is>
          <t>PG</t>
        </is>
      </c>
      <c r="D54" s="11" t="inlineStr">
        <is>
          <t>Beni per la casa</t>
        </is>
      </c>
      <c r="E54" s="13" t="inlineStr">
        <is>
          <t>Consumi</t>
        </is>
      </c>
      <c r="F54" s="14" t="n">
        <v>152.89</v>
      </c>
      <c r="G54" s="15" t="inlineStr">
        <is>
          <t>USD</t>
        </is>
      </c>
      <c r="H54" s="14" t="n">
        <v>136.9588628929718</v>
      </c>
      <c r="I54" s="16" t="n">
        <v>318351.7351556533</v>
      </c>
      <c r="J54" s="16" t="n">
        <v>355382.6</v>
      </c>
      <c r="K54" s="14" t="n">
        <v>6.62</v>
      </c>
      <c r="L54" s="14" t="n">
        <v>7.39652</v>
      </c>
      <c r="M54" s="17">
        <f>IF(OR(F54="",K54="",K54&lt;=0),"",F54/K54)</f>
        <v/>
      </c>
      <c r="N54" s="18" t="n">
        <v>6.6627445</v>
      </c>
      <c r="O54" s="19">
        <f>IF(OR(N54="",M54="",M54&lt;=0),"",N54/M54)</f>
        <v/>
      </c>
      <c r="P54" s="20" t="n">
        <v>0.30290002</v>
      </c>
      <c r="Q54" s="20" t="n">
        <v>0.3032410724344928</v>
      </c>
      <c r="R54" s="20" t="n">
        <v>0.007281835576251603</v>
      </c>
      <c r="S54" s="21" t="n">
        <v>4</v>
      </c>
      <c r="T54" s="20" t="n">
        <v>0.2967030935078863</v>
      </c>
      <c r="U54" s="20" t="n">
        <v>0.3071214335153426</v>
      </c>
      <c r="V54" s="20" t="n">
        <v>0.2958875233663445</v>
      </c>
      <c r="W54" s="20" t="n">
        <v>0.3132522393483977</v>
      </c>
      <c r="X54" s="20" t="n">
        <v>0.3164266243104595</v>
      </c>
      <c r="Y54" s="14" t="n">
        <v>4.35</v>
      </c>
      <c r="Z54" s="19">
        <f>IF(OR(Y54="",F54="",F54=0),"",Y54/F54)</f>
        <v/>
      </c>
      <c r="AA54" s="22" t="n">
        <v>64.48999999999999</v>
      </c>
      <c r="AB54" s="20" t="n">
        <v>0.015</v>
      </c>
      <c r="AC54" s="20" t="n">
        <v>0.1810138843643717</v>
      </c>
      <c r="AD54" s="17">
        <f>IF(OR(Q54="",M54="",M54&lt;=0),"",ROUND(40*MAX(0,MIN(N(Q54)/0.3,1))+IF(OR(R54="",N(Q54)&lt;=0),10,20*MAX(0,1-MIN(R54/Q54,1)))+30*MAX(0,MIN((PARAMETRI!$B$5-M54)/MAX(PARAMETRI!$B$5-10,1),1))+IF(AB54="",3,10*MAX(0,MIN(AB54/0.15,1)))+IF(AND(P54&lt;&gt;"",N(P54)&lt;N(Q54)*0.6),-8,0),1))</f>
        <v/>
      </c>
      <c r="AE54" s="13">
        <f>IF(AND(P54="",Q54=""),"DATI MANCANTI",IF(AND(N(P54)&gt;=PARAMETRI!$B$4,N(Q54)&gt;=PARAMETRI!$B$4),"OK","NO"))</f>
        <v/>
      </c>
      <c r="AF54" s="13">
        <f>IF(M54="","N/D",IF(M54&lt;PARAMETRI!$B$6,"OTTIMO",IF(M54&lt;PARAMETRI!$B$5,"OK","NO")))</f>
        <v/>
      </c>
      <c r="AG54" s="13">
        <f>IF(OR(AE54="DATI MANCANTI",AF54="N/D"),"DA COMPLETARE",IF(AND(AE54="OK",AF54="OTTIMO"),"PASSA FORTE",IF(AND(AE54="OK",AF54="OK"),"PASSA","SCARTA")))</f>
        <v/>
      </c>
      <c r="AH54" s="11" t="inlineStr">
        <is>
          <t>2026-10-12</t>
        </is>
      </c>
      <c r="AI54" s="11" t="inlineStr">
        <is>
          <t>yahoo</t>
        </is>
      </c>
      <c r="AJ54" s="23" t="inlineStr"/>
    </row>
    <row r="55">
      <c r="A55" s="10">
        <f>IF(AD55="","",RANK(AD55,AD$2:AD$167))</f>
        <v/>
      </c>
      <c r="B55" s="11" t="inlineStr">
        <is>
          <t>Wells Fargo</t>
        </is>
      </c>
      <c r="C55" s="12" t="inlineStr">
        <is>
          <t>WFC</t>
        </is>
      </c>
      <c r="D55" s="11" t="inlineStr">
        <is>
          <t>Banca</t>
        </is>
      </c>
      <c r="E55" s="13" t="inlineStr">
        <is>
          <t>Finanziario</t>
        </is>
      </c>
      <c r="F55" s="14" t="n">
        <v>83.31999999999999</v>
      </c>
      <c r="G55" s="15" t="inlineStr">
        <is>
          <t>USD</t>
        </is>
      </c>
      <c r="H55" s="14" t="n">
        <v>74.63805648664011</v>
      </c>
      <c r="I55" s="16" t="n">
        <v>225705.4111515993</v>
      </c>
      <c r="J55" s="16" t="n">
        <v>251959.6</v>
      </c>
      <c r="K55" s="14" t="n">
        <v>6.88</v>
      </c>
      <c r="L55" s="14" t="n">
        <v>8.029909999999999</v>
      </c>
      <c r="M55" s="17">
        <f>IF(OR(F55="",K55="",K55&lt;=0),"",F55/K55)</f>
        <v/>
      </c>
      <c r="N55" s="18" t="n">
        <v>1.5307734</v>
      </c>
      <c r="O55" s="19">
        <f>IF(OR(N55="",M55="",M55&lt;=0),"",N55/M55)</f>
        <v/>
      </c>
      <c r="P55" s="20" t="n">
        <v>0.12575</v>
      </c>
      <c r="Q55" s="20" t="n">
        <v>0.1017166869476873</v>
      </c>
      <c r="R55" s="20" t="n">
        <v>0.01579883207450957</v>
      </c>
      <c r="S55" s="21" t="n">
        <v>4</v>
      </c>
      <c r="T55" s="20" t="n"/>
      <c r="U55" s="20" t="n">
        <v>0.1178133471733741</v>
      </c>
      <c r="V55" s="20" t="n">
        <v>0.1101049575703439</v>
      </c>
      <c r="W55" s="20" t="n">
        <v>0.1030608124478424</v>
      </c>
      <c r="X55" s="20" t="n">
        <v>0.07588763059918881</v>
      </c>
      <c r="Y55" s="14" t="n">
        <v>2</v>
      </c>
      <c r="Z55" s="19">
        <f>IF(OR(Y55="",F55="",F55=0),"",Y55/F55)</f>
        <v/>
      </c>
      <c r="AA55" s="22" t="n"/>
      <c r="AB55" s="20" t="n">
        <v>0.095</v>
      </c>
      <c r="AC55" s="20" t="n">
        <v>0.2582468076321103</v>
      </c>
      <c r="AD55" s="17">
        <f>IF(OR(Q55="",M55="",M55&lt;=0),"",ROUND(40*MAX(0,MIN(N(Q55)/0.3,1))+IF(OR(R55="",N(Q55)&lt;=0),10,20*MAX(0,1-MIN(R55/Q55,1)))+30*MAX(0,MIN((PARAMETRI!$B$5-M55)/MAX(PARAMETRI!$B$5-10,1),1))+IF(AB55="",3,10*MAX(0,MIN(AB55/0.15,1)))+IF(AND(P55&lt;&gt;"",N(P55)&lt;N(Q55)*0.6),-8,0),1))</f>
        <v/>
      </c>
      <c r="AE55" s="13">
        <f>IF(AND(P55="",Q55=""),"DATI MANCANTI",IF(AND(N(P55)&gt;=PARAMETRI!$B$4,N(Q55)&gt;=PARAMETRI!$B$4),"OK","NO"))</f>
        <v/>
      </c>
      <c r="AF55" s="13">
        <f>IF(M55="","N/D",IF(M55&lt;PARAMETRI!$B$6,"OTTIMO",IF(M55&lt;PARAMETRI!$B$5,"OK","NO")))</f>
        <v/>
      </c>
      <c r="AG55" s="13">
        <f>IF(OR(AE55="DATI MANCANTI",AF55="N/D"),"DA COMPLETARE",IF(AND(AE55="OK",AF55="OTTIMO"),"PASSA FORTE",IF(AND(AE55="OK",AF55="OK"),"PASSA","SCARTA")))</f>
        <v/>
      </c>
      <c r="AH55" s="11" t="inlineStr">
        <is>
          <t>2026-10-12</t>
        </is>
      </c>
      <c r="AI55" s="11" t="inlineStr">
        <is>
          <t>yahoo</t>
        </is>
      </c>
      <c r="AJ55" s="23" t="inlineStr"/>
    </row>
    <row r="56">
      <c r="A56" s="10">
        <f>IF(AD56="","",RANK(AD56,AD$2:AD$167))</f>
        <v/>
      </c>
      <c r="B56" s="11" t="inlineStr">
        <is>
          <t>FedEx</t>
        </is>
      </c>
      <c r="C56" s="12" t="inlineStr">
        <is>
          <t>FDX</t>
        </is>
      </c>
      <c r="D56" s="11" t="inlineStr">
        <is>
          <t>Logistica</t>
        </is>
      </c>
      <c r="E56" s="13" t="inlineStr">
        <is>
          <t>Industriale</t>
        </is>
      </c>
      <c r="F56" s="14" t="n">
        <v>290.62</v>
      </c>
      <c r="G56" s="15" t="inlineStr">
        <is>
          <t>USD</t>
        </is>
      </c>
      <c r="H56" s="14" t="n">
        <v>260.3373976973998</v>
      </c>
      <c r="I56" s="16" t="n">
        <v>61614.19936172457</v>
      </c>
      <c r="J56" s="16" t="n">
        <v>68781.2</v>
      </c>
      <c r="K56" s="14" t="n">
        <v>18.55</v>
      </c>
      <c r="L56" s="14" t="n">
        <v>20.70566</v>
      </c>
      <c r="M56" s="17">
        <f>IF(OR(F56="",K56="",K56&lt;=0),"",F56/K56)</f>
        <v/>
      </c>
      <c r="N56" s="18" t="n">
        <v>2.203954</v>
      </c>
      <c r="O56" s="19">
        <f>IF(OR(N56="",M56="",M56&lt;=0),"",N56/M56)</f>
        <v/>
      </c>
      <c r="P56" s="20" t="n">
        <v>0.14846</v>
      </c>
      <c r="Q56" s="20" t="n">
        <v>0.1487776787174603</v>
      </c>
      <c r="R56" s="20" t="n">
        <v>0.006420595404348427</v>
      </c>
      <c r="S56" s="21" t="n">
        <v>4</v>
      </c>
      <c r="T56" s="20" t="n">
        <v>0.1400764685436218</v>
      </c>
      <c r="U56" s="20" t="n">
        <v>0.1457576405214789</v>
      </c>
      <c r="V56" s="20" t="n">
        <v>0.1570226959611341</v>
      </c>
      <c r="W56" s="20" t="n">
        <v>0.1522539098436063</v>
      </c>
      <c r="X56" s="20" t="n"/>
      <c r="Y56" s="14" t="n">
        <v>4.88</v>
      </c>
      <c r="Z56" s="19">
        <f>IF(OR(Y56="",F56="",F56=0),"",Y56/F56)</f>
        <v/>
      </c>
      <c r="AA56" s="22" t="n">
        <v>135.697</v>
      </c>
      <c r="AB56" s="20" t="n">
        <v>0.125</v>
      </c>
      <c r="AC56" s="20" t="n">
        <v>0.0467271945945946</v>
      </c>
      <c r="AD56" s="17">
        <f>IF(OR(Q56="",M56="",M56&lt;=0),"",ROUND(40*MAX(0,MIN(N(Q56)/0.3,1))+IF(OR(R56="",N(Q56)&lt;=0),10,20*MAX(0,1-MIN(R56/Q56,1)))+30*MAX(0,MIN((PARAMETRI!$B$5-M56)/MAX(PARAMETRI!$B$5-10,1),1))+IF(AB56="",3,10*MAX(0,MIN(AB56/0.15,1)))+IF(AND(P56&lt;&gt;"",N(P56)&lt;N(Q56)*0.6),-8,0),1))</f>
        <v/>
      </c>
      <c r="AE56" s="13">
        <f>IF(AND(P56="",Q56=""),"DATI MANCANTI",IF(AND(N(P56)&gt;=PARAMETRI!$B$4,N(Q56)&gt;=PARAMETRI!$B$4),"OK","NO"))</f>
        <v/>
      </c>
      <c r="AF56" s="13">
        <f>IF(M56="","N/D",IF(M56&lt;PARAMETRI!$B$6,"OTTIMO",IF(M56&lt;PARAMETRI!$B$5,"OK","NO")))</f>
        <v/>
      </c>
      <c r="AG56" s="13">
        <f>IF(OR(AE56="DATI MANCANTI",AF56="N/D"),"DA COMPLETARE",IF(AND(AE56="OK",AF56="OTTIMO"),"PASSA FORTE",IF(AND(AE56="OK",AF56="OK"),"PASSA","SCARTA")))</f>
        <v/>
      </c>
      <c r="AH56" s="11" t="inlineStr">
        <is>
          <t>2026-10-12</t>
        </is>
      </c>
      <c r="AI56" s="11" t="inlineStr">
        <is>
          <t>yahoo</t>
        </is>
      </c>
      <c r="AJ56" s="23" t="inlineStr"/>
    </row>
    <row r="57">
      <c r="A57" s="10">
        <f>IF(AD57="","",RANK(AD57,AD$2:AD$167))</f>
        <v/>
      </c>
      <c r="B57" s="11" t="inlineStr">
        <is>
          <t>Broadcom</t>
        </is>
      </c>
      <c r="C57" s="12" t="inlineStr">
        <is>
          <t>AVGO</t>
        </is>
      </c>
      <c r="D57" s="11" t="inlineStr">
        <is>
          <t>Semiconduttori</t>
        </is>
      </c>
      <c r="E57" s="13" t="inlineStr">
        <is>
          <t>Tecnologia</t>
        </is>
      </c>
      <c r="F57" s="14" t="n">
        <v>356.5365</v>
      </c>
      <c r="G57" s="15" t="inlineStr">
        <is>
          <t>USD</t>
        </is>
      </c>
      <c r="H57" s="14" t="n">
        <v>319.3853987823928</v>
      </c>
      <c r="I57" s="16" t="n">
        <v>1524627.692080572</v>
      </c>
      <c r="J57" s="16" t="n">
        <v>1701973.3</v>
      </c>
      <c r="K57" s="14" t="n">
        <v>7.83</v>
      </c>
      <c r="L57" s="14" t="n">
        <v>19.39382</v>
      </c>
      <c r="M57" s="17">
        <f>IF(OR(F57="",K57="",K57&lt;=0),"",F57/K57)</f>
        <v/>
      </c>
      <c r="N57" s="18" t="n">
        <v>17.073868</v>
      </c>
      <c r="O57" s="19">
        <f>IF(OR(N57="",M57="",M57&lt;=0),"",N57/M57)</f>
        <v/>
      </c>
      <c r="P57" s="20" t="n">
        <v>0.44245</v>
      </c>
      <c r="Q57" s="20" t="n">
        <v>0.44245</v>
      </c>
      <c r="R57" s="20" t="n"/>
      <c r="S57" s="21" t="n">
        <v>0</v>
      </c>
      <c r="T57" s="20" t="n"/>
      <c r="U57" s="20" t="n">
        <v>0.2844806377011268</v>
      </c>
      <c r="V57" s="20" t="n">
        <v>0.08710363781435622</v>
      </c>
      <c r="W57" s="20" t="n">
        <v>0.5870435217608805</v>
      </c>
      <c r="X57" s="20" t="n">
        <v>0.5061869743273592</v>
      </c>
      <c r="Y57" s="14" t="n">
        <v>2.6</v>
      </c>
      <c r="Z57" s="19">
        <f>IF(OR(Y57="",F57="",F57=0),"",Y57/F57)</f>
        <v/>
      </c>
      <c r="AA57" s="22" t="n">
        <v>59.604</v>
      </c>
      <c r="AB57" s="20" t="n">
        <v>0.855</v>
      </c>
      <c r="AC57" s="20" t="n">
        <v>0.42944</v>
      </c>
      <c r="AD57" s="17">
        <f>IF(OR(Q57="",M57="",M57&lt;=0),"",ROUND(40*MAX(0,MIN(N(Q57)/0.3,1))+IF(OR(R57="",N(Q57)&lt;=0),10,20*MAX(0,1-MIN(R57/Q57,1)))+30*MAX(0,MIN((PARAMETRI!$B$5-M57)/MAX(PARAMETRI!$B$5-10,1),1))+IF(AB57="",3,10*MAX(0,MIN(AB57/0.15,1)))+IF(AND(P57&lt;&gt;"",N(P57)&lt;N(Q57)*0.6),-8,0),1))</f>
        <v/>
      </c>
      <c r="AE57" s="13">
        <f>IF(AND(P57="",Q57=""),"DATI MANCANTI",IF(AND(N(P57)&gt;=PARAMETRI!$B$4,N(Q57)&gt;=PARAMETRI!$B$4),"OK","NO"))</f>
        <v/>
      </c>
      <c r="AF57" s="13">
        <f>IF(M57="","N/D",IF(M57&lt;PARAMETRI!$B$6,"OTTIMO",IF(M57&lt;PARAMETRI!$B$5,"OK","NO")))</f>
        <v/>
      </c>
      <c r="AG57" s="13">
        <f>IF(OR(AE57="DATI MANCANTI",AF57="N/D"),"DA COMPLETARE",IF(AND(AE57="OK",AF57="OTTIMO"),"PASSA FORTE",IF(AND(AE57="OK",AF57="OK"),"PASSA","SCARTA")))</f>
        <v/>
      </c>
      <c r="AH57" s="11" t="inlineStr">
        <is>
          <t>2026-10-12</t>
        </is>
      </c>
      <c r="AI57" s="11" t="inlineStr">
        <is>
          <t>yahoo</t>
        </is>
      </c>
      <c r="AJ57" s="23" t="inlineStr"/>
    </row>
    <row r="58">
      <c r="A58" s="10">
        <f>IF(AD58="","",RANK(AD58,AD$2:AD$167))</f>
        <v/>
      </c>
      <c r="B58" s="11" t="inlineStr">
        <is>
          <t>Phillips 66</t>
        </is>
      </c>
      <c r="C58" s="12" t="inlineStr">
        <is>
          <t>PSX</t>
        </is>
      </c>
      <c r="D58" s="11" t="inlineStr">
        <is>
          <t>Raffinazione</t>
        </is>
      </c>
      <c r="E58" s="13" t="inlineStr">
        <is>
          <t>Energia</t>
        </is>
      </c>
      <c r="F58" s="14" t="n">
        <v>280.79</v>
      </c>
      <c r="G58" s="15" t="inlineStr">
        <is>
          <t>USD</t>
        </is>
      </c>
      <c r="H58" s="14" t="n">
        <v>251.5316836399866</v>
      </c>
      <c r="I58" s="16" t="n">
        <v>100366.418034389</v>
      </c>
      <c r="J58" s="16" t="n">
        <v>112041.1</v>
      </c>
      <c r="K58" s="14" t="n">
        <v>17.5</v>
      </c>
      <c r="L58" s="14" t="n">
        <v>28.17582</v>
      </c>
      <c r="M58" s="17">
        <f>IF(OR(F58="",K58="",K58&lt;=0),"",F58/K58)</f>
        <v/>
      </c>
      <c r="N58" s="18" t="n">
        <v>3.5561945</v>
      </c>
      <c r="O58" s="19">
        <f>IF(OR(N58="",M58="",M58&lt;=0),"",N58/M58)</f>
        <v/>
      </c>
      <c r="P58" s="20" t="n">
        <v>0.23452999</v>
      </c>
      <c r="Q58" s="20" t="n">
        <v>0.2079323006455208</v>
      </c>
      <c r="R58" s="20" t="n">
        <v>0.1098238706639464</v>
      </c>
      <c r="S58" s="21" t="n">
        <v>4</v>
      </c>
      <c r="T58" s="20" t="n"/>
      <c r="U58" s="20" t="n">
        <v>0.151342247275977</v>
      </c>
      <c r="V58" s="20" t="n">
        <v>0.07724022183304145</v>
      </c>
      <c r="W58" s="20" t="n">
        <v>0.2293757970114116</v>
      </c>
      <c r="X58" s="20" t="n">
        <v>0.3737709364616532</v>
      </c>
      <c r="Y58" s="14" t="n">
        <v>5.08</v>
      </c>
      <c r="Z58" s="19">
        <f>IF(OR(Y58="",F58="",F58=0),"",Y58/F58)</f>
        <v/>
      </c>
      <c r="AA58" s="22" t="n">
        <v>62.884</v>
      </c>
      <c r="AB58" s="20" t="n">
        <v>0.531</v>
      </c>
      <c r="AC58" s="20" t="n">
        <v>0.05352178787695655</v>
      </c>
      <c r="AD58" s="17">
        <f>IF(OR(Q58="",M58="",M58&lt;=0),"",ROUND(40*MAX(0,MIN(N(Q58)/0.3,1))+IF(OR(R58="",N(Q58)&lt;=0),10,20*MAX(0,1-MIN(R58/Q58,1)))+30*MAX(0,MIN((PARAMETRI!$B$5-M58)/MAX(PARAMETRI!$B$5-10,1),1))+IF(AB58="",3,10*MAX(0,MIN(AB58/0.15,1)))+IF(AND(P58&lt;&gt;"",N(P58)&lt;N(Q58)*0.6),-8,0),1))</f>
        <v/>
      </c>
      <c r="AE58" s="13">
        <f>IF(AND(P58="",Q58=""),"DATI MANCANTI",IF(AND(N(P58)&gt;=PARAMETRI!$B$4,N(Q58)&gt;=PARAMETRI!$B$4),"OK","NO"))</f>
        <v/>
      </c>
      <c r="AF58" s="13">
        <f>IF(M58="","N/D",IF(M58&lt;PARAMETRI!$B$6,"OTTIMO",IF(M58&lt;PARAMETRI!$B$5,"OK","NO")))</f>
        <v/>
      </c>
      <c r="AG58" s="13">
        <f>IF(OR(AE58="DATI MANCANTI",AF58="N/D"),"DA COMPLETARE",IF(AND(AE58="OK",AF58="OTTIMO"),"PASSA FORTE",IF(AND(AE58="OK",AF58="OK"),"PASSA","SCARTA")))</f>
        <v/>
      </c>
      <c r="AH58" s="11" t="inlineStr">
        <is>
          <t>2026-10-12</t>
        </is>
      </c>
      <c r="AI58" s="11" t="inlineStr">
        <is>
          <t>yahoo</t>
        </is>
      </c>
      <c r="AJ58" s="23" t="inlineStr"/>
    </row>
    <row r="59">
      <c r="A59" s="10">
        <f>IF(AD59="","",RANK(AD59,AD$2:AD$167))</f>
        <v/>
      </c>
      <c r="B59" s="11" t="inlineStr">
        <is>
          <t>Amgen</t>
        </is>
      </c>
      <c r="C59" s="12" t="inlineStr">
        <is>
          <t>AMGN</t>
        </is>
      </c>
      <c r="D59" s="11" t="inlineStr">
        <is>
          <t>Biotecnologie</t>
        </is>
      </c>
      <c r="E59" s="13" t="inlineStr">
        <is>
          <t>Salute</t>
        </is>
      </c>
      <c r="F59" s="14" t="n">
        <v>415.58</v>
      </c>
      <c r="G59" s="15" t="inlineStr">
        <is>
          <t>USD</t>
        </is>
      </c>
      <c r="H59" s="14" t="n">
        <v>372.2765664272432</v>
      </c>
      <c r="I59" s="16" t="n">
        <v>201264.5829522451</v>
      </c>
      <c r="J59" s="16" t="n">
        <v>224675.8</v>
      </c>
      <c r="K59" s="14" t="n">
        <v>16.1</v>
      </c>
      <c r="L59" s="14" t="n">
        <v>24.48379</v>
      </c>
      <c r="M59" s="17">
        <f>IF(OR(F59="",K59="",K59&lt;=0),"",F59/K59)</f>
        <v/>
      </c>
      <c r="N59" s="18" t="n">
        <v>19.222015</v>
      </c>
      <c r="O59" s="19">
        <f>IF(OR(N59="",M59="",M59&lt;=0),"",N59/M59)</f>
        <v/>
      </c>
      <c r="P59" s="20" t="n">
        <v>0.91473</v>
      </c>
      <c r="Q59" s="20" t="n">
        <v>1.113513443906775</v>
      </c>
      <c r="R59" s="20" t="n">
        <v>0.4130744959321571</v>
      </c>
      <c r="S59" s="21" t="n">
        <v>4</v>
      </c>
      <c r="T59" s="20" t="n"/>
      <c r="U59" s="20" t="n">
        <v>0.8906213906213907</v>
      </c>
      <c r="V59" s="20" t="n">
        <v>0.6959332993023651</v>
      </c>
      <c r="W59" s="20" t="n">
        <v>1.077824133504493</v>
      </c>
      <c r="X59" s="20" t="n">
        <v>1.789674952198853</v>
      </c>
      <c r="Y59" s="14" t="n">
        <v>10.08</v>
      </c>
      <c r="Z59" s="19">
        <f>IF(OR(Y59="",F59="",F59=0),"",Y59/F59)</f>
        <v/>
      </c>
      <c r="AA59" s="22" t="n">
        <v>490.281</v>
      </c>
      <c r="AB59" s="20" t="n">
        <v>0.095</v>
      </c>
      <c r="AC59" s="20" t="n">
        <v>0.2378982902233953</v>
      </c>
      <c r="AD59" s="17">
        <f>IF(OR(Q59="",M59="",M59&lt;=0),"",ROUND(40*MAX(0,MIN(N(Q59)/0.3,1))+IF(OR(R59="",N(Q59)&lt;=0),10,20*MAX(0,1-MIN(R59/Q59,1)))+30*MAX(0,MIN((PARAMETRI!$B$5-M59)/MAX(PARAMETRI!$B$5-10,1),1))+IF(AB59="",3,10*MAX(0,MIN(AB59/0.15,1)))+IF(AND(P59&lt;&gt;"",N(P59)&lt;N(Q59)*0.6),-8,0),1))</f>
        <v/>
      </c>
      <c r="AE59" s="13">
        <f>IF(AND(P59="",Q59=""),"DATI MANCANTI",IF(AND(N(P59)&gt;=PARAMETRI!$B$4,N(Q59)&gt;=PARAMETRI!$B$4),"OK","NO"))</f>
        <v/>
      </c>
      <c r="AF59" s="13">
        <f>IF(M59="","N/D",IF(M59&lt;PARAMETRI!$B$6,"OTTIMO",IF(M59&lt;PARAMETRI!$B$5,"OK","NO")))</f>
        <v/>
      </c>
      <c r="AG59" s="13">
        <f>IF(OR(AE59="DATI MANCANTI",AF59="N/D"),"DA COMPLETARE",IF(AND(AE59="OK",AF59="OTTIMO"),"PASSA FORTE",IF(AND(AE59="OK",AF59="OK"),"PASSA","SCARTA")))</f>
        <v/>
      </c>
      <c r="AH59" s="11" t="inlineStr">
        <is>
          <t>2026-10-12</t>
        </is>
      </c>
      <c r="AI59" s="11" t="inlineStr">
        <is>
          <t>yahoo</t>
        </is>
      </c>
      <c r="AJ59" s="23" t="inlineStr"/>
    </row>
    <row r="60">
      <c r="A60" s="10">
        <f>IF(AD60="","",RANK(AD60,AD$2:AD$167))</f>
        <v/>
      </c>
      <c r="B60" s="11" t="inlineStr">
        <is>
          <t>AbbVie</t>
        </is>
      </c>
      <c r="C60" s="12" t="inlineStr">
        <is>
          <t>ABBV</t>
        </is>
      </c>
      <c r="D60" s="11" t="inlineStr">
        <is>
          <t>Farmaceutica</t>
        </is>
      </c>
      <c r="E60" s="13" t="inlineStr">
        <is>
          <t>Salute</t>
        </is>
      </c>
      <c r="F60" s="14" t="n">
        <v>280.38</v>
      </c>
      <c r="G60" s="15" t="inlineStr">
        <is>
          <t>USD</t>
        </is>
      </c>
      <c r="H60" s="14" t="n">
        <v>251.1644056375919</v>
      </c>
      <c r="I60" s="16" t="n">
        <v>443842.2976338517</v>
      </c>
      <c r="J60" s="16" t="n">
        <v>495470.3</v>
      </c>
      <c r="K60" s="14" t="n">
        <v>3.54</v>
      </c>
      <c r="L60" s="14" t="n">
        <v>16.25892</v>
      </c>
      <c r="M60" s="17">
        <f>IF(OR(F60="",K60="",K60&lt;=0),"",F60/K60)</f>
        <v/>
      </c>
      <c r="N60" s="18" t="n">
        <v>-83.47228</v>
      </c>
      <c r="O60" s="19">
        <f>IF(OR(N60="",M60="",M60&lt;=0),"",N60/M60)</f>
        <v/>
      </c>
      <c r="P60" s="20" t="n">
        <v>1.286616541353383</v>
      </c>
      <c r="Q60" s="20" t="n">
        <v>0.8140013147022048</v>
      </c>
      <c r="R60" s="20" t="n">
        <v>0.3456887382306248</v>
      </c>
      <c r="S60" s="21" t="n">
        <v>3</v>
      </c>
      <c r="T60" s="20" t="n"/>
      <c r="U60" s="20" t="n"/>
      <c r="V60" s="20" t="n">
        <v>1.286616541353383</v>
      </c>
      <c r="W60" s="20" t="n">
        <v>0.4694015444015444</v>
      </c>
      <c r="X60" s="20" t="n">
        <v>0.6859858583516866</v>
      </c>
      <c r="Y60" s="14" t="n">
        <v>6.92</v>
      </c>
      <c r="Z60" s="19">
        <f>IF(OR(Y60="",F60="",F60=0),"",Y60/F60)</f>
        <v/>
      </c>
      <c r="AA60" s="22" t="n"/>
      <c r="AB60" s="20" t="n">
        <v>0.102</v>
      </c>
      <c r="AC60" s="20" t="n">
        <v>0.1025179877043819</v>
      </c>
      <c r="AD60" s="17">
        <f>IF(OR(Q60="",M60="",M60&lt;=0),"",ROUND(40*MAX(0,MIN(N(Q60)/0.3,1))+IF(OR(R60="",N(Q60)&lt;=0),10,20*MAX(0,1-MIN(R60/Q60,1)))+30*MAX(0,MIN((PARAMETRI!$B$5-M60)/MAX(PARAMETRI!$B$5-10,1),1))+IF(AB60="",3,10*MAX(0,MIN(AB60/0.15,1)))+IF(AND(P60&lt;&gt;"",N(P60)&lt;N(Q60)*0.6),-8,0),1))</f>
        <v/>
      </c>
      <c r="AE60" s="13">
        <f>IF(AND(P60="",Q60=""),"DATI MANCANTI",IF(AND(N(P60)&gt;=PARAMETRI!$B$4,N(Q60)&gt;=PARAMETRI!$B$4),"OK","NO"))</f>
        <v/>
      </c>
      <c r="AF60" s="13">
        <f>IF(M60="","N/D",IF(M60&lt;PARAMETRI!$B$6,"OTTIMO",IF(M60&lt;PARAMETRI!$B$5,"OK","NO")))</f>
        <v/>
      </c>
      <c r="AG60" s="13">
        <f>IF(OR(AE60="DATI MANCANTI",AF60="N/D"),"DA COMPLETARE",IF(AND(AE60="OK",AF60="OTTIMO"),"PASSA FORTE",IF(AND(AE60="OK",AF60="OK"),"PASSA","SCARTA")))</f>
        <v/>
      </c>
      <c r="AH60" s="11" t="inlineStr">
        <is>
          <t>2026-10-12</t>
        </is>
      </c>
      <c r="AI60" s="11" t="inlineStr">
        <is>
          <t>yahoo</t>
        </is>
      </c>
      <c r="AJ60" s="23" t="inlineStr"/>
    </row>
    <row r="61">
      <c r="A61" s="10">
        <f>IF(AD61="","",RANK(AD61,AD$2:AD$167))</f>
        <v/>
      </c>
      <c r="B61" s="11" t="inlineStr">
        <is>
          <t>Goldman Sachs</t>
        </is>
      </c>
      <c r="C61" s="12" t="inlineStr">
        <is>
          <t>GS</t>
        </is>
      </c>
      <c r="D61" s="11" t="inlineStr">
        <is>
          <t>Banca d'investimento</t>
        </is>
      </c>
      <c r="E61" s="13" t="inlineStr">
        <is>
          <t>Finanziario</t>
        </is>
      </c>
      <c r="F61" s="14" t="n">
        <v>891.875</v>
      </c>
      <c r="G61" s="15" t="inlineStr">
        <is>
          <t>USD</t>
        </is>
      </c>
      <c r="H61" s="14" t="n">
        <v>798.9416302090993</v>
      </c>
      <c r="I61" s="16" t="n">
        <v>232628.9598167408</v>
      </c>
      <c r="J61" s="16" t="n">
        <v>259688.5</v>
      </c>
      <c r="K61" s="14" t="n">
        <v>64.75</v>
      </c>
      <c r="L61" s="14" t="n">
        <v>72.16346</v>
      </c>
      <c r="M61" s="17">
        <f>IF(OR(F61="",K61="",K61&lt;=0),"",F61/K61)</f>
        <v/>
      </c>
      <c r="N61" s="18" t="n">
        <v>2.4634097</v>
      </c>
      <c r="O61" s="19">
        <f>IF(OR(N61="",M61="",M61&lt;=0),"",N61/M61)</f>
        <v/>
      </c>
      <c r="P61" s="20" t="n">
        <v>0.16902</v>
      </c>
      <c r="Q61" s="20" t="n">
        <v>0.1058492814900844</v>
      </c>
      <c r="R61" s="20" t="n">
        <v>0.02401629869746958</v>
      </c>
      <c r="S61" s="21" t="n">
        <v>4</v>
      </c>
      <c r="T61" s="20" t="n"/>
      <c r="U61" s="20" t="n">
        <v>0.1374387862881285</v>
      </c>
      <c r="V61" s="20" t="n">
        <v>0.117020230171481</v>
      </c>
      <c r="W61" s="20" t="n">
        <v>0.07284547281981096</v>
      </c>
      <c r="X61" s="20" t="n">
        <v>0.09609263668091715</v>
      </c>
      <c r="Y61" s="14" t="n">
        <v>20</v>
      </c>
      <c r="Z61" s="19">
        <f>IF(OR(Y61="",F61="",F61=0),"",Y61/F61)</f>
        <v/>
      </c>
      <c r="AA61" s="22" t="n">
        <v>725.381</v>
      </c>
      <c r="AB61" s="20" t="n">
        <v>0.425</v>
      </c>
      <c r="AC61" s="20" t="n">
        <v>0.342844399361735</v>
      </c>
      <c r="AD61" s="17">
        <f>IF(OR(Q61="",M61="",M61&lt;=0),"",ROUND(40*MAX(0,MIN(N(Q61)/0.3,1))+IF(OR(R61="",N(Q61)&lt;=0),10,20*MAX(0,1-MIN(R61/Q61,1)))+30*MAX(0,MIN((PARAMETRI!$B$5-M61)/MAX(PARAMETRI!$B$5-10,1),1))+IF(AB61="",3,10*MAX(0,MIN(AB61/0.15,1)))+IF(AND(P61&lt;&gt;"",N(P61)&lt;N(Q61)*0.6),-8,0),1))</f>
        <v/>
      </c>
      <c r="AE61" s="13">
        <f>IF(AND(P61="",Q61=""),"DATI MANCANTI",IF(AND(N(P61)&gt;=PARAMETRI!$B$4,N(Q61)&gt;=PARAMETRI!$B$4),"OK","NO"))</f>
        <v/>
      </c>
      <c r="AF61" s="13">
        <f>IF(M61="","N/D",IF(M61&lt;PARAMETRI!$B$6,"OTTIMO",IF(M61&lt;PARAMETRI!$B$5,"OK","NO")))</f>
        <v/>
      </c>
      <c r="AG61" s="13">
        <f>IF(OR(AE61="DATI MANCANTI",AF61="N/D"),"DA COMPLETARE",IF(AND(AE61="OK",AF61="OTTIMO"),"PASSA FORTE",IF(AND(AE61="OK",AF61="OK"),"PASSA","SCARTA")))</f>
        <v/>
      </c>
      <c r="AH61" s="11" t="inlineStr">
        <is>
          <t>2026-10-12</t>
        </is>
      </c>
      <c r="AI61" s="11" t="inlineStr">
        <is>
          <t>yahoo</t>
        </is>
      </c>
      <c r="AJ61" s="23" t="inlineStr"/>
    </row>
    <row r="62">
      <c r="A62" s="10">
        <f>IF(AD62="","",RANK(AD62,AD$2:AD$167))</f>
        <v/>
      </c>
      <c r="B62" s="11" t="inlineStr">
        <is>
          <t>Valero Energy</t>
        </is>
      </c>
      <c r="C62" s="12" t="inlineStr">
        <is>
          <t>VLO</t>
        </is>
      </c>
      <c r="D62" s="11" t="inlineStr">
        <is>
          <t>Raffinazione</t>
        </is>
      </c>
      <c r="E62" s="13" t="inlineStr">
        <is>
          <t>Energia</t>
        </is>
      </c>
      <c r="F62" s="14" t="n">
        <v>434.505</v>
      </c>
      <c r="G62" s="15" t="inlineStr">
        <is>
          <t>USD</t>
        </is>
      </c>
      <c r="H62" s="14" t="n">
        <v>389.2295815377768</v>
      </c>
      <c r="I62" s="16" t="n">
        <v>112069.8659506955</v>
      </c>
      <c r="J62" s="16" t="n">
        <v>125105.9</v>
      </c>
      <c r="K62" s="14" t="n">
        <v>23.99</v>
      </c>
      <c r="L62" s="14" t="n">
        <v>43.1387</v>
      </c>
      <c r="M62" s="17">
        <f>IF(OR(F62="",K62="",K62&lt;=0),"",F62/K62)</f>
        <v/>
      </c>
      <c r="N62" s="18" t="n">
        <v>5.0040884</v>
      </c>
      <c r="O62" s="19">
        <f>IF(OR(N62="",M62="",M62&lt;=0),"",N62/M62)</f>
        <v/>
      </c>
      <c r="P62" s="20" t="n">
        <v>0.27637</v>
      </c>
      <c r="Q62" s="20" t="n">
        <v>0.2591503425025153</v>
      </c>
      <c r="R62" s="20" t="n">
        <v>0.1626219038409605</v>
      </c>
      <c r="S62" s="21" t="n">
        <v>4</v>
      </c>
      <c r="T62" s="20" t="n"/>
      <c r="U62" s="20" t="n">
        <v>0.09896733403582719</v>
      </c>
      <c r="V62" s="20" t="n">
        <v>0.1130058746736292</v>
      </c>
      <c r="W62" s="20" t="n">
        <v>0.3353450239125484</v>
      </c>
      <c r="X62" s="20" t="n">
        <v>0.4892831373880565</v>
      </c>
      <c r="Y62" s="14" t="n">
        <v>4.8</v>
      </c>
      <c r="Z62" s="19">
        <f>IF(OR(Y62="",F62="",F62=0),"",Y62/F62)</f>
        <v/>
      </c>
      <c r="AA62" s="22" t="n">
        <v>40.148</v>
      </c>
      <c r="AB62" s="20" t="n">
        <v>0.517</v>
      </c>
      <c r="AC62" s="20" t="n">
        <v>0.05862886806263092</v>
      </c>
      <c r="AD62" s="17">
        <f>IF(OR(Q62="",M62="",M62&lt;=0),"",ROUND(40*MAX(0,MIN(N(Q62)/0.3,1))+IF(OR(R62="",N(Q62)&lt;=0),10,20*MAX(0,1-MIN(R62/Q62,1)))+30*MAX(0,MIN((PARAMETRI!$B$5-M62)/MAX(PARAMETRI!$B$5-10,1),1))+IF(AB62="",3,10*MAX(0,MIN(AB62/0.15,1)))+IF(AND(P62&lt;&gt;"",N(P62)&lt;N(Q62)*0.6),-8,0),1))</f>
        <v/>
      </c>
      <c r="AE62" s="13">
        <f>IF(AND(P62="",Q62=""),"DATI MANCANTI",IF(AND(N(P62)&gt;=PARAMETRI!$B$4,N(Q62)&gt;=PARAMETRI!$B$4),"OK","NO"))</f>
        <v/>
      </c>
      <c r="AF62" s="13">
        <f>IF(M62="","N/D",IF(M62&lt;PARAMETRI!$B$6,"OTTIMO",IF(M62&lt;PARAMETRI!$B$5,"OK","NO")))</f>
        <v/>
      </c>
      <c r="AG62" s="13">
        <f>IF(OR(AE62="DATI MANCANTI",AF62="N/D"),"DA COMPLETARE",IF(AND(AE62="OK",AF62="OTTIMO"),"PASSA FORTE",IF(AND(AE62="OK",AF62="OK"),"PASSA","SCARTA")))</f>
        <v/>
      </c>
      <c r="AH62" s="11" t="inlineStr">
        <is>
          <t>2026-10-12</t>
        </is>
      </c>
      <c r="AI62" s="11" t="inlineStr">
        <is>
          <t>yahoo</t>
        </is>
      </c>
      <c r="AJ62" s="23" t="inlineStr"/>
    </row>
    <row r="63">
      <c r="A63" s="10">
        <f>IF(AD63="","",RANK(AD63,AD$2:AD$167))</f>
        <v/>
      </c>
      <c r="B63" s="11" t="inlineStr">
        <is>
          <t>Marriott International</t>
        </is>
      </c>
      <c r="C63" s="12" t="inlineStr">
        <is>
          <t>MAR</t>
        </is>
      </c>
      <c r="D63" s="11" t="inlineStr">
        <is>
          <t>Alberghiero</t>
        </is>
      </c>
      <c r="E63" s="13" t="inlineStr">
        <is>
          <t>Consumi</t>
        </is>
      </c>
      <c r="F63" s="14" t="n">
        <v>369.56</v>
      </c>
      <c r="G63" s="15" t="inlineStr">
        <is>
          <t>USD</t>
        </is>
      </c>
      <c r="H63" s="14" t="n">
        <v>331.051850158458</v>
      </c>
      <c r="I63" s="16" t="n">
        <v>86327.17160285315</v>
      </c>
      <c r="J63" s="16" t="n">
        <v>96368.8</v>
      </c>
      <c r="K63" s="14" t="n">
        <v>9.66</v>
      </c>
      <c r="L63" s="14" t="n">
        <v>13.15768</v>
      </c>
      <c r="M63" s="17">
        <f>IF(OR(F63="",K63="",K63&lt;=0),"",F63/K63)</f>
        <v/>
      </c>
      <c r="N63" s="18" t="n">
        <v>-21.381624</v>
      </c>
      <c r="O63" s="19">
        <f>IF(OR(N63="",M63="",M63&lt;=0),"",N63/M63)</f>
        <v/>
      </c>
      <c r="P63" s="20" t="n">
        <v>4.151408450704225</v>
      </c>
      <c r="Q63" s="20" t="n">
        <v>4.151408450704225</v>
      </c>
      <c r="R63" s="20" t="n"/>
      <c r="S63" s="21" t="n">
        <v>1</v>
      </c>
      <c r="T63" s="20" t="n"/>
      <c r="U63" s="20" t="n"/>
      <c r="V63" s="20" t="n"/>
      <c r="W63" s="20" t="n"/>
      <c r="X63" s="20" t="n">
        <v>4.151408450704225</v>
      </c>
      <c r="Y63" s="14" t="n">
        <v>2.92</v>
      </c>
      <c r="Z63" s="19">
        <f>IF(OR(Y63="",F63="",F63=0),"",Y63/F63)</f>
        <v/>
      </c>
      <c r="AA63" s="22" t="n"/>
      <c r="AB63" s="20" t="n">
        <v>0.111</v>
      </c>
      <c r="AC63" s="20" t="n">
        <v>0.09879325074467273</v>
      </c>
      <c r="AD63" s="17">
        <f>IF(OR(Q63="",M63="",M63&lt;=0),"",ROUND(40*MAX(0,MIN(N(Q63)/0.3,1))+IF(OR(R63="",N(Q63)&lt;=0),10,20*MAX(0,1-MIN(R63/Q63,1)))+30*MAX(0,MIN((PARAMETRI!$B$5-M63)/MAX(PARAMETRI!$B$5-10,1),1))+IF(AB63="",3,10*MAX(0,MIN(AB63/0.15,1)))+IF(AND(P63&lt;&gt;"",N(P63)&lt;N(Q63)*0.6),-8,0),1))</f>
        <v/>
      </c>
      <c r="AE63" s="13">
        <f>IF(AND(P63="",Q63=""),"DATI MANCANTI",IF(AND(N(P63)&gt;=PARAMETRI!$B$4,N(Q63)&gt;=PARAMETRI!$B$4),"OK","NO"))</f>
        <v/>
      </c>
      <c r="AF63" s="13">
        <f>IF(M63="","N/D",IF(M63&lt;PARAMETRI!$B$6,"OTTIMO",IF(M63&lt;PARAMETRI!$B$5,"OK","NO")))</f>
        <v/>
      </c>
      <c r="AG63" s="13">
        <f>IF(OR(AE63="DATI MANCANTI",AF63="N/D"),"DA COMPLETARE",IF(AND(AE63="OK",AF63="OTTIMO"),"PASSA FORTE",IF(AND(AE63="OK",AF63="OK"),"PASSA","SCARTA")))</f>
        <v/>
      </c>
      <c r="AH63" s="11" t="inlineStr">
        <is>
          <t>2026-10-12</t>
        </is>
      </c>
      <c r="AI63" s="11" t="inlineStr">
        <is>
          <t>yahoo</t>
        </is>
      </c>
      <c r="AJ63" s="23" t="inlineStr"/>
    </row>
    <row r="64">
      <c r="A64" s="10">
        <f>IF(AD64="","",RANK(AD64,AD$2:AD$167))</f>
        <v/>
      </c>
      <c r="B64" s="11" t="inlineStr">
        <is>
          <t>GE Aerospace</t>
        </is>
      </c>
      <c r="C64" s="12" t="inlineStr">
        <is>
          <t>GE</t>
        </is>
      </c>
      <c r="D64" s="11" t="inlineStr">
        <is>
          <t>Aerospazio</t>
        </is>
      </c>
      <c r="E64" s="13" t="inlineStr">
        <is>
          <t>Industriale</t>
        </is>
      </c>
      <c r="F64" s="14" t="n">
        <v>309.66</v>
      </c>
      <c r="G64" s="15" t="inlineStr">
        <is>
          <t>USD</t>
        </is>
      </c>
      <c r="H64" s="14" t="n">
        <v>277.3934298086052</v>
      </c>
      <c r="I64" s="16" t="n">
        <v>287813.0171565408</v>
      </c>
      <c r="J64" s="16" t="n">
        <v>321291.6</v>
      </c>
      <c r="K64" s="14" t="n">
        <v>8.48</v>
      </c>
      <c r="L64" s="14" t="n">
        <v>9.10003</v>
      </c>
      <c r="M64" s="17">
        <f>IF(OR(F64="",K64="",K64&lt;=0),"",F64/K64)</f>
        <v/>
      </c>
      <c r="N64" s="18" t="n">
        <v>18.214224</v>
      </c>
      <c r="O64" s="19">
        <f>IF(OR(N64="",M64="",M64&lt;=0),"",N64/M64)</f>
        <v/>
      </c>
      <c r="P64" s="20" t="n">
        <v>0.48231998</v>
      </c>
      <c r="Q64" s="20" t="n">
        <v>0.290242814454953</v>
      </c>
      <c r="R64" s="20" t="n">
        <v>0.1695110836679429</v>
      </c>
      <c r="S64" s="21" t="n">
        <v>4</v>
      </c>
      <c r="T64" s="20" t="n"/>
      <c r="U64" s="20" t="n">
        <v>0.4660277346468919</v>
      </c>
      <c r="V64" s="20" t="n">
        <v>0.3389515044979837</v>
      </c>
      <c r="W64" s="20" t="n">
        <v>0.3460205087034267</v>
      </c>
      <c r="X64" s="20" t="n">
        <v>0.009971509971509971</v>
      </c>
      <c r="Y64" s="14" t="n">
        <v>1.88</v>
      </c>
      <c r="Z64" s="19">
        <f>IF(OR(Y64="",F64="",F64=0),"",Y64/F64)</f>
        <v/>
      </c>
      <c r="AA64" s="22" t="n">
        <v>113.225</v>
      </c>
      <c r="AB64" s="20" t="n">
        <v>0.211</v>
      </c>
      <c r="AC64" s="20" t="n">
        <v>0.1954857647802857</v>
      </c>
      <c r="AD64" s="17">
        <f>IF(OR(Q64="",M64="",M64&lt;=0),"",ROUND(40*MAX(0,MIN(N(Q64)/0.3,1))+IF(OR(R64="",N(Q64)&lt;=0),10,20*MAX(0,1-MIN(R64/Q64,1)))+30*MAX(0,MIN((PARAMETRI!$B$5-M64)/MAX(PARAMETRI!$B$5-10,1),1))+IF(AB64="",3,10*MAX(0,MIN(AB64/0.15,1)))+IF(AND(P64&lt;&gt;"",N(P64)&lt;N(Q64)*0.6),-8,0),1))</f>
        <v/>
      </c>
      <c r="AE64" s="13">
        <f>IF(AND(P64="",Q64=""),"DATI MANCANTI",IF(AND(N(P64)&gt;=PARAMETRI!$B$4,N(Q64)&gt;=PARAMETRI!$B$4),"OK","NO"))</f>
        <v/>
      </c>
      <c r="AF64" s="13">
        <f>IF(M64="","N/D",IF(M64&lt;PARAMETRI!$B$6,"OTTIMO",IF(M64&lt;PARAMETRI!$B$5,"OK","NO")))</f>
        <v/>
      </c>
      <c r="AG64" s="13">
        <f>IF(OR(AE64="DATI MANCANTI",AF64="N/D"),"DA COMPLETARE",IF(AND(AE64="OK",AF64="OTTIMO"),"PASSA FORTE",IF(AND(AE64="OK",AF64="OK"),"PASSA","SCARTA")))</f>
        <v/>
      </c>
      <c r="AH64" s="11" t="inlineStr">
        <is>
          <t>2026-10-12</t>
        </is>
      </c>
      <c r="AI64" s="11" t="inlineStr">
        <is>
          <t>yahoo</t>
        </is>
      </c>
      <c r="AJ64" s="23" t="inlineStr"/>
    </row>
    <row r="65">
      <c r="A65" s="10">
        <f>IF(AD65="","",RANK(AD65,AD$2:AD$167))</f>
        <v/>
      </c>
      <c r="B65" s="11" t="inlineStr">
        <is>
          <t>Johnson &amp; Johnson</t>
        </is>
      </c>
      <c r="C65" s="12" t="inlineStr">
        <is>
          <t>JNJ</t>
        </is>
      </c>
      <c r="D65" s="11" t="inlineStr">
        <is>
          <t>Farmaceutica</t>
        </is>
      </c>
      <c r="E65" s="13" t="inlineStr">
        <is>
          <t>Salute</t>
        </is>
      </c>
      <c r="F65" s="14" t="n">
        <v>263.195</v>
      </c>
      <c r="G65" s="15" t="inlineStr">
        <is>
          <t>USD</t>
        </is>
      </c>
      <c r="H65" s="14" t="n">
        <v>235.7700825372209</v>
      </c>
      <c r="I65" s="16" t="n">
        <v>568182.0258445467</v>
      </c>
      <c r="J65" s="16" t="n">
        <v>634273.3</v>
      </c>
      <c r="K65" s="14" t="n">
        <v>8.630000000000001</v>
      </c>
      <c r="L65" s="14" t="n">
        <v>12.38131</v>
      </c>
      <c r="M65" s="17">
        <f>IF(OR(F65="",K65="",K65&lt;=0),"",F65/K65)</f>
        <v/>
      </c>
      <c r="N65" s="18" t="n">
        <v>7.45933</v>
      </c>
      <c r="O65" s="19">
        <f>IF(OR(N65="",M65="",M65&lt;=0),"",N65/M65)</f>
        <v/>
      </c>
      <c r="P65" s="20" t="n">
        <v>0.25742</v>
      </c>
      <c r="Q65" s="20" t="n">
        <v>0.3175483250119345</v>
      </c>
      <c r="R65" s="20" t="n">
        <v>0.1216970967224712</v>
      </c>
      <c r="S65" s="21" t="n">
        <v>4</v>
      </c>
      <c r="T65" s="20" t="n"/>
      <c r="U65" s="20" t="n">
        <v>0.3287059746885117</v>
      </c>
      <c r="V65" s="20" t="n">
        <v>0.1967547908798433</v>
      </c>
      <c r="W65" s="20" t="n">
        <v>0.5111379300316981</v>
      </c>
      <c r="X65" s="20" t="n">
        <v>0.233594604447685</v>
      </c>
      <c r="Y65" s="14" t="n">
        <v>5.36</v>
      </c>
      <c r="Z65" s="19">
        <f>IF(OR(Y65="",F65="",F65=0),"",Y65/F65)</f>
        <v/>
      </c>
      <c r="AA65" s="22" t="n">
        <v>57.709</v>
      </c>
      <c r="AB65" s="20" t="n">
        <v>0.066</v>
      </c>
      <c r="AC65" s="20" t="n">
        <v>0.2233393214357755</v>
      </c>
      <c r="AD65" s="17">
        <f>IF(OR(Q65="",M65="",M65&lt;=0),"",ROUND(40*MAX(0,MIN(N(Q65)/0.3,1))+IF(OR(R65="",N(Q65)&lt;=0),10,20*MAX(0,1-MIN(R65/Q65,1)))+30*MAX(0,MIN((PARAMETRI!$B$5-M65)/MAX(PARAMETRI!$B$5-10,1),1))+IF(AB65="",3,10*MAX(0,MIN(AB65/0.15,1)))+IF(AND(P65&lt;&gt;"",N(P65)&lt;N(Q65)*0.6),-8,0),1))</f>
        <v/>
      </c>
      <c r="AE65" s="13">
        <f>IF(AND(P65="",Q65=""),"DATI MANCANTI",IF(AND(N(P65)&gt;=PARAMETRI!$B$4,N(Q65)&gt;=PARAMETRI!$B$4),"OK","NO"))</f>
        <v/>
      </c>
      <c r="AF65" s="13">
        <f>IF(M65="","N/D",IF(M65&lt;PARAMETRI!$B$6,"OTTIMO",IF(M65&lt;PARAMETRI!$B$5,"OK","NO")))</f>
        <v/>
      </c>
      <c r="AG65" s="13">
        <f>IF(OR(AE65="DATI MANCANTI",AF65="N/D"),"DA COMPLETARE",IF(AND(AE65="OK",AF65="OTTIMO"),"PASSA FORTE",IF(AND(AE65="OK",AF65="OK"),"PASSA","SCARTA")))</f>
        <v/>
      </c>
      <c r="AH65" s="11" t="inlineStr">
        <is>
          <t>2026-10-12</t>
        </is>
      </c>
      <c r="AI65" s="11" t="inlineStr">
        <is>
          <t>yahoo</t>
        </is>
      </c>
      <c r="AJ65" s="23" t="inlineStr"/>
    </row>
    <row r="66">
      <c r="A66" s="10">
        <f>IF(AD66="","",RANK(AD66,AD$2:AD$167))</f>
        <v/>
      </c>
      <c r="B66" s="11" t="inlineStr">
        <is>
          <t>American Tower</t>
        </is>
      </c>
      <c r="C66" s="12" t="inlineStr">
        <is>
          <t>AMT</t>
        </is>
      </c>
      <c r="D66" s="11" t="inlineStr">
        <is>
          <t>REIT / Torri</t>
        </is>
      </c>
      <c r="E66" s="13" t="inlineStr">
        <is>
          <t>Immobiliare</t>
        </is>
      </c>
      <c r="F66" s="14" t="n">
        <v>182.635</v>
      </c>
      <c r="G66" s="15" t="inlineStr">
        <is>
          <t>USD</t>
        </is>
      </c>
      <c r="H66" s="14" t="n">
        <v>163.6044340667009</v>
      </c>
      <c r="I66" s="16" t="n">
        <v>76233.11797703992</v>
      </c>
      <c r="J66" s="16" t="n">
        <v>85100.60000000001</v>
      </c>
      <c r="K66" s="14" t="n">
        <v>7.27</v>
      </c>
      <c r="L66" s="14" t="n">
        <v>7.01004</v>
      </c>
      <c r="M66" s="17">
        <f>IF(OR(F66="",K66="",K66&lt;=0),"",F66/K66)</f>
        <v/>
      </c>
      <c r="N66" s="18" t="n">
        <v>22.87799</v>
      </c>
      <c r="O66" s="19">
        <f>IF(OR(N66="",M66="",M66&lt;=0),"",N66/M66)</f>
        <v/>
      </c>
      <c r="P66" s="20" t="n">
        <v>0.33914003</v>
      </c>
      <c r="Q66" s="20" t="n">
        <v>0.5073666137979995</v>
      </c>
      <c r="R66" s="20" t="n">
        <v>0.172987839167374</v>
      </c>
      <c r="S66" s="21" t="n">
        <v>4</v>
      </c>
      <c r="T66" s="20" t="n"/>
      <c r="U66" s="20" t="n">
        <v>0.692539356605065</v>
      </c>
      <c r="V66" s="20" t="n">
        <v>0.6667257997752942</v>
      </c>
      <c r="W66" s="20" t="n">
        <v>0.353318088704683</v>
      </c>
      <c r="X66" s="20" t="n">
        <v>0.3168832101069557</v>
      </c>
      <c r="Y66" s="14" t="n">
        <v>7.16</v>
      </c>
      <c r="Z66" s="19">
        <f>IF(OR(Y66="",F66="",F66=0),"",Y66/F66)</f>
        <v/>
      </c>
      <c r="AA66" s="22" t="n">
        <v>438.721</v>
      </c>
      <c r="AB66" s="20" t="n">
        <v>0.047</v>
      </c>
      <c r="AC66" s="20" t="n">
        <v>0.3195047193882344</v>
      </c>
      <c r="AD66" s="17">
        <f>IF(OR(Q66="",M66="",M66&lt;=0),"",ROUND(40*MAX(0,MIN(N(Q66)/0.3,1))+IF(OR(R66="",N(Q66)&lt;=0),10,20*MAX(0,1-MIN(R66/Q66,1)))+30*MAX(0,MIN((PARAMETRI!$B$5-M66)/MAX(PARAMETRI!$B$5-10,1),1))+IF(AB66="",3,10*MAX(0,MIN(AB66/0.15,1)))+IF(AND(P66&lt;&gt;"",N(P66)&lt;N(Q66)*0.6),-8,0),1))</f>
        <v/>
      </c>
      <c r="AE66" s="13">
        <f>IF(AND(P66="",Q66=""),"DATI MANCANTI",IF(AND(N(P66)&gt;=PARAMETRI!$B$4,N(Q66)&gt;=PARAMETRI!$B$4),"OK","NO"))</f>
        <v/>
      </c>
      <c r="AF66" s="13">
        <f>IF(M66="","N/D",IF(M66&lt;PARAMETRI!$B$6,"OTTIMO",IF(M66&lt;PARAMETRI!$B$5,"OK","NO")))</f>
        <v/>
      </c>
      <c r="AG66" s="13">
        <f>IF(OR(AE66="DATI MANCANTI",AF66="N/D"),"DA COMPLETARE",IF(AND(AE66="OK",AF66="OTTIMO"),"PASSA FORTE",IF(AND(AE66="OK",AF66="OK"),"PASSA","SCARTA")))</f>
        <v/>
      </c>
      <c r="AH66" s="11" t="inlineStr">
        <is>
          <t>2026-10-12</t>
        </is>
      </c>
      <c r="AI66" s="11" t="inlineStr">
        <is>
          <t>yahoo</t>
        </is>
      </c>
      <c r="AJ66" s="23" t="inlineStr"/>
    </row>
    <row r="67">
      <c r="A67" s="10">
        <f>IF(AD67="","",RANK(AD67,AD$2:AD$167))</f>
        <v/>
      </c>
      <c r="B67" s="11" t="inlineStr">
        <is>
          <t>Morgan Stanley</t>
        </is>
      </c>
      <c r="C67" s="12" t="inlineStr">
        <is>
          <t>MS</t>
        </is>
      </c>
      <c r="D67" s="11" t="inlineStr">
        <is>
          <t>Banca d'investimento</t>
        </is>
      </c>
      <c r="E67" s="13" t="inlineStr">
        <is>
          <t>Finanziario</t>
        </is>
      </c>
      <c r="F67" s="14" t="n">
        <v>190.07</v>
      </c>
      <c r="G67" s="15" t="inlineStr">
        <is>
          <t>USD</t>
        </is>
      </c>
      <c r="H67" s="14" t="n">
        <v>170.2647071101259</v>
      </c>
      <c r="I67" s="16" t="n">
        <v>267411.9782435261</v>
      </c>
      <c r="J67" s="16" t="n">
        <v>298517.5</v>
      </c>
      <c r="K67" s="14" t="n">
        <v>12.38</v>
      </c>
      <c r="L67" s="14" t="n">
        <v>13.56953</v>
      </c>
      <c r="M67" s="17">
        <f>IF(OR(F67="",K67="",K67&lt;=0),"",F67/K67)</f>
        <v/>
      </c>
      <c r="N67" s="18" t="n">
        <v>2.803351</v>
      </c>
      <c r="O67" s="19">
        <f>IF(OR(N67="",M67="",M67&lt;=0),"",N67/M67)</f>
        <v/>
      </c>
      <c r="P67" s="20" t="n">
        <v>0.17969999</v>
      </c>
      <c r="Q67" s="20" t="n">
        <v>0.1202621939362582</v>
      </c>
      <c r="R67" s="20" t="n">
        <v>0.02193423207360017</v>
      </c>
      <c r="S67" s="21" t="n">
        <v>4</v>
      </c>
      <c r="T67" s="20" t="n"/>
      <c r="U67" s="20" t="n">
        <v>0.1510409201662606</v>
      </c>
      <c r="V67" s="20" t="n">
        <v>0.1281204849250318</v>
      </c>
      <c r="W67" s="20" t="n">
        <v>0.09175266059492317</v>
      </c>
      <c r="X67" s="20" t="n">
        <v>0.1101347100588171</v>
      </c>
      <c r="Y67" s="14" t="n">
        <v>4.6</v>
      </c>
      <c r="Z67" s="19">
        <f>IF(OR(Y67="",F67="",F67=0),"",Y67/F67)</f>
        <v/>
      </c>
      <c r="AA67" s="22" t="n">
        <v>517.282</v>
      </c>
      <c r="AB67" s="20" t="n">
        <v>0.28</v>
      </c>
      <c r="AC67" s="20" t="n">
        <v>0.2963193286238365</v>
      </c>
      <c r="AD67" s="17">
        <f>IF(OR(Q67="",M67="",M67&lt;=0),"",ROUND(40*MAX(0,MIN(N(Q67)/0.3,1))+IF(OR(R67="",N(Q67)&lt;=0),10,20*MAX(0,1-MIN(R67/Q67,1)))+30*MAX(0,MIN((PARAMETRI!$B$5-M67)/MAX(PARAMETRI!$B$5-10,1),1))+IF(AB67="",3,10*MAX(0,MIN(AB67/0.15,1)))+IF(AND(P67&lt;&gt;"",N(P67)&lt;N(Q67)*0.6),-8,0),1))</f>
        <v/>
      </c>
      <c r="AE67" s="13">
        <f>IF(AND(P67="",Q67=""),"DATI MANCANTI",IF(AND(N(P67)&gt;=PARAMETRI!$B$4,N(Q67)&gt;=PARAMETRI!$B$4),"OK","NO"))</f>
        <v/>
      </c>
      <c r="AF67" s="13">
        <f>IF(M67="","N/D",IF(M67&lt;PARAMETRI!$B$6,"OTTIMO",IF(M67&lt;PARAMETRI!$B$5,"OK","NO")))</f>
        <v/>
      </c>
      <c r="AG67" s="13">
        <f>IF(OR(AE67="DATI MANCANTI",AF67="N/D"),"DA COMPLETARE",IF(AND(AE67="OK",AF67="OTTIMO"),"PASSA FORTE",IF(AND(AE67="OK",AF67="OK"),"PASSA","SCARTA")))</f>
        <v/>
      </c>
      <c r="AH67" s="11" t="inlineStr">
        <is>
          <t>2026-10-12</t>
        </is>
      </c>
      <c r="AI67" s="11" t="inlineStr">
        <is>
          <t>yahoo</t>
        </is>
      </c>
      <c r="AJ67" s="23" t="inlineStr"/>
    </row>
    <row r="68">
      <c r="A68" s="10">
        <f>IF(AD68="","",RANK(AD68,AD$2:AD$167))</f>
        <v/>
      </c>
      <c r="B68" s="11" t="inlineStr">
        <is>
          <t>Parker Hannifin</t>
        </is>
      </c>
      <c r="C68" s="12" t="inlineStr">
        <is>
          <t>PH</t>
        </is>
      </c>
      <c r="D68" s="11" t="inlineStr">
        <is>
          <t>Componenti industriali</t>
        </is>
      </c>
      <c r="E68" s="13" t="inlineStr">
        <is>
          <t>Industriale</t>
        </is>
      </c>
      <c r="F68" s="14" t="n">
        <v>962.4580999999999</v>
      </c>
      <c r="G68" s="15" t="inlineStr">
        <is>
          <t>USD</t>
        </is>
      </c>
      <c r="H68" s="14" t="n">
        <v>862.169971601348</v>
      </c>
      <c r="I68" s="16" t="n">
        <v>108730.3235289217</v>
      </c>
      <c r="J68" s="16" t="n">
        <v>121377.9</v>
      </c>
      <c r="K68" s="14" t="n">
        <v>28.48</v>
      </c>
      <c r="L68" s="14" t="n">
        <v>39.65474</v>
      </c>
      <c r="M68" s="17">
        <f>IF(OR(F68="",K68="",K68&lt;=0),"",F68/K68)</f>
        <v/>
      </c>
      <c r="N68" s="18" t="n">
        <v>7.878862</v>
      </c>
      <c r="O68" s="19">
        <f>IF(OR(N68="",M68="",M68&lt;=0),"",N68/M68)</f>
        <v/>
      </c>
      <c r="P68" s="20" t="n">
        <v>0.25076</v>
      </c>
      <c r="Q68" s="20" t="n">
        <v>0.2330477121157223</v>
      </c>
      <c r="R68" s="20" t="n">
        <v>0.02018286569552279</v>
      </c>
      <c r="S68" s="21" t="n">
        <v>4</v>
      </c>
      <c r="T68" s="20" t="n">
        <v>0.2368216047779798</v>
      </c>
      <c r="U68" s="20" t="n">
        <v>0.2580763046338255</v>
      </c>
      <c r="V68" s="20" t="n">
        <v>0.2355864811133201</v>
      </c>
      <c r="W68" s="20" t="n">
        <v>0.201706457937764</v>
      </c>
      <c r="X68" s="20" t="n">
        <v>0.1486893495046514</v>
      </c>
      <c r="Y68" s="14" t="n">
        <v>8</v>
      </c>
      <c r="Z68" s="19">
        <f>IF(OR(Y68="",F68="",F68=0),"",Y68/F68)</f>
        <v/>
      </c>
      <c r="AA68" s="22" t="n">
        <v>56.66</v>
      </c>
      <c r="AB68" s="20" t="n">
        <v>0.098</v>
      </c>
      <c r="AC68" s="20" t="n">
        <v>0.1696823108051537</v>
      </c>
      <c r="AD68" s="17">
        <f>IF(OR(Q68="",M68="",M68&lt;=0),"",ROUND(40*MAX(0,MIN(N(Q68)/0.3,1))+IF(OR(R68="",N(Q68)&lt;=0),10,20*MAX(0,1-MIN(R68/Q68,1)))+30*MAX(0,MIN((PARAMETRI!$B$5-M68)/MAX(PARAMETRI!$B$5-10,1),1))+IF(AB68="",3,10*MAX(0,MIN(AB68/0.15,1)))+IF(AND(P68&lt;&gt;"",N(P68)&lt;N(Q68)*0.6),-8,0),1))</f>
        <v/>
      </c>
      <c r="AE68" s="13">
        <f>IF(AND(P68="",Q68=""),"DATI MANCANTI",IF(AND(N(P68)&gt;=PARAMETRI!$B$4,N(Q68)&gt;=PARAMETRI!$B$4),"OK","NO"))</f>
        <v/>
      </c>
      <c r="AF68" s="13">
        <f>IF(M68="","N/D",IF(M68&lt;PARAMETRI!$B$6,"OTTIMO",IF(M68&lt;PARAMETRI!$B$5,"OK","NO")))</f>
        <v/>
      </c>
      <c r="AG68" s="13">
        <f>IF(OR(AE68="DATI MANCANTI",AF68="N/D"),"DA COMPLETARE",IF(AND(AE68="OK",AF68="OTTIMO"),"PASSA FORTE",IF(AND(AE68="OK",AF68="OK"),"PASSA","SCARTA")))</f>
        <v/>
      </c>
      <c r="AH68" s="11" t="inlineStr">
        <is>
          <t>2026-10-12</t>
        </is>
      </c>
      <c r="AI68" s="11" t="inlineStr">
        <is>
          <t>yahoo</t>
        </is>
      </c>
      <c r="AJ68" s="23" t="inlineStr"/>
    </row>
    <row r="69">
      <c r="A69" s="10">
        <f>IF(AD69="","",RANK(AD69,AD$2:AD$167))</f>
        <v/>
      </c>
      <c r="B69" s="11" t="inlineStr">
        <is>
          <t>Boeing</t>
        </is>
      </c>
      <c r="C69" s="12" t="inlineStr">
        <is>
          <t>BA</t>
        </is>
      </c>
      <c r="D69" s="11" t="inlineStr">
        <is>
          <t>Aerospazio</t>
        </is>
      </c>
      <c r="E69" s="13" t="inlineStr">
        <is>
          <t>Industriale</t>
        </is>
      </c>
      <c r="F69" s="14" t="n">
        <v>189.4</v>
      </c>
      <c r="G69" s="15" t="inlineStr">
        <is>
          <t>USD</t>
        </is>
      </c>
      <c r="H69" s="14" t="n">
        <v>169.6645211062126</v>
      </c>
      <c r="I69" s="16" t="n">
        <v>133999.7667336785</v>
      </c>
      <c r="J69" s="16" t="n">
        <v>149586.7</v>
      </c>
      <c r="K69" s="14" t="n">
        <v>2.8</v>
      </c>
      <c r="L69" s="14" t="n">
        <v>3.82379</v>
      </c>
      <c r="M69" s="17">
        <f>IF(OR(F69="",K69="",K69&lt;=0),"",F69/K69)</f>
        <v/>
      </c>
      <c r="N69" s="18" t="n">
        <v>24.546396</v>
      </c>
      <c r="O69" s="19">
        <f>IF(OR(N69="",M69="",M69&lt;=0),"",N69/M69)</f>
        <v/>
      </c>
      <c r="P69" s="20" t="n">
        <v>1.73537</v>
      </c>
      <c r="Q69" s="20" t="n">
        <v>0.4097909790979098</v>
      </c>
      <c r="R69" s="20" t="n"/>
      <c r="S69" s="21" t="n">
        <v>1</v>
      </c>
      <c r="T69" s="20" t="n"/>
      <c r="U69" s="20" t="n">
        <v>0.4097909790979098</v>
      </c>
      <c r="V69" s="20" t="n"/>
      <c r="W69" s="20" t="n"/>
      <c r="X69" s="20" t="n"/>
      <c r="Y69" s="14" t="n"/>
      <c r="Z69" s="19">
        <f>IF(OR(Y69="",F69="",F69=0),"",Y69/F69)</f>
        <v/>
      </c>
      <c r="AA69" s="22" t="n">
        <v>790.875</v>
      </c>
      <c r="AB69" s="20" t="n">
        <v>0.08</v>
      </c>
      <c r="AC69" s="20" t="n">
        <v>0.02335043466013883</v>
      </c>
      <c r="AD69" s="17">
        <f>IF(OR(Q69="",M69="",M69&lt;=0),"",ROUND(40*MAX(0,MIN(N(Q69)/0.3,1))+IF(OR(R69="",N(Q69)&lt;=0),10,20*MAX(0,1-MIN(R69/Q69,1)))+30*MAX(0,MIN((PARAMETRI!$B$5-M69)/MAX(PARAMETRI!$B$5-10,1),1))+IF(AB69="",3,10*MAX(0,MIN(AB69/0.15,1)))+IF(AND(P69&lt;&gt;"",N(P69)&lt;N(Q69)*0.6),-8,0),1))</f>
        <v/>
      </c>
      <c r="AE69" s="13">
        <f>IF(AND(P69="",Q69=""),"DATI MANCANTI",IF(AND(N(P69)&gt;=PARAMETRI!$B$4,N(Q69)&gt;=PARAMETRI!$B$4),"OK","NO"))</f>
        <v/>
      </c>
      <c r="AF69" s="13">
        <f>IF(M69="","N/D",IF(M69&lt;PARAMETRI!$B$6,"OTTIMO",IF(M69&lt;PARAMETRI!$B$5,"OK","NO")))</f>
        <v/>
      </c>
      <c r="AG69" s="13">
        <f>IF(OR(AE69="DATI MANCANTI",AF69="N/D"),"DA COMPLETARE",IF(AND(AE69="OK",AF69="OTTIMO"),"PASSA FORTE",IF(AND(AE69="OK",AF69="OK"),"PASSA","SCARTA")))</f>
        <v/>
      </c>
      <c r="AH69" s="11" t="inlineStr">
        <is>
          <t>2026-10-12</t>
        </is>
      </c>
      <c r="AI69" s="11" t="inlineStr">
        <is>
          <t>yahoo</t>
        </is>
      </c>
      <c r="AJ69" s="23" t="inlineStr"/>
    </row>
    <row r="70">
      <c r="A70" s="10">
        <f>IF(AD70="","",RANK(AD70,AD$2:AD$167))</f>
        <v/>
      </c>
      <c r="B70" s="11" t="inlineStr">
        <is>
          <t>ConocoPhillips</t>
        </is>
      </c>
      <c r="C70" s="12" t="inlineStr">
        <is>
          <t>COP</t>
        </is>
      </c>
      <c r="D70" s="11" t="inlineStr">
        <is>
          <t>Esplorazione e produzione</t>
        </is>
      </c>
      <c r="E70" s="13" t="inlineStr">
        <is>
          <t>Energia</t>
        </is>
      </c>
      <c r="F70" s="14" t="n">
        <v>137.02</v>
      </c>
      <c r="G70" s="15" t="inlineStr">
        <is>
          <t>USD</t>
        </is>
      </c>
      <c r="H70" s="14" t="n">
        <v>122.7425168002812</v>
      </c>
      <c r="I70" s="16" t="n">
        <v>147455.220301408</v>
      </c>
      <c r="J70" s="16" t="n">
        <v>164607.3</v>
      </c>
      <c r="K70" s="14" t="n">
        <v>7.55</v>
      </c>
      <c r="L70" s="14" t="n">
        <v>10.05347</v>
      </c>
      <c r="M70" s="17">
        <f>IF(OR(F70="",K70="",K70&lt;=0),"",F70/K70)</f>
        <v/>
      </c>
      <c r="N70" s="18" t="n">
        <v>2.518889</v>
      </c>
      <c r="O70" s="19">
        <f>IF(OR(N70="",M70="",M70&lt;=0),"",N70/M70)</f>
        <v/>
      </c>
      <c r="P70" s="20" t="n">
        <v>0.1418</v>
      </c>
      <c r="Q70" s="20" t="n">
        <v>0.2195092664055975</v>
      </c>
      <c r="R70" s="20" t="n">
        <v>0.1046819831646029</v>
      </c>
      <c r="S70" s="21" t="n">
        <v>4</v>
      </c>
      <c r="T70" s="20" t="n"/>
      <c r="U70" s="20" t="n">
        <v>0.1238699272721634</v>
      </c>
      <c r="V70" s="20" t="n">
        <v>0.1426785604049633</v>
      </c>
      <c r="W70" s="20" t="n">
        <v>0.222346232675176</v>
      </c>
      <c r="X70" s="20" t="n">
        <v>0.3891423452700873</v>
      </c>
      <c r="Y70" s="14" t="n">
        <v>3.36</v>
      </c>
      <c r="Z70" s="19">
        <f>IF(OR(Y70="",F70="",F70=0),"",Y70/F70)</f>
        <v/>
      </c>
      <c r="AA70" s="22" t="n">
        <v>35.639</v>
      </c>
      <c r="AB70" s="20" t="n">
        <v>0.355</v>
      </c>
      <c r="AC70" s="20" t="n">
        <v>0.1569795092290988</v>
      </c>
      <c r="AD70" s="17">
        <f>IF(OR(Q70="",M70="",M70&lt;=0),"",ROUND(40*MAX(0,MIN(N(Q70)/0.3,1))+IF(OR(R70="",N(Q70)&lt;=0),10,20*MAX(0,1-MIN(R70/Q70,1)))+30*MAX(0,MIN((PARAMETRI!$B$5-M70)/MAX(PARAMETRI!$B$5-10,1),1))+IF(AB70="",3,10*MAX(0,MIN(AB70/0.15,1)))+IF(AND(P70&lt;&gt;"",N(P70)&lt;N(Q70)*0.6),-8,0),1))</f>
        <v/>
      </c>
      <c r="AE70" s="13">
        <f>IF(AND(P70="",Q70=""),"DATI MANCANTI",IF(AND(N(P70)&gt;=PARAMETRI!$B$4,N(Q70)&gt;=PARAMETRI!$B$4),"OK","NO"))</f>
        <v/>
      </c>
      <c r="AF70" s="13">
        <f>IF(M70="","N/D",IF(M70&lt;PARAMETRI!$B$6,"OTTIMO",IF(M70&lt;PARAMETRI!$B$5,"OK","NO")))</f>
        <v/>
      </c>
      <c r="AG70" s="13">
        <f>IF(OR(AE70="DATI MANCANTI",AF70="N/D"),"DA COMPLETARE",IF(AND(AE70="OK",AF70="OTTIMO"),"PASSA FORTE",IF(AND(AE70="OK",AF70="OK"),"PASSA","SCARTA")))</f>
        <v/>
      </c>
      <c r="AH70" s="11" t="inlineStr">
        <is>
          <t>2026-10-12</t>
        </is>
      </c>
      <c r="AI70" s="11" t="inlineStr">
        <is>
          <t>yahoo</t>
        </is>
      </c>
      <c r="AJ70" s="23" t="inlineStr"/>
    </row>
    <row r="71">
      <c r="A71" s="10">
        <f>IF(AD71="","",RANK(AD71,AD$2:AD$167))</f>
        <v/>
      </c>
      <c r="B71" s="11" t="inlineStr">
        <is>
          <t>Charles Schwab</t>
        </is>
      </c>
      <c r="C71" s="12" t="inlineStr">
        <is>
          <t>SCHW</t>
        </is>
      </c>
      <c r="D71" s="11" t="inlineStr">
        <is>
          <t>Intermediazione</t>
        </is>
      </c>
      <c r="E71" s="13" t="inlineStr">
        <is>
          <t>Finanziario</t>
        </is>
      </c>
      <c r="F71" s="14" t="n">
        <v>96.84999999999999</v>
      </c>
      <c r="G71" s="15" t="inlineStr">
        <is>
          <t>USD</t>
        </is>
      </c>
      <c r="H71" s="14" t="n">
        <v>86.75823056566365</v>
      </c>
      <c r="I71" s="16" t="n">
        <v>150034.1389382226</v>
      </c>
      <c r="J71" s="16" t="n">
        <v>167486.2</v>
      </c>
      <c r="K71" s="14" t="n">
        <v>5.49</v>
      </c>
      <c r="L71" s="14" t="n">
        <v>7.92434</v>
      </c>
      <c r="M71" s="17">
        <f>IF(OR(F71="",K71="",K71&lt;=0),"",F71/K71)</f>
        <v/>
      </c>
      <c r="N71" s="18" t="n">
        <v>3.8095424</v>
      </c>
      <c r="O71" s="19">
        <f>IF(OR(N71="",M71="",M71&lt;=0),"",N71/M71)</f>
        <v/>
      </c>
      <c r="P71" s="20" t="n">
        <v>0.20273</v>
      </c>
      <c r="Q71" s="20" t="n">
        <v>0.1554644312241724</v>
      </c>
      <c r="R71" s="20" t="n">
        <v>0.03275755535947185</v>
      </c>
      <c r="S71" s="21" t="n">
        <v>4</v>
      </c>
      <c r="T71" s="20" t="n"/>
      <c r="U71" s="20" t="n">
        <v>0.179099645928174</v>
      </c>
      <c r="V71" s="20" t="n">
        <v>0.1228320413436692</v>
      </c>
      <c r="W71" s="20" t="n">
        <v>0.1237120953171542</v>
      </c>
      <c r="X71" s="20" t="n">
        <v>0.1962139423076923</v>
      </c>
      <c r="Y71" s="14" t="n">
        <v>1.28</v>
      </c>
      <c r="Z71" s="19">
        <f>IF(OR(Y71="",F71="",F71=0),"",Y71/F71)</f>
        <v/>
      </c>
      <c r="AA71" s="22" t="n">
        <v>151.106</v>
      </c>
      <c r="AB71" s="20" t="n">
        <v>0.209</v>
      </c>
      <c r="AC71" s="20" t="n">
        <v>0.4064420423895322</v>
      </c>
      <c r="AD71" s="17">
        <f>IF(OR(Q71="",M71="",M71&lt;=0),"",ROUND(40*MAX(0,MIN(N(Q71)/0.3,1))+IF(OR(R71="",N(Q71)&lt;=0),10,20*MAX(0,1-MIN(R71/Q71,1)))+30*MAX(0,MIN((PARAMETRI!$B$5-M71)/MAX(PARAMETRI!$B$5-10,1),1))+IF(AB71="",3,10*MAX(0,MIN(AB71/0.15,1)))+IF(AND(P71&lt;&gt;"",N(P71)&lt;N(Q71)*0.6),-8,0),1))</f>
        <v/>
      </c>
      <c r="AE71" s="13">
        <f>IF(AND(P71="",Q71=""),"DATI MANCANTI",IF(AND(N(P71)&gt;=PARAMETRI!$B$4,N(Q71)&gt;=PARAMETRI!$B$4),"OK","NO"))</f>
        <v/>
      </c>
      <c r="AF71" s="13">
        <f>IF(M71="","N/D",IF(M71&lt;PARAMETRI!$B$6,"OTTIMO",IF(M71&lt;PARAMETRI!$B$5,"OK","NO")))</f>
        <v/>
      </c>
      <c r="AG71" s="13">
        <f>IF(OR(AE71="DATI MANCANTI",AF71="N/D"),"DA COMPLETARE",IF(AND(AE71="OK",AF71="OTTIMO"),"PASSA FORTE",IF(AND(AE71="OK",AF71="OK"),"PASSA","SCARTA")))</f>
        <v/>
      </c>
      <c r="AH71" s="11" t="inlineStr">
        <is>
          <t>2026-10-12</t>
        </is>
      </c>
      <c r="AI71" s="11" t="inlineStr">
        <is>
          <t>yahoo</t>
        </is>
      </c>
      <c r="AJ71" s="23" t="inlineStr"/>
    </row>
    <row r="72">
      <c r="A72" s="10">
        <f>IF(AD72="","",RANK(AD72,AD$2:AD$167))</f>
        <v/>
      </c>
      <c r="B72" s="11" t="inlineStr">
        <is>
          <t>Intuit</t>
        </is>
      </c>
      <c r="C72" s="12" t="inlineStr">
        <is>
          <t>INTU</t>
        </is>
      </c>
      <c r="D72" s="11" t="inlineStr">
        <is>
          <t>Software</t>
        </is>
      </c>
      <c r="E72" s="13" t="inlineStr">
        <is>
          <t>Tecnologia</t>
        </is>
      </c>
      <c r="F72" s="14" t="n">
        <v>308.14</v>
      </c>
      <c r="G72" s="15" t="inlineStr">
        <is>
          <t>USD</t>
        </is>
      </c>
      <c r="H72" s="14" t="n">
        <v>276.0318137997274</v>
      </c>
      <c r="I72" s="16" t="n">
        <v>73765.63686095194</v>
      </c>
      <c r="J72" s="16" t="n">
        <v>82346.10000000001</v>
      </c>
      <c r="K72" s="14" t="n">
        <v>16.46</v>
      </c>
      <c r="L72" s="14" t="n">
        <v>27.07543</v>
      </c>
      <c r="M72" s="17">
        <f>IF(OR(F72="",K72="",K72&lt;=0),"",F72/K72)</f>
        <v/>
      </c>
      <c r="N72" s="18" t="n">
        <v>4.354474</v>
      </c>
      <c r="O72" s="19">
        <f>IF(OR(N72="",M72="",M72&lt;=0),"",N72/M72)</f>
        <v/>
      </c>
      <c r="P72" s="20" t="n">
        <v>0.23596</v>
      </c>
      <c r="Q72" s="20" t="n">
        <v>0.183870579164923</v>
      </c>
      <c r="R72" s="20" t="n">
        <v>0.03868908414297412</v>
      </c>
      <c r="S72" s="21" t="n">
        <v>4</v>
      </c>
      <c r="T72" s="20" t="n">
        <v>0.2404170176916597</v>
      </c>
      <c r="U72" s="20" t="n">
        <v>0.1962962962962963</v>
      </c>
      <c r="V72" s="20" t="n">
        <v>0.1607181601215014</v>
      </c>
      <c r="W72" s="20" t="n">
        <v>0.1380508425502345</v>
      </c>
      <c r="X72" s="20" t="n">
        <v>0.125661456115808</v>
      </c>
      <c r="Y72" s="14" t="n">
        <v>5.52</v>
      </c>
      <c r="Z72" s="19">
        <f>IF(OR(Y72="",F72="",F72=0),"",Y72/F72)</f>
        <v/>
      </c>
      <c r="AA72" s="22" t="n">
        <v>44.34</v>
      </c>
      <c r="AB72" s="20" t="n">
        <v>0.137</v>
      </c>
      <c r="AC72" s="20" t="n">
        <v>0.2128869884371503</v>
      </c>
      <c r="AD72" s="17">
        <f>IF(OR(Q72="",M72="",M72&lt;=0),"",ROUND(40*MAX(0,MIN(N(Q72)/0.3,1))+IF(OR(R72="",N(Q72)&lt;=0),10,20*MAX(0,1-MIN(R72/Q72,1)))+30*MAX(0,MIN((PARAMETRI!$B$5-M72)/MAX(PARAMETRI!$B$5-10,1),1))+IF(AB72="",3,10*MAX(0,MIN(AB72/0.15,1)))+IF(AND(P72&lt;&gt;"",N(P72)&lt;N(Q72)*0.6),-8,0),1))</f>
        <v/>
      </c>
      <c r="AE72" s="13">
        <f>IF(AND(P72="",Q72=""),"DATI MANCANTI",IF(AND(N(P72)&gt;=PARAMETRI!$B$4,N(Q72)&gt;=PARAMETRI!$B$4),"OK","NO"))</f>
        <v/>
      </c>
      <c r="AF72" s="13">
        <f>IF(M72="","N/D",IF(M72&lt;PARAMETRI!$B$6,"OTTIMO",IF(M72&lt;PARAMETRI!$B$5,"OK","NO")))</f>
        <v/>
      </c>
      <c r="AG72" s="13">
        <f>IF(OR(AE72="DATI MANCANTI",AF72="N/D"),"DA COMPLETARE",IF(AND(AE72="OK",AF72="OTTIMO"),"PASSA FORTE",IF(AND(AE72="OK",AF72="OK"),"PASSA","SCARTA")))</f>
        <v/>
      </c>
      <c r="AH72" s="11" t="inlineStr">
        <is>
          <t>2026-10-12</t>
        </is>
      </c>
      <c r="AI72" s="11" t="inlineStr">
        <is>
          <t>yahoo</t>
        </is>
      </c>
      <c r="AJ72" s="23" t="inlineStr"/>
    </row>
    <row r="73">
      <c r="A73" s="10">
        <f>IF(AD73="","",RANK(AD73,AD$2:AD$167))</f>
        <v/>
      </c>
      <c r="B73" s="11" t="inlineStr">
        <is>
          <t>Citigroup</t>
        </is>
      </c>
      <c r="C73" s="12" t="inlineStr">
        <is>
          <t>C</t>
        </is>
      </c>
      <c r="D73" s="11" t="inlineStr">
        <is>
          <t>Banca</t>
        </is>
      </c>
      <c r="E73" s="13" t="inlineStr">
        <is>
          <t>Finanziario</t>
        </is>
      </c>
      <c r="F73" s="14" t="n">
        <v>131.43</v>
      </c>
      <c r="G73" s="15" t="inlineStr">
        <is>
          <t>USD</t>
        </is>
      </c>
      <c r="H73" s="14" t="n">
        <v>117.7349947676322</v>
      </c>
      <c r="I73" s="16" t="n">
        <v>197492.9961876543</v>
      </c>
      <c r="J73" s="16" t="n">
        <v>220465.5</v>
      </c>
      <c r="K73" s="14" t="n">
        <v>9.26</v>
      </c>
      <c r="L73" s="14" t="n">
        <v>12.95007</v>
      </c>
      <c r="M73" s="17">
        <f>IF(OR(F73="",K73="",K73&lt;=0),"",F73/K73)</f>
        <v/>
      </c>
      <c r="N73" s="18" t="n">
        <v>1.1454792</v>
      </c>
      <c r="O73" s="19">
        <f>IF(OR(N73="",M73="",M73&lt;=0),"",N73/M73)</f>
        <v/>
      </c>
      <c r="P73" s="20" t="n">
        <v>0.08529</v>
      </c>
      <c r="Q73" s="20" t="n">
        <v>0.06172167956388333</v>
      </c>
      <c r="R73" s="20" t="n">
        <v>0.01073520173144264</v>
      </c>
      <c r="S73" s="21" t="n">
        <v>4</v>
      </c>
      <c r="T73" s="20" t="n"/>
      <c r="U73" s="20" t="n">
        <v>0.06738863164241536</v>
      </c>
      <c r="V73" s="20" t="n">
        <v>0.06079636429879481</v>
      </c>
      <c r="W73" s="20" t="n">
        <v>0.04491538210685656</v>
      </c>
      <c r="X73" s="20" t="n">
        <v>0.07378634020746661</v>
      </c>
      <c r="Y73" s="14" t="n">
        <v>2.68</v>
      </c>
      <c r="Z73" s="19">
        <f>IF(OR(Y73="",F73="",F73=0),"",Y73/F73)</f>
        <v/>
      </c>
      <c r="AA73" s="22" t="n"/>
      <c r="AB73" s="20" t="n">
        <v>0.155</v>
      </c>
      <c r="AC73" s="20" t="n">
        <v>0.193163018037154</v>
      </c>
      <c r="AD73" s="17">
        <f>IF(OR(Q73="",M73="",M73&lt;=0),"",ROUND(40*MAX(0,MIN(N(Q73)/0.3,1))+IF(OR(R73="",N(Q73)&lt;=0),10,20*MAX(0,1-MIN(R73/Q73,1)))+30*MAX(0,MIN((PARAMETRI!$B$5-M73)/MAX(PARAMETRI!$B$5-10,1),1))+IF(AB73="",3,10*MAX(0,MIN(AB73/0.15,1)))+IF(AND(P73&lt;&gt;"",N(P73)&lt;N(Q73)*0.6),-8,0),1))</f>
        <v/>
      </c>
      <c r="AE73" s="13">
        <f>IF(AND(P73="",Q73=""),"DATI MANCANTI",IF(AND(N(P73)&gt;=PARAMETRI!$B$4,N(Q73)&gt;=PARAMETRI!$B$4),"OK","NO"))</f>
        <v/>
      </c>
      <c r="AF73" s="13">
        <f>IF(M73="","N/D",IF(M73&lt;PARAMETRI!$B$6,"OTTIMO",IF(M73&lt;PARAMETRI!$B$5,"OK","NO")))</f>
        <v/>
      </c>
      <c r="AG73" s="13">
        <f>IF(OR(AE73="DATI MANCANTI",AF73="N/D"),"DA COMPLETARE",IF(AND(AE73="OK",AF73="OTTIMO"),"PASSA FORTE",IF(AND(AE73="OK",AF73="OK"),"PASSA","SCARTA")))</f>
        <v/>
      </c>
      <c r="AH73" s="11" t="inlineStr">
        <is>
          <t>2026-10-12</t>
        </is>
      </c>
      <c r="AI73" s="11" t="inlineStr">
        <is>
          <t>yahoo</t>
        </is>
      </c>
      <c r="AJ73" s="23" t="inlineStr"/>
    </row>
    <row r="74">
      <c r="A74" s="10">
        <f>IF(AD74="","",RANK(AD74,AD$2:AD$167))</f>
        <v/>
      </c>
      <c r="B74" s="11" t="inlineStr">
        <is>
          <t>Regeneron</t>
        </is>
      </c>
      <c r="C74" s="12" t="inlineStr">
        <is>
          <t>REGN</t>
        </is>
      </c>
      <c r="D74" s="11" t="inlineStr">
        <is>
          <t>Biotecnologie</t>
        </is>
      </c>
      <c r="E74" s="13" t="inlineStr">
        <is>
          <t>Salute</t>
        </is>
      </c>
      <c r="F74" s="14" t="n">
        <v>764.51</v>
      </c>
      <c r="G74" s="15" t="inlineStr">
        <is>
          <t>USD</t>
        </is>
      </c>
      <c r="H74" s="14" t="n">
        <v>684.8480624652093</v>
      </c>
      <c r="I74" s="16" t="n">
        <v>70508.50803971547</v>
      </c>
      <c r="J74" s="16" t="n">
        <v>78710.10000000001</v>
      </c>
      <c r="K74" s="14" t="n">
        <v>40.44</v>
      </c>
      <c r="L74" s="14" t="n">
        <v>61.66655</v>
      </c>
      <c r="M74" s="17">
        <f>IF(OR(F74="",K74="",K74&lt;=0),"",F74/K74)</f>
        <v/>
      </c>
      <c r="N74" s="18" t="n">
        <v>2.418486</v>
      </c>
      <c r="O74" s="19">
        <f>IF(OR(N74="",M74="",M74&lt;=0),"",N74/M74)</f>
        <v/>
      </c>
      <c r="P74" s="20" t="n">
        <v>0.14043</v>
      </c>
      <c r="Q74" s="20" t="n">
        <v>0.1595230520456649</v>
      </c>
      <c r="R74" s="20" t="n">
        <v>0.01865889297829353</v>
      </c>
      <c r="S74" s="21" t="n">
        <v>4</v>
      </c>
      <c r="T74" s="20" t="n"/>
      <c r="U74" s="20" t="n">
        <v>0.1441249772050331</v>
      </c>
      <c r="V74" s="20" t="n">
        <v>0.1503256840728224</v>
      </c>
      <c r="W74" s="20" t="n">
        <v>0.1522190266082986</v>
      </c>
      <c r="X74" s="20" t="n">
        <v>0.1914225202965055</v>
      </c>
      <c r="Y74" s="14" t="n">
        <v>3.76</v>
      </c>
      <c r="Z74" s="19">
        <f>IF(OR(Y74="",F74="",F74=0),"",Y74/F74)</f>
        <v/>
      </c>
      <c r="AA74" s="22" t="n">
        <v>8.535</v>
      </c>
      <c r="AB74" s="20" t="n">
        <v>0.167</v>
      </c>
      <c r="AC74" s="20" t="n">
        <v>0.301800884339987</v>
      </c>
      <c r="AD74" s="17">
        <f>IF(OR(Q74="",M74="",M74&lt;=0),"",ROUND(40*MAX(0,MIN(N(Q74)/0.3,1))+IF(OR(R74="",N(Q74)&lt;=0),10,20*MAX(0,1-MIN(R74/Q74,1)))+30*MAX(0,MIN((PARAMETRI!$B$5-M74)/MAX(PARAMETRI!$B$5-10,1),1))+IF(AB74="",3,10*MAX(0,MIN(AB74/0.15,1)))+IF(AND(P74&lt;&gt;"",N(P74)&lt;N(Q74)*0.6),-8,0),1))</f>
        <v/>
      </c>
      <c r="AE74" s="13">
        <f>IF(AND(P74="",Q74=""),"DATI MANCANTI",IF(AND(N(P74)&gt;=PARAMETRI!$B$4,N(Q74)&gt;=PARAMETRI!$B$4),"OK","NO"))</f>
        <v/>
      </c>
      <c r="AF74" s="13">
        <f>IF(M74="","N/D",IF(M74&lt;PARAMETRI!$B$6,"OTTIMO",IF(M74&lt;PARAMETRI!$B$5,"OK","NO")))</f>
        <v/>
      </c>
      <c r="AG74" s="13">
        <f>IF(OR(AE74="DATI MANCANTI",AF74="N/D"),"DA COMPLETARE",IF(AND(AE74="OK",AF74="OTTIMO"),"PASSA FORTE",IF(AND(AE74="OK",AF74="OK"),"PASSA","SCARTA")))</f>
        <v/>
      </c>
      <c r="AH74" s="11" t="inlineStr">
        <is>
          <t>2026-10-12</t>
        </is>
      </c>
      <c r="AI74" s="11" t="inlineStr">
        <is>
          <t>yahoo</t>
        </is>
      </c>
      <c r="AJ74" s="23" t="inlineStr"/>
    </row>
    <row r="75">
      <c r="A75" s="10">
        <f>IF(AD75="","",RANK(AD75,AD$2:AD$167))</f>
        <v/>
      </c>
      <c r="B75" s="11" t="inlineStr">
        <is>
          <t>Qualcomm</t>
        </is>
      </c>
      <c r="C75" s="12" t="inlineStr">
        <is>
          <t>QCOM</t>
        </is>
      </c>
      <c r="D75" s="11" t="inlineStr">
        <is>
          <t>Semiconduttori</t>
        </is>
      </c>
      <c r="E75" s="13" t="inlineStr">
        <is>
          <t>Tecnologia</t>
        </is>
      </c>
      <c r="F75" s="14" t="n">
        <v>173.47</v>
      </c>
      <c r="G75" s="15" t="inlineStr">
        <is>
          <t>USD</t>
        </is>
      </c>
      <c r="H75" s="14" t="n">
        <v>155.3944270131717</v>
      </c>
      <c r="I75" s="16" t="n">
        <v>165936.2910619046</v>
      </c>
      <c r="J75" s="16" t="n">
        <v>185238.1</v>
      </c>
      <c r="K75" s="14" t="n">
        <v>8.640000000000001</v>
      </c>
      <c r="L75" s="14" t="n">
        <v>10.19665</v>
      </c>
      <c r="M75" s="17">
        <f>IF(OR(F75="",K75="",K75&lt;=0),"",F75/K75)</f>
        <v/>
      </c>
      <c r="N75" s="18" t="n">
        <v>6.6293426</v>
      </c>
      <c r="O75" s="19">
        <f>IF(OR(N75="",M75="",M75&lt;=0),"",N75/M75)</f>
        <v/>
      </c>
      <c r="P75" s="20" t="n">
        <v>0.33754003</v>
      </c>
      <c r="Q75" s="20" t="n">
        <v>0.4251401367558992</v>
      </c>
      <c r="R75" s="20" t="n">
        <v>0.1748827626991776</v>
      </c>
      <c r="S75" s="21" t="n">
        <v>4</v>
      </c>
      <c r="T75" s="20" t="n"/>
      <c r="U75" s="20" t="n">
        <v>0.2612939734037537</v>
      </c>
      <c r="V75" s="20" t="n">
        <v>0.386008982263835</v>
      </c>
      <c r="W75" s="20" t="n">
        <v>0.3351095871368333</v>
      </c>
      <c r="X75" s="20" t="n">
        <v>0.718148004219175</v>
      </c>
      <c r="Y75" s="14" t="n">
        <v>3.68</v>
      </c>
      <c r="Z75" s="19">
        <f>IF(OR(Y75="",F75="",F75=0),"",Y75/F75)</f>
        <v/>
      </c>
      <c r="AA75" s="22" t="n">
        <v>55.21</v>
      </c>
      <c r="AB75" s="20" t="n">
        <v>-0.04</v>
      </c>
      <c r="AC75" s="20" t="n">
        <v>0.2091048743564267</v>
      </c>
      <c r="AD75" s="17">
        <f>IF(OR(Q75="",M75="",M75&lt;=0),"",ROUND(40*MAX(0,MIN(N(Q75)/0.3,1))+IF(OR(R75="",N(Q75)&lt;=0),10,20*MAX(0,1-MIN(R75/Q75,1)))+30*MAX(0,MIN((PARAMETRI!$B$5-M75)/MAX(PARAMETRI!$B$5-10,1),1))+IF(AB75="",3,10*MAX(0,MIN(AB75/0.15,1)))+IF(AND(P75&lt;&gt;"",N(P75)&lt;N(Q75)*0.6),-8,0),1))</f>
        <v/>
      </c>
      <c r="AE75" s="13">
        <f>IF(AND(P75="",Q75=""),"DATI MANCANTI",IF(AND(N(P75)&gt;=PARAMETRI!$B$4,N(Q75)&gt;=PARAMETRI!$B$4),"OK","NO"))</f>
        <v/>
      </c>
      <c r="AF75" s="13">
        <f>IF(M75="","N/D",IF(M75&lt;PARAMETRI!$B$6,"OTTIMO",IF(M75&lt;PARAMETRI!$B$5,"OK","NO")))</f>
        <v/>
      </c>
      <c r="AG75" s="13">
        <f>IF(OR(AE75="DATI MANCANTI",AF75="N/D"),"DA COMPLETARE",IF(AND(AE75="OK",AF75="OTTIMO"),"PASSA FORTE",IF(AND(AE75="OK",AF75="OK"),"PASSA","SCARTA")))</f>
        <v/>
      </c>
      <c r="AH75" s="11" t="inlineStr">
        <is>
          <t>2026-10-12</t>
        </is>
      </c>
      <c r="AI75" s="11" t="inlineStr">
        <is>
          <t>yahoo</t>
        </is>
      </c>
      <c r="AJ75" s="23" t="inlineStr"/>
    </row>
    <row r="76">
      <c r="A76" s="10">
        <f>IF(AD76="","",RANK(AD76,AD$2:AD$167))</f>
        <v/>
      </c>
      <c r="B76" s="11" t="inlineStr">
        <is>
          <t>Exelon</t>
        </is>
      </c>
      <c r="C76" s="12" t="inlineStr">
        <is>
          <t>EXC</t>
        </is>
      </c>
      <c r="D76" s="11" t="inlineStr">
        <is>
          <t>Utility / Reti</t>
        </is>
      </c>
      <c r="E76" s="13" t="inlineStr">
        <is>
          <t>Utility</t>
        </is>
      </c>
      <c r="F76" s="14" t="n">
        <v>42.11</v>
      </c>
      <c r="G76" s="15" t="inlineStr">
        <is>
          <t>USD</t>
        </is>
      </c>
      <c r="H76" s="14" t="n">
        <v>37.72213824594834</v>
      </c>
      <c r="I76" s="16" t="n">
        <v>38863.38745338928</v>
      </c>
      <c r="J76" s="16" t="n">
        <v>43384</v>
      </c>
      <c r="K76" s="14" t="n">
        <v>2.72</v>
      </c>
      <c r="L76" s="14" t="n">
        <v>3.0383</v>
      </c>
      <c r="M76" s="17">
        <f>IF(OR(F76="",K76="",K76&lt;=0),"",F76/K76)</f>
        <v/>
      </c>
      <c r="N76" s="18" t="n">
        <v>1.4636774</v>
      </c>
      <c r="O76" s="19">
        <f>IF(OR(N76="",M76="",M76&lt;=0),"",N76/M76)</f>
        <v/>
      </c>
      <c r="P76" s="20" t="n">
        <v>0.09711</v>
      </c>
      <c r="Q76" s="20" t="n">
        <v>0.09139612675562522</v>
      </c>
      <c r="R76" s="20" t="n">
        <v>0.003040648385819987</v>
      </c>
      <c r="S76" s="21" t="n">
        <v>4</v>
      </c>
      <c r="T76" s="20" t="n"/>
      <c r="U76" s="20" t="n">
        <v>0.09611778595735815</v>
      </c>
      <c r="V76" s="20" t="n">
        <v>0.09137847776828498</v>
      </c>
      <c r="W76" s="20" t="n">
        <v>0.09039021549213745</v>
      </c>
      <c r="X76" s="20" t="n">
        <v>0.08769802780472033</v>
      </c>
      <c r="Y76" s="14" t="n">
        <v>1.68</v>
      </c>
      <c r="Z76" s="19">
        <f>IF(OR(Y76="",F76="",F76=0),"",Y76/F76)</f>
        <v/>
      </c>
      <c r="AA76" s="22" t="n">
        <v>177.362</v>
      </c>
      <c r="AB76" s="20" t="n">
        <v>0.099</v>
      </c>
      <c r="AC76" s="20" t="n">
        <v>0.1147250418006431</v>
      </c>
      <c r="AD76" s="17">
        <f>IF(OR(Q76="",M76="",M76&lt;=0),"",ROUND(40*MAX(0,MIN(N(Q76)/0.3,1))+IF(OR(R76="",N(Q76)&lt;=0),10,20*MAX(0,1-MIN(R76/Q76,1)))+30*MAX(0,MIN((PARAMETRI!$B$5-M76)/MAX(PARAMETRI!$B$5-10,1),1))+IF(AB76="",3,10*MAX(0,MIN(AB76/0.15,1)))+IF(AND(P76&lt;&gt;"",N(P76)&lt;N(Q76)*0.6),-8,0),1))</f>
        <v/>
      </c>
      <c r="AE76" s="13">
        <f>IF(AND(P76="",Q76=""),"DATI MANCANTI",IF(AND(N(P76)&gt;=PARAMETRI!$B$4,N(Q76)&gt;=PARAMETRI!$B$4),"OK","NO"))</f>
        <v/>
      </c>
      <c r="AF76" s="13">
        <f>IF(M76="","N/D",IF(M76&lt;PARAMETRI!$B$6,"OTTIMO",IF(M76&lt;PARAMETRI!$B$5,"OK","NO")))</f>
        <v/>
      </c>
      <c r="AG76" s="13">
        <f>IF(OR(AE76="DATI MANCANTI",AF76="N/D"),"DA COMPLETARE",IF(AND(AE76="OK",AF76="OTTIMO"),"PASSA FORTE",IF(AND(AE76="OK",AF76="OK"),"PASSA","SCARTA")))</f>
        <v/>
      </c>
      <c r="AH76" s="11" t="inlineStr">
        <is>
          <t>2026-10-12</t>
        </is>
      </c>
      <c r="AI76" s="11" t="inlineStr">
        <is>
          <t>yahoo</t>
        </is>
      </c>
      <c r="AJ76" s="23" t="inlineStr"/>
    </row>
    <row r="77">
      <c r="A77" s="10">
        <f>IF(AD77="","",RANK(AD77,AD$2:AD$167))</f>
        <v/>
      </c>
      <c r="B77" s="11" t="inlineStr">
        <is>
          <t>Eaton</t>
        </is>
      </c>
      <c r="C77" s="12" t="inlineStr">
        <is>
          <t>ETN</t>
        </is>
      </c>
      <c r="D77" s="11" t="inlineStr">
        <is>
          <t>Elettrificazione</t>
        </is>
      </c>
      <c r="E77" s="13" t="inlineStr">
        <is>
          <t>Industriale</t>
        </is>
      </c>
      <c r="F77" s="14" t="n">
        <v>429.78</v>
      </c>
      <c r="G77" s="15" t="inlineStr">
        <is>
          <t>USD</t>
        </is>
      </c>
      <c r="H77" s="14" t="n">
        <v>384.9969265101799</v>
      </c>
      <c r="I77" s="16" t="n">
        <v>149494.329854703</v>
      </c>
      <c r="J77" s="16" t="n">
        <v>166883.6</v>
      </c>
      <c r="K77" s="14" t="n">
        <v>9.83</v>
      </c>
      <c r="L77" s="14" t="n">
        <v>16.2461</v>
      </c>
      <c r="M77" s="17">
        <f>IF(OR(F77="",K77="",K77&lt;=0),"",F77/K77)</f>
        <v/>
      </c>
      <c r="N77" s="18" t="n">
        <v>8.241701000000001</v>
      </c>
      <c r="O77" s="19">
        <f>IF(OR(N77="",M77="",M77&lt;=0),"",N77/M77)</f>
        <v/>
      </c>
      <c r="P77" s="20" t="n">
        <v>0.19684</v>
      </c>
      <c r="Q77" s="20" t="n">
        <v>0.182290452743209</v>
      </c>
      <c r="R77" s="20" t="n">
        <v>0.02701399831554398</v>
      </c>
      <c r="S77" s="21" t="n">
        <v>4</v>
      </c>
      <c r="T77" s="20" t="n"/>
      <c r="U77" s="20" t="n">
        <v>0.2103989703989704</v>
      </c>
      <c r="V77" s="20" t="n">
        <v>0.2052141929900476</v>
      </c>
      <c r="W77" s="20" t="n">
        <v>0.1690481193528052</v>
      </c>
      <c r="X77" s="20" t="n">
        <v>0.144500528231013</v>
      </c>
      <c r="Y77" s="14" t="n">
        <v>4.4</v>
      </c>
      <c r="Z77" s="19">
        <f>IF(OR(Y77="",F77="",F77=0),"",Y77/F77)</f>
        <v/>
      </c>
      <c r="AA77" s="22" t="n">
        <v>105.059</v>
      </c>
      <c r="AB77" s="20" t="n">
        <v>0.214</v>
      </c>
      <c r="AC77" s="20" t="n">
        <v>0.1395001433984261</v>
      </c>
      <c r="AD77" s="17">
        <f>IF(OR(Q77="",M77="",M77&lt;=0),"",ROUND(40*MAX(0,MIN(N(Q77)/0.3,1))+IF(OR(R77="",N(Q77)&lt;=0),10,20*MAX(0,1-MIN(R77/Q77,1)))+30*MAX(0,MIN((PARAMETRI!$B$5-M77)/MAX(PARAMETRI!$B$5-10,1),1))+IF(AB77="",3,10*MAX(0,MIN(AB77/0.15,1)))+IF(AND(P77&lt;&gt;"",N(P77)&lt;N(Q77)*0.6),-8,0),1))</f>
        <v/>
      </c>
      <c r="AE77" s="13">
        <f>IF(AND(P77="",Q77=""),"DATI MANCANTI",IF(AND(N(P77)&gt;=PARAMETRI!$B$4,N(Q77)&gt;=PARAMETRI!$B$4),"OK","NO"))</f>
        <v/>
      </c>
      <c r="AF77" s="13">
        <f>IF(M77="","N/D",IF(M77&lt;PARAMETRI!$B$6,"OTTIMO",IF(M77&lt;PARAMETRI!$B$5,"OK","NO")))</f>
        <v/>
      </c>
      <c r="AG77" s="13">
        <f>IF(OR(AE77="DATI MANCANTI",AF77="N/D"),"DA COMPLETARE",IF(AND(AE77="OK",AF77="OTTIMO"),"PASSA FORTE",IF(AND(AE77="OK",AF77="OK"),"PASSA","SCARTA")))</f>
        <v/>
      </c>
      <c r="AH77" s="11" t="inlineStr">
        <is>
          <t>2026-10-12</t>
        </is>
      </c>
      <c r="AI77" s="11" t="inlineStr">
        <is>
          <t>yahoo</t>
        </is>
      </c>
      <c r="AJ77" s="23" t="inlineStr"/>
    </row>
    <row r="78">
      <c r="A78" s="10">
        <f>IF(AD78="","",RANK(AD78,AD$2:AD$167))</f>
        <v/>
      </c>
      <c r="B78" s="11" t="inlineStr">
        <is>
          <t>NextEra Energy</t>
        </is>
      </c>
      <c r="C78" s="12" t="inlineStr">
        <is>
          <t>NEE</t>
        </is>
      </c>
      <c r="D78" s="11" t="inlineStr">
        <is>
          <t>Utility / Rinnovabili</t>
        </is>
      </c>
      <c r="E78" s="13" t="inlineStr">
        <is>
          <t>Utility</t>
        </is>
      </c>
      <c r="F78" s="14" t="n">
        <v>78.34999999999999</v>
      </c>
      <c r="G78" s="15" t="inlineStr">
        <is>
          <t>USD</t>
        </is>
      </c>
      <c r="H78" s="14" t="n">
        <v>70.18593045761226</v>
      </c>
      <c r="I78" s="16" t="n">
        <v>146380.1707143987</v>
      </c>
      <c r="J78" s="16" t="n">
        <v>163407.2</v>
      </c>
      <c r="K78" s="14" t="n">
        <v>4.45</v>
      </c>
      <c r="L78" s="14" t="n">
        <v>4.37634</v>
      </c>
      <c r="M78" s="17">
        <f>IF(OR(F78="",K78="",K78&lt;=0),"",F78/K78)</f>
        <v/>
      </c>
      <c r="N78" s="18" t="n">
        <v>2.8607419</v>
      </c>
      <c r="O78" s="19">
        <f>IF(OR(N78="",M78="",M78&lt;=0),"",N78/M78)</f>
        <v/>
      </c>
      <c r="P78" s="20" t="n">
        <v>0.11677</v>
      </c>
      <c r="Q78" s="20" t="n">
        <v>0.1308789630201321</v>
      </c>
      <c r="R78" s="20" t="n">
        <v>0.01775346387851813</v>
      </c>
      <c r="S78" s="21" t="n">
        <v>4</v>
      </c>
      <c r="T78" s="20" t="n"/>
      <c r="U78" s="20" t="n">
        <v>0.1251648110167008</v>
      </c>
      <c r="V78" s="20" t="n">
        <v>0.138639947306441</v>
      </c>
      <c r="W78" s="20" t="n">
        <v>0.1539984831886745</v>
      </c>
      <c r="X78" s="20" t="n">
        <v>0.1057126105687119</v>
      </c>
      <c r="Y78" s="14" t="n">
        <v>2.49</v>
      </c>
      <c r="Z78" s="19">
        <f>IF(OR(Y78="",F78="",F78=0),"",Y78/F78)</f>
        <v/>
      </c>
      <c r="AA78" s="22" t="n">
        <v>161.676</v>
      </c>
      <c r="AB78" s="20" t="n">
        <v>0.124</v>
      </c>
      <c r="AC78" s="20" t="n">
        <v>0.3392310053990953</v>
      </c>
      <c r="AD78" s="17">
        <f>IF(OR(Q78="",M78="",M78&lt;=0),"",ROUND(40*MAX(0,MIN(N(Q78)/0.3,1))+IF(OR(R78="",N(Q78)&lt;=0),10,20*MAX(0,1-MIN(R78/Q78,1)))+30*MAX(0,MIN((PARAMETRI!$B$5-M78)/MAX(PARAMETRI!$B$5-10,1),1))+IF(AB78="",3,10*MAX(0,MIN(AB78/0.15,1)))+IF(AND(P78&lt;&gt;"",N(P78)&lt;N(Q78)*0.6),-8,0),1))</f>
        <v/>
      </c>
      <c r="AE78" s="13">
        <f>IF(AND(P78="",Q78=""),"DATI MANCANTI",IF(AND(N(P78)&gt;=PARAMETRI!$B$4,N(Q78)&gt;=PARAMETRI!$B$4),"OK","NO"))</f>
        <v/>
      </c>
      <c r="AF78" s="13">
        <f>IF(M78="","N/D",IF(M78&lt;PARAMETRI!$B$6,"OTTIMO",IF(M78&lt;PARAMETRI!$B$5,"OK","NO")))</f>
        <v/>
      </c>
      <c r="AG78" s="13">
        <f>IF(OR(AE78="DATI MANCANTI",AF78="N/D"),"DA COMPLETARE",IF(AND(AE78="OK",AF78="OTTIMO"),"PASSA FORTE",IF(AND(AE78="OK",AF78="OK"),"PASSA","SCARTA")))</f>
        <v/>
      </c>
      <c r="AH78" s="11" t="inlineStr">
        <is>
          <t>2026-10-12</t>
        </is>
      </c>
      <c r="AI78" s="11" t="inlineStr">
        <is>
          <t>yahoo</t>
        </is>
      </c>
      <c r="AJ78" s="23" t="inlineStr"/>
    </row>
    <row r="79">
      <c r="A79" s="10">
        <f>IF(AD79="","",RANK(AD79,AD$2:AD$167))</f>
        <v/>
      </c>
      <c r="B79" s="11" t="inlineStr">
        <is>
          <t>Deere &amp; Company</t>
        </is>
      </c>
      <c r="C79" s="12" t="inlineStr">
        <is>
          <t>DE</t>
        </is>
      </c>
      <c r="D79" s="11" t="inlineStr">
        <is>
          <t>Macchine agricole</t>
        </is>
      </c>
      <c r="E79" s="13" t="inlineStr">
        <is>
          <t>Industriale</t>
        </is>
      </c>
      <c r="F79" s="14" t="n">
        <v>633.085</v>
      </c>
      <c r="G79" s="15" t="inlineStr">
        <is>
          <t>USD</t>
        </is>
      </c>
      <c r="H79" s="14" t="n">
        <v>567.1175466976064</v>
      </c>
      <c r="I79" s="16" t="n">
        <v>152909.2986369686</v>
      </c>
      <c r="J79" s="16" t="n">
        <v>170695.8</v>
      </c>
      <c r="K79" s="14" t="n">
        <v>17.99</v>
      </c>
      <c r="L79" s="14" t="n">
        <v>22.77321</v>
      </c>
      <c r="M79" s="17">
        <f>IF(OR(F79="",K79="",K79&lt;=0),"",F79/K79)</f>
        <v/>
      </c>
      <c r="N79" s="18" t="n">
        <v>6.0984387</v>
      </c>
      <c r="O79" s="19">
        <f>IF(OR(N79="",M79="",M79&lt;=0),"",N79/M79)</f>
        <v/>
      </c>
      <c r="P79" s="20" t="n">
        <v>0.18242</v>
      </c>
      <c r="Q79" s="20" t="n">
        <v>0.3308055602273648</v>
      </c>
      <c r="R79" s="20" t="n">
        <v>0.09758236298151571</v>
      </c>
      <c r="S79" s="21" t="n">
        <v>4</v>
      </c>
      <c r="T79" s="20" t="n"/>
      <c r="U79" s="20" t="n">
        <v>0.193718689788054</v>
      </c>
      <c r="V79" s="20" t="n">
        <v>0.3109125941495884</v>
      </c>
      <c r="W79" s="20" t="n">
        <v>0.4666513656185449</v>
      </c>
      <c r="X79" s="20" t="n">
        <v>0.3519395913532721</v>
      </c>
      <c r="Y79" s="14" t="n">
        <v>6.48</v>
      </c>
      <c r="Z79" s="19">
        <f>IF(OR(Y79="",F79="",F79=0),"",Y79/F79)</f>
        <v/>
      </c>
      <c r="AA79" s="22" t="n">
        <v>230.298</v>
      </c>
      <c r="AB79" s="20" t="n">
        <v>0.049</v>
      </c>
      <c r="AC79" s="20" t="n">
        <v>0.1091010844285235</v>
      </c>
      <c r="AD79" s="17">
        <f>IF(OR(Q79="",M79="",M79&lt;=0),"",ROUND(40*MAX(0,MIN(N(Q79)/0.3,1))+IF(OR(R79="",N(Q79)&lt;=0),10,20*MAX(0,1-MIN(R79/Q79,1)))+30*MAX(0,MIN((PARAMETRI!$B$5-M79)/MAX(PARAMETRI!$B$5-10,1),1))+IF(AB79="",3,10*MAX(0,MIN(AB79/0.15,1)))+IF(AND(P79&lt;&gt;"",N(P79)&lt;N(Q79)*0.6),-8,0),1))</f>
        <v/>
      </c>
      <c r="AE79" s="13">
        <f>IF(AND(P79="",Q79=""),"DATI MANCANTI",IF(AND(N(P79)&gt;=PARAMETRI!$B$4,N(Q79)&gt;=PARAMETRI!$B$4),"OK","NO"))</f>
        <v/>
      </c>
      <c r="AF79" s="13">
        <f>IF(M79="","N/D",IF(M79&lt;PARAMETRI!$B$6,"OTTIMO",IF(M79&lt;PARAMETRI!$B$5,"OK","NO")))</f>
        <v/>
      </c>
      <c r="AG79" s="13">
        <f>IF(OR(AE79="DATI MANCANTI",AF79="N/D"),"DA COMPLETARE",IF(AND(AE79="OK",AF79="OTTIMO"),"PASSA FORTE",IF(AND(AE79="OK",AF79="OK"),"PASSA","SCARTA")))</f>
        <v/>
      </c>
      <c r="AH79" s="11" t="inlineStr">
        <is>
          <t>2026-10-12</t>
        </is>
      </c>
      <c r="AI79" s="11" t="inlineStr">
        <is>
          <t>yahoo</t>
        </is>
      </c>
      <c r="AJ79" s="23" t="inlineStr"/>
    </row>
    <row r="80">
      <c r="A80" s="10">
        <f>IF(AD80="","",RANK(AD80,AD$2:AD$167))</f>
        <v/>
      </c>
      <c r="B80" s="11" t="inlineStr">
        <is>
          <t>Williams Companies</t>
        </is>
      </c>
      <c r="C80" s="12" t="inlineStr">
        <is>
          <t>WMB</t>
        </is>
      </c>
      <c r="D80" s="11" t="inlineStr">
        <is>
          <t>Gasdotti</t>
        </is>
      </c>
      <c r="E80" s="13" t="inlineStr">
        <is>
          <t>Energia</t>
        </is>
      </c>
      <c r="F80" s="14" t="n">
        <v>73.87</v>
      </c>
      <c r="G80" s="15" t="inlineStr">
        <is>
          <t>USD</t>
        </is>
      </c>
      <c r="H80" s="14" t="n">
        <v>66.1727464314463</v>
      </c>
      <c r="I80" s="16" t="n">
        <v>80940.36784773118</v>
      </c>
      <c r="J80" s="16" t="n">
        <v>90355.39999999999</v>
      </c>
      <c r="K80" s="14" t="n">
        <v>2.51</v>
      </c>
      <c r="L80" s="14" t="n">
        <v>2.64672</v>
      </c>
      <c r="M80" s="17">
        <f>IF(OR(F80="",K80="",K80&lt;=0),"",F80/K80)</f>
        <v/>
      </c>
      <c r="N80" s="18" t="n">
        <v>6.8677955</v>
      </c>
      <c r="O80" s="19">
        <f>IF(OR(N80="",M80="",M80&lt;=0),"",N80/M80)</f>
        <v/>
      </c>
      <c r="P80" s="20" t="n">
        <v>0.21503</v>
      </c>
      <c r="Q80" s="20" t="n">
        <v>0.2045179374667133</v>
      </c>
      <c r="R80" s="20" t="n">
        <v>0.03170850933970622</v>
      </c>
      <c r="S80" s="21" t="n">
        <v>4</v>
      </c>
      <c r="T80" s="20" t="n"/>
      <c r="U80" s="20" t="n">
        <v>0.2044194581088467</v>
      </c>
      <c r="V80" s="20" t="n">
        <v>0.1789160501769058</v>
      </c>
      <c r="W80" s="20" t="n">
        <v>0.2563296242541526</v>
      </c>
      <c r="X80" s="20" t="n">
        <v>0.1784066173269482</v>
      </c>
      <c r="Y80" s="14" t="n">
        <v>2.1</v>
      </c>
      <c r="Z80" s="19">
        <f>IF(OR(Y80="",F80="",F80=0),"",Y80/F80)</f>
        <v/>
      </c>
      <c r="AA80" s="22" t="n">
        <v>200.371</v>
      </c>
      <c r="AB80" s="20" t="n">
        <v>0.078</v>
      </c>
      <c r="AC80" s="20" t="n">
        <v>0.2569037764016737</v>
      </c>
      <c r="AD80" s="17">
        <f>IF(OR(Q80="",M80="",M80&lt;=0),"",ROUND(40*MAX(0,MIN(N(Q80)/0.3,1))+IF(OR(R80="",N(Q80)&lt;=0),10,20*MAX(0,1-MIN(R80/Q80,1)))+30*MAX(0,MIN((PARAMETRI!$B$5-M80)/MAX(PARAMETRI!$B$5-10,1),1))+IF(AB80="",3,10*MAX(0,MIN(AB80/0.15,1)))+IF(AND(P80&lt;&gt;"",N(P80)&lt;N(Q80)*0.6),-8,0),1))</f>
        <v/>
      </c>
      <c r="AE80" s="13">
        <f>IF(AND(P80="",Q80=""),"DATI MANCANTI",IF(AND(N(P80)&gt;=PARAMETRI!$B$4,N(Q80)&gt;=PARAMETRI!$B$4),"OK","NO"))</f>
        <v/>
      </c>
      <c r="AF80" s="13">
        <f>IF(M80="","N/D",IF(M80&lt;PARAMETRI!$B$6,"OTTIMO",IF(M80&lt;PARAMETRI!$B$5,"OK","NO")))</f>
        <v/>
      </c>
      <c r="AG80" s="13">
        <f>IF(OR(AE80="DATI MANCANTI",AF80="N/D"),"DA COMPLETARE",IF(AND(AE80="OK",AF80="OTTIMO"),"PASSA FORTE",IF(AND(AE80="OK",AF80="OK"),"PASSA","SCARTA")))</f>
        <v/>
      </c>
      <c r="AH80" s="11" t="inlineStr">
        <is>
          <t>2026-10-12</t>
        </is>
      </c>
      <c r="AI80" s="11" t="inlineStr">
        <is>
          <t>yahoo</t>
        </is>
      </c>
      <c r="AJ80" s="23" t="inlineStr"/>
    </row>
    <row r="81">
      <c r="A81" s="10">
        <f>IF(AD81="","",RANK(AD81,AD$2:AD$167))</f>
        <v/>
      </c>
      <c r="B81" s="11" t="inlineStr">
        <is>
          <t>Norfolk Southern</t>
        </is>
      </c>
      <c r="C81" s="12" t="inlineStr">
        <is>
          <t>NSC</t>
        </is>
      </c>
      <c r="D81" s="11" t="inlineStr">
        <is>
          <t>Ferrovie</t>
        </is>
      </c>
      <c r="E81" s="13" t="inlineStr">
        <is>
          <t>Industriale</t>
        </is>
      </c>
      <c r="F81" s="14" t="n">
        <v>318.71</v>
      </c>
      <c r="G81" s="15" t="inlineStr">
        <is>
          <t>USD</t>
        </is>
      </c>
      <c r="H81" s="14" t="n">
        <v>285.5004198614627</v>
      </c>
      <c r="I81" s="16" t="n">
        <v>64125.7538380999</v>
      </c>
      <c r="J81" s="16" t="n">
        <v>71584.89999999999</v>
      </c>
      <c r="K81" s="14" t="n">
        <v>11.72</v>
      </c>
      <c r="L81" s="14" t="n">
        <v>14.29668</v>
      </c>
      <c r="M81" s="17">
        <f>IF(OR(F81="",K81="",K81&lt;=0),"",F81/K81)</f>
        <v/>
      </c>
      <c r="N81" s="18" t="n">
        <v>4.4043837</v>
      </c>
      <c r="O81" s="19">
        <f>IF(OR(N81="",M81="",M81&lt;=0),"",N81/M81)</f>
        <v/>
      </c>
      <c r="P81" s="20" t="n">
        <v>0.16985</v>
      </c>
      <c r="Q81" s="20" t="n">
        <v>0.1919584509394721</v>
      </c>
      <c r="R81" s="20" t="n">
        <v>0.04103328172323672</v>
      </c>
      <c r="S81" s="21" t="n">
        <v>4</v>
      </c>
      <c r="T81" s="20" t="n"/>
      <c r="U81" s="20" t="n">
        <v>0.1847944941146202</v>
      </c>
      <c r="V81" s="20" t="n">
        <v>0.1832797427652733</v>
      </c>
      <c r="W81" s="20" t="n">
        <v>0.1429465613019326</v>
      </c>
      <c r="X81" s="20" t="n">
        <v>0.2568130055760622</v>
      </c>
      <c r="Y81" s="14" t="n">
        <v>5.4</v>
      </c>
      <c r="Z81" s="19">
        <f>IF(OR(Y81="",F81="",F81=0),"",Y81/F81)</f>
        <v/>
      </c>
      <c r="AA81" s="22" t="n">
        <v>105.519</v>
      </c>
      <c r="AB81" s="20" t="n">
        <v>0.114</v>
      </c>
      <c r="AC81" s="20" t="n">
        <v>0.2161740505747126</v>
      </c>
      <c r="AD81" s="17">
        <f>IF(OR(Q81="",M81="",M81&lt;=0),"",ROUND(40*MAX(0,MIN(N(Q81)/0.3,1))+IF(OR(R81="",N(Q81)&lt;=0),10,20*MAX(0,1-MIN(R81/Q81,1)))+30*MAX(0,MIN((PARAMETRI!$B$5-M81)/MAX(PARAMETRI!$B$5-10,1),1))+IF(AB81="",3,10*MAX(0,MIN(AB81/0.15,1)))+IF(AND(P81&lt;&gt;"",N(P81)&lt;N(Q81)*0.6),-8,0),1))</f>
        <v/>
      </c>
      <c r="AE81" s="13">
        <f>IF(AND(P81="",Q81=""),"DATI MANCANTI",IF(AND(N(P81)&gt;=PARAMETRI!$B$4,N(Q81)&gt;=PARAMETRI!$B$4),"OK","NO"))</f>
        <v/>
      </c>
      <c r="AF81" s="13">
        <f>IF(M81="","N/D",IF(M81&lt;PARAMETRI!$B$6,"OTTIMO",IF(M81&lt;PARAMETRI!$B$5,"OK","NO")))</f>
        <v/>
      </c>
      <c r="AG81" s="13">
        <f>IF(OR(AE81="DATI MANCANTI",AF81="N/D"),"DA COMPLETARE",IF(AND(AE81="OK",AF81="OTTIMO"),"PASSA FORTE",IF(AND(AE81="OK",AF81="OK"),"PASSA","SCARTA")))</f>
        <v/>
      </c>
      <c r="AH81" s="11" t="inlineStr">
        <is>
          <t>2026-10-12</t>
        </is>
      </c>
      <c r="AI81" s="11" t="inlineStr">
        <is>
          <t>yahoo</t>
        </is>
      </c>
      <c r="AJ81" s="23" t="inlineStr"/>
    </row>
    <row r="82">
      <c r="A82" s="10">
        <f>IF(AD82="","",RANK(AD82,AD$2:AD$167))</f>
        <v/>
      </c>
      <c r="B82" s="11" t="inlineStr">
        <is>
          <t>Ecolab</t>
        </is>
      </c>
      <c r="C82" s="12" t="inlineStr">
        <is>
          <t>ECL</t>
        </is>
      </c>
      <c r="D82" s="11" t="inlineStr">
        <is>
          <t>Chimica specialistica</t>
        </is>
      </c>
      <c r="E82" s="13" t="inlineStr">
        <is>
          <t>Materiali</t>
        </is>
      </c>
      <c r="F82" s="14" t="n">
        <v>284.635</v>
      </c>
      <c r="G82" s="15" t="inlineStr">
        <is>
          <t>USD</t>
        </is>
      </c>
      <c r="H82" s="14" t="n">
        <v>254.9760346624437</v>
      </c>
      <c r="I82" s="16" t="n">
        <v>71477.04700603033</v>
      </c>
      <c r="J82" s="16" t="n">
        <v>79791.3</v>
      </c>
      <c r="K82" s="14" t="n">
        <v>7.45</v>
      </c>
      <c r="L82" s="14" t="n">
        <v>9.4063</v>
      </c>
      <c r="M82" s="17">
        <f>IF(OR(F82="",K82="",K82&lt;=0),"",F82/K82)</f>
        <v/>
      </c>
      <c r="N82" s="18" t="n">
        <v>7.935183</v>
      </c>
      <c r="O82" s="19">
        <f>IF(OR(N82="",M82="",M82&lt;=0),"",N82/M82)</f>
        <v/>
      </c>
      <c r="P82" s="20" t="n">
        <v>0.21956</v>
      </c>
      <c r="Q82" s="20" t="n">
        <v>0.1937744228136611</v>
      </c>
      <c r="R82" s="20" t="n">
        <v>0.03527525358757358</v>
      </c>
      <c r="S82" s="21" t="n">
        <v>4</v>
      </c>
      <c r="T82" s="20" t="n"/>
      <c r="U82" s="20" t="n">
        <v>0.2124288696933721</v>
      </c>
      <c r="V82" s="20" t="n">
        <v>0.2412158998778162</v>
      </c>
      <c r="W82" s="20" t="n">
        <v>0.1705843598891195</v>
      </c>
      <c r="X82" s="20" t="n">
        <v>0.1508685617943367</v>
      </c>
      <c r="Y82" s="14" t="n">
        <v>2.92</v>
      </c>
      <c r="Z82" s="19">
        <f>IF(OR(Y82="",F82="",F82=0),"",Y82/F82)</f>
        <v/>
      </c>
      <c r="AA82" s="22" t="n">
        <v>138.023</v>
      </c>
      <c r="AB82" s="20" t="n">
        <v>0.097</v>
      </c>
      <c r="AC82" s="20" t="n">
        <v>0.1316070939979604</v>
      </c>
      <c r="AD82" s="17">
        <f>IF(OR(Q82="",M82="",M82&lt;=0),"",ROUND(40*MAX(0,MIN(N(Q82)/0.3,1))+IF(OR(R82="",N(Q82)&lt;=0),10,20*MAX(0,1-MIN(R82/Q82,1)))+30*MAX(0,MIN((PARAMETRI!$B$5-M82)/MAX(PARAMETRI!$B$5-10,1),1))+IF(AB82="",3,10*MAX(0,MIN(AB82/0.15,1)))+IF(AND(P82&lt;&gt;"",N(P82)&lt;N(Q82)*0.6),-8,0),1))</f>
        <v/>
      </c>
      <c r="AE82" s="13">
        <f>IF(AND(P82="",Q82=""),"DATI MANCANTI",IF(AND(N(P82)&gt;=PARAMETRI!$B$4,N(Q82)&gt;=PARAMETRI!$B$4),"OK","NO"))</f>
        <v/>
      </c>
      <c r="AF82" s="13">
        <f>IF(M82="","N/D",IF(M82&lt;PARAMETRI!$B$6,"OTTIMO",IF(M82&lt;PARAMETRI!$B$5,"OK","NO")))</f>
        <v/>
      </c>
      <c r="AG82" s="13">
        <f>IF(OR(AE82="DATI MANCANTI",AF82="N/D"),"DA COMPLETARE",IF(AND(AE82="OK",AF82="OTTIMO"),"PASSA FORTE",IF(AND(AE82="OK",AF82="OK"),"PASSA","SCARTA")))</f>
        <v/>
      </c>
      <c r="AH82" s="11" t="inlineStr">
        <is>
          <t>2026-10-12</t>
        </is>
      </c>
      <c r="AI82" s="11" t="inlineStr">
        <is>
          <t>yahoo</t>
        </is>
      </c>
      <c r="AJ82" s="23" t="inlineStr"/>
    </row>
    <row r="83">
      <c r="A83" s="10">
        <f>IF(AD83="","",RANK(AD83,AD$2:AD$167))</f>
        <v/>
      </c>
      <c r="B83" s="11" t="inlineStr">
        <is>
          <t>Cummins</t>
        </is>
      </c>
      <c r="C83" s="12" t="inlineStr">
        <is>
          <t>CMI</t>
        </is>
      </c>
      <c r="D83" s="11" t="inlineStr">
        <is>
          <t>Motori</t>
        </is>
      </c>
      <c r="E83" s="13" t="inlineStr">
        <is>
          <t>Industriale</t>
        </is>
      </c>
      <c r="F83" s="14" t="n">
        <v>530.775</v>
      </c>
      <c r="G83" s="15" t="inlineStr">
        <is>
          <t>USD</t>
        </is>
      </c>
      <c r="H83" s="14" t="n">
        <v>475.4682481000529</v>
      </c>
      <c r="I83" s="16" t="n">
        <v>65609.37780777314</v>
      </c>
      <c r="J83" s="16" t="n">
        <v>73241.10000000001</v>
      </c>
      <c r="K83" s="14" t="n">
        <v>19.57</v>
      </c>
      <c r="L83" s="14" t="n">
        <v>34.8042</v>
      </c>
      <c r="M83" s="17">
        <f>IF(OR(F83="",K83="",K83&lt;=0),"",F83/K83)</f>
        <v/>
      </c>
      <c r="N83" s="18" t="n">
        <v>5.687627</v>
      </c>
      <c r="O83" s="19">
        <f>IF(OR(N83="",M83="",M83&lt;=0),"",N83/M83)</f>
        <v/>
      </c>
      <c r="P83" s="20" t="n">
        <v>0.21114</v>
      </c>
      <c r="Q83" s="20" t="n">
        <v>0.2342815370053821</v>
      </c>
      <c r="R83" s="20" t="n">
        <v>0.106522642649389</v>
      </c>
      <c r="S83" s="21" t="n">
        <v>4</v>
      </c>
      <c r="T83" s="20" t="n"/>
      <c r="U83" s="20" t="n">
        <v>0.2302210705320269</v>
      </c>
      <c r="V83" s="20" t="n">
        <v>0.3841884918703145</v>
      </c>
      <c r="W83" s="20" t="n">
        <v>0.08305084745762711</v>
      </c>
      <c r="X83" s="20" t="n">
        <v>0.2396657381615599</v>
      </c>
      <c r="Y83" s="14" t="n">
        <v>8.800000000000001</v>
      </c>
      <c r="Z83" s="19">
        <f>IF(OR(Y83="",F83="",F83=0),"",Y83/F83)</f>
        <v/>
      </c>
      <c r="AA83" s="22" t="n">
        <v>59.586</v>
      </c>
      <c r="AB83" s="20" t="n">
        <v>0.094</v>
      </c>
      <c r="AC83" s="20" t="n">
        <v>0.08063558253638253</v>
      </c>
      <c r="AD83" s="17">
        <f>IF(OR(Q83="",M83="",M83&lt;=0),"",ROUND(40*MAX(0,MIN(N(Q83)/0.3,1))+IF(OR(R83="",N(Q83)&lt;=0),10,20*MAX(0,1-MIN(R83/Q83,1)))+30*MAX(0,MIN((PARAMETRI!$B$5-M83)/MAX(PARAMETRI!$B$5-10,1),1))+IF(AB83="",3,10*MAX(0,MIN(AB83/0.15,1)))+IF(AND(P83&lt;&gt;"",N(P83)&lt;N(Q83)*0.6),-8,0),1))</f>
        <v/>
      </c>
      <c r="AE83" s="13">
        <f>IF(AND(P83="",Q83=""),"DATI MANCANTI",IF(AND(N(P83)&gt;=PARAMETRI!$B$4,N(Q83)&gt;=PARAMETRI!$B$4),"OK","NO"))</f>
        <v/>
      </c>
      <c r="AF83" s="13">
        <f>IF(M83="","N/D",IF(M83&lt;PARAMETRI!$B$6,"OTTIMO",IF(M83&lt;PARAMETRI!$B$5,"OK","NO")))</f>
        <v/>
      </c>
      <c r="AG83" s="13">
        <f>IF(OR(AE83="DATI MANCANTI",AF83="N/D"),"DA COMPLETARE",IF(AND(AE83="OK",AF83="OTTIMO"),"PASSA FORTE",IF(AND(AE83="OK",AF83="OK"),"PASSA","SCARTA")))</f>
        <v/>
      </c>
      <c r="AH83" s="11" t="inlineStr">
        <is>
          <t>2026-10-12</t>
        </is>
      </c>
      <c r="AI83" s="11" t="inlineStr">
        <is>
          <t>yahoo</t>
        </is>
      </c>
      <c r="AJ83" s="23" t="inlineStr"/>
    </row>
    <row r="84">
      <c r="A84" s="10">
        <f>IF(AD84="","",RANK(AD84,AD$2:AD$167))</f>
        <v/>
      </c>
      <c r="B84" s="11" t="inlineStr">
        <is>
          <t>Vertiv Holdings</t>
        </is>
      </c>
      <c r="C84" s="12" t="inlineStr">
        <is>
          <t>VRT</t>
        </is>
      </c>
      <c r="D84" s="11" t="inlineStr">
        <is>
          <t>Infrastrutture data center</t>
        </is>
      </c>
      <c r="E84" s="13" t="inlineStr">
        <is>
          <t>Industriale</t>
        </is>
      </c>
      <c r="F84" s="14" t="n">
        <v>240.145</v>
      </c>
      <c r="G84" s="15" t="inlineStr">
        <is>
          <t>USD</t>
        </is>
      </c>
      <c r="H84" s="14" t="n">
        <v>215.1218924025947</v>
      </c>
      <c r="I84" s="16" t="n">
        <v>82819.39793998246</v>
      </c>
      <c r="J84" s="16" t="n">
        <v>92453</v>
      </c>
      <c r="K84" s="14" t="n">
        <v>4.42</v>
      </c>
      <c r="L84" s="14" t="n">
        <v>9.178509999999999</v>
      </c>
      <c r="M84" s="17">
        <f>IF(OR(F84="",K84="",K84&lt;=0),"",F84/K84)</f>
        <v/>
      </c>
      <c r="N84" s="18" t="n">
        <v>19.430779</v>
      </c>
      <c r="O84" s="19">
        <f>IF(OR(N84="",M84="",M84&lt;=0),"",N84/M84)</f>
        <v/>
      </c>
      <c r="P84" s="20" t="n">
        <v>0.43943</v>
      </c>
      <c r="Q84" s="20" t="n">
        <v>0.2058394575908118</v>
      </c>
      <c r="R84" s="20" t="n">
        <v>0.1016672316552922</v>
      </c>
      <c r="S84" s="21" t="n">
        <v>4</v>
      </c>
      <c r="T84" s="20" t="n"/>
      <c r="U84" s="20" t="n">
        <v>0.3381625352041205</v>
      </c>
      <c r="V84" s="20" t="n">
        <v>0.2036725136589574</v>
      </c>
      <c r="W84" s="20" t="n">
        <v>0.2283984316839545</v>
      </c>
      <c r="X84" s="20" t="n">
        <v>0.05312434981621472</v>
      </c>
      <c r="Y84" s="14" t="n">
        <v>0.25</v>
      </c>
      <c r="Z84" s="19">
        <f>IF(OR(Y84="",F84="",F84=0),"",Y84/F84)</f>
        <v/>
      </c>
      <c r="AA84" s="22" t="n">
        <v>70.166</v>
      </c>
      <c r="AB84" s="20" t="n">
        <v>0.241</v>
      </c>
      <c r="AC84" s="20" t="n">
        <v>0.1693076178652773</v>
      </c>
      <c r="AD84" s="17">
        <f>IF(OR(Q84="",M84="",M84&lt;=0),"",ROUND(40*MAX(0,MIN(N(Q84)/0.3,1))+IF(OR(R84="",N(Q84)&lt;=0),10,20*MAX(0,1-MIN(R84/Q84,1)))+30*MAX(0,MIN((PARAMETRI!$B$5-M84)/MAX(PARAMETRI!$B$5-10,1),1))+IF(AB84="",3,10*MAX(0,MIN(AB84/0.15,1)))+IF(AND(P84&lt;&gt;"",N(P84)&lt;N(Q84)*0.6),-8,0),1))</f>
        <v/>
      </c>
      <c r="AE84" s="13">
        <f>IF(AND(P84="",Q84=""),"DATI MANCANTI",IF(AND(N(P84)&gt;=PARAMETRI!$B$4,N(Q84)&gt;=PARAMETRI!$B$4),"OK","NO"))</f>
        <v/>
      </c>
      <c r="AF84" s="13">
        <f>IF(M84="","N/D",IF(M84&lt;PARAMETRI!$B$6,"OTTIMO",IF(M84&lt;PARAMETRI!$B$5,"OK","NO")))</f>
        <v/>
      </c>
      <c r="AG84" s="13">
        <f>IF(OR(AE84="DATI MANCANTI",AF84="N/D"),"DA COMPLETARE",IF(AND(AE84="OK",AF84="OTTIMO"),"PASSA FORTE",IF(AND(AE84="OK",AF84="OK"),"PASSA","SCARTA")))</f>
        <v/>
      </c>
      <c r="AH84" s="11" t="inlineStr">
        <is>
          <t>2026-10-12</t>
        </is>
      </c>
      <c r="AI84" s="11" t="inlineStr">
        <is>
          <t>yahoo</t>
        </is>
      </c>
      <c r="AJ84" s="23" t="inlineStr"/>
    </row>
    <row r="85">
      <c r="A85" s="10">
        <f>IF(AD85="","",RANK(AD85,AD$2:AD$167))</f>
        <v/>
      </c>
      <c r="B85" s="11" t="inlineStr">
        <is>
          <t>Kimberly-Clark</t>
        </is>
      </c>
      <c r="C85" s="12" t="inlineStr">
        <is>
          <t>KMB</t>
        </is>
      </c>
      <c r="D85" s="11" t="inlineStr">
        <is>
          <t>Beni per la casa</t>
        </is>
      </c>
      <c r="E85" s="13" t="inlineStr">
        <is>
          <t>Consumi</t>
        </is>
      </c>
      <c r="F85" s="14" t="n">
        <v>98.06999999999999</v>
      </c>
      <c r="G85" s="15" t="inlineStr">
        <is>
          <t>USD</t>
        </is>
      </c>
      <c r="H85" s="14" t="n">
        <v>87.85110657278919</v>
      </c>
      <c r="I85" s="16" t="n">
        <v>29161.33591013191</v>
      </c>
      <c r="J85" s="16" t="n">
        <v>32553.4</v>
      </c>
      <c r="K85" s="14" t="n">
        <v>5.07</v>
      </c>
      <c r="L85" s="14" t="n">
        <v>7.44698</v>
      </c>
      <c r="M85" s="17">
        <f>IF(OR(F85="",K85="",K85&lt;=0),"",F85/K85)</f>
        <v/>
      </c>
      <c r="N85" s="18" t="n">
        <v>18.6374</v>
      </c>
      <c r="O85" s="19">
        <f>IF(OR(N85="",M85="",M85&lt;=0),"",N85/M85)</f>
        <v/>
      </c>
      <c r="P85" s="20" t="n">
        <v>1.04913</v>
      </c>
      <c r="Q85" s="20" t="n">
        <v>2.459704758173796</v>
      </c>
      <c r="R85" s="20" t="n">
        <v>0.8670114317756352</v>
      </c>
      <c r="S85" s="21" t="n">
        <v>4</v>
      </c>
      <c r="T85" s="20" t="n"/>
      <c r="U85" s="20" t="n">
        <v>1.345539280958722</v>
      </c>
      <c r="V85" s="20" t="n">
        <v>3.029761904761905</v>
      </c>
      <c r="W85" s="20" t="n">
        <v>1.927868852459016</v>
      </c>
      <c r="X85" s="20" t="n">
        <v>3.535648994515539</v>
      </c>
      <c r="Y85" s="14" t="n">
        <v>5.12</v>
      </c>
      <c r="Z85" s="19">
        <f>IF(OR(Y85="",F85="",F85=0),"",Y85/F85)</f>
        <v/>
      </c>
      <c r="AA85" s="22" t="n">
        <v>348.933</v>
      </c>
      <c r="AB85" s="20" t="n">
        <v>0.006</v>
      </c>
      <c r="AC85" s="20" t="n">
        <v>0.1024502909953183</v>
      </c>
      <c r="AD85" s="17">
        <f>IF(OR(Q85="",M85="",M85&lt;=0),"",ROUND(40*MAX(0,MIN(N(Q85)/0.3,1))+IF(OR(R85="",N(Q85)&lt;=0),10,20*MAX(0,1-MIN(R85/Q85,1)))+30*MAX(0,MIN((PARAMETRI!$B$5-M85)/MAX(PARAMETRI!$B$5-10,1),1))+IF(AB85="",3,10*MAX(0,MIN(AB85/0.15,1)))+IF(AND(P85&lt;&gt;"",N(P85)&lt;N(Q85)*0.6),-8,0),1))</f>
        <v/>
      </c>
      <c r="AE85" s="13">
        <f>IF(AND(P85="",Q85=""),"DATI MANCANTI",IF(AND(N(P85)&gt;=PARAMETRI!$B$4,N(Q85)&gt;=PARAMETRI!$B$4),"OK","NO"))</f>
        <v/>
      </c>
      <c r="AF85" s="13">
        <f>IF(M85="","N/D",IF(M85&lt;PARAMETRI!$B$6,"OTTIMO",IF(M85&lt;PARAMETRI!$B$5,"OK","NO")))</f>
        <v/>
      </c>
      <c r="AG85" s="13">
        <f>IF(OR(AE85="DATI MANCANTI",AF85="N/D"),"DA COMPLETARE",IF(AND(AE85="OK",AF85="OTTIMO"),"PASSA FORTE",IF(AND(AE85="OK",AF85="OK"),"PASSA","SCARTA")))</f>
        <v/>
      </c>
      <c r="AH85" s="11" t="inlineStr">
        <is>
          <t>2026-10-12</t>
        </is>
      </c>
      <c r="AI85" s="11" t="inlineStr">
        <is>
          <t>yahoo</t>
        </is>
      </c>
      <c r="AJ85" s="23" t="inlineStr"/>
    </row>
    <row r="86">
      <c r="A86" s="10">
        <f>IF(AD86="","",RANK(AD86,AD$2:AD$167))</f>
        <v/>
      </c>
      <c r="B86" s="11" t="inlineStr">
        <is>
          <t>Walmart</t>
        </is>
      </c>
      <c r="C86" s="12" t="inlineStr">
        <is>
          <t>WMT</t>
        </is>
      </c>
      <c r="D86" s="11" t="inlineStr">
        <is>
          <t>Grande distribuzione</t>
        </is>
      </c>
      <c r="E86" s="13" t="inlineStr">
        <is>
          <t>Consumi</t>
        </is>
      </c>
      <c r="F86" s="14" t="n">
        <v>112.7</v>
      </c>
      <c r="G86" s="15" t="inlineStr">
        <is>
          <t>USD</t>
        </is>
      </c>
      <c r="H86" s="14" t="n">
        <v>100.9566606582374</v>
      </c>
      <c r="I86" s="16" t="n">
        <v>800964.436202288</v>
      </c>
      <c r="J86" s="16" t="n">
        <v>894133.1</v>
      </c>
      <c r="K86" s="14" t="n">
        <v>2.76</v>
      </c>
      <c r="L86" s="14" t="n">
        <v>3.22354</v>
      </c>
      <c r="M86" s="17">
        <f>IF(OR(F86="",K86="",K86&lt;=0),"",F86/K86)</f>
        <v/>
      </c>
      <c r="N86" s="18" t="n">
        <v>9.111487</v>
      </c>
      <c r="O86" s="19">
        <f>IF(OR(N86="",M86="",M86&lt;=0),"",N86/M86)</f>
        <v/>
      </c>
      <c r="P86" s="20" t="n">
        <v>0.22313999</v>
      </c>
      <c r="Q86" s="20" t="n">
        <v>0.1926449949502596</v>
      </c>
      <c r="R86" s="20" t="n">
        <v>0.02673988363519914</v>
      </c>
      <c r="S86" s="21" t="n">
        <v>4</v>
      </c>
      <c r="T86" s="20" t="n">
        <v>0.2197717257094673</v>
      </c>
      <c r="U86" s="20" t="n">
        <v>0.2135519101666795</v>
      </c>
      <c r="V86" s="20" t="n">
        <v>0.1849608280368705</v>
      </c>
      <c r="W86" s="20" t="n">
        <v>0.1522955158880211</v>
      </c>
      <c r="X86" s="20" t="n"/>
      <c r="Y86" s="14" t="n">
        <v>0.99</v>
      </c>
      <c r="Z86" s="19">
        <f>IF(OR(Y86="",F86="",F86=0),"",Y86/F86)</f>
        <v/>
      </c>
      <c r="AA86" s="22" t="n">
        <v>71.65300000000001</v>
      </c>
      <c r="AB86" s="20" t="n">
        <v>0.059</v>
      </c>
      <c r="AC86" s="20" t="n">
        <v>0.03095505551465794</v>
      </c>
      <c r="AD86" s="17">
        <f>IF(OR(Q86="",M86="",M86&lt;=0),"",ROUND(40*MAX(0,MIN(N(Q86)/0.3,1))+IF(OR(R86="",N(Q86)&lt;=0),10,20*MAX(0,1-MIN(R86/Q86,1)))+30*MAX(0,MIN((PARAMETRI!$B$5-M86)/MAX(PARAMETRI!$B$5-10,1),1))+IF(AB86="",3,10*MAX(0,MIN(AB86/0.15,1)))+IF(AND(P86&lt;&gt;"",N(P86)&lt;N(Q86)*0.6),-8,0),1))</f>
        <v/>
      </c>
      <c r="AE86" s="13">
        <f>IF(AND(P86="",Q86=""),"DATI MANCANTI",IF(AND(N(P86)&gt;=PARAMETRI!$B$4,N(Q86)&gt;=PARAMETRI!$B$4),"OK","NO"))</f>
        <v/>
      </c>
      <c r="AF86" s="13">
        <f>IF(M86="","N/D",IF(M86&lt;PARAMETRI!$B$6,"OTTIMO",IF(M86&lt;PARAMETRI!$B$5,"OK","NO")))</f>
        <v/>
      </c>
      <c r="AG86" s="13">
        <f>IF(OR(AE86="DATI MANCANTI",AF86="N/D"),"DA COMPLETARE",IF(AND(AE86="OK",AF86="OTTIMO"),"PASSA FORTE",IF(AND(AE86="OK",AF86="OK"),"PASSA","SCARTA")))</f>
        <v/>
      </c>
      <c r="AH86" s="11" t="inlineStr">
        <is>
          <t>2026-10-12</t>
        </is>
      </c>
      <c r="AI86" s="11" t="inlineStr">
        <is>
          <t>yahoo</t>
        </is>
      </c>
      <c r="AJ86" s="23" t="inlineStr"/>
    </row>
    <row r="87">
      <c r="A87" s="10">
        <f>IF(AD87="","",RANK(AD87,AD$2:AD$167))</f>
        <v/>
      </c>
      <c r="B87" s="11" t="inlineStr">
        <is>
          <t>General Dynamics</t>
        </is>
      </c>
      <c r="C87" s="12" t="inlineStr">
        <is>
          <t>GD</t>
        </is>
      </c>
      <c r="D87" s="11" t="inlineStr">
        <is>
          <t>Difesa</t>
        </is>
      </c>
      <c r="E87" s="13" t="inlineStr">
        <is>
          <t>Industriale</t>
        </is>
      </c>
      <c r="F87" s="14" t="n">
        <v>334.71</v>
      </c>
      <c r="G87" s="15" t="inlineStr">
        <is>
          <t>USD</t>
        </is>
      </c>
      <c r="H87" s="14" t="n">
        <v>299.8332199549125</v>
      </c>
      <c r="I87" s="16" t="n">
        <v>81122.03608891566</v>
      </c>
      <c r="J87" s="16" t="n">
        <v>90558.2</v>
      </c>
      <c r="K87" s="14" t="n">
        <v>16.39</v>
      </c>
      <c r="L87" s="14" t="n">
        <v>18.63036</v>
      </c>
      <c r="M87" s="17">
        <f>IF(OR(F87="",K87="",K87&lt;=0),"",F87/K87)</f>
        <v/>
      </c>
      <c r="N87" s="18" t="n">
        <v>3.3706946</v>
      </c>
      <c r="O87" s="19">
        <f>IF(OR(N87="",M87="",M87&lt;=0),"",N87/M87)</f>
        <v/>
      </c>
      <c r="P87" s="20" t="n">
        <v>0.17803</v>
      </c>
      <c r="Q87" s="20" t="n">
        <v>0.1684858520025267</v>
      </c>
      <c r="R87" s="20" t="n">
        <v>0.009867017273558338</v>
      </c>
      <c r="S87" s="21" t="n">
        <v>4</v>
      </c>
      <c r="T87" s="20" t="n"/>
      <c r="U87" s="20" t="n">
        <v>0.1643119194442276</v>
      </c>
      <c r="V87" s="20" t="n">
        <v>0.1714182114852921</v>
      </c>
      <c r="W87" s="20" t="n">
        <v>0.1556411099112635</v>
      </c>
      <c r="X87" s="20" t="n">
        <v>0.1825721671693236</v>
      </c>
      <c r="Y87" s="14" t="n">
        <v>6.36</v>
      </c>
      <c r="Z87" s="19">
        <f>IF(OR(Y87="",F87="",F87=0),"",Y87/F87)</f>
        <v/>
      </c>
      <c r="AA87" s="22" t="n">
        <v>35.335</v>
      </c>
      <c r="AB87" s="20" t="n">
        <v>0.081</v>
      </c>
      <c r="AC87" s="20" t="n">
        <v>0.08538534850618458</v>
      </c>
      <c r="AD87" s="17">
        <f>IF(OR(Q87="",M87="",M87&lt;=0),"",ROUND(40*MAX(0,MIN(N(Q87)/0.3,1))+IF(OR(R87="",N(Q87)&lt;=0),10,20*MAX(0,1-MIN(R87/Q87,1)))+30*MAX(0,MIN((PARAMETRI!$B$5-M87)/MAX(PARAMETRI!$B$5-10,1),1))+IF(AB87="",3,10*MAX(0,MIN(AB87/0.15,1)))+IF(AND(P87&lt;&gt;"",N(P87)&lt;N(Q87)*0.6),-8,0),1))</f>
        <v/>
      </c>
      <c r="AE87" s="13">
        <f>IF(AND(P87="",Q87=""),"DATI MANCANTI",IF(AND(N(P87)&gt;=PARAMETRI!$B$4,N(Q87)&gt;=PARAMETRI!$B$4),"OK","NO"))</f>
        <v/>
      </c>
      <c r="AF87" s="13">
        <f>IF(M87="","N/D",IF(M87&lt;PARAMETRI!$B$6,"OTTIMO",IF(M87&lt;PARAMETRI!$B$5,"OK","NO")))</f>
        <v/>
      </c>
      <c r="AG87" s="13">
        <f>IF(OR(AE87="DATI MANCANTI",AF87="N/D"),"DA COMPLETARE",IF(AND(AE87="OK",AF87="OTTIMO"),"PASSA FORTE",IF(AND(AE87="OK",AF87="OK"),"PASSA","SCARTA")))</f>
        <v/>
      </c>
      <c r="AH87" s="11" t="inlineStr">
        <is>
          <t>2026-10-12</t>
        </is>
      </c>
      <c r="AI87" s="11" t="inlineStr">
        <is>
          <t>yahoo</t>
        </is>
      </c>
      <c r="AJ87" s="23" t="inlineStr"/>
    </row>
    <row r="88">
      <c r="A88" s="10">
        <f>IF(AD88="","",RANK(AD88,AD$2:AD$167))</f>
        <v/>
      </c>
      <c r="B88" s="11" t="inlineStr">
        <is>
          <t>Intuitive Surgical</t>
        </is>
      </c>
      <c r="C88" s="12" t="inlineStr">
        <is>
          <t>ISRG</t>
        </is>
      </c>
      <c r="D88" s="11" t="inlineStr">
        <is>
          <t>Dispositivi medicali</t>
        </is>
      </c>
      <c r="E88" s="13" t="inlineStr">
        <is>
          <t>Salute</t>
        </is>
      </c>
      <c r="F88" s="14" t="n">
        <v>428.51</v>
      </c>
      <c r="G88" s="15" t="inlineStr">
        <is>
          <t>USD</t>
        </is>
      </c>
      <c r="H88" s="14" t="n">
        <v>383.8592605027623</v>
      </c>
      <c r="I88" s="16" t="n">
        <v>135609.0714441711</v>
      </c>
      <c r="J88" s="16" t="n">
        <v>151383.2</v>
      </c>
      <c r="K88" s="14" t="n">
        <v>8.720000000000001</v>
      </c>
      <c r="L88" s="14" t="n">
        <v>12.10734</v>
      </c>
      <c r="M88" s="17">
        <f>IF(OR(F88="",K88="",K88&lt;=0),"",F88/K88)</f>
        <v/>
      </c>
      <c r="N88" s="18" t="n">
        <v>8.346838999999999</v>
      </c>
      <c r="O88" s="19">
        <f>IF(OR(N88="",M88="",M88&lt;=0),"",N88/M88)</f>
        <v/>
      </c>
      <c r="P88" s="20" t="n">
        <v>0.17423001</v>
      </c>
      <c r="Q88" s="20" t="n">
        <v>0.1391071575445574</v>
      </c>
      <c r="R88" s="20" t="n">
        <v>0.01450708906843886</v>
      </c>
      <c r="S88" s="21" t="n">
        <v>4</v>
      </c>
      <c r="T88" s="20" t="n"/>
      <c r="U88" s="20" t="n">
        <v>0.1602333931777379</v>
      </c>
      <c r="V88" s="20" t="n">
        <v>0.1413315321564833</v>
      </c>
      <c r="W88" s="20" t="n">
        <v>0.135110763774084</v>
      </c>
      <c r="X88" s="20" t="n">
        <v>0.1197529410699246</v>
      </c>
      <c r="Y88" s="14" t="n"/>
      <c r="Z88" s="19">
        <f>IF(OR(Y88="",F88="",F88=0),"",Y88/F88)</f>
        <v/>
      </c>
      <c r="AA88" s="22" t="n"/>
      <c r="AB88" s="20" t="n">
        <v>0.185</v>
      </c>
      <c r="AC88" s="20" t="n">
        <v>0.3118622639522291</v>
      </c>
      <c r="AD88" s="17">
        <f>IF(OR(Q88="",M88="",M88&lt;=0),"",ROUND(40*MAX(0,MIN(N(Q88)/0.3,1))+IF(OR(R88="",N(Q88)&lt;=0),10,20*MAX(0,1-MIN(R88/Q88,1)))+30*MAX(0,MIN((PARAMETRI!$B$5-M88)/MAX(PARAMETRI!$B$5-10,1),1))+IF(AB88="",3,10*MAX(0,MIN(AB88/0.15,1)))+IF(AND(P88&lt;&gt;"",N(P88)&lt;N(Q88)*0.6),-8,0),1))</f>
        <v/>
      </c>
      <c r="AE88" s="13">
        <f>IF(AND(P88="",Q88=""),"DATI MANCANTI",IF(AND(N(P88)&gt;=PARAMETRI!$B$4,N(Q88)&gt;=PARAMETRI!$B$4),"OK","NO"))</f>
        <v/>
      </c>
      <c r="AF88" s="13">
        <f>IF(M88="","N/D",IF(M88&lt;PARAMETRI!$B$6,"OTTIMO",IF(M88&lt;PARAMETRI!$B$5,"OK","NO")))</f>
        <v/>
      </c>
      <c r="AG88" s="13">
        <f>IF(OR(AE88="DATI MANCANTI",AF88="N/D"),"DA COMPLETARE",IF(AND(AE88="OK",AF88="OTTIMO"),"PASSA FORTE",IF(AND(AE88="OK",AF88="OK"),"PASSA","SCARTA")))</f>
        <v/>
      </c>
      <c r="AH88" s="11" t="inlineStr">
        <is>
          <t>2026-10-12</t>
        </is>
      </c>
      <c r="AI88" s="11" t="inlineStr">
        <is>
          <t>yahoo</t>
        </is>
      </c>
      <c r="AJ88" s="23" t="inlineStr"/>
    </row>
    <row r="89">
      <c r="A89" s="10">
        <f>IF(AD89="","",RANK(AD89,AD$2:AD$167))</f>
        <v/>
      </c>
      <c r="B89" s="11" t="inlineStr">
        <is>
          <t>Exxon Mobil</t>
        </is>
      </c>
      <c r="C89" s="12" t="inlineStr">
        <is>
          <t>XOM</t>
        </is>
      </c>
      <c r="D89" s="11" t="inlineStr">
        <is>
          <t>Petrolio integrato</t>
        </is>
      </c>
      <c r="E89" s="13" t="inlineStr">
        <is>
          <t>Energia</t>
        </is>
      </c>
      <c r="F89" s="14" t="n">
        <v>172.015</v>
      </c>
      <c r="G89" s="15" t="inlineStr">
        <is>
          <t>USD</t>
        </is>
      </c>
      <c r="H89" s="14" t="n">
        <v>154.0910380046735</v>
      </c>
      <c r="I89" s="16" t="n">
        <v>633516.7513705292</v>
      </c>
      <c r="J89" s="16" t="n">
        <v>707207.8</v>
      </c>
      <c r="K89" s="14" t="n">
        <v>7.77</v>
      </c>
      <c r="L89" s="14" t="n">
        <v>11.45978</v>
      </c>
      <c r="M89" s="17">
        <f>IF(OR(F89="",K89="",K89&lt;=0),"",F89/K89)</f>
        <v/>
      </c>
      <c r="N89" s="18" t="n">
        <v>2.7265377</v>
      </c>
      <c r="O89" s="19">
        <f>IF(OR(N89="",M89="",M89&lt;=0),"",N89/M89)</f>
        <v/>
      </c>
      <c r="P89" s="20" t="n">
        <v>0.12584</v>
      </c>
      <c r="Q89" s="20" t="n">
        <v>0.1751305613408672</v>
      </c>
      <c r="R89" s="20" t="n">
        <v>0.06814950451387503</v>
      </c>
      <c r="S89" s="21" t="n">
        <v>4</v>
      </c>
      <c r="T89" s="20" t="n"/>
      <c r="U89" s="20" t="n">
        <v>0.1112010671354661</v>
      </c>
      <c r="V89" s="20" t="n">
        <v>0.1277184732940217</v>
      </c>
      <c r="W89" s="20" t="n">
        <v>0.1758283610511616</v>
      </c>
      <c r="X89" s="20" t="n">
        <v>0.2857743438828192</v>
      </c>
      <c r="Y89" s="14" t="n">
        <v>4.12</v>
      </c>
      <c r="Z89" s="19">
        <f>IF(OR(Y89="",F89="",F89=0),"",Y89/F89)</f>
        <v/>
      </c>
      <c r="AA89" s="22" t="n">
        <v>15.921</v>
      </c>
      <c r="AB89" s="20" t="n">
        <v>0.441</v>
      </c>
      <c r="AC89" s="20" t="n">
        <v>0.1011315052005989</v>
      </c>
      <c r="AD89" s="17">
        <f>IF(OR(Q89="",M89="",M89&lt;=0),"",ROUND(40*MAX(0,MIN(N(Q89)/0.3,1))+IF(OR(R89="",N(Q89)&lt;=0),10,20*MAX(0,1-MIN(R89/Q89,1)))+30*MAX(0,MIN((PARAMETRI!$B$5-M89)/MAX(PARAMETRI!$B$5-10,1),1))+IF(AB89="",3,10*MAX(0,MIN(AB89/0.15,1)))+IF(AND(P89&lt;&gt;"",N(P89)&lt;N(Q89)*0.6),-8,0),1))</f>
        <v/>
      </c>
      <c r="AE89" s="13">
        <f>IF(AND(P89="",Q89=""),"DATI MANCANTI",IF(AND(N(P89)&gt;=PARAMETRI!$B$4,N(Q89)&gt;=PARAMETRI!$B$4),"OK","NO"))</f>
        <v/>
      </c>
      <c r="AF89" s="13">
        <f>IF(M89="","N/D",IF(M89&lt;PARAMETRI!$B$6,"OTTIMO",IF(M89&lt;PARAMETRI!$B$5,"OK","NO")))</f>
        <v/>
      </c>
      <c r="AG89" s="13">
        <f>IF(OR(AE89="DATI MANCANTI",AF89="N/D"),"DA COMPLETARE",IF(AND(AE89="OK",AF89="OTTIMO"),"PASSA FORTE",IF(AND(AE89="OK",AF89="OK"),"PASSA","SCARTA")))</f>
        <v/>
      </c>
      <c r="AH89" s="11" t="inlineStr">
        <is>
          <t>2026-10-12</t>
        </is>
      </c>
      <c r="AI89" s="11" t="inlineStr">
        <is>
          <t>yahoo</t>
        </is>
      </c>
      <c r="AJ89" s="23" t="inlineStr"/>
    </row>
    <row r="90">
      <c r="A90" s="10">
        <f>IF(AD90="","",RANK(AD90,AD$2:AD$167))</f>
        <v/>
      </c>
      <c r="B90" s="11" t="inlineStr">
        <is>
          <t>Stryker</t>
        </is>
      </c>
      <c r="C90" s="12" t="inlineStr">
        <is>
          <t>SYK</t>
        </is>
      </c>
      <c r="D90" s="11" t="inlineStr">
        <is>
          <t>Dispositivi medicali</t>
        </is>
      </c>
      <c r="E90" s="13" t="inlineStr">
        <is>
          <t>Salute</t>
        </is>
      </c>
      <c r="F90" s="14" t="n">
        <v>281.86</v>
      </c>
      <c r="G90" s="15" t="inlineStr">
        <is>
          <t>USD</t>
        </is>
      </c>
      <c r="H90" s="14" t="n">
        <v>252.490189646236</v>
      </c>
      <c r="I90" s="16" t="n">
        <v>96848.43225145176</v>
      </c>
      <c r="J90" s="16" t="n">
        <v>108113.9</v>
      </c>
      <c r="K90" s="14" t="n">
        <v>9.65</v>
      </c>
      <c r="L90" s="14" t="n">
        <v>16.69924</v>
      </c>
      <c r="M90" s="17">
        <f>IF(OR(F90="",K90="",K90&lt;=0),"",F90/K90)</f>
        <v/>
      </c>
      <c r="N90" s="18" t="n">
        <v>4.5070195</v>
      </c>
      <c r="O90" s="19">
        <f>IF(OR(N90="",M90="",M90&lt;=0),"",N90/M90)</f>
        <v/>
      </c>
      <c r="P90" s="20" t="n">
        <v>0.16508</v>
      </c>
      <c r="Q90" s="20" t="n">
        <v>0.150492516403552</v>
      </c>
      <c r="R90" s="20" t="n">
        <v>0.01145902874477022</v>
      </c>
      <c r="S90" s="21" t="n">
        <v>4</v>
      </c>
      <c r="T90" s="20" t="n"/>
      <c r="U90" s="20" t="n">
        <v>0.1447814451382694</v>
      </c>
      <c r="V90" s="20" t="n">
        <v>0.1450518561597364</v>
      </c>
      <c r="W90" s="20" t="n">
        <v>0.1702253536277094</v>
      </c>
      <c r="X90" s="20" t="n">
        <v>0.141911410688493</v>
      </c>
      <c r="Y90" s="14" t="n">
        <v>3.52</v>
      </c>
      <c r="Z90" s="19">
        <f>IF(OR(Y90="",F90="",F90=0),"",Y90/F90)</f>
        <v/>
      </c>
      <c r="AA90" s="22" t="n">
        <v>64.39100000000001</v>
      </c>
      <c r="AB90" s="20" t="n">
        <v>0.094</v>
      </c>
      <c r="AC90" s="20" t="n">
        <v>0.1484710915750916</v>
      </c>
      <c r="AD90" s="17">
        <f>IF(OR(Q90="",M90="",M90&lt;=0),"",ROUND(40*MAX(0,MIN(N(Q90)/0.3,1))+IF(OR(R90="",N(Q90)&lt;=0),10,20*MAX(0,1-MIN(R90/Q90,1)))+30*MAX(0,MIN((PARAMETRI!$B$5-M90)/MAX(PARAMETRI!$B$5-10,1),1))+IF(AB90="",3,10*MAX(0,MIN(AB90/0.15,1)))+IF(AND(P90&lt;&gt;"",N(P90)&lt;N(Q90)*0.6),-8,0),1))</f>
        <v/>
      </c>
      <c r="AE90" s="13">
        <f>IF(AND(P90="",Q90=""),"DATI MANCANTI",IF(AND(N(P90)&gt;=PARAMETRI!$B$4,N(Q90)&gt;=PARAMETRI!$B$4),"OK","NO"))</f>
        <v/>
      </c>
      <c r="AF90" s="13">
        <f>IF(M90="","N/D",IF(M90&lt;PARAMETRI!$B$6,"OTTIMO",IF(M90&lt;PARAMETRI!$B$5,"OK","NO")))</f>
        <v/>
      </c>
      <c r="AG90" s="13">
        <f>IF(OR(AE90="DATI MANCANTI",AF90="N/D"),"DA COMPLETARE",IF(AND(AE90="OK",AF90="OTTIMO"),"PASSA FORTE",IF(AND(AE90="OK",AF90="OK"),"PASSA","SCARTA")))</f>
        <v/>
      </c>
      <c r="AH90" s="11" t="inlineStr">
        <is>
          <t>2026-10-12</t>
        </is>
      </c>
      <c r="AI90" s="11" t="inlineStr">
        <is>
          <t>yahoo</t>
        </is>
      </c>
      <c r="AJ90" s="23" t="inlineStr"/>
    </row>
    <row r="91">
      <c r="A91" s="10">
        <f>IF(AD91="","",RANK(AD91,AD$2:AD$167))</f>
        <v/>
      </c>
      <c r="B91" s="11" t="inlineStr">
        <is>
          <t>SLB (Schlumberger)</t>
        </is>
      </c>
      <c r="C91" s="12" t="inlineStr">
        <is>
          <t>SLB</t>
        </is>
      </c>
      <c r="D91" s="11" t="inlineStr">
        <is>
          <t>Oil service</t>
        </is>
      </c>
      <c r="E91" s="13" t="inlineStr">
        <is>
          <t>Energia</t>
        </is>
      </c>
      <c r="F91" s="14" t="n">
        <v>48.885</v>
      </c>
      <c r="G91" s="15" t="inlineStr">
        <is>
          <t>USD</t>
        </is>
      </c>
      <c r="H91" s="14" t="n">
        <v>43.79118328551851</v>
      </c>
      <c r="I91" s="16" t="n">
        <v>64992.35076375012</v>
      </c>
      <c r="J91" s="16" t="n">
        <v>72552.3</v>
      </c>
      <c r="K91" s="14" t="n">
        <v>2.07</v>
      </c>
      <c r="L91" s="14" t="n">
        <v>3.20743</v>
      </c>
      <c r="M91" s="17">
        <f>IF(OR(F91="",K91="",K91&lt;=0),"",F91/K91)</f>
        <v/>
      </c>
      <c r="N91" s="18" t="n">
        <v>2.782616</v>
      </c>
      <c r="O91" s="19">
        <f>IF(OR(N91="",M91="",M91&lt;=0),"",N91/M91)</f>
        <v/>
      </c>
      <c r="P91" s="20" t="n">
        <v>0.12909001</v>
      </c>
      <c r="Q91" s="20" t="n">
        <v>0.1857758605281961</v>
      </c>
      <c r="R91" s="20" t="n">
        <v>0.03323988575793588</v>
      </c>
      <c r="S91" s="21" t="n">
        <v>4</v>
      </c>
      <c r="T91" s="20" t="n"/>
      <c r="U91" s="20" t="n">
        <v>0.1292274694549772</v>
      </c>
      <c r="V91" s="20" t="n">
        <v>0.2111216280170374</v>
      </c>
      <c r="W91" s="20" t="n">
        <v>0.2081826737332211</v>
      </c>
      <c r="X91" s="20" t="n">
        <v>0.1945716709075488</v>
      </c>
      <c r="Y91" s="14" t="n">
        <v>1.18</v>
      </c>
      <c r="Z91" s="19">
        <f>IF(OR(Y91="",F91="",F91=0),"",Y91/F91)</f>
        <v/>
      </c>
      <c r="AA91" s="22" t="n">
        <v>47.002</v>
      </c>
      <c r="AB91" s="20" t="n">
        <v>0.05</v>
      </c>
      <c r="AC91" s="20" t="n">
        <v>0.08684328262574213</v>
      </c>
      <c r="AD91" s="17">
        <f>IF(OR(Q91="",M91="",M91&lt;=0),"",ROUND(40*MAX(0,MIN(N(Q91)/0.3,1))+IF(OR(R91="",N(Q91)&lt;=0),10,20*MAX(0,1-MIN(R91/Q91,1)))+30*MAX(0,MIN((PARAMETRI!$B$5-M91)/MAX(PARAMETRI!$B$5-10,1),1))+IF(AB91="",3,10*MAX(0,MIN(AB91/0.15,1)))+IF(AND(P91&lt;&gt;"",N(P91)&lt;N(Q91)*0.6),-8,0),1))</f>
        <v/>
      </c>
      <c r="AE91" s="13">
        <f>IF(AND(P91="",Q91=""),"DATI MANCANTI",IF(AND(N(P91)&gt;=PARAMETRI!$B$4,N(Q91)&gt;=PARAMETRI!$B$4),"OK","NO"))</f>
        <v/>
      </c>
      <c r="AF91" s="13">
        <f>IF(M91="","N/D",IF(M91&lt;PARAMETRI!$B$6,"OTTIMO",IF(M91&lt;PARAMETRI!$B$5,"OK","NO")))</f>
        <v/>
      </c>
      <c r="AG91" s="13">
        <f>IF(OR(AE91="DATI MANCANTI",AF91="N/D"),"DA COMPLETARE",IF(AND(AE91="OK",AF91="OTTIMO"),"PASSA FORTE",IF(AND(AE91="OK",AF91="OK"),"PASSA","SCARTA")))</f>
        <v/>
      </c>
      <c r="AH91" s="11" t="inlineStr">
        <is>
          <t>2026-10-12</t>
        </is>
      </c>
      <c r="AI91" s="11" t="inlineStr">
        <is>
          <t>yahoo</t>
        </is>
      </c>
      <c r="AJ91" s="23" t="inlineStr"/>
    </row>
    <row r="92">
      <c r="A92" s="10">
        <f>IF(AD92="","",RANK(AD92,AD$2:AD$167))</f>
        <v/>
      </c>
      <c r="B92" s="11" t="inlineStr">
        <is>
          <t>BlackRock</t>
        </is>
      </c>
      <c r="C92" s="12" t="inlineStr">
        <is>
          <t>BLK</t>
        </is>
      </c>
      <c r="D92" s="11" t="inlineStr">
        <is>
          <t>Risparmio gestito</t>
        </is>
      </c>
      <c r="E92" s="13" t="inlineStr">
        <is>
          <t>Finanziario</t>
        </is>
      </c>
      <c r="F92" s="14" t="n">
        <v>1085.26</v>
      </c>
      <c r="G92" s="15" t="inlineStr">
        <is>
          <t>USD</t>
        </is>
      </c>
      <c r="H92" s="14" t="n">
        <v>972.1759143385868</v>
      </c>
      <c r="I92" s="16" t="n">
        <v>157955.4296498694</v>
      </c>
      <c r="J92" s="16" t="n">
        <v>176328.9</v>
      </c>
      <c r="K92" s="14" t="n">
        <v>41.78</v>
      </c>
      <c r="L92" s="14" t="n">
        <v>64.11827</v>
      </c>
      <c r="M92" s="17">
        <f>IF(OR(F92="",K92="",K92&lt;=0),"",F92/K92)</f>
        <v/>
      </c>
      <c r="N92" s="18" t="n">
        <v>2.9196887</v>
      </c>
      <c r="O92" s="19">
        <f>IF(OR(N92="",M92="",M92&lt;=0),"",N92/M92)</f>
        <v/>
      </c>
      <c r="P92" s="20" t="n">
        <v>0.122779995</v>
      </c>
      <c r="Q92" s="20" t="n">
        <v>0.1276194741974955</v>
      </c>
      <c r="R92" s="20" t="n">
        <v>0.01644167432772636</v>
      </c>
      <c r="S92" s="21" t="n">
        <v>4</v>
      </c>
      <c r="T92" s="20" t="n"/>
      <c r="U92" s="20" t="n">
        <v>0.09935943315201833</v>
      </c>
      <c r="V92" s="20" t="n">
        <v>0.1340983261395936</v>
      </c>
      <c r="W92" s="20" t="n">
        <v>0.1398327699697563</v>
      </c>
      <c r="X92" s="20" t="n">
        <v>0.1371873675286138</v>
      </c>
      <c r="Y92" s="14" t="n">
        <v>22.92</v>
      </c>
      <c r="Z92" s="19">
        <f>IF(OR(Y92="",F92="",F92=0),"",Y92/F92)</f>
        <v/>
      </c>
      <c r="AA92" s="22" t="n">
        <v>23.192</v>
      </c>
      <c r="AB92" s="20" t="n">
        <v>0.306</v>
      </c>
      <c r="AC92" s="20" t="n">
        <v>0.2715559960356789</v>
      </c>
      <c r="AD92" s="17">
        <f>IF(OR(Q92="",M92="",M92&lt;=0),"",ROUND(40*MAX(0,MIN(N(Q92)/0.3,1))+IF(OR(R92="",N(Q92)&lt;=0),10,20*MAX(0,1-MIN(R92/Q92,1)))+30*MAX(0,MIN((PARAMETRI!$B$5-M92)/MAX(PARAMETRI!$B$5-10,1),1))+IF(AB92="",3,10*MAX(0,MIN(AB92/0.15,1)))+IF(AND(P92&lt;&gt;"",N(P92)&lt;N(Q92)*0.6),-8,0),1))</f>
        <v/>
      </c>
      <c r="AE92" s="13">
        <f>IF(AND(P92="",Q92=""),"DATI MANCANTI",IF(AND(N(P92)&gt;=PARAMETRI!$B$4,N(Q92)&gt;=PARAMETRI!$B$4),"OK","NO"))</f>
        <v/>
      </c>
      <c r="AF92" s="13">
        <f>IF(M92="","N/D",IF(M92&lt;PARAMETRI!$B$6,"OTTIMO",IF(M92&lt;PARAMETRI!$B$5,"OK","NO")))</f>
        <v/>
      </c>
      <c r="AG92" s="13">
        <f>IF(OR(AE92="DATI MANCANTI",AF92="N/D"),"DA COMPLETARE",IF(AND(AE92="OK",AF92="OTTIMO"),"PASSA FORTE",IF(AND(AE92="OK",AF92="OK"),"PASSA","SCARTA")))</f>
        <v/>
      </c>
      <c r="AH92" s="11" t="inlineStr">
        <is>
          <t>2026-10-12</t>
        </is>
      </c>
      <c r="AI92" s="11" t="inlineStr">
        <is>
          <t>yahoo</t>
        </is>
      </c>
      <c r="AJ92" s="23" t="inlineStr"/>
    </row>
    <row r="93">
      <c r="A93" s="10">
        <f>IF(AD93="","",RANK(AD93,AD$2:AD$167))</f>
        <v/>
      </c>
      <c r="B93" s="11" t="inlineStr">
        <is>
          <t>Nucor</t>
        </is>
      </c>
      <c r="C93" s="12" t="inlineStr">
        <is>
          <t>NUE</t>
        </is>
      </c>
      <c r="D93" s="11" t="inlineStr">
        <is>
          <t>Acciaio</t>
        </is>
      </c>
      <c r="E93" s="13" t="inlineStr">
        <is>
          <t>Materiali</t>
        </is>
      </c>
      <c r="F93" s="14" t="n">
        <v>253.725</v>
      </c>
      <c r="G93" s="15" t="inlineStr">
        <is>
          <t>USD</t>
        </is>
      </c>
      <c r="H93" s="14" t="n">
        <v>227.2868564819103</v>
      </c>
      <c r="I93" s="16" t="n">
        <v>51565.83153620922</v>
      </c>
      <c r="J93" s="16" t="n">
        <v>57564</v>
      </c>
      <c r="K93" s="14" t="n">
        <v>12.54</v>
      </c>
      <c r="L93" s="14" t="n">
        <v>20.79247</v>
      </c>
      <c r="M93" s="17">
        <f>IF(OR(F93="",K93="",K93&lt;=0),"",F93/K93)</f>
        <v/>
      </c>
      <c r="N93" s="18" t="n">
        <v>2.603643</v>
      </c>
      <c r="O93" s="19">
        <f>IF(OR(N93="",M93="",M93&lt;=0),"",N93/M93)</f>
        <v/>
      </c>
      <c r="P93" s="20" t="n">
        <v>0.14548999</v>
      </c>
      <c r="Q93" s="20" t="n">
        <v>0.2030927127527553</v>
      </c>
      <c r="R93" s="20" t="n">
        <v>0.1315978865605651</v>
      </c>
      <c r="S93" s="21" t="n">
        <v>4</v>
      </c>
      <c r="T93" s="20" t="n"/>
      <c r="U93" s="20" t="n">
        <v>0.08330149025601834</v>
      </c>
      <c r="V93" s="20" t="n">
        <v>0.09988173844486055</v>
      </c>
      <c r="W93" s="20" t="n">
        <v>0.2160936007640879</v>
      </c>
      <c r="X93" s="20" t="n">
        <v>0.4130940215460545</v>
      </c>
      <c r="Y93" s="14" t="n">
        <v>2.24</v>
      </c>
      <c r="Z93" s="19">
        <f>IF(OR(Y93="",F93="",F93=0),"",Y93/F93)</f>
        <v/>
      </c>
      <c r="AA93" s="22" t="n">
        <v>30.512</v>
      </c>
      <c r="AB93" s="20" t="n">
        <v>0.23</v>
      </c>
      <c r="AC93" s="20" t="n">
        <v>0.08841632104388503</v>
      </c>
      <c r="AD93" s="17">
        <f>IF(OR(Q93="",M93="",M93&lt;=0),"",ROUND(40*MAX(0,MIN(N(Q93)/0.3,1))+IF(OR(R93="",N(Q93)&lt;=0),10,20*MAX(0,1-MIN(R93/Q93,1)))+30*MAX(0,MIN((PARAMETRI!$B$5-M93)/MAX(PARAMETRI!$B$5-10,1),1))+IF(AB93="",3,10*MAX(0,MIN(AB93/0.15,1)))+IF(AND(P93&lt;&gt;"",N(P93)&lt;N(Q93)*0.6),-8,0),1))</f>
        <v/>
      </c>
      <c r="AE93" s="13">
        <f>IF(AND(P93="",Q93=""),"DATI MANCANTI",IF(AND(N(P93)&gt;=PARAMETRI!$B$4,N(Q93)&gt;=PARAMETRI!$B$4),"OK","NO"))</f>
        <v/>
      </c>
      <c r="AF93" s="13">
        <f>IF(M93="","N/D",IF(M93&lt;PARAMETRI!$B$6,"OTTIMO",IF(M93&lt;PARAMETRI!$B$5,"OK","NO")))</f>
        <v/>
      </c>
      <c r="AG93" s="13">
        <f>IF(OR(AE93="DATI MANCANTI",AF93="N/D"),"DA COMPLETARE",IF(AND(AE93="OK",AF93="OTTIMO"),"PASSA FORTE",IF(AND(AE93="OK",AF93="OK"),"PASSA","SCARTA")))</f>
        <v/>
      </c>
      <c r="AH93" s="11" t="inlineStr">
        <is>
          <t>2026-10-12</t>
        </is>
      </c>
      <c r="AI93" s="11" t="inlineStr">
        <is>
          <t>yahoo</t>
        </is>
      </c>
      <c r="AJ93" s="23" t="inlineStr"/>
    </row>
    <row r="94">
      <c r="A94" s="10">
        <f>IF(AD94="","",RANK(AD94,AD$2:AD$167))</f>
        <v/>
      </c>
      <c r="B94" s="11" t="inlineStr">
        <is>
          <t>IBM</t>
        </is>
      </c>
      <c r="C94" s="12" t="inlineStr">
        <is>
          <t>IBM</t>
        </is>
      </c>
      <c r="D94" s="11" t="inlineStr">
        <is>
          <t>Servizi IT</t>
        </is>
      </c>
      <c r="E94" s="13" t="inlineStr">
        <is>
          <t>Tecnologia</t>
        </is>
      </c>
      <c r="F94" s="14" t="n">
        <v>226.56</v>
      </c>
      <c r="G94" s="15" t="inlineStr">
        <is>
          <t>USD</t>
        </is>
      </c>
      <c r="H94" s="14" t="n">
        <v>202.9524493232499</v>
      </c>
      <c r="I94" s="16" t="n">
        <v>191208.5112466795</v>
      </c>
      <c r="J94" s="16" t="n">
        <v>213450</v>
      </c>
      <c r="K94" s="14" t="n">
        <v>11.25</v>
      </c>
      <c r="L94" s="14" t="n">
        <v>13.15241</v>
      </c>
      <c r="M94" s="17">
        <f>IF(OR(F94="",K94="",K94&lt;=0),"",F94/K94)</f>
        <v/>
      </c>
      <c r="N94" s="18" t="n">
        <v>6.1955805</v>
      </c>
      <c r="O94" s="19">
        <f>IF(OR(N94="",M94="",M94&lt;=0),"",N94/M94)</f>
        <v/>
      </c>
      <c r="P94" s="20" t="n">
        <v>0.34460998</v>
      </c>
      <c r="Q94" s="20" t="n">
        <v>0.23817417040765</v>
      </c>
      <c r="R94" s="20" t="n">
        <v>0.1042197094136844</v>
      </c>
      <c r="S94" s="21" t="n">
        <v>4</v>
      </c>
      <c r="T94" s="20" t="n"/>
      <c r="U94" s="20" t="n">
        <v>0.3244609164420485</v>
      </c>
      <c r="V94" s="20" t="n">
        <v>0.2205661551983008</v>
      </c>
      <c r="W94" s="20" t="n">
        <v>0.3329339191408157</v>
      </c>
      <c r="X94" s="20" t="n">
        <v>0.07473569084943492</v>
      </c>
      <c r="Y94" s="14" t="n">
        <v>6.76</v>
      </c>
      <c r="Z94" s="19">
        <f>IF(OR(Y94="",F94="",F94=0),"",Y94/F94)</f>
        <v/>
      </c>
      <c r="AA94" s="22" t="n">
        <v>188.97</v>
      </c>
      <c r="AB94" s="20" t="n">
        <v>0.011</v>
      </c>
      <c r="AC94" s="20" t="n">
        <v>0.158508061596778</v>
      </c>
      <c r="AD94" s="17">
        <f>IF(OR(Q94="",M94="",M94&lt;=0),"",ROUND(40*MAX(0,MIN(N(Q94)/0.3,1))+IF(OR(R94="",N(Q94)&lt;=0),10,20*MAX(0,1-MIN(R94/Q94,1)))+30*MAX(0,MIN((PARAMETRI!$B$5-M94)/MAX(PARAMETRI!$B$5-10,1),1))+IF(AB94="",3,10*MAX(0,MIN(AB94/0.15,1)))+IF(AND(P94&lt;&gt;"",N(P94)&lt;N(Q94)*0.6),-8,0),1))</f>
        <v/>
      </c>
      <c r="AE94" s="13">
        <f>IF(AND(P94="",Q94=""),"DATI MANCANTI",IF(AND(N(P94)&gt;=PARAMETRI!$B$4,N(Q94)&gt;=PARAMETRI!$B$4),"OK","NO"))</f>
        <v/>
      </c>
      <c r="AF94" s="13">
        <f>IF(M94="","N/D",IF(M94&lt;PARAMETRI!$B$6,"OTTIMO",IF(M94&lt;PARAMETRI!$B$5,"OK","NO")))</f>
        <v/>
      </c>
      <c r="AG94" s="13">
        <f>IF(OR(AE94="DATI MANCANTI",AF94="N/D"),"DA COMPLETARE",IF(AND(AE94="OK",AF94="OTTIMO"),"PASSA FORTE",IF(AND(AE94="OK",AF94="OK"),"PASSA","SCARTA")))</f>
        <v/>
      </c>
      <c r="AH94" s="11" t="inlineStr">
        <is>
          <t>2026-10-12</t>
        </is>
      </c>
      <c r="AI94" s="11" t="inlineStr">
        <is>
          <t>yahoo</t>
        </is>
      </c>
      <c r="AJ94" s="23" t="inlineStr"/>
    </row>
    <row r="95">
      <c r="A95" s="10">
        <f>IF(AD95="","",RANK(AD95,AD$2:AD$167))</f>
        <v/>
      </c>
      <c r="B95" s="11" t="inlineStr">
        <is>
          <t>Elevance Health</t>
        </is>
      </c>
      <c r="C95" s="12" t="inlineStr">
        <is>
          <t>ELV</t>
        </is>
      </c>
      <c r="D95" s="11" t="inlineStr">
        <is>
          <t>Assicurazione sanitaria</t>
        </is>
      </c>
      <c r="E95" s="13" t="inlineStr">
        <is>
          <t>Salute</t>
        </is>
      </c>
      <c r="F95" s="14" t="n">
        <v>419.45</v>
      </c>
      <c r="G95" s="15" t="inlineStr">
        <is>
          <t>USD</t>
        </is>
      </c>
      <c r="H95" s="14" t="n">
        <v>375.7433124498463</v>
      </c>
      <c r="I95" s="16" t="n">
        <v>81487.1641712963</v>
      </c>
      <c r="J95" s="16" t="n">
        <v>90965.8</v>
      </c>
      <c r="K95" s="14" t="n">
        <v>22.59</v>
      </c>
      <c r="L95" s="14" t="n">
        <v>29.58869</v>
      </c>
      <c r="M95" s="17">
        <f>IF(OR(F95="",K95="",K95&lt;=0),"",F95/K95)</f>
        <v/>
      </c>
      <c r="N95" s="18" t="n">
        <v>2.0264657</v>
      </c>
      <c r="O95" s="19">
        <f>IF(OR(N95="",M95="",M95&lt;=0),"",N95/M95)</f>
        <v/>
      </c>
      <c r="P95" s="20" t="n">
        <v>0.11133</v>
      </c>
      <c r="Q95" s="20" t="n">
        <v>0.1471779214463593</v>
      </c>
      <c r="R95" s="20" t="n">
        <v>0.01225127753653764</v>
      </c>
      <c r="S95" s="21" t="n">
        <v>4</v>
      </c>
      <c r="T95" s="20" t="n"/>
      <c r="U95" s="20" t="n">
        <v>0.1290278474089604</v>
      </c>
      <c r="V95" s="20" t="n">
        <v>0.1447416192666102</v>
      </c>
      <c r="W95" s="20" t="n">
        <v>0.1523177123085534</v>
      </c>
      <c r="X95" s="20" t="n">
        <v>0.1626245068013134</v>
      </c>
      <c r="Y95" s="14" t="n">
        <v>6.88</v>
      </c>
      <c r="Z95" s="19">
        <f>IF(OR(Y95="",F95="",F95=0),"",Y95/F95)</f>
        <v/>
      </c>
      <c r="AA95" s="22" t="n">
        <v>68.953</v>
      </c>
      <c r="AB95" s="20" t="n">
        <v>0.014</v>
      </c>
      <c r="AC95" s="20" t="n">
        <v>0.02492404172253609</v>
      </c>
      <c r="AD95" s="17">
        <f>IF(OR(Q95="",M95="",M95&lt;=0),"",ROUND(40*MAX(0,MIN(N(Q95)/0.3,1))+IF(OR(R95="",N(Q95)&lt;=0),10,20*MAX(0,1-MIN(R95/Q95,1)))+30*MAX(0,MIN((PARAMETRI!$B$5-M95)/MAX(PARAMETRI!$B$5-10,1),1))+IF(AB95="",3,10*MAX(0,MIN(AB95/0.15,1)))+IF(AND(P95&lt;&gt;"",N(P95)&lt;N(Q95)*0.6),-8,0),1))</f>
        <v/>
      </c>
      <c r="AE95" s="13">
        <f>IF(AND(P95="",Q95=""),"DATI MANCANTI",IF(AND(N(P95)&gt;=PARAMETRI!$B$4,N(Q95)&gt;=PARAMETRI!$B$4),"OK","NO"))</f>
        <v/>
      </c>
      <c r="AF95" s="13">
        <f>IF(M95="","N/D",IF(M95&lt;PARAMETRI!$B$6,"OTTIMO",IF(M95&lt;PARAMETRI!$B$5,"OK","NO")))</f>
        <v/>
      </c>
      <c r="AG95" s="13">
        <f>IF(OR(AE95="DATI MANCANTI",AF95="N/D"),"DA COMPLETARE",IF(AND(AE95="OK",AF95="OTTIMO"),"PASSA FORTE",IF(AND(AE95="OK",AF95="OK"),"PASSA","SCARTA")))</f>
        <v/>
      </c>
      <c r="AH95" s="11" t="inlineStr">
        <is>
          <t>2026-10-12</t>
        </is>
      </c>
      <c r="AI95" s="11" t="inlineStr">
        <is>
          <t>yahoo</t>
        </is>
      </c>
      <c r="AJ95" s="23" t="inlineStr"/>
    </row>
    <row r="96">
      <c r="A96" s="10">
        <f>IF(AD96="","",RANK(AD96,AD$2:AD$167))</f>
        <v/>
      </c>
      <c r="B96" s="11" t="inlineStr">
        <is>
          <t>Thermo Fisher</t>
        </is>
      </c>
      <c r="C96" s="12" t="inlineStr">
        <is>
          <t>TMO</t>
        </is>
      </c>
      <c r="D96" s="11" t="inlineStr">
        <is>
          <t>Strumentazione life science</t>
        </is>
      </c>
      <c r="E96" s="13" t="inlineStr">
        <is>
          <t>Salute</t>
        </is>
      </c>
      <c r="F96" s="14" t="n">
        <v>657.26</v>
      </c>
      <c r="G96" s="15" t="inlineStr">
        <is>
          <t>USD</t>
        </is>
      </c>
      <c r="H96" s="14" t="n">
        <v>588.7735118388032</v>
      </c>
      <c r="I96" s="16" t="n">
        <v>217697.4069993871</v>
      </c>
      <c r="J96" s="16" t="n">
        <v>243020.1</v>
      </c>
      <c r="K96" s="14" t="n">
        <v>18.58</v>
      </c>
      <c r="L96" s="14" t="n">
        <v>27.57597</v>
      </c>
      <c r="M96" s="17">
        <f>IF(OR(F96="",K96="",K96&lt;=0),"",F96/K96)</f>
        <v/>
      </c>
      <c r="N96" s="18" t="n">
        <v>4.613225</v>
      </c>
      <c r="O96" s="19">
        <f>IF(OR(N96="",M96="",M96&lt;=0),"",N96/M96)</f>
        <v/>
      </c>
      <c r="P96" s="20" t="n">
        <v>0.13515</v>
      </c>
      <c r="Q96" s="20" t="n">
        <v>0.1348992605873013</v>
      </c>
      <c r="R96" s="20" t="n">
        <v>0.0133965212757604</v>
      </c>
      <c r="S96" s="21" t="n">
        <v>4</v>
      </c>
      <c r="T96" s="20" t="n"/>
      <c r="U96" s="20" t="n">
        <v>0.1255266163611512</v>
      </c>
      <c r="V96" s="20" t="n">
        <v>0.1277604114147424</v>
      </c>
      <c r="W96" s="20" t="n">
        <v>0.1282764523376485</v>
      </c>
      <c r="X96" s="20" t="n">
        <v>0.1580335622356633</v>
      </c>
      <c r="Y96" s="14" t="n">
        <v>1.88</v>
      </c>
      <c r="Z96" s="19">
        <f>IF(OR(Y96="",F96="",F96=0),"",Y96/F96)</f>
        <v/>
      </c>
      <c r="AA96" s="22" t="n">
        <v>80.575</v>
      </c>
      <c r="AB96" s="20" t="n">
        <v>0.105</v>
      </c>
      <c r="AC96" s="20" t="n">
        <v>0.1563615159009808</v>
      </c>
      <c r="AD96" s="17">
        <f>IF(OR(Q96="",M96="",M96&lt;=0),"",ROUND(40*MAX(0,MIN(N(Q96)/0.3,1))+IF(OR(R96="",N(Q96)&lt;=0),10,20*MAX(0,1-MIN(R96/Q96,1)))+30*MAX(0,MIN((PARAMETRI!$B$5-M96)/MAX(PARAMETRI!$B$5-10,1),1))+IF(AB96="",3,10*MAX(0,MIN(AB96/0.15,1)))+IF(AND(P96&lt;&gt;"",N(P96)&lt;N(Q96)*0.6),-8,0),1))</f>
        <v/>
      </c>
      <c r="AE96" s="13">
        <f>IF(AND(P96="",Q96=""),"DATI MANCANTI",IF(AND(N(P96)&gt;=PARAMETRI!$B$4,N(Q96)&gt;=PARAMETRI!$B$4),"OK","NO"))</f>
        <v/>
      </c>
      <c r="AF96" s="13">
        <f>IF(M96="","N/D",IF(M96&lt;PARAMETRI!$B$6,"OTTIMO",IF(M96&lt;PARAMETRI!$B$5,"OK","NO")))</f>
        <v/>
      </c>
      <c r="AG96" s="13">
        <f>IF(OR(AE96="DATI MANCANTI",AF96="N/D"),"DA COMPLETARE",IF(AND(AE96="OK",AF96="OTTIMO"),"PASSA FORTE",IF(AND(AE96="OK",AF96="OK"),"PASSA","SCARTA")))</f>
        <v/>
      </c>
      <c r="AH96" s="11" t="inlineStr">
        <is>
          <t>2026-10-12</t>
        </is>
      </c>
      <c r="AI96" s="11" t="inlineStr">
        <is>
          <t>yahoo</t>
        </is>
      </c>
      <c r="AJ96" s="23" t="inlineStr"/>
    </row>
    <row r="97">
      <c r="A97" s="10">
        <f>IF(AD97="","",RANK(AD97,AD$2:AD$167))</f>
        <v/>
      </c>
      <c r="B97" s="11" t="inlineStr">
        <is>
          <t>Linde</t>
        </is>
      </c>
      <c r="C97" s="12" t="inlineStr">
        <is>
          <t>LIN</t>
        </is>
      </c>
      <c r="D97" s="11" t="inlineStr">
        <is>
          <t>Gas industriali</t>
        </is>
      </c>
      <c r="E97" s="13" t="inlineStr">
        <is>
          <t>Materiali</t>
        </is>
      </c>
      <c r="F97" s="14" t="n">
        <v>489.38</v>
      </c>
      <c r="G97" s="15" t="inlineStr">
        <is>
          <t>USD</t>
        </is>
      </c>
      <c r="H97" s="14" t="n">
        <v>438.3866068582806</v>
      </c>
      <c r="I97" s="16" t="n">
        <v>202087.5544176108</v>
      </c>
      <c r="J97" s="16" t="n">
        <v>225594.5</v>
      </c>
      <c r="K97" s="14" t="n">
        <v>15.49</v>
      </c>
      <c r="L97" s="14" t="n">
        <v>19.57572</v>
      </c>
      <c r="M97" s="17">
        <f>IF(OR(F97="",K97="",K97&lt;=0),"",F97/K97)</f>
        <v/>
      </c>
      <c r="N97" s="18" t="n">
        <v>5.772488</v>
      </c>
      <c r="O97" s="19">
        <f>IF(OR(N97="",M97="",M97&lt;=0),"",N97/M97)</f>
        <v/>
      </c>
      <c r="P97" s="20" t="n">
        <v>0.18400998</v>
      </c>
      <c r="Q97" s="20" t="n">
        <v>0.1530948240437311</v>
      </c>
      <c r="R97" s="20" t="n">
        <v>0.02988524127892265</v>
      </c>
      <c r="S97" s="21" t="n">
        <v>4</v>
      </c>
      <c r="T97" s="20" t="n"/>
      <c r="U97" s="20" t="n">
        <v>0.1803634462021179</v>
      </c>
      <c r="V97" s="20" t="n">
        <v>0.1723458994014491</v>
      </c>
      <c r="W97" s="20" t="n">
        <v>0.156067472306143</v>
      </c>
      <c r="X97" s="20" t="n">
        <v>0.1036024782652143</v>
      </c>
      <c r="Y97" s="14" t="n">
        <v>6.4</v>
      </c>
      <c r="Z97" s="19">
        <f>IF(OR(Y97="",F97="",F97=0),"",Y97/F97)</f>
        <v/>
      </c>
      <c r="AA97" s="22" t="n">
        <v>68.947</v>
      </c>
      <c r="AB97" s="20" t="n">
        <v>0.093</v>
      </c>
      <c r="AC97" s="20" t="n">
        <v>0.2131465973047726</v>
      </c>
      <c r="AD97" s="17">
        <f>IF(OR(Q97="",M97="",M97&lt;=0),"",ROUND(40*MAX(0,MIN(N(Q97)/0.3,1))+IF(OR(R97="",N(Q97)&lt;=0),10,20*MAX(0,1-MIN(R97/Q97,1)))+30*MAX(0,MIN((PARAMETRI!$B$5-M97)/MAX(PARAMETRI!$B$5-10,1),1))+IF(AB97="",3,10*MAX(0,MIN(AB97/0.15,1)))+IF(AND(P97&lt;&gt;"",N(P97)&lt;N(Q97)*0.6),-8,0),1))</f>
        <v/>
      </c>
      <c r="AE97" s="13">
        <f>IF(AND(P97="",Q97=""),"DATI MANCANTI",IF(AND(N(P97)&gt;=PARAMETRI!$B$4,N(Q97)&gt;=PARAMETRI!$B$4),"OK","NO"))</f>
        <v/>
      </c>
      <c r="AF97" s="13">
        <f>IF(M97="","N/D",IF(M97&lt;PARAMETRI!$B$6,"OTTIMO",IF(M97&lt;PARAMETRI!$B$5,"OK","NO")))</f>
        <v/>
      </c>
      <c r="AG97" s="13">
        <f>IF(OR(AE97="DATI MANCANTI",AF97="N/D"),"DA COMPLETARE",IF(AND(AE97="OK",AF97="OTTIMO"),"PASSA FORTE",IF(AND(AE97="OK",AF97="OK"),"PASSA","SCARTA")))</f>
        <v/>
      </c>
      <c r="AH97" s="11" t="inlineStr">
        <is>
          <t>2026-10-12</t>
        </is>
      </c>
      <c r="AI97" s="11" t="inlineStr">
        <is>
          <t>yahoo</t>
        </is>
      </c>
      <c r="AJ97" s="23" t="inlineStr"/>
    </row>
    <row r="98">
      <c r="A98" s="10">
        <f>IF(AD98="","",RANK(AD98,AD$2:AD$167))</f>
        <v/>
      </c>
      <c r="B98" s="11" t="inlineStr">
        <is>
          <t>Oracle</t>
        </is>
      </c>
      <c r="C98" s="12" t="inlineStr">
        <is>
          <t>ORCL</t>
        </is>
      </c>
      <c r="D98" s="11" t="inlineStr">
        <is>
          <t>Software / Cloud</t>
        </is>
      </c>
      <c r="E98" s="13" t="inlineStr">
        <is>
          <t>Tecnologia</t>
        </is>
      </c>
      <c r="F98" s="14" t="n">
        <v>137.21</v>
      </c>
      <c r="G98" s="15" t="inlineStr">
        <is>
          <t>USD</t>
        </is>
      </c>
      <c r="H98" s="14" t="n">
        <v>122.9127188013909</v>
      </c>
      <c r="I98" s="16" t="n">
        <v>372610.0727694176</v>
      </c>
      <c r="J98" s="16" t="n">
        <v>415952.3</v>
      </c>
      <c r="K98" s="14" t="n">
        <v>6.38</v>
      </c>
      <c r="L98" s="14" t="n">
        <v>10.99899</v>
      </c>
      <c r="M98" s="17">
        <f>IF(OR(F98="",K98="",K98&lt;=0),"",F98/K98)</f>
        <v/>
      </c>
      <c r="N98" s="18" t="n">
        <v>10.52224</v>
      </c>
      <c r="O98" s="19">
        <f>IF(OR(N98="",M98="",M98&lt;=0),"",N98/M98)</f>
        <v/>
      </c>
      <c r="P98" s="20" t="n">
        <v>0.41192</v>
      </c>
      <c r="Q98" s="20" t="n">
        <v>2.534365642083217</v>
      </c>
      <c r="R98" s="20" t="n">
        <v>3.125849047166543</v>
      </c>
      <c r="S98" s="21" t="n">
        <v>4</v>
      </c>
      <c r="T98" s="20" t="n">
        <v>0.4019713936200245</v>
      </c>
      <c r="U98" s="20" t="n">
        <v>0.6084299056280866</v>
      </c>
      <c r="V98" s="20" t="n">
        <v>1.202550551470588</v>
      </c>
      <c r="W98" s="20" t="n">
        <v>7.924510717614166</v>
      </c>
      <c r="X98" s="20" t="n"/>
      <c r="Y98" s="14" t="n">
        <v>2</v>
      </c>
      <c r="Z98" s="19">
        <f>IF(OR(Y98="",F98="",F98=0),"",Y98/F98)</f>
        <v/>
      </c>
      <c r="AA98" s="22" t="n">
        <v>251.716</v>
      </c>
      <c r="AB98" s="20" t="n">
        <v>0.296</v>
      </c>
      <c r="AC98" s="20" t="n">
        <v>0.2781596719568865</v>
      </c>
      <c r="AD98" s="17">
        <f>IF(OR(Q98="",M98="",M98&lt;=0),"",ROUND(40*MAX(0,MIN(N(Q98)/0.3,1))+IF(OR(R98="",N(Q98)&lt;=0),10,20*MAX(0,1-MIN(R98/Q98,1)))+30*MAX(0,MIN((PARAMETRI!$B$5-M98)/MAX(PARAMETRI!$B$5-10,1),1))+IF(AB98="",3,10*MAX(0,MIN(AB98/0.15,1)))+IF(AND(P98&lt;&gt;"",N(P98)&lt;N(Q98)*0.6),-8,0),1))</f>
        <v/>
      </c>
      <c r="AE98" s="13">
        <f>IF(AND(P98="",Q98=""),"DATI MANCANTI",IF(AND(N(P98)&gt;=PARAMETRI!$B$4,N(Q98)&gt;=PARAMETRI!$B$4),"OK","NO"))</f>
        <v/>
      </c>
      <c r="AF98" s="13">
        <f>IF(M98="","N/D",IF(M98&lt;PARAMETRI!$B$6,"OTTIMO",IF(M98&lt;PARAMETRI!$B$5,"OK","NO")))</f>
        <v/>
      </c>
      <c r="AG98" s="13">
        <f>IF(OR(AE98="DATI MANCANTI",AF98="N/D"),"DA COMPLETARE",IF(AND(AE98="OK",AF98="OTTIMO"),"PASSA FORTE",IF(AND(AE98="OK",AF98="OK"),"PASSA","SCARTA")))</f>
        <v/>
      </c>
      <c r="AH98" s="11" t="inlineStr">
        <is>
          <t>2026-10-12</t>
        </is>
      </c>
      <c r="AI98" s="11" t="inlineStr">
        <is>
          <t>yahoo</t>
        </is>
      </c>
      <c r="AJ98" s="23" t="inlineStr"/>
    </row>
    <row r="99">
      <c r="A99" s="10">
        <f>IF(AD99="","",RANK(AD99,AD$2:AD$167))</f>
        <v/>
      </c>
      <c r="B99" s="11" t="inlineStr">
        <is>
          <t>ServiceNow</t>
        </is>
      </c>
      <c r="C99" s="12" t="inlineStr">
        <is>
          <t>NOW</t>
        </is>
      </c>
      <c r="D99" s="11" t="inlineStr">
        <is>
          <t>Software</t>
        </is>
      </c>
      <c r="E99" s="13" t="inlineStr">
        <is>
          <t>Tecnologia</t>
        </is>
      </c>
      <c r="F99" s="14" t="n">
        <v>140.59</v>
      </c>
      <c r="G99" s="15" t="inlineStr">
        <is>
          <t>USD</t>
        </is>
      </c>
      <c r="H99" s="14" t="n">
        <v>125.9405228211322</v>
      </c>
      <c r="I99" s="16" t="n">
        <v>130205.1579089376</v>
      </c>
      <c r="J99" s="16" t="n">
        <v>145350.7</v>
      </c>
      <c r="K99" s="14" t="n">
        <v>1.6</v>
      </c>
      <c r="L99" s="14" t="n">
        <v>5.00551</v>
      </c>
      <c r="M99" s="17">
        <f>IF(OR(F99="",K99="",K99&lt;=0),"",F99/K99)</f>
        <v/>
      </c>
      <c r="N99" s="18" t="n">
        <v>11.61325</v>
      </c>
      <c r="O99" s="19">
        <f>IF(OR(N99="",M99="",M99&lt;=0),"",N99/M99)</f>
        <v/>
      </c>
      <c r="P99" s="20" t="n">
        <v>0.14244</v>
      </c>
      <c r="Q99" s="20" t="n">
        <v>0.1436617884474269</v>
      </c>
      <c r="R99" s="20" t="n">
        <v>0.05763116433316788</v>
      </c>
      <c r="S99" s="21" t="n">
        <v>4</v>
      </c>
      <c r="T99" s="20" t="n"/>
      <c r="U99" s="20" t="n">
        <v>0.134834927491515</v>
      </c>
      <c r="V99" s="20" t="n">
        <v>0.1482984701842023</v>
      </c>
      <c r="W99" s="20" t="n">
        <v>0.2269271106449921</v>
      </c>
      <c r="X99" s="20" t="n">
        <v>0.06458664546899841</v>
      </c>
      <c r="Y99" s="14" t="n"/>
      <c r="Z99" s="19">
        <f>IF(OR(Y99="",F99="",F99=0),"",Y99/F99)</f>
        <v/>
      </c>
      <c r="AA99" s="22" t="n">
        <v>67.538</v>
      </c>
      <c r="AB99" s="20" t="n">
        <v>0.24</v>
      </c>
      <c r="AC99" s="20" t="n">
        <v>0.125771953607471</v>
      </c>
      <c r="AD99" s="17">
        <f>IF(OR(Q99="",M99="",M99&lt;=0),"",ROUND(40*MAX(0,MIN(N(Q99)/0.3,1))+IF(OR(R99="",N(Q99)&lt;=0),10,20*MAX(0,1-MIN(R99/Q99,1)))+30*MAX(0,MIN((PARAMETRI!$B$5-M99)/MAX(PARAMETRI!$B$5-10,1),1))+IF(AB99="",3,10*MAX(0,MIN(AB99/0.15,1)))+IF(AND(P99&lt;&gt;"",N(P99)&lt;N(Q99)*0.6),-8,0),1))</f>
        <v/>
      </c>
      <c r="AE99" s="13">
        <f>IF(AND(P99="",Q99=""),"DATI MANCANTI",IF(AND(N(P99)&gt;=PARAMETRI!$B$4,N(Q99)&gt;=PARAMETRI!$B$4),"OK","NO"))</f>
        <v/>
      </c>
      <c r="AF99" s="13">
        <f>IF(M99="","N/D",IF(M99&lt;PARAMETRI!$B$6,"OTTIMO",IF(M99&lt;PARAMETRI!$B$5,"OK","NO")))</f>
        <v/>
      </c>
      <c r="AG99" s="13">
        <f>IF(OR(AE99="DATI MANCANTI",AF99="N/D"),"DA COMPLETARE",IF(AND(AE99="OK",AF99="OTTIMO"),"PASSA FORTE",IF(AND(AE99="OK",AF99="OK"),"PASSA","SCARTA")))</f>
        <v/>
      </c>
      <c r="AH99" s="11" t="inlineStr">
        <is>
          <t>2026-10-12</t>
        </is>
      </c>
      <c r="AI99" s="11" t="inlineStr">
        <is>
          <t>yahoo</t>
        </is>
      </c>
      <c r="AJ99" s="23" t="inlineStr"/>
    </row>
    <row r="100">
      <c r="A100" s="10">
        <f>IF(AD100="","",RANK(AD100,AD$2:AD$167))</f>
        <v/>
      </c>
      <c r="B100" s="11" t="inlineStr">
        <is>
          <t>UnitedHealth Group</t>
        </is>
      </c>
      <c r="C100" s="12" t="inlineStr">
        <is>
          <t>UNH</t>
        </is>
      </c>
      <c r="D100" s="11" t="inlineStr">
        <is>
          <t>Assicurazione sanitaria</t>
        </is>
      </c>
      <c r="E100" s="13" t="inlineStr">
        <is>
          <t>Salute</t>
        </is>
      </c>
      <c r="F100" s="14" t="n">
        <v>376.525</v>
      </c>
      <c r="G100" s="15" t="inlineStr">
        <is>
          <t>USD</t>
        </is>
      </c>
      <c r="H100" s="14" t="n">
        <v>337.2910971991379</v>
      </c>
      <c r="I100" s="16" t="n">
        <v>302750.7509939349</v>
      </c>
      <c r="J100" s="16" t="n">
        <v>337966.9</v>
      </c>
      <c r="K100" s="14" t="n">
        <v>15.55</v>
      </c>
      <c r="L100" s="14" t="n">
        <v>22.61016</v>
      </c>
      <c r="M100" s="17">
        <f>IF(OR(F100="",K100="",K100&lt;=0),"",F100/K100)</f>
        <v/>
      </c>
      <c r="N100" s="18" t="n">
        <v>3.4613123</v>
      </c>
      <c r="O100" s="19">
        <f>IF(OR(N100="",M100="",M100&lt;=0),"",N100/M100)</f>
        <v/>
      </c>
      <c r="P100" s="20" t="n">
        <v>0.14152999</v>
      </c>
      <c r="Q100" s="20" t="n">
        <v>0.1986094387672269</v>
      </c>
      <c r="R100" s="20" t="n">
        <v>0.05768840645771321</v>
      </c>
      <c r="S100" s="21" t="n">
        <v>4</v>
      </c>
      <c r="T100" s="20" t="n"/>
      <c r="U100" s="20" t="n">
        <v>0.1281054085644459</v>
      </c>
      <c r="V100" s="20" t="n">
        <v>0.1554641801031751</v>
      </c>
      <c r="W100" s="20" t="n">
        <v>0.2521632340348822</v>
      </c>
      <c r="X100" s="20" t="n">
        <v>0.2587049323664043</v>
      </c>
      <c r="Y100" s="14" t="n">
        <v>9.279999999999999</v>
      </c>
      <c r="Z100" s="19">
        <f>IF(OR(Y100="",F100="",F100=0),"",Y100/F100)</f>
        <v/>
      </c>
      <c r="AA100" s="22" t="n">
        <v>69.211</v>
      </c>
      <c r="AB100" s="20" t="n">
        <v>0.004</v>
      </c>
      <c r="AC100" s="20" t="n">
        <v>0.03155281864838114</v>
      </c>
      <c r="AD100" s="17">
        <f>IF(OR(Q100="",M100="",M100&lt;=0),"",ROUND(40*MAX(0,MIN(N(Q100)/0.3,1))+IF(OR(R100="",N(Q100)&lt;=0),10,20*MAX(0,1-MIN(R100/Q100,1)))+30*MAX(0,MIN((PARAMETRI!$B$5-M100)/MAX(PARAMETRI!$B$5-10,1),1))+IF(AB100="",3,10*MAX(0,MIN(AB100/0.15,1)))+IF(AND(P100&lt;&gt;"",N(P100)&lt;N(Q100)*0.6),-8,0),1))</f>
        <v/>
      </c>
      <c r="AE100" s="13">
        <f>IF(AND(P100="",Q100=""),"DATI MANCANTI",IF(AND(N(P100)&gt;=PARAMETRI!$B$4,N(Q100)&gt;=PARAMETRI!$B$4),"OK","NO"))</f>
        <v/>
      </c>
      <c r="AF100" s="13">
        <f>IF(M100="","N/D",IF(M100&lt;PARAMETRI!$B$6,"OTTIMO",IF(M100&lt;PARAMETRI!$B$5,"OK","NO")))</f>
        <v/>
      </c>
      <c r="AG100" s="13">
        <f>IF(OR(AE100="DATI MANCANTI",AF100="N/D"),"DA COMPLETARE",IF(AND(AE100="OK",AF100="OTTIMO"),"PASSA FORTE",IF(AND(AE100="OK",AF100="OK"),"PASSA","SCARTA")))</f>
        <v/>
      </c>
      <c r="AH100" s="11" t="inlineStr">
        <is>
          <t>2026-10-12</t>
        </is>
      </c>
      <c r="AI100" s="11" t="inlineStr">
        <is>
          <t>yahoo</t>
        </is>
      </c>
      <c r="AJ100" s="23" t="inlineStr"/>
    </row>
    <row r="101">
      <c r="A101" s="10">
        <f>IF(AD101="","",RANK(AD101,AD$2:AD$167))</f>
        <v/>
      </c>
      <c r="B101" s="11" t="inlineStr">
        <is>
          <t>Berkshire Hathaway B</t>
        </is>
      </c>
      <c r="C101" s="12" t="inlineStr">
        <is>
          <t>BRK-B</t>
        </is>
      </c>
      <c r="D101" s="11" t="inlineStr">
        <is>
          <t>Conglomerata / Holding</t>
        </is>
      </c>
      <c r="E101" s="13" t="inlineStr">
        <is>
          <t>Finanziario</t>
        </is>
      </c>
      <c r="F101" s="14" t="n">
        <v>516.92</v>
      </c>
      <c r="G101" s="15" t="inlineStr">
        <is>
          <t>USD</t>
        </is>
      </c>
      <c r="H101" s="14" t="n">
        <v>463.0569390191312</v>
      </c>
      <c r="I101" s="16" t="n">
        <v>991270.4289430832</v>
      </c>
      <c r="J101" s="16" t="n">
        <v>1106575.6</v>
      </c>
      <c r="K101" s="14" t="n">
        <v>39.76</v>
      </c>
      <c r="L101" s="14" t="n">
        <v>21.6619</v>
      </c>
      <c r="M101" s="17">
        <f>IF(OR(F101="",K101="",K101&lt;=0),"",F101/K101)</f>
        <v/>
      </c>
      <c r="N101" s="18" t="n">
        <v>0.0009898398</v>
      </c>
      <c r="O101" s="19">
        <f>IF(OR(N101="",M101="",M101&lt;=0),"",N101/M101)</f>
        <v/>
      </c>
      <c r="P101" s="20" t="n">
        <v>0.121199995</v>
      </c>
      <c r="Q101" s="20" t="n">
        <v>0.08843956355337573</v>
      </c>
      <c r="R101" s="20" t="n">
        <v>0.08353327161790873</v>
      </c>
      <c r="S101" s="21" t="n">
        <v>4</v>
      </c>
      <c r="T101" s="20" t="n"/>
      <c r="U101" s="20" t="n">
        <v>0.09334572962243821</v>
      </c>
      <c r="V101" s="20" t="n">
        <v>0.137048638060391</v>
      </c>
      <c r="W101" s="20" t="n">
        <v>0.1714370725119505</v>
      </c>
      <c r="X101" s="20" t="n">
        <v>-0.04807318598127683</v>
      </c>
      <c r="Y101" s="14" t="n"/>
      <c r="Z101" s="19">
        <f>IF(OR(Y101="",F101="",F101=0),"",Y101/F101)</f>
        <v/>
      </c>
      <c r="AA101" s="22" t="n">
        <v>17.142</v>
      </c>
      <c r="AB101" s="20" t="n">
        <v>0.1</v>
      </c>
      <c r="AC101" s="20" t="n">
        <v>0.208924256395516</v>
      </c>
      <c r="AD101" s="17">
        <f>IF(OR(Q101="",M101="",M101&lt;=0),"",ROUND(40*MAX(0,MIN(N(Q101)/0.3,1))+IF(OR(R101="",N(Q101)&lt;=0),10,20*MAX(0,1-MIN(R101/Q101,1)))+30*MAX(0,MIN((PARAMETRI!$B$5-M101)/MAX(PARAMETRI!$B$5-10,1),1))+IF(AB101="",3,10*MAX(0,MIN(AB101/0.15,1)))+IF(AND(P101&lt;&gt;"",N(P101)&lt;N(Q101)*0.6),-8,0),1))</f>
        <v/>
      </c>
      <c r="AE101" s="13">
        <f>IF(AND(P101="",Q101=""),"DATI MANCANTI",IF(AND(N(P101)&gt;=PARAMETRI!$B$4,N(Q101)&gt;=PARAMETRI!$B$4),"OK","NO"))</f>
        <v/>
      </c>
      <c r="AF101" s="13">
        <f>IF(M101="","N/D",IF(M101&lt;PARAMETRI!$B$6,"OTTIMO",IF(M101&lt;PARAMETRI!$B$5,"OK","NO")))</f>
        <v/>
      </c>
      <c r="AG101" s="13">
        <f>IF(OR(AE101="DATI MANCANTI",AF101="N/D"),"DA COMPLETARE",IF(AND(AE101="OK",AF101="OTTIMO"),"PASSA FORTE",IF(AND(AE101="OK",AF101="OK"),"PASSA","SCARTA")))</f>
        <v/>
      </c>
      <c r="AH101" s="11" t="inlineStr">
        <is>
          <t>2026-10-12</t>
        </is>
      </c>
      <c r="AI101" s="11" t="inlineStr">
        <is>
          <t>yahoo</t>
        </is>
      </c>
      <c r="AJ101" s="23" t="inlineStr"/>
    </row>
    <row r="102">
      <c r="A102" s="10">
        <f>IF(AD102="","",RANK(AD102,AD$2:AD$167))</f>
        <v/>
      </c>
      <c r="B102" s="11" t="inlineStr">
        <is>
          <t>Home Depot</t>
        </is>
      </c>
      <c r="C102" s="12" t="inlineStr">
        <is>
          <t>HD</t>
        </is>
      </c>
      <c r="D102" s="11" t="inlineStr">
        <is>
          <t>Distribuzione specializzata</t>
        </is>
      </c>
      <c r="E102" s="13" t="inlineStr">
        <is>
          <t>Consumi</t>
        </is>
      </c>
      <c r="F102" s="14" t="n">
        <v>291.44</v>
      </c>
      <c r="G102" s="15" t="inlineStr">
        <is>
          <t>USD</t>
        </is>
      </c>
      <c r="H102" s="14" t="n">
        <v>261.0719537021891</v>
      </c>
      <c r="I102" s="16" t="n">
        <v>260468.8115582566</v>
      </c>
      <c r="J102" s="16" t="n">
        <v>290766.7</v>
      </c>
      <c r="K102" s="14" t="n">
        <v>14.29</v>
      </c>
      <c r="L102" s="14" t="n">
        <v>16.0248</v>
      </c>
      <c r="M102" s="17">
        <f>IF(OR(F102="",K102="",K102&lt;=0),"",F102/K102)</f>
        <v/>
      </c>
      <c r="N102" s="18" t="n">
        <v>17.503904</v>
      </c>
      <c r="O102" s="19">
        <f>IF(OR(N102="",M102="",M102&lt;=0),"",N102/M102)</f>
        <v/>
      </c>
      <c r="P102" s="20" t="n">
        <v>1.0429599</v>
      </c>
      <c r="Q102" s="20" t="n">
        <v>7.197532049082098</v>
      </c>
      <c r="R102" s="20" t="n">
        <v>5.685105003247476</v>
      </c>
      <c r="S102" s="21" t="n">
        <v>4</v>
      </c>
      <c r="T102" s="20" t="n">
        <v>1.104815421837197</v>
      </c>
      <c r="U102" s="20" t="n">
        <v>2.229819277108434</v>
      </c>
      <c r="V102" s="20" t="n">
        <v>14.50478927203065</v>
      </c>
      <c r="W102" s="20" t="n">
        <v>10.95070422535211</v>
      </c>
      <c r="X102" s="20" t="n"/>
      <c r="Y102" s="14" t="n">
        <v>9.32</v>
      </c>
      <c r="Z102" s="19">
        <f>IF(OR(Y102="",F102="",F102=0),"",Y102/F102)</f>
        <v/>
      </c>
      <c r="AA102" s="22" t="n">
        <v>380.261</v>
      </c>
      <c r="AB102" s="20" t="n">
        <v>0.057</v>
      </c>
      <c r="AC102" s="20" t="n">
        <v>0.086390218298185</v>
      </c>
      <c r="AD102" s="17">
        <f>IF(OR(Q102="",M102="",M102&lt;=0),"",ROUND(40*MAX(0,MIN(N(Q102)/0.3,1))+IF(OR(R102="",N(Q102)&lt;=0),10,20*MAX(0,1-MIN(R102/Q102,1)))+30*MAX(0,MIN((PARAMETRI!$B$5-M102)/MAX(PARAMETRI!$B$5-10,1),1))+IF(AB102="",3,10*MAX(0,MIN(AB102/0.15,1)))+IF(AND(P102&lt;&gt;"",N(P102)&lt;N(Q102)*0.6),-8,0),1))</f>
        <v/>
      </c>
      <c r="AE102" s="13">
        <f>IF(AND(P102="",Q102=""),"DATI MANCANTI",IF(AND(N(P102)&gt;=PARAMETRI!$B$4,N(Q102)&gt;=PARAMETRI!$B$4),"OK","NO"))</f>
        <v/>
      </c>
      <c r="AF102" s="13">
        <f>IF(M102="","N/D",IF(M102&lt;PARAMETRI!$B$6,"OTTIMO",IF(M102&lt;PARAMETRI!$B$5,"OK","NO")))</f>
        <v/>
      </c>
      <c r="AG102" s="13">
        <f>IF(OR(AE102="DATI MANCANTI",AF102="N/D"),"DA COMPLETARE",IF(AND(AE102="OK",AF102="OTTIMO"),"PASSA FORTE",IF(AND(AE102="OK",AF102="OK"),"PASSA","SCARTA")))</f>
        <v/>
      </c>
      <c r="AH102" s="11" t="inlineStr">
        <is>
          <t>2026-10-12</t>
        </is>
      </c>
      <c r="AI102" s="11" t="inlineStr">
        <is>
          <t>yahoo</t>
        </is>
      </c>
      <c r="AJ102" s="23" t="inlineStr"/>
    </row>
    <row r="103">
      <c r="A103" s="10">
        <f>IF(AD103="","",RANK(AD103,AD$2:AD$167))</f>
        <v/>
      </c>
      <c r="B103" s="11" t="inlineStr">
        <is>
          <t>Emerson Electric</t>
        </is>
      </c>
      <c r="C103" s="12" t="inlineStr">
        <is>
          <t>EMR</t>
        </is>
      </c>
      <c r="D103" s="11" t="inlineStr">
        <is>
          <t>Automazione</t>
        </is>
      </c>
      <c r="E103" s="13" t="inlineStr">
        <is>
          <t>Industriale</t>
        </is>
      </c>
      <c r="F103" s="14" t="n">
        <v>162.835</v>
      </c>
      <c r="G103" s="15" t="inlineStr">
        <is>
          <t>USD</t>
        </is>
      </c>
      <c r="H103" s="14" t="n">
        <v>145.8675939510567</v>
      </c>
      <c r="I103" s="16" t="n">
        <v>81700.45415268694</v>
      </c>
      <c r="J103" s="16" t="n">
        <v>91203.89999999999</v>
      </c>
      <c r="K103" s="14" t="n">
        <v>4.57</v>
      </c>
      <c r="L103" s="14" t="n">
        <v>7.26872</v>
      </c>
      <c r="M103" s="17">
        <f>IF(OR(F103="",K103="",K103&lt;=0),"",F103/K103)</f>
        <v/>
      </c>
      <c r="N103" s="18" t="n">
        <v>4.4569592</v>
      </c>
      <c r="O103" s="19">
        <f>IF(OR(N103="",M103="",M103&lt;=0),"",N103/M103)</f>
        <v/>
      </c>
      <c r="P103" s="20" t="n">
        <v>0.128</v>
      </c>
      <c r="Q103" s="20" t="n">
        <v>0.2886765522946696</v>
      </c>
      <c r="R103" s="20" t="n">
        <v>0.2197445121017647</v>
      </c>
      <c r="S103" s="21" t="n">
        <v>4</v>
      </c>
      <c r="T103" s="20" t="n"/>
      <c r="U103" s="20" t="n">
        <v>0.1130559116457943</v>
      </c>
      <c r="V103" s="20" t="n">
        <v>0.09095951192457016</v>
      </c>
      <c r="W103" s="20" t="n">
        <v>0.6389385663879357</v>
      </c>
      <c r="X103" s="20" t="n">
        <v>0.3117522192203782</v>
      </c>
      <c r="Y103" s="14" t="n">
        <v>2.22</v>
      </c>
      <c r="Z103" s="19">
        <f>IF(OR(Y103="",F103="",F103=0),"",Y103/F103)</f>
        <v/>
      </c>
      <c r="AA103" s="22" t="n">
        <v>67.67700000000001</v>
      </c>
      <c r="AB103" s="20" t="n">
        <v>0.07000000000000001</v>
      </c>
      <c r="AC103" s="20" t="n">
        <v>0.1429840142095915</v>
      </c>
      <c r="AD103" s="17">
        <f>IF(OR(Q103="",M103="",M103&lt;=0),"",ROUND(40*MAX(0,MIN(N(Q103)/0.3,1))+IF(OR(R103="",N(Q103)&lt;=0),10,20*MAX(0,1-MIN(R103/Q103,1)))+30*MAX(0,MIN((PARAMETRI!$B$5-M103)/MAX(PARAMETRI!$B$5-10,1),1))+IF(AB103="",3,10*MAX(0,MIN(AB103/0.15,1)))+IF(AND(P103&lt;&gt;"",N(P103)&lt;N(Q103)*0.6),-8,0),1))</f>
        <v/>
      </c>
      <c r="AE103" s="13">
        <f>IF(AND(P103="",Q103=""),"DATI MANCANTI",IF(AND(N(P103)&gt;=PARAMETRI!$B$4,N(Q103)&gt;=PARAMETRI!$B$4),"OK","NO"))</f>
        <v/>
      </c>
      <c r="AF103" s="13">
        <f>IF(M103="","N/D",IF(M103&lt;PARAMETRI!$B$6,"OTTIMO",IF(M103&lt;PARAMETRI!$B$5,"OK","NO")))</f>
        <v/>
      </c>
      <c r="AG103" s="13">
        <f>IF(OR(AE103="DATI MANCANTI",AF103="N/D"),"DA COMPLETARE",IF(AND(AE103="OK",AF103="OTTIMO"),"PASSA FORTE",IF(AND(AE103="OK",AF103="OK"),"PASSA","SCARTA")))</f>
        <v/>
      </c>
      <c r="AH103" s="11" t="inlineStr">
        <is>
          <t>2026-10-12</t>
        </is>
      </c>
      <c r="AI103" s="11" t="inlineStr">
        <is>
          <t>yahoo</t>
        </is>
      </c>
      <c r="AJ103" s="23" t="inlineStr"/>
    </row>
    <row r="104">
      <c r="A104" s="10">
        <f>IF(AD104="","",RANK(AD104,AD$2:AD$167))</f>
        <v/>
      </c>
      <c r="B104" s="11" t="inlineStr">
        <is>
          <t>Chevron</t>
        </is>
      </c>
      <c r="C104" s="12" t="inlineStr">
        <is>
          <t>CVX</t>
        </is>
      </c>
      <c r="D104" s="11" t="inlineStr">
        <is>
          <t>Petrolio integrato</t>
        </is>
      </c>
      <c r="E104" s="13" t="inlineStr">
        <is>
          <t>Energia</t>
        </is>
      </c>
      <c r="F104" s="14" t="n">
        <v>215.325</v>
      </c>
      <c r="G104" s="15" t="inlineStr">
        <is>
          <t>USD</t>
        </is>
      </c>
      <c r="H104" s="14" t="n">
        <v>192.8881362576306</v>
      </c>
      <c r="I104" s="16" t="n">
        <v>378369.9772269722</v>
      </c>
      <c r="J104" s="16" t="n">
        <v>422382.2</v>
      </c>
      <c r="K104" s="14" t="n">
        <v>10.39</v>
      </c>
      <c r="L104" s="14" t="n">
        <v>14.76176</v>
      </c>
      <c r="M104" s="17">
        <f>IF(OR(F104="",K104="",K104&lt;=0),"",F104/K104)</f>
        <v/>
      </c>
      <c r="N104" s="18" t="n">
        <v>2.2244318</v>
      </c>
      <c r="O104" s="19">
        <f>IF(OR(N104="",M104="",M104&lt;=0),"",N104/M104)</f>
        <v/>
      </c>
      <c r="P104" s="20" t="n">
        <v>0.12231</v>
      </c>
      <c r="Q104" s="20" t="n">
        <v>0.1343324653779517</v>
      </c>
      <c r="R104" s="20" t="n">
        <v>0.05660306595463921</v>
      </c>
      <c r="S104" s="21" t="n">
        <v>4</v>
      </c>
      <c r="T104" s="20" t="n"/>
      <c r="U104" s="20" t="n">
        <v>0.06596406543309198</v>
      </c>
      <c r="V104" s="20" t="n">
        <v>0.1159482136057459</v>
      </c>
      <c r="W104" s="20" t="n">
        <v>0.1327621662928608</v>
      </c>
      <c r="X104" s="20" t="n">
        <v>0.2226554161801082</v>
      </c>
      <c r="Y104" s="14" t="n">
        <v>7.12</v>
      </c>
      <c r="Z104" s="19">
        <f>IF(OR(Y104="",F104="",F104=0),"",Y104/F104)</f>
        <v/>
      </c>
      <c r="AA104" s="22" t="n">
        <v>18.959</v>
      </c>
      <c r="AB104" s="20" t="n">
        <v>0.535</v>
      </c>
      <c r="AC104" s="20" t="n">
        <v>0.1116454820855383</v>
      </c>
      <c r="AD104" s="17">
        <f>IF(OR(Q104="",M104="",M104&lt;=0),"",ROUND(40*MAX(0,MIN(N(Q104)/0.3,1))+IF(OR(R104="",N(Q104)&lt;=0),10,20*MAX(0,1-MIN(R104/Q104,1)))+30*MAX(0,MIN((PARAMETRI!$B$5-M104)/MAX(PARAMETRI!$B$5-10,1),1))+IF(AB104="",3,10*MAX(0,MIN(AB104/0.15,1)))+IF(AND(P104&lt;&gt;"",N(P104)&lt;N(Q104)*0.6),-8,0),1))</f>
        <v/>
      </c>
      <c r="AE104" s="13">
        <f>IF(AND(P104="",Q104=""),"DATI MANCANTI",IF(AND(N(P104)&gt;=PARAMETRI!$B$4,N(Q104)&gt;=PARAMETRI!$B$4),"OK","NO"))</f>
        <v/>
      </c>
      <c r="AF104" s="13">
        <f>IF(M104="","N/D",IF(M104&lt;PARAMETRI!$B$6,"OTTIMO",IF(M104&lt;PARAMETRI!$B$5,"OK","NO")))</f>
        <v/>
      </c>
      <c r="AG104" s="13">
        <f>IF(OR(AE104="DATI MANCANTI",AF104="N/D"),"DA COMPLETARE",IF(AND(AE104="OK",AF104="OTTIMO"),"PASSA FORTE",IF(AND(AE104="OK",AF104="OK"),"PASSA","SCARTA")))</f>
        <v/>
      </c>
      <c r="AH104" s="11" t="inlineStr">
        <is>
          <t>2026-10-12</t>
        </is>
      </c>
      <c r="AI104" s="11" t="inlineStr">
        <is>
          <t>yahoo</t>
        </is>
      </c>
      <c r="AJ104" s="23" t="inlineStr"/>
    </row>
    <row r="105">
      <c r="A105" s="10">
        <f>IF(AD105="","",RANK(AD105,AD$2:AD$167))</f>
        <v/>
      </c>
      <c r="B105" s="11" t="inlineStr">
        <is>
          <t>Abbott Laboratories</t>
        </is>
      </c>
      <c r="C105" s="12" t="inlineStr">
        <is>
          <t>ABT</t>
        </is>
      </c>
      <c r="D105" s="11" t="inlineStr">
        <is>
          <t>Dispositivi medicali</t>
        </is>
      </c>
      <c r="E105" s="13" t="inlineStr">
        <is>
          <t>Salute</t>
        </is>
      </c>
      <c r="F105" s="14" t="n">
        <v>101.3903</v>
      </c>
      <c r="G105" s="15" t="inlineStr">
        <is>
          <t>USD</t>
        </is>
      </c>
      <c r="H105" s="14" t="n">
        <v>90.82543133218179</v>
      </c>
      <c r="I105" s="16" t="n">
        <v>158200.9684314703</v>
      </c>
      <c r="J105" s="16" t="n">
        <v>176603</v>
      </c>
      <c r="K105" s="14" t="n">
        <v>3.1</v>
      </c>
      <c r="L105" s="14" t="n">
        <v>6.06435</v>
      </c>
      <c r="M105" s="17">
        <f>IF(OR(F105="",K105="",K105&lt;=0),"",F105/K105)</f>
        <v/>
      </c>
      <c r="N105" s="18" t="n">
        <v>3.4326537</v>
      </c>
      <c r="O105" s="19">
        <f>IF(OR(N105="",M105="",M105&lt;=0),"",N105/M105)</f>
        <v/>
      </c>
      <c r="P105" s="20" t="n">
        <v>0.10576</v>
      </c>
      <c r="Q105" s="20" t="n">
        <v>0.1858900339052967</v>
      </c>
      <c r="R105" s="20" t="n">
        <v>0.05957173353356353</v>
      </c>
      <c r="S105" s="21" t="n">
        <v>4</v>
      </c>
      <c r="T105" s="20" t="n"/>
      <c r="U105" s="20" t="n">
        <v>0.1251486667945521</v>
      </c>
      <c r="V105" s="20" t="n">
        <v>0.2811765693185633</v>
      </c>
      <c r="W105" s="20" t="n">
        <v>0.1482527264720359</v>
      </c>
      <c r="X105" s="20" t="n">
        <v>0.1889821730360355</v>
      </c>
      <c r="Y105" s="14" t="n">
        <v>2.52</v>
      </c>
      <c r="Z105" s="19">
        <f>IF(OR(Y105="",F105="",F105=0),"",Y105/F105)</f>
        <v/>
      </c>
      <c r="AA105" s="22" t="n">
        <v>63.212</v>
      </c>
      <c r="AB105" s="20" t="n">
        <v>0.13</v>
      </c>
      <c r="AC105" s="20" t="n">
        <v>0.1218417238765566</v>
      </c>
      <c r="AD105" s="17">
        <f>IF(OR(Q105="",M105="",M105&lt;=0),"",ROUND(40*MAX(0,MIN(N(Q105)/0.3,1))+IF(OR(R105="",N(Q105)&lt;=0),10,20*MAX(0,1-MIN(R105/Q105,1)))+30*MAX(0,MIN((PARAMETRI!$B$5-M105)/MAX(PARAMETRI!$B$5-10,1),1))+IF(AB105="",3,10*MAX(0,MIN(AB105/0.15,1)))+IF(AND(P105&lt;&gt;"",N(P105)&lt;N(Q105)*0.6),-8,0),1))</f>
        <v/>
      </c>
      <c r="AE105" s="13">
        <f>IF(AND(P105="",Q105=""),"DATI MANCANTI",IF(AND(N(P105)&gt;=PARAMETRI!$B$4,N(Q105)&gt;=PARAMETRI!$B$4),"OK","NO"))</f>
        <v/>
      </c>
      <c r="AF105" s="13">
        <f>IF(M105="","N/D",IF(M105&lt;PARAMETRI!$B$6,"OTTIMO",IF(M105&lt;PARAMETRI!$B$5,"OK","NO")))</f>
        <v/>
      </c>
      <c r="AG105" s="13">
        <f>IF(OR(AE105="DATI MANCANTI",AF105="N/D"),"DA COMPLETARE",IF(AND(AE105="OK",AF105="OTTIMO"),"PASSA FORTE",IF(AND(AE105="OK",AF105="OK"),"PASSA","SCARTA")))</f>
        <v/>
      </c>
      <c r="AH105" s="11" t="inlineStr">
        <is>
          <t>2026-10-12</t>
        </is>
      </c>
      <c r="AI105" s="11" t="inlineStr">
        <is>
          <t>yahoo</t>
        </is>
      </c>
      <c r="AJ105" s="23" t="inlineStr"/>
    </row>
    <row r="106">
      <c r="A106" s="10">
        <f>IF(AD106="","",RANK(AD106,AD$2:AD$167))</f>
        <v/>
      </c>
      <c r="B106" s="11" t="inlineStr">
        <is>
          <t>MetLife</t>
        </is>
      </c>
      <c r="C106" s="12" t="inlineStr">
        <is>
          <t>MET</t>
        </is>
      </c>
      <c r="D106" s="11" t="inlineStr">
        <is>
          <t>Assicurazione vita</t>
        </is>
      </c>
      <c r="E106" s="13" t="inlineStr">
        <is>
          <t>Finanziario</t>
        </is>
      </c>
      <c r="F106" s="14" t="n">
        <v>100.001</v>
      </c>
      <c r="G106" s="15" t="inlineStr">
        <is>
          <t>USD</t>
        </is>
      </c>
      <c r="H106" s="14" t="n">
        <v>89.58089638406744</v>
      </c>
      <c r="I106" s="16" t="n">
        <v>56926.56751116121</v>
      </c>
      <c r="J106" s="16" t="n">
        <v>63548.3</v>
      </c>
      <c r="K106" s="14" t="n">
        <v>5.22</v>
      </c>
      <c r="L106" s="14" t="n">
        <v>11.12458</v>
      </c>
      <c r="M106" s="17">
        <f>IF(OR(F106="",K106="",K106&lt;=0),"",F106/K106)</f>
        <v/>
      </c>
      <c r="N106" s="18" t="n">
        <v>2.3240912</v>
      </c>
      <c r="O106" s="19">
        <f>IF(OR(N106="",M106="",M106&lt;=0),"",N106/M106)</f>
        <v/>
      </c>
      <c r="P106" s="20" t="n">
        <v>0.13094</v>
      </c>
      <c r="Q106" s="20" t="n">
        <v>0.1274159335614763</v>
      </c>
      <c r="R106" s="20" t="n">
        <v>0.04811596554463902</v>
      </c>
      <c r="S106" s="21" t="n">
        <v>4</v>
      </c>
      <c r="T106" s="20" t="n"/>
      <c r="U106" s="20" t="n">
        <v>0.1189872526234242</v>
      </c>
      <c r="V106" s="20" t="n">
        <v>0.1612679905265076</v>
      </c>
      <c r="W106" s="20" t="n">
        <v>0.05257371314342828</v>
      </c>
      <c r="X106" s="20" t="n">
        <v>0.1768347779525451</v>
      </c>
      <c r="Y106" s="14" t="n">
        <v>2.37</v>
      </c>
      <c r="Z106" s="19">
        <f>IF(OR(Y106="",F106="",F106=0),"",Y106/F106)</f>
        <v/>
      </c>
      <c r="AA106" s="22" t="n">
        <v>179.933</v>
      </c>
      <c r="AB106" s="20" t="n">
        <v>0.105</v>
      </c>
      <c r="AC106" s="20" t="n">
        <v>0.04548338403785656</v>
      </c>
      <c r="AD106" s="17">
        <f>IF(OR(Q106="",M106="",M106&lt;=0),"",ROUND(40*MAX(0,MIN(N(Q106)/0.3,1))+IF(OR(R106="",N(Q106)&lt;=0),10,20*MAX(0,1-MIN(R106/Q106,1)))+30*MAX(0,MIN((PARAMETRI!$B$5-M106)/MAX(PARAMETRI!$B$5-10,1),1))+IF(AB106="",3,10*MAX(0,MIN(AB106/0.15,1)))+IF(AND(P106&lt;&gt;"",N(P106)&lt;N(Q106)*0.6),-8,0),1))</f>
        <v/>
      </c>
      <c r="AE106" s="13">
        <f>IF(AND(P106="",Q106=""),"DATI MANCANTI",IF(AND(N(P106)&gt;=PARAMETRI!$B$4,N(Q106)&gt;=PARAMETRI!$B$4),"OK","NO"))</f>
        <v/>
      </c>
      <c r="AF106" s="13">
        <f>IF(M106="","N/D",IF(M106&lt;PARAMETRI!$B$6,"OTTIMO",IF(M106&lt;PARAMETRI!$B$5,"OK","NO")))</f>
        <v/>
      </c>
      <c r="AG106" s="13">
        <f>IF(OR(AE106="DATI MANCANTI",AF106="N/D"),"DA COMPLETARE",IF(AND(AE106="OK",AF106="OTTIMO"),"PASSA FORTE",IF(AND(AE106="OK",AF106="OK"),"PASSA","SCARTA")))</f>
        <v/>
      </c>
      <c r="AH106" s="11" t="inlineStr">
        <is>
          <t>2026-10-12</t>
        </is>
      </c>
      <c r="AI106" s="11" t="inlineStr">
        <is>
          <t>yahoo</t>
        </is>
      </c>
      <c r="AJ106" s="23" t="inlineStr"/>
    </row>
    <row r="107">
      <c r="A107" s="10">
        <f>IF(AD107="","",RANK(AD107,AD$2:AD$167))</f>
        <v/>
      </c>
      <c r="B107" s="11" t="inlineStr">
        <is>
          <t>Merck &amp; Co.</t>
        </is>
      </c>
      <c r="C107" s="12" t="inlineStr">
        <is>
          <t>MRK</t>
        </is>
      </c>
      <c r="D107" s="11" t="inlineStr">
        <is>
          <t>Farmaceutica</t>
        </is>
      </c>
      <c r="E107" s="13" t="inlineStr">
        <is>
          <t>Salute</t>
        </is>
      </c>
      <c r="F107" s="14" t="n">
        <v>145.17</v>
      </c>
      <c r="G107" s="15" t="inlineStr">
        <is>
          <t>USD</t>
        </is>
      </c>
      <c r="H107" s="14" t="n">
        <v>130.0432868478822</v>
      </c>
      <c r="I107" s="16" t="n">
        <v>320839.1030318709</v>
      </c>
      <c r="J107" s="16" t="n">
        <v>358159.3</v>
      </c>
      <c r="K107" s="14" t="n">
        <v>1.26</v>
      </c>
      <c r="L107" s="14" t="n">
        <v>9.3193</v>
      </c>
      <c r="M107" s="17">
        <f>IF(OR(F107="",K107="",K107&lt;=0),"",F107/K107)</f>
        <v/>
      </c>
      <c r="N107" s="18" t="n">
        <v>8.54645</v>
      </c>
      <c r="O107" s="19">
        <f>IF(OR(N107="",M107="",M107&lt;=0),"",N107/M107)</f>
        <v/>
      </c>
      <c r="P107" s="20" t="n">
        <v>0.06961000000000001</v>
      </c>
      <c r="Q107" s="20" t="n">
        <v>0.2604982613071798</v>
      </c>
      <c r="R107" s="20" t="n">
        <v>0.1460508583775003</v>
      </c>
      <c r="S107" s="21" t="n">
        <v>4</v>
      </c>
      <c r="T107" s="20" t="n"/>
      <c r="U107" s="20" t="n">
        <v>0.3469946393947458</v>
      </c>
      <c r="V107" s="20" t="n">
        <v>0.3695938505387256</v>
      </c>
      <c r="W107" s="20" t="n">
        <v>0.009712354647295175</v>
      </c>
      <c r="X107" s="20" t="n">
        <v>0.3156922006479528</v>
      </c>
      <c r="Y107" s="14" t="n">
        <v>3.4</v>
      </c>
      <c r="Z107" s="19">
        <f>IF(OR(Y107="",F107="",F107=0),"",Y107/F107)</f>
        <v/>
      </c>
      <c r="AA107" s="22" t="n">
        <v>128.408</v>
      </c>
      <c r="AB107" s="20" t="n">
        <v>0.051</v>
      </c>
      <c r="AC107" s="20" t="n">
        <v>0.04880712396363692</v>
      </c>
      <c r="AD107" s="17">
        <f>IF(OR(Q107="",M107="",M107&lt;=0),"",ROUND(40*MAX(0,MIN(N(Q107)/0.3,1))+IF(OR(R107="",N(Q107)&lt;=0),10,20*MAX(0,1-MIN(R107/Q107,1)))+30*MAX(0,MIN((PARAMETRI!$B$5-M107)/MAX(PARAMETRI!$B$5-10,1),1))+IF(AB107="",3,10*MAX(0,MIN(AB107/0.15,1)))+IF(AND(P107&lt;&gt;"",N(P107)&lt;N(Q107)*0.6),-8,0),1))</f>
        <v/>
      </c>
      <c r="AE107" s="13">
        <f>IF(AND(P107="",Q107=""),"DATI MANCANTI",IF(AND(N(P107)&gt;=PARAMETRI!$B$4,N(Q107)&gt;=PARAMETRI!$B$4),"OK","NO"))</f>
        <v/>
      </c>
      <c r="AF107" s="13">
        <f>IF(M107="","N/D",IF(M107&lt;PARAMETRI!$B$6,"OTTIMO",IF(M107&lt;PARAMETRI!$B$5,"OK","NO")))</f>
        <v/>
      </c>
      <c r="AG107" s="13">
        <f>IF(OR(AE107="DATI MANCANTI",AF107="N/D"),"DA COMPLETARE",IF(AND(AE107="OK",AF107="OTTIMO"),"PASSA FORTE",IF(AND(AE107="OK",AF107="OK"),"PASSA","SCARTA")))</f>
        <v/>
      </c>
      <c r="AH107" s="11" t="inlineStr">
        <is>
          <t>2026-10-12</t>
        </is>
      </c>
      <c r="AI107" s="11" t="inlineStr">
        <is>
          <t>yahoo</t>
        </is>
      </c>
      <c r="AJ107" s="23" t="inlineStr"/>
    </row>
    <row r="108">
      <c r="A108" s="10">
        <f>IF(AD108="","",RANK(AD108,AD$2:AD$167))</f>
        <v/>
      </c>
      <c r="B108" s="11" t="inlineStr">
        <is>
          <t>Occidental Petroleum</t>
        </is>
      </c>
      <c r="C108" s="12" t="inlineStr">
        <is>
          <t>OXY</t>
        </is>
      </c>
      <c r="D108" s="11" t="inlineStr">
        <is>
          <t>Esplorazione e produzione</t>
        </is>
      </c>
      <c r="E108" s="13" t="inlineStr">
        <is>
          <t>Energia</t>
        </is>
      </c>
      <c r="F108" s="14" t="n">
        <v>61.36</v>
      </c>
      <c r="G108" s="15" t="inlineStr">
        <is>
          <t>USD</t>
        </is>
      </c>
      <c r="H108" s="14" t="n">
        <v>54.96628835838019</v>
      </c>
      <c r="I108" s="16" t="n">
        <v>54946.40159825054</v>
      </c>
      <c r="J108" s="16" t="n">
        <v>61337.8</v>
      </c>
      <c r="K108" s="14" t="n">
        <v>3.52</v>
      </c>
      <c r="L108" s="14" t="n">
        <v>4.08531</v>
      </c>
      <c r="M108" s="17">
        <f>IF(OR(F108="",K108="",K108&lt;=0),"",F108/K108)</f>
        <v/>
      </c>
      <c r="N108" s="18" t="n">
        <v>1.8333383</v>
      </c>
      <c r="O108" s="19">
        <f>IF(OR(N108="",M108="",M108&lt;=0),"",N108/M108)</f>
        <v/>
      </c>
      <c r="P108" s="20" t="n">
        <v>0.10629</v>
      </c>
      <c r="Q108" s="20" t="n">
        <v>0.1878668803897049</v>
      </c>
      <c r="R108" s="20" t="n">
        <v>0.1505382025614877</v>
      </c>
      <c r="S108" s="21" t="n">
        <v>4</v>
      </c>
      <c r="T108" s="20" t="n"/>
      <c r="U108" s="20" t="n">
        <v>0.06455014708331021</v>
      </c>
      <c r="V108" s="20" t="n">
        <v>0.08946397728270734</v>
      </c>
      <c r="W108" s="20" t="n">
        <v>0.1552396694214876</v>
      </c>
      <c r="X108" s="20" t="n">
        <v>0.4422137277713146</v>
      </c>
      <c r="Y108" s="14" t="n">
        <v>1.12</v>
      </c>
      <c r="Z108" s="19">
        <f>IF(OR(Y108="",F108="",F108=0),"",Y108/F108)</f>
        <v/>
      </c>
      <c r="AA108" s="22" t="n">
        <v>34.511</v>
      </c>
      <c r="AB108" s="20" t="n">
        <v>0.534</v>
      </c>
      <c r="AC108" s="20" t="n">
        <v>0.157412127263465</v>
      </c>
      <c r="AD108" s="17">
        <f>IF(OR(Q108="",M108="",M108&lt;=0),"",ROUND(40*MAX(0,MIN(N(Q108)/0.3,1))+IF(OR(R108="",N(Q108)&lt;=0),10,20*MAX(0,1-MIN(R108/Q108,1)))+30*MAX(0,MIN((PARAMETRI!$B$5-M108)/MAX(PARAMETRI!$B$5-10,1),1))+IF(AB108="",3,10*MAX(0,MIN(AB108/0.15,1)))+IF(AND(P108&lt;&gt;"",N(P108)&lt;N(Q108)*0.6),-8,0),1))</f>
        <v/>
      </c>
      <c r="AE108" s="13">
        <f>IF(AND(P108="",Q108=""),"DATI MANCANTI",IF(AND(N(P108)&gt;=PARAMETRI!$B$4,N(Q108)&gt;=PARAMETRI!$B$4),"OK","NO"))</f>
        <v/>
      </c>
      <c r="AF108" s="13">
        <f>IF(M108="","N/D",IF(M108&lt;PARAMETRI!$B$6,"OTTIMO",IF(M108&lt;PARAMETRI!$B$5,"OK","NO")))</f>
        <v/>
      </c>
      <c r="AG108" s="13">
        <f>IF(OR(AE108="DATI MANCANTI",AF108="N/D"),"DA COMPLETARE",IF(AND(AE108="OK",AF108="OTTIMO"),"PASSA FORTE",IF(AND(AE108="OK",AF108="OK"),"PASSA","SCARTA")))</f>
        <v/>
      </c>
      <c r="AH108" s="11" t="inlineStr">
        <is>
          <t>2026-10-12</t>
        </is>
      </c>
      <c r="AI108" s="11" t="inlineStr">
        <is>
          <t>yahoo</t>
        </is>
      </c>
      <c r="AJ108" s="23" t="inlineStr"/>
    </row>
    <row r="109">
      <c r="A109" s="10">
        <f>IF(AD109="","",RANK(AD109,AD$2:AD$167))</f>
        <v/>
      </c>
      <c r="B109" s="11" t="inlineStr">
        <is>
          <t>Medtronic</t>
        </is>
      </c>
      <c r="C109" s="12" t="inlineStr">
        <is>
          <t>MDT</t>
        </is>
      </c>
      <c r="D109" s="11" t="inlineStr">
        <is>
          <t>Dispositivi medicali</t>
        </is>
      </c>
      <c r="E109" s="13" t="inlineStr">
        <is>
          <t>Salute</t>
        </is>
      </c>
      <c r="F109" s="14" t="n">
        <v>91.97</v>
      </c>
      <c r="G109" s="15" t="inlineStr">
        <is>
          <t>USD</t>
        </is>
      </c>
      <c r="H109" s="14" t="n">
        <v>82.38672653716145</v>
      </c>
      <c r="I109" s="16" t="n">
        <v>105383.9730271035</v>
      </c>
      <c r="J109" s="16" t="n">
        <v>117642.3</v>
      </c>
      <c r="K109" s="14" t="n">
        <v>4.07</v>
      </c>
      <c r="L109" s="14" t="n">
        <v>6.41352</v>
      </c>
      <c r="M109" s="17">
        <f>IF(OR(F109="",K109="",K109&lt;=0),"",F109/K109)</f>
        <v/>
      </c>
      <c r="N109" s="18" t="n">
        <v>2.3436625</v>
      </c>
      <c r="O109" s="19">
        <f>IF(OR(N109="",M109="",M109&lt;=0),"",N109/M109)</f>
        <v/>
      </c>
      <c r="P109" s="20" t="n">
        <v>0.106479995</v>
      </c>
      <c r="Q109" s="20" t="n">
        <v>0.08508513928303943</v>
      </c>
      <c r="R109" s="20" t="n">
        <v>0.01198455172386248</v>
      </c>
      <c r="S109" s="21" t="n">
        <v>4</v>
      </c>
      <c r="T109" s="20" t="n">
        <v>0.09706245072074075</v>
      </c>
      <c r="U109" s="20" t="n">
        <v>0.09707646176911544</v>
      </c>
      <c r="V109" s="20" t="n">
        <v>0.07320667542916318</v>
      </c>
      <c r="W109" s="20" t="n">
        <v>0.07299496921313832</v>
      </c>
      <c r="X109" s="20" t="n"/>
      <c r="Y109" s="14" t="n">
        <v>2.88</v>
      </c>
      <c r="Z109" s="19">
        <f>IF(OR(Y109="",F109="",F109=0),"",Y109/F109)</f>
        <v/>
      </c>
      <c r="AA109" s="22" t="n">
        <v>55.365</v>
      </c>
      <c r="AB109" s="20" t="n">
        <v>0.137</v>
      </c>
      <c r="AC109" s="20" t="n">
        <v>0.1438510632493675</v>
      </c>
      <c r="AD109" s="17">
        <f>IF(OR(Q109="",M109="",M109&lt;=0),"",ROUND(40*MAX(0,MIN(N(Q109)/0.3,1))+IF(OR(R109="",N(Q109)&lt;=0),10,20*MAX(0,1-MIN(R109/Q109,1)))+30*MAX(0,MIN((PARAMETRI!$B$5-M109)/MAX(PARAMETRI!$B$5-10,1),1))+IF(AB109="",3,10*MAX(0,MIN(AB109/0.15,1)))+IF(AND(P109&lt;&gt;"",N(P109)&lt;N(Q109)*0.6),-8,0),1))</f>
        <v/>
      </c>
      <c r="AE109" s="13">
        <f>IF(AND(P109="",Q109=""),"DATI MANCANTI",IF(AND(N(P109)&gt;=PARAMETRI!$B$4,N(Q109)&gt;=PARAMETRI!$B$4),"OK","NO"))</f>
        <v/>
      </c>
      <c r="AF109" s="13">
        <f>IF(M109="","N/D",IF(M109&lt;PARAMETRI!$B$6,"OTTIMO",IF(M109&lt;PARAMETRI!$B$5,"OK","NO")))</f>
        <v/>
      </c>
      <c r="AG109" s="13">
        <f>IF(OR(AE109="DATI MANCANTI",AF109="N/D"),"DA COMPLETARE",IF(AND(AE109="OK",AF109="OTTIMO"),"PASSA FORTE",IF(AND(AE109="OK",AF109="OK"),"PASSA","SCARTA")))</f>
        <v/>
      </c>
      <c r="AH109" s="11" t="inlineStr">
        <is>
          <t>2026-10-12</t>
        </is>
      </c>
      <c r="AI109" s="11" t="inlineStr">
        <is>
          <t>yahoo</t>
        </is>
      </c>
      <c r="AJ109" s="23" t="inlineStr"/>
    </row>
    <row r="110">
      <c r="A110" s="10">
        <f>IF(AD110="","",RANK(AD110,AD$2:AD$167))</f>
        <v/>
      </c>
      <c r="B110" s="11" t="inlineStr">
        <is>
          <t>Micron Technology</t>
        </is>
      </c>
      <c r="C110" s="12" t="inlineStr">
        <is>
          <t>MU</t>
        </is>
      </c>
      <c r="D110" s="11" t="inlineStr">
        <is>
          <t>Semiconduttori / Memorie</t>
        </is>
      </c>
      <c r="E110" s="13" t="inlineStr">
        <is>
          <t>Tecnologia</t>
        </is>
      </c>
      <c r="F110" s="14" t="n">
        <v>990.26</v>
      </c>
      <c r="G110" s="15" t="inlineStr">
        <is>
          <t>USD</t>
        </is>
      </c>
      <c r="H110" s="14" t="n">
        <v>887.0749137837283</v>
      </c>
      <c r="I110" s="16" t="n">
        <v>1003797.744124761</v>
      </c>
      <c r="J110" s="16" t="n">
        <v>1120560.1</v>
      </c>
      <c r="K110" s="14" t="n">
        <v>74.33</v>
      </c>
      <c r="L110" s="14" t="n">
        <v>206.33243</v>
      </c>
      <c r="M110" s="17">
        <f>IF(OR(F110="",K110="",K110&lt;=0),"",F110/K110)</f>
        <v/>
      </c>
      <c r="N110" s="18" t="n">
        <v>11.101258</v>
      </c>
      <c r="O110" s="19">
        <f>IF(OR(N110="",M110="",M110&lt;=0),"",N110/M110)</f>
        <v/>
      </c>
      <c r="P110" s="20" t="n">
        <v>0.8826000000000001</v>
      </c>
      <c r="Q110" s="20" t="n">
        <v>0.05418569393215231</v>
      </c>
      <c r="R110" s="20" t="n">
        <v>0.1236757150852483</v>
      </c>
      <c r="S110" s="21" t="n">
        <v>4</v>
      </c>
      <c r="T110" s="20" t="n"/>
      <c r="U110" s="20" t="n">
        <v>0.1576479276285424</v>
      </c>
      <c r="V110" s="20" t="n">
        <v>0.0172387051029226</v>
      </c>
      <c r="W110" s="20" t="n">
        <v>-0.132207615593835</v>
      </c>
      <c r="X110" s="20" t="n">
        <v>0.1740637585909792</v>
      </c>
      <c r="Y110" s="14" t="n">
        <v>0.6</v>
      </c>
      <c r="Z110" s="19">
        <f>IF(OR(Y110="",F110="",F110=0),"",Y110/F110)</f>
        <v/>
      </c>
      <c r="AA110" s="22" t="n">
        <v>3.743</v>
      </c>
      <c r="AB110" s="20" t="n">
        <v>3.793</v>
      </c>
      <c r="AC110" s="20" t="n">
        <v>2.273235509230028</v>
      </c>
      <c r="AD110" s="17">
        <f>IF(OR(Q110="",M110="",M110&lt;=0),"",ROUND(40*MAX(0,MIN(N(Q110)/0.3,1))+IF(OR(R110="",N(Q110)&lt;=0),10,20*MAX(0,1-MIN(R110/Q110,1)))+30*MAX(0,MIN((PARAMETRI!$B$5-M110)/MAX(PARAMETRI!$B$5-10,1),1))+IF(AB110="",3,10*MAX(0,MIN(AB110/0.15,1)))+IF(AND(P110&lt;&gt;"",N(P110)&lt;N(Q110)*0.6),-8,0),1))</f>
        <v/>
      </c>
      <c r="AE110" s="13">
        <f>IF(AND(P110="",Q110=""),"DATI MANCANTI",IF(AND(N(P110)&gt;=PARAMETRI!$B$4,N(Q110)&gt;=PARAMETRI!$B$4),"OK","NO"))</f>
        <v/>
      </c>
      <c r="AF110" s="13">
        <f>IF(M110="","N/D",IF(M110&lt;PARAMETRI!$B$6,"OTTIMO",IF(M110&lt;PARAMETRI!$B$5,"OK","NO")))</f>
        <v/>
      </c>
      <c r="AG110" s="13">
        <f>IF(OR(AE110="DATI MANCANTI",AF110="N/D"),"DA COMPLETARE",IF(AND(AE110="OK",AF110="OTTIMO"),"PASSA FORTE",IF(AND(AE110="OK",AF110="OK"),"PASSA","SCARTA")))</f>
        <v/>
      </c>
      <c r="AH110" s="11" t="inlineStr">
        <is>
          <t>2026-10-12</t>
        </is>
      </c>
      <c r="AI110" s="11" t="inlineStr">
        <is>
          <t>yahoo</t>
        </is>
      </c>
      <c r="AJ110" s="23" t="inlineStr"/>
    </row>
    <row r="111">
      <c r="A111" s="10">
        <f>IF(AD111="","",RANK(AD111,AD$2:AD$167))</f>
        <v/>
      </c>
      <c r="B111" s="11" t="inlineStr">
        <is>
          <t>Kinder Morgan</t>
        </is>
      </c>
      <c r="C111" s="12" t="inlineStr">
        <is>
          <t>KMI</t>
        </is>
      </c>
      <c r="D111" s="11" t="inlineStr">
        <is>
          <t>Gasdotti</t>
        </is>
      </c>
      <c r="E111" s="13" t="inlineStr">
        <is>
          <t>Energia</t>
        </is>
      </c>
      <c r="F111" s="14" t="n">
        <v>32.925</v>
      </c>
      <c r="G111" s="15" t="inlineStr">
        <is>
          <t>USD</t>
        </is>
      </c>
      <c r="H111" s="14" t="n">
        <v>29.49421519230228</v>
      </c>
      <c r="I111" s="16" t="n">
        <v>65619.50034783913</v>
      </c>
      <c r="J111" s="16" t="n">
        <v>73252.39999999999</v>
      </c>
      <c r="K111" s="14" t="n">
        <v>1.55</v>
      </c>
      <c r="L111" s="14" t="n">
        <v>1.54454</v>
      </c>
      <c r="M111" s="17">
        <f>IF(OR(F111="",K111="",K111&lt;=0),"",F111/K111)</f>
        <v/>
      </c>
      <c r="N111" s="18" t="n">
        <v>2.3158894</v>
      </c>
      <c r="O111" s="19">
        <f>IF(OR(N111="",M111="",M111&lt;=0),"",N111/M111)</f>
        <v/>
      </c>
      <c r="P111" s="20" t="n">
        <v>0.109910004</v>
      </c>
      <c r="Q111" s="20" t="n">
        <v>0.08635798073446269</v>
      </c>
      <c r="R111" s="20" t="n">
        <v>0.007167473388274325</v>
      </c>
      <c r="S111" s="21" t="n">
        <v>4</v>
      </c>
      <c r="T111" s="20" t="n"/>
      <c r="U111" s="20" t="n">
        <v>0.0980681599383865</v>
      </c>
      <c r="V111" s="20" t="n">
        <v>0.08558514296944089</v>
      </c>
      <c r="W111" s="20" t="n">
        <v>0.07889526826371016</v>
      </c>
      <c r="X111" s="20" t="n">
        <v>0.08288335176631319</v>
      </c>
      <c r="Y111" s="14" t="n">
        <v>1.18</v>
      </c>
      <c r="Z111" s="19">
        <f>IF(OR(Y111="",F111="",F111=0),"",Y111/F111)</f>
        <v/>
      </c>
      <c r="AA111" s="22" t="n">
        <v>98.619</v>
      </c>
      <c r="AB111" s="20" t="n">
        <v>0.108</v>
      </c>
      <c r="AC111" s="20" t="n">
        <v>0.2036370039558363</v>
      </c>
      <c r="AD111" s="17">
        <f>IF(OR(Q111="",M111="",M111&lt;=0),"",ROUND(40*MAX(0,MIN(N(Q111)/0.3,1))+IF(OR(R111="",N(Q111)&lt;=0),10,20*MAX(0,1-MIN(R111/Q111,1)))+30*MAX(0,MIN((PARAMETRI!$B$5-M111)/MAX(PARAMETRI!$B$5-10,1),1))+IF(AB111="",3,10*MAX(0,MIN(AB111/0.15,1)))+IF(AND(P111&lt;&gt;"",N(P111)&lt;N(Q111)*0.6),-8,0),1))</f>
        <v/>
      </c>
      <c r="AE111" s="13">
        <f>IF(AND(P111="",Q111=""),"DATI MANCANTI",IF(AND(N(P111)&gt;=PARAMETRI!$B$4,N(Q111)&gt;=PARAMETRI!$B$4),"OK","NO"))</f>
        <v/>
      </c>
      <c r="AF111" s="13">
        <f>IF(M111="","N/D",IF(M111&lt;PARAMETRI!$B$6,"OTTIMO",IF(M111&lt;PARAMETRI!$B$5,"OK","NO")))</f>
        <v/>
      </c>
      <c r="AG111" s="13">
        <f>IF(OR(AE111="DATI MANCANTI",AF111="N/D"),"DA COMPLETARE",IF(AND(AE111="OK",AF111="OTTIMO"),"PASSA FORTE",IF(AND(AE111="OK",AF111="OK"),"PASSA","SCARTA")))</f>
        <v/>
      </c>
      <c r="AH111" s="11" t="inlineStr">
        <is>
          <t>2026-10-12</t>
        </is>
      </c>
      <c r="AI111" s="11" t="inlineStr">
        <is>
          <t>yahoo</t>
        </is>
      </c>
      <c r="AJ111" s="23" t="inlineStr"/>
    </row>
    <row r="112">
      <c r="A112" s="10">
        <f>IF(AD112="","",RANK(AD112,AD$2:AD$167))</f>
        <v/>
      </c>
      <c r="B112" s="11" t="inlineStr">
        <is>
          <t>Boston Scientific</t>
        </is>
      </c>
      <c r="C112" s="12" t="inlineStr">
        <is>
          <t>BSX</t>
        </is>
      </c>
      <c r="D112" s="11" t="inlineStr">
        <is>
          <t>Dispositivi medicali</t>
        </is>
      </c>
      <c r="E112" s="13" t="inlineStr">
        <is>
          <t>Salute</t>
        </is>
      </c>
      <c r="F112" s="14" t="n">
        <v>43.095</v>
      </c>
      <c r="G112" s="15" t="inlineStr">
        <is>
          <t>USD</t>
        </is>
      </c>
      <c r="H112" s="14" t="n">
        <v>38.60450125170134</v>
      </c>
      <c r="I112" s="16" t="n">
        <v>55946.83104477333</v>
      </c>
      <c r="J112" s="16" t="n">
        <v>62454.6</v>
      </c>
      <c r="K112" s="14" t="n">
        <v>2.47</v>
      </c>
      <c r="L112" s="14" t="n">
        <v>3.3791</v>
      </c>
      <c r="M112" s="17">
        <f>IF(OR(F112="",K112="",K112&lt;=0),"",F112/K112)</f>
        <v/>
      </c>
      <c r="N112" s="18" t="n">
        <v>2.5008705</v>
      </c>
      <c r="O112" s="19">
        <f>IF(OR(N112="",M112="",M112&lt;=0),"",N112/M112)</f>
        <v/>
      </c>
      <c r="P112" s="20" t="n">
        <v>0.15338999</v>
      </c>
      <c r="Q112" s="20" t="n">
        <v>0.08177373868964678</v>
      </c>
      <c r="R112" s="20" t="n">
        <v>0.02833405857448824</v>
      </c>
      <c r="S112" s="21" t="n">
        <v>4</v>
      </c>
      <c r="T112" s="20" t="n"/>
      <c r="U112" s="20" t="n">
        <v>0.1195939253879168</v>
      </c>
      <c r="V112" s="20" t="n">
        <v>0.08516306844281121</v>
      </c>
      <c r="W112" s="20" t="n">
        <v>0.08262019604792283</v>
      </c>
      <c r="X112" s="20" t="n">
        <v>0.03971776487993627</v>
      </c>
      <c r="Y112" s="14" t="n"/>
      <c r="Z112" s="19">
        <f>IF(OR(Y112="",F112="",F112=0),"",Y112/F112)</f>
        <v/>
      </c>
      <c r="AA112" s="22" t="n">
        <v>50.151</v>
      </c>
      <c r="AB112" s="20" t="n">
        <v>0.075</v>
      </c>
      <c r="AC112" s="20" t="n">
        <v>0.183022809205938</v>
      </c>
      <c r="AD112" s="17">
        <f>IF(OR(Q112="",M112="",M112&lt;=0),"",ROUND(40*MAX(0,MIN(N(Q112)/0.3,1))+IF(OR(R112="",N(Q112)&lt;=0),10,20*MAX(0,1-MIN(R112/Q112,1)))+30*MAX(0,MIN((PARAMETRI!$B$5-M112)/MAX(PARAMETRI!$B$5-10,1),1))+IF(AB112="",3,10*MAX(0,MIN(AB112/0.15,1)))+IF(AND(P112&lt;&gt;"",N(P112)&lt;N(Q112)*0.6),-8,0),1))</f>
        <v/>
      </c>
      <c r="AE112" s="13">
        <f>IF(AND(P112="",Q112=""),"DATI MANCANTI",IF(AND(N(P112)&gt;=PARAMETRI!$B$4,N(Q112)&gt;=PARAMETRI!$B$4),"OK","NO"))</f>
        <v/>
      </c>
      <c r="AF112" s="13">
        <f>IF(M112="","N/D",IF(M112&lt;PARAMETRI!$B$6,"OTTIMO",IF(M112&lt;PARAMETRI!$B$5,"OK","NO")))</f>
        <v/>
      </c>
      <c r="AG112" s="13">
        <f>IF(OR(AE112="DATI MANCANTI",AF112="N/D"),"DA COMPLETARE",IF(AND(AE112="OK",AF112="OTTIMO"),"PASSA FORTE",IF(AND(AE112="OK",AF112="OK"),"PASSA","SCARTA")))</f>
        <v/>
      </c>
      <c r="AH112" s="11" t="inlineStr">
        <is>
          <t>2026-10-12</t>
        </is>
      </c>
      <c r="AI112" s="11" t="inlineStr">
        <is>
          <t>yahoo</t>
        </is>
      </c>
      <c r="AJ112" s="23" t="inlineStr"/>
    </row>
    <row r="113">
      <c r="A113" s="10">
        <f>IF(AD113="","",RANK(AD113,AD$2:AD$167))</f>
        <v/>
      </c>
      <c r="B113" s="11" t="inlineStr">
        <is>
          <t>Bristol-Myers Squibb</t>
        </is>
      </c>
      <c r="C113" s="12" t="inlineStr">
        <is>
          <t>BMY</t>
        </is>
      </c>
      <c r="D113" s="11" t="inlineStr">
        <is>
          <t>Farmaceutica</t>
        </is>
      </c>
      <c r="E113" s="13" t="inlineStr">
        <is>
          <t>Salute</t>
        </is>
      </c>
      <c r="F113" s="14" t="n">
        <v>57.17</v>
      </c>
      <c r="G113" s="15" t="inlineStr">
        <is>
          <t>USD</t>
        </is>
      </c>
      <c r="H113" s="14" t="n">
        <v>51.21288633390802</v>
      </c>
      <c r="I113" s="16" t="n">
        <v>104613.3162820788</v>
      </c>
      <c r="J113" s="16" t="n">
        <v>116782</v>
      </c>
      <c r="K113" s="14" t="n">
        <v>4.54</v>
      </c>
      <c r="L113" s="14" t="n">
        <v>6.60068</v>
      </c>
      <c r="M113" s="17">
        <f>IF(OR(F113="",K113="",K113&lt;=0),"",F113/K113)</f>
        <v/>
      </c>
      <c r="N113" s="18" t="n">
        <v>5.2329516</v>
      </c>
      <c r="O113" s="19">
        <f>IF(OR(N113="",M113="",M113&lt;=0),"",N113/M113)</f>
        <v/>
      </c>
      <c r="P113" s="20" t="n">
        <v>0.46598998</v>
      </c>
      <c r="Q113" s="20" t="n">
        <v>0.07761266271412175</v>
      </c>
      <c r="R113" s="20" t="n">
        <v>0.3666158804610691</v>
      </c>
      <c r="S113" s="21" t="n">
        <v>4</v>
      </c>
      <c r="T113" s="20" t="n"/>
      <c r="U113" s="20" t="n">
        <v>0.3818545986033671</v>
      </c>
      <c r="V113" s="20" t="n">
        <v>-0.5477808386899296</v>
      </c>
      <c r="W113" s="20" t="n">
        <v>0.2726809378185525</v>
      </c>
      <c r="X113" s="20" t="n">
        <v>0.203695953124497</v>
      </c>
      <c r="Y113" s="14" t="n">
        <v>2.52</v>
      </c>
      <c r="Z113" s="19">
        <f>IF(OR(Y113="",F113="",F113=0),"",Y113/F113)</f>
        <v/>
      </c>
      <c r="AA113" s="22" t="n">
        <v>201.859</v>
      </c>
      <c r="AB113" s="20" t="n">
        <v>0.057</v>
      </c>
      <c r="AC113" s="20" t="n">
        <v>0.1925925899367154</v>
      </c>
      <c r="AD113" s="17">
        <f>IF(OR(Q113="",M113="",M113&lt;=0),"",ROUND(40*MAX(0,MIN(N(Q113)/0.3,1))+IF(OR(R113="",N(Q113)&lt;=0),10,20*MAX(0,1-MIN(R113/Q113,1)))+30*MAX(0,MIN((PARAMETRI!$B$5-M113)/MAX(PARAMETRI!$B$5-10,1),1))+IF(AB113="",3,10*MAX(0,MIN(AB113/0.15,1)))+IF(AND(P113&lt;&gt;"",N(P113)&lt;N(Q113)*0.6),-8,0),1))</f>
        <v/>
      </c>
      <c r="AE113" s="13">
        <f>IF(AND(P113="",Q113=""),"DATI MANCANTI",IF(AND(N(P113)&gt;=PARAMETRI!$B$4,N(Q113)&gt;=PARAMETRI!$B$4),"OK","NO"))</f>
        <v/>
      </c>
      <c r="AF113" s="13">
        <f>IF(M113="","N/D",IF(M113&lt;PARAMETRI!$B$6,"OTTIMO",IF(M113&lt;PARAMETRI!$B$5,"OK","NO")))</f>
        <v/>
      </c>
      <c r="AG113" s="13">
        <f>IF(OR(AE113="DATI MANCANTI",AF113="N/D"),"DA COMPLETARE",IF(AND(AE113="OK",AF113="OTTIMO"),"PASSA FORTE",IF(AND(AE113="OK",AF113="OK"),"PASSA","SCARTA")))</f>
        <v/>
      </c>
      <c r="AH113" s="11" t="inlineStr">
        <is>
          <t>2026-10-12</t>
        </is>
      </c>
      <c r="AI113" s="11" t="inlineStr">
        <is>
          <t>yahoo</t>
        </is>
      </c>
      <c r="AJ113" s="23" t="inlineStr"/>
    </row>
    <row r="114">
      <c r="A114" s="10">
        <f>IF(AD114="","",RANK(AD114,AD$2:AD$167))</f>
        <v/>
      </c>
      <c r="B114" s="11" t="inlineStr">
        <is>
          <t>Colgate-Palmolive</t>
        </is>
      </c>
      <c r="C114" s="12" t="inlineStr">
        <is>
          <t>CL</t>
        </is>
      </c>
      <c r="D114" s="11" t="inlineStr">
        <is>
          <t>Cura della persona</t>
        </is>
      </c>
      <c r="E114" s="13" t="inlineStr">
        <is>
          <t>Consumi</t>
        </is>
      </c>
      <c r="F114" s="14" t="n">
        <v>89.43000000000001</v>
      </c>
      <c r="G114" s="15" t="inlineStr">
        <is>
          <t>USD</t>
        </is>
      </c>
      <c r="H114" s="14" t="n">
        <v>80.11139452232629</v>
      </c>
      <c r="I114" s="16" t="n">
        <v>63862.65737638452</v>
      </c>
      <c r="J114" s="16" t="n">
        <v>71291.2</v>
      </c>
      <c r="K114" s="14" t="n">
        <v>2.54</v>
      </c>
      <c r="L114" s="14" t="n">
        <v>4.09552</v>
      </c>
      <c r="M114" s="17">
        <f>IF(OR(F114="",K114="",K114&lt;=0),"",F114/K114)</f>
        <v/>
      </c>
      <c r="N114" s="18" t="n">
        <v>302.1284</v>
      </c>
      <c r="O114" s="19">
        <f>IF(OR(N114="",M114="",M114&lt;=0),"",N114/M114)</f>
        <v/>
      </c>
      <c r="P114" s="20" t="n">
        <v>2.67367</v>
      </c>
      <c r="Q114" s="20" t="n">
        <v>15.33422365753694</v>
      </c>
      <c r="R114" s="20" t="n">
        <v>14.47425872617575</v>
      </c>
      <c r="S114" s="21" t="n">
        <v>4</v>
      </c>
      <c r="T114" s="20" t="n"/>
      <c r="U114" s="20" t="n">
        <v>39.48148148148148</v>
      </c>
      <c r="V114" s="20" t="n">
        <v>13.62735849056604</v>
      </c>
      <c r="W114" s="20" t="n">
        <v>3.776683087027914</v>
      </c>
      <c r="X114" s="20" t="n">
        <v>4.451371571072319</v>
      </c>
      <c r="Y114" s="14" t="n">
        <v>2.12</v>
      </c>
      <c r="Z114" s="19">
        <f>IF(OR(Y114="",F114="",F114=0),"",Y114/F114)</f>
        <v/>
      </c>
      <c r="AA114" s="22" t="n">
        <v>1388.163</v>
      </c>
      <c r="AB114" s="20" t="n">
        <v>0.049</v>
      </c>
      <c r="AC114" s="20" t="n">
        <v>0.09999018742027278</v>
      </c>
      <c r="AD114" s="17">
        <f>IF(OR(Q114="",M114="",M114&lt;=0),"",ROUND(40*MAX(0,MIN(N(Q114)/0.3,1))+IF(OR(R114="",N(Q114)&lt;=0),10,20*MAX(0,1-MIN(R114/Q114,1)))+30*MAX(0,MIN((PARAMETRI!$B$5-M114)/MAX(PARAMETRI!$B$5-10,1),1))+IF(AB114="",3,10*MAX(0,MIN(AB114/0.15,1)))+IF(AND(P114&lt;&gt;"",N(P114)&lt;N(Q114)*0.6),-8,0),1))</f>
        <v/>
      </c>
      <c r="AE114" s="13">
        <f>IF(AND(P114="",Q114=""),"DATI MANCANTI",IF(AND(N(P114)&gt;=PARAMETRI!$B$4,N(Q114)&gt;=PARAMETRI!$B$4),"OK","NO"))</f>
        <v/>
      </c>
      <c r="AF114" s="13">
        <f>IF(M114="","N/D",IF(M114&lt;PARAMETRI!$B$6,"OTTIMO",IF(M114&lt;PARAMETRI!$B$5,"OK","NO")))</f>
        <v/>
      </c>
      <c r="AG114" s="13">
        <f>IF(OR(AE114="DATI MANCANTI",AF114="N/D"),"DA COMPLETARE",IF(AND(AE114="OK",AF114="OTTIMO"),"PASSA FORTE",IF(AND(AE114="OK",AF114="OK"),"PASSA","SCARTA")))</f>
        <v/>
      </c>
      <c r="AH114" s="11" t="inlineStr">
        <is>
          <t>2026-10-12</t>
        </is>
      </c>
      <c r="AI114" s="11" t="inlineStr">
        <is>
          <t>yahoo</t>
        </is>
      </c>
      <c r="AJ114" s="23" t="inlineStr"/>
    </row>
    <row r="115">
      <c r="A115" s="10">
        <f>IF(AD115="","",RANK(AD115,AD$2:AD$167))</f>
        <v/>
      </c>
      <c r="B115" s="11" t="inlineStr">
        <is>
          <t>Palo Alto Networks</t>
        </is>
      </c>
      <c r="C115" s="12" t="inlineStr">
        <is>
          <t>PANW</t>
        </is>
      </c>
      <c r="D115" s="11" t="inlineStr">
        <is>
          <t>Cybersicurezza</t>
        </is>
      </c>
      <c r="E115" s="13" t="inlineStr">
        <is>
          <t>Tecnologia</t>
        </is>
      </c>
      <c r="F115" s="14" t="n">
        <v>399.91</v>
      </c>
      <c r="G115" s="15" t="inlineStr">
        <is>
          <t>USD</t>
        </is>
      </c>
      <c r="H115" s="14" t="n">
        <v>358.2393803357207</v>
      </c>
      <c r="I115" s="16" t="n">
        <v>293039.8310306197</v>
      </c>
      <c r="J115" s="16" t="n">
        <v>327126.4</v>
      </c>
      <c r="K115" s="14" t="n">
        <v>0.4</v>
      </c>
      <c r="L115" s="14" t="n">
        <v>4.87907</v>
      </c>
      <c r="M115" s="17">
        <f>IF(OR(F115="",K115="",K115&lt;=0),"",F115/K115)</f>
        <v/>
      </c>
      <c r="N115" s="18" t="n">
        <v>11.855156</v>
      </c>
      <c r="O115" s="19">
        <f>IF(OR(N115="",M115="",M115&lt;=0),"",N115/M115)</f>
        <v/>
      </c>
      <c r="P115" s="20" t="n">
        <v>0.01739</v>
      </c>
      <c r="Q115" s="20" t="n">
        <v>0.2265668951458051</v>
      </c>
      <c r="R115" s="20" t="n">
        <v>0.1786925818781736</v>
      </c>
      <c r="S115" s="21" t="n">
        <v>4</v>
      </c>
      <c r="T115" s="20" t="n">
        <v>0.01116688491197439</v>
      </c>
      <c r="U115" s="20" t="n">
        <v>0.1449386503067485</v>
      </c>
      <c r="V115" s="20" t="n">
        <v>0.4986749714683638</v>
      </c>
      <c r="W115" s="20" t="n">
        <v>0.2514870738961336</v>
      </c>
      <c r="X115" s="20" t="n">
        <v>-1.271428571428571</v>
      </c>
      <c r="Y115" s="14" t="n"/>
      <c r="Z115" s="19">
        <f>IF(OR(Y115="",F115="",F115=0),"",Y115/F115)</f>
        <v/>
      </c>
      <c r="AA115" s="22" t="n">
        <v>9.337</v>
      </c>
      <c r="AB115" s="20" t="n">
        <v>0.345</v>
      </c>
      <c r="AC115" s="20" t="n">
        <v>0.02674216027874565</v>
      </c>
      <c r="AD115" s="17">
        <f>IF(OR(Q115="",M115="",M115&lt;=0),"",ROUND(40*MAX(0,MIN(N(Q115)/0.3,1))+IF(OR(R115="",N(Q115)&lt;=0),10,20*MAX(0,1-MIN(R115/Q115,1)))+30*MAX(0,MIN((PARAMETRI!$B$5-M115)/MAX(PARAMETRI!$B$5-10,1),1))+IF(AB115="",3,10*MAX(0,MIN(AB115/0.15,1)))+IF(AND(P115&lt;&gt;"",N(P115)&lt;N(Q115)*0.6),-8,0),1))</f>
        <v/>
      </c>
      <c r="AE115" s="13">
        <f>IF(AND(P115="",Q115=""),"DATI MANCANTI",IF(AND(N(P115)&gt;=PARAMETRI!$B$4,N(Q115)&gt;=PARAMETRI!$B$4),"OK","NO"))</f>
        <v/>
      </c>
      <c r="AF115" s="13">
        <f>IF(M115="","N/D",IF(M115&lt;PARAMETRI!$B$6,"OTTIMO",IF(M115&lt;PARAMETRI!$B$5,"OK","NO")))</f>
        <v/>
      </c>
      <c r="AG115" s="13">
        <f>IF(OR(AE115="DATI MANCANTI",AF115="N/D"),"DA COMPLETARE",IF(AND(AE115="OK",AF115="OTTIMO"),"PASSA FORTE",IF(AND(AE115="OK",AF115="OK"),"PASSA","SCARTA")))</f>
        <v/>
      </c>
      <c r="AH115" s="11" t="inlineStr">
        <is>
          <t>2026-10-12</t>
        </is>
      </c>
      <c r="AI115" s="11" t="inlineStr">
        <is>
          <t>yahoo</t>
        </is>
      </c>
      <c r="AJ115" s="23" t="inlineStr"/>
    </row>
    <row r="116">
      <c r="A116" s="10">
        <f>IF(AD116="","",RANK(AD116,AD$2:AD$167))</f>
        <v/>
      </c>
      <c r="B116" s="11" t="inlineStr">
        <is>
          <t>Analog Devices</t>
        </is>
      </c>
      <c r="C116" s="12" t="inlineStr">
        <is>
          <t>ADI</t>
        </is>
      </c>
      <c r="D116" s="11" t="inlineStr">
        <is>
          <t>Semiconduttori</t>
        </is>
      </c>
      <c r="E116" s="13" t="inlineStr">
        <is>
          <t>Tecnologia</t>
        </is>
      </c>
      <c r="F116" s="14" t="n">
        <v>405.88</v>
      </c>
      <c r="G116" s="15" t="inlineStr">
        <is>
          <t>USD</t>
        </is>
      </c>
      <c r="H116" s="14" t="n">
        <v>363.5873063705892</v>
      </c>
      <c r="I116" s="16" t="n">
        <v>176181.8244687055</v>
      </c>
      <c r="J116" s="16" t="n">
        <v>196675.4</v>
      </c>
      <c r="K116" s="14" t="n">
        <v>8.42</v>
      </c>
      <c r="L116" s="14" t="n">
        <v>16.34812</v>
      </c>
      <c r="M116" s="17">
        <f>IF(OR(F116="",K116="",K116&lt;=0),"",F116/K116)</f>
        <v/>
      </c>
      <c r="N116" s="18" t="n">
        <v>5.8620143</v>
      </c>
      <c r="O116" s="19">
        <f>IF(OR(N116="",M116="",M116&lt;=0),"",N116/M116)</f>
        <v/>
      </c>
      <c r="P116" s="20" t="n">
        <v>0.12227</v>
      </c>
      <c r="Q116" s="20" t="n">
        <v>0.12227</v>
      </c>
      <c r="R116" s="20" t="n"/>
      <c r="S116" s="21" t="n">
        <v>0</v>
      </c>
      <c r="T116" s="20" t="n"/>
      <c r="U116" s="20" t="n">
        <v>0.06704987068897324</v>
      </c>
      <c r="V116" s="20" t="n">
        <v>0.04648789695635276</v>
      </c>
      <c r="W116" s="20" t="n">
        <v>0.09319745901616758</v>
      </c>
      <c r="X116" s="20" t="n">
        <v>0.07537465114459564</v>
      </c>
      <c r="Y116" s="14" t="n">
        <v>4.4</v>
      </c>
      <c r="Z116" s="19">
        <f>IF(OR(Y116="",F116="",F116=0),"",Y116/F116)</f>
        <v/>
      </c>
      <c r="AA116" s="22" t="n">
        <v>27.314</v>
      </c>
      <c r="AB116" s="20" t="n">
        <v>0.396</v>
      </c>
      <c r="AC116" s="20" t="n">
        <v>0.29787</v>
      </c>
      <c r="AD116" s="17">
        <f>IF(OR(Q116="",M116="",M116&lt;=0),"",ROUND(40*MAX(0,MIN(N(Q116)/0.3,1))+IF(OR(R116="",N(Q116)&lt;=0),10,20*MAX(0,1-MIN(R116/Q116,1)))+30*MAX(0,MIN((PARAMETRI!$B$5-M116)/MAX(PARAMETRI!$B$5-10,1),1))+IF(AB116="",3,10*MAX(0,MIN(AB116/0.15,1)))+IF(AND(P116&lt;&gt;"",N(P116)&lt;N(Q116)*0.6),-8,0),1))</f>
        <v/>
      </c>
      <c r="AE116" s="13">
        <f>IF(AND(P116="",Q116=""),"DATI MANCANTI",IF(AND(N(P116)&gt;=PARAMETRI!$B$4,N(Q116)&gt;=PARAMETRI!$B$4),"OK","NO"))</f>
        <v/>
      </c>
      <c r="AF116" s="13">
        <f>IF(M116="","N/D",IF(M116&lt;PARAMETRI!$B$6,"OTTIMO",IF(M116&lt;PARAMETRI!$B$5,"OK","NO")))</f>
        <v/>
      </c>
      <c r="AG116" s="13">
        <f>IF(OR(AE116="DATI MANCANTI",AF116="N/D"),"DA COMPLETARE",IF(AND(AE116="OK",AF116="OTTIMO"),"PASSA FORTE",IF(AND(AE116="OK",AF116="OK"),"PASSA","SCARTA")))</f>
        <v/>
      </c>
      <c r="AH116" s="11" t="inlineStr">
        <is>
          <t>2026-10-12</t>
        </is>
      </c>
      <c r="AI116" s="11" t="inlineStr">
        <is>
          <t>yahoo</t>
        </is>
      </c>
      <c r="AJ116" s="23" t="inlineStr"/>
    </row>
    <row r="117">
      <c r="A117" s="10">
        <f>IF(AD117="","",RANK(AD117,AD$2:AD$167))</f>
        <v/>
      </c>
      <c r="B117" s="11" t="inlineStr">
        <is>
          <t>S&amp;P Global</t>
        </is>
      </c>
      <c r="C117" s="12" t="inlineStr">
        <is>
          <t>SPGI</t>
        </is>
      </c>
      <c r="D117" s="11" t="inlineStr">
        <is>
          <t>Dati e rating</t>
        </is>
      </c>
      <c r="E117" s="13" t="inlineStr">
        <is>
          <t>Finanziario</t>
        </is>
      </c>
      <c r="F117" s="14" t="n">
        <v>412.135</v>
      </c>
      <c r="G117" s="15" t="inlineStr">
        <is>
          <t>USD</t>
        </is>
      </c>
      <c r="H117" s="14" t="n">
        <v>369.1905354071222</v>
      </c>
      <c r="I117" s="16" t="n">
        <v>108837.3716296197</v>
      </c>
      <c r="J117" s="16" t="n">
        <v>121497.4</v>
      </c>
      <c r="K117" s="14" t="n">
        <v>16.43</v>
      </c>
      <c r="L117" s="14" t="n">
        <v>20.18818</v>
      </c>
      <c r="M117" s="17">
        <f>IF(OR(F117="",K117="",K117&lt;=0),"",F117/K117)</f>
        <v/>
      </c>
      <c r="N117" s="18" t="n">
        <v>3.8569558</v>
      </c>
      <c r="O117" s="19">
        <f>IF(OR(N117="",M117="",M117&lt;=0),"",N117/M117)</f>
        <v/>
      </c>
      <c r="P117" s="20" t="n">
        <v>0.14255</v>
      </c>
      <c r="Q117" s="20" t="n">
        <v>0.1064621835887914</v>
      </c>
      <c r="R117" s="20" t="n">
        <v>0.02575321793401057</v>
      </c>
      <c r="S117" s="21" t="n">
        <v>4</v>
      </c>
      <c r="T117" s="20" t="n"/>
      <c r="U117" s="20" t="n">
        <v>0.1436373566357182</v>
      </c>
      <c r="V117" s="20" t="n">
        <v>0.1161675563195513</v>
      </c>
      <c r="W117" s="20" t="n">
        <v>0.07678362573099415</v>
      </c>
      <c r="X117" s="20" t="n">
        <v>0.08926019566890184</v>
      </c>
      <c r="Y117" s="14" t="n">
        <v>3.88</v>
      </c>
      <c r="Z117" s="19">
        <f>IF(OR(Y117="",F117="",F117=0),"",Y117/F117)</f>
        <v/>
      </c>
      <c r="AA117" s="22" t="n">
        <v>42.98</v>
      </c>
      <c r="AB117" s="20" t="n">
        <v>0.104</v>
      </c>
      <c r="AC117" s="20" t="n">
        <v>0.3210093771517997</v>
      </c>
      <c r="AD117" s="17">
        <f>IF(OR(Q117="",M117="",M117&lt;=0),"",ROUND(40*MAX(0,MIN(N(Q117)/0.3,1))+IF(OR(R117="",N(Q117)&lt;=0),10,20*MAX(0,1-MIN(R117/Q117,1)))+30*MAX(0,MIN((PARAMETRI!$B$5-M117)/MAX(PARAMETRI!$B$5-10,1),1))+IF(AB117="",3,10*MAX(0,MIN(AB117/0.15,1)))+IF(AND(P117&lt;&gt;"",N(P117)&lt;N(Q117)*0.6),-8,0),1))</f>
        <v/>
      </c>
      <c r="AE117" s="13">
        <f>IF(AND(P117="",Q117=""),"DATI MANCANTI",IF(AND(N(P117)&gt;=PARAMETRI!$B$4,N(Q117)&gt;=PARAMETRI!$B$4),"OK","NO"))</f>
        <v/>
      </c>
      <c r="AF117" s="13">
        <f>IF(M117="","N/D",IF(M117&lt;PARAMETRI!$B$6,"OTTIMO",IF(M117&lt;PARAMETRI!$B$5,"OK","NO")))</f>
        <v/>
      </c>
      <c r="AG117" s="13">
        <f>IF(OR(AE117="DATI MANCANTI",AF117="N/D"),"DA COMPLETARE",IF(AND(AE117="OK",AF117="OTTIMO"),"PASSA FORTE",IF(AND(AE117="OK",AF117="OK"),"PASSA","SCARTA")))</f>
        <v/>
      </c>
      <c r="AH117" s="11" t="inlineStr">
        <is>
          <t>2026-10-12</t>
        </is>
      </c>
      <c r="AI117" s="11" t="inlineStr">
        <is>
          <t>yahoo</t>
        </is>
      </c>
      <c r="AJ117" s="23" t="inlineStr"/>
    </row>
    <row r="118">
      <c r="A118" s="10">
        <f>IF(AD118="","",RANK(AD118,AD$2:AD$167))</f>
        <v/>
      </c>
      <c r="B118" s="11" t="inlineStr">
        <is>
          <t>PACCAR</t>
        </is>
      </c>
      <c r="C118" s="12" t="inlineStr">
        <is>
          <t>PCAR</t>
        </is>
      </c>
      <c r="D118" s="11" t="inlineStr">
        <is>
          <t>Veicoli industriali</t>
        </is>
      </c>
      <c r="E118" s="13" t="inlineStr">
        <is>
          <t>Industriale</t>
        </is>
      </c>
      <c r="F118" s="14" t="n">
        <v>109.195</v>
      </c>
      <c r="G118" s="15" t="inlineStr">
        <is>
          <t>USD</t>
        </is>
      </c>
      <c r="H118" s="14" t="n">
        <v>97.81688163776604</v>
      </c>
      <c r="I118" s="16" t="n">
        <v>51487.35945569758</v>
      </c>
      <c r="J118" s="16" t="n">
        <v>57476.4</v>
      </c>
      <c r="K118" s="14" t="n">
        <v>4.75</v>
      </c>
      <c r="L118" s="14" t="n">
        <v>7.16239</v>
      </c>
      <c r="M118" s="17">
        <f>IF(OR(F118="",K118="",K118&lt;=0),"",F118/K118)</f>
        <v/>
      </c>
      <c r="N118" s="18" t="n">
        <v>2.8283732</v>
      </c>
      <c r="O118" s="19">
        <f>IF(OR(N118="",M118="",M118&lt;=0),"",N118/M118)</f>
        <v/>
      </c>
      <c r="P118" s="20" t="n">
        <v>0.12755999</v>
      </c>
      <c r="Q118" s="20" t="n">
        <v>0.2198824319294773</v>
      </c>
      <c r="R118" s="20" t="n">
        <v>0.06041575921139673</v>
      </c>
      <c r="S118" s="21" t="n">
        <v>4</v>
      </c>
      <c r="T118" s="20" t="n"/>
      <c r="U118" s="20" t="n">
        <v>0.123328488372093</v>
      </c>
      <c r="V118" s="20" t="n">
        <v>0.2377348359789569</v>
      </c>
      <c r="W118" s="20" t="n">
        <v>0.2897448169886893</v>
      </c>
      <c r="X118" s="20" t="n">
        <v>0.2287215863781698</v>
      </c>
      <c r="Y118" s="14" t="n">
        <v>1.4</v>
      </c>
      <c r="Z118" s="19">
        <f>IF(OR(Y118="",F118="",F118=0),"",Y118/F118)</f>
        <v/>
      </c>
      <c r="AA118" s="22" t="n">
        <v>72.91</v>
      </c>
      <c r="AB118" s="20" t="n">
        <v>0.005</v>
      </c>
      <c r="AC118" s="20" t="n">
        <v>0.08803717853526831</v>
      </c>
      <c r="AD118" s="17">
        <f>IF(OR(Q118="",M118="",M118&lt;=0),"",ROUND(40*MAX(0,MIN(N(Q118)/0.3,1))+IF(OR(R118="",N(Q118)&lt;=0),10,20*MAX(0,1-MIN(R118/Q118,1)))+30*MAX(0,MIN((PARAMETRI!$B$5-M118)/MAX(PARAMETRI!$B$5-10,1),1))+IF(AB118="",3,10*MAX(0,MIN(AB118/0.15,1)))+IF(AND(P118&lt;&gt;"",N(P118)&lt;N(Q118)*0.6),-8,0),1))</f>
        <v/>
      </c>
      <c r="AE118" s="13">
        <f>IF(AND(P118="",Q118=""),"DATI MANCANTI",IF(AND(N(P118)&gt;=PARAMETRI!$B$4,N(Q118)&gt;=PARAMETRI!$B$4),"OK","NO"))</f>
        <v/>
      </c>
      <c r="AF118" s="13">
        <f>IF(M118="","N/D",IF(M118&lt;PARAMETRI!$B$6,"OTTIMO",IF(M118&lt;PARAMETRI!$B$5,"OK","NO")))</f>
        <v/>
      </c>
      <c r="AG118" s="13">
        <f>IF(OR(AE118="DATI MANCANTI",AF118="N/D"),"DA COMPLETARE",IF(AND(AE118="OK",AF118="OTTIMO"),"PASSA FORTE",IF(AND(AE118="OK",AF118="OK"),"PASSA","SCARTA")))</f>
        <v/>
      </c>
      <c r="AH118" s="11" t="inlineStr">
        <is>
          <t>2026-10-12</t>
        </is>
      </c>
      <c r="AI118" s="11" t="inlineStr">
        <is>
          <t>yahoo</t>
        </is>
      </c>
      <c r="AJ118" s="23" t="inlineStr"/>
    </row>
    <row r="119">
      <c r="A119" s="10">
        <f>IF(AD119="","",RANK(AD119,AD$2:AD$167))</f>
        <v/>
      </c>
      <c r="B119" s="11" t="inlineStr">
        <is>
          <t>Equinix</t>
        </is>
      </c>
      <c r="C119" s="12" t="inlineStr">
        <is>
          <t>EQIX</t>
        </is>
      </c>
      <c r="D119" s="11" t="inlineStr">
        <is>
          <t>REIT / Data center</t>
        </is>
      </c>
      <c r="E119" s="13" t="inlineStr">
        <is>
          <t>Immobiliare</t>
        </is>
      </c>
      <c r="F119" s="14" t="n">
        <v>1030.79</v>
      </c>
      <c r="G119" s="15" t="inlineStr">
        <is>
          <t>USD</t>
        </is>
      </c>
      <c r="H119" s="14" t="n">
        <v>923.3816880204485</v>
      </c>
      <c r="I119" s="16" t="n">
        <v>91111.63943404787</v>
      </c>
      <c r="J119" s="16" t="n">
        <v>101709.8</v>
      </c>
      <c r="K119" s="14" t="n">
        <v>15.54</v>
      </c>
      <c r="L119" s="14" t="n">
        <v>18.5275</v>
      </c>
      <c r="M119" s="17">
        <f>IF(OR(F119="",K119="",K119&lt;=0),"",F119/K119)</f>
        <v/>
      </c>
      <c r="N119" s="18" t="n">
        <v>7.071976</v>
      </c>
      <c r="O119" s="19">
        <f>IF(OR(N119="",M119="",M119&lt;=0),"",N119/M119)</f>
        <v/>
      </c>
      <c r="P119" s="20" t="n">
        <v>0.10735</v>
      </c>
      <c r="Q119" s="20" t="n">
        <v>0.07361804446541069</v>
      </c>
      <c r="R119" s="20" t="n">
        <v>0.0143175686792554</v>
      </c>
      <c r="S119" s="21" t="n">
        <v>4</v>
      </c>
      <c r="T119" s="20" t="n"/>
      <c r="U119" s="20" t="n">
        <v>0.09536592257699915</v>
      </c>
      <c r="V119" s="20" t="n">
        <v>0.06024541691306919</v>
      </c>
      <c r="W119" s="20" t="n">
        <v>0.07758827768436224</v>
      </c>
      <c r="X119" s="20" t="n">
        <v>0.06127256068721218</v>
      </c>
      <c r="Y119" s="14" t="n">
        <v>20.64</v>
      </c>
      <c r="Z119" s="19">
        <f>IF(OR(Y119="",F119="",F119=0),"",Y119/F119)</f>
        <v/>
      </c>
      <c r="AA119" s="22" t="n">
        <v>162.217</v>
      </c>
      <c r="AB119" s="20" t="n">
        <v>0.167</v>
      </c>
      <c r="AC119" s="20" t="n">
        <v>0.1663230916784203</v>
      </c>
      <c r="AD119" s="17">
        <f>IF(OR(Q119="",M119="",M119&lt;=0),"",ROUND(40*MAX(0,MIN(N(Q119)/0.3,1))+IF(OR(R119="",N(Q119)&lt;=0),10,20*MAX(0,1-MIN(R119/Q119,1)))+30*MAX(0,MIN((PARAMETRI!$B$5-M119)/MAX(PARAMETRI!$B$5-10,1),1))+IF(AB119="",3,10*MAX(0,MIN(AB119/0.15,1)))+IF(AND(P119&lt;&gt;"",N(P119)&lt;N(Q119)*0.6),-8,0),1))</f>
        <v/>
      </c>
      <c r="AE119" s="13">
        <f>IF(AND(P119="",Q119=""),"DATI MANCANTI",IF(AND(N(P119)&gt;=PARAMETRI!$B$4,N(Q119)&gt;=PARAMETRI!$B$4),"OK","NO"))</f>
        <v/>
      </c>
      <c r="AF119" s="13">
        <f>IF(M119="","N/D",IF(M119&lt;PARAMETRI!$B$6,"OTTIMO",IF(M119&lt;PARAMETRI!$B$5,"OK","NO")))</f>
        <v/>
      </c>
      <c r="AG119" s="13">
        <f>IF(OR(AE119="DATI MANCANTI",AF119="N/D"),"DA COMPLETARE",IF(AND(AE119="OK",AF119="OTTIMO"),"PASSA FORTE",IF(AND(AE119="OK",AF119="OK"),"PASSA","SCARTA")))</f>
        <v/>
      </c>
      <c r="AH119" s="11" t="inlineStr">
        <is>
          <t>2026-10-12</t>
        </is>
      </c>
      <c r="AI119" s="11" t="inlineStr">
        <is>
          <t>yahoo</t>
        </is>
      </c>
      <c r="AJ119" s="23" t="inlineStr"/>
    </row>
    <row r="120">
      <c r="A120" s="10">
        <f>IF(AD120="","",RANK(AD120,AD$2:AD$167))</f>
        <v/>
      </c>
      <c r="B120" s="11" t="inlineStr">
        <is>
          <t>Synopsys</t>
        </is>
      </c>
      <c r="C120" s="12" t="inlineStr">
        <is>
          <t>SNPS</t>
        </is>
      </c>
      <c r="D120" s="11" t="inlineStr">
        <is>
          <t>Software EDA</t>
        </is>
      </c>
      <c r="E120" s="13" t="inlineStr">
        <is>
          <t>Tecnologia</t>
        </is>
      </c>
      <c r="F120" s="14" t="n">
        <v>502.89</v>
      </c>
      <c r="G120" s="15" t="inlineStr">
        <is>
          <t>USD</t>
        </is>
      </c>
      <c r="H120" s="14" t="n">
        <v>450.4888649371873</v>
      </c>
      <c r="I120" s="16" t="n">
        <v>86330.21732287301</v>
      </c>
      <c r="J120" s="16" t="n">
        <v>96372.2</v>
      </c>
      <c r="K120" s="14" t="n">
        <v>5.66</v>
      </c>
      <c r="L120" s="14" t="n">
        <v>18.58301</v>
      </c>
      <c r="M120" s="17">
        <f>IF(OR(F120="",K120="",K120&lt;=0),"",F120/K120)</f>
        <v/>
      </c>
      <c r="N120" s="18" t="n">
        <v>3.0930517</v>
      </c>
      <c r="O120" s="19">
        <f>IF(OR(N120="",M120="",M120&lt;=0),"",N120/M120)</f>
        <v/>
      </c>
      <c r="P120" s="20" t="n">
        <v>0.03661</v>
      </c>
      <c r="Q120" s="20" t="n">
        <v>0.1693379698100742</v>
      </c>
      <c r="R120" s="20" t="n">
        <v>0.07546384101190132</v>
      </c>
      <c r="S120" s="21" t="n">
        <v>4</v>
      </c>
      <c r="T120" s="20" t="n"/>
      <c r="U120" s="20" t="n">
        <v>0.04702904255714974</v>
      </c>
      <c r="V120" s="20" t="n">
        <v>0.2517467490302759</v>
      </c>
      <c r="W120" s="20" t="n">
        <v>0.2000693636954582</v>
      </c>
      <c r="X120" s="20" t="n">
        <v>0.1785067239574127</v>
      </c>
      <c r="Y120" s="14" t="n"/>
      <c r="Z120" s="19">
        <f>IF(OR(Y120="",F120="",F120=0),"",Y120/F120)</f>
        <v/>
      </c>
      <c r="AA120" s="22" t="n">
        <v>34.804</v>
      </c>
      <c r="AB120" s="20" t="n">
        <v>0.424</v>
      </c>
      <c r="AC120" s="20" t="n">
        <v>0.1526129587316906</v>
      </c>
      <c r="AD120" s="17">
        <f>IF(OR(Q120="",M120="",M120&lt;=0),"",ROUND(40*MAX(0,MIN(N(Q120)/0.3,1))+IF(OR(R120="",N(Q120)&lt;=0),10,20*MAX(0,1-MIN(R120/Q120,1)))+30*MAX(0,MIN((PARAMETRI!$B$5-M120)/MAX(PARAMETRI!$B$5-10,1),1))+IF(AB120="",3,10*MAX(0,MIN(AB120/0.15,1)))+IF(AND(P120&lt;&gt;"",N(P120)&lt;N(Q120)*0.6),-8,0),1))</f>
        <v/>
      </c>
      <c r="AE120" s="13">
        <f>IF(AND(P120="",Q120=""),"DATI MANCANTI",IF(AND(N(P120)&gt;=PARAMETRI!$B$4,N(Q120)&gt;=PARAMETRI!$B$4),"OK","NO"))</f>
        <v/>
      </c>
      <c r="AF120" s="13">
        <f>IF(M120="","N/D",IF(M120&lt;PARAMETRI!$B$6,"OTTIMO",IF(M120&lt;PARAMETRI!$B$5,"OK","NO")))</f>
        <v/>
      </c>
      <c r="AG120" s="13">
        <f>IF(OR(AE120="DATI MANCANTI",AF120="N/D"),"DA COMPLETARE",IF(AND(AE120="OK",AF120="OTTIMO"),"PASSA FORTE",IF(AND(AE120="OK",AF120="OK"),"PASSA","SCARTA")))</f>
        <v/>
      </c>
      <c r="AH120" s="11" t="inlineStr">
        <is>
          <t>2026-10-12</t>
        </is>
      </c>
      <c r="AI120" s="11" t="inlineStr">
        <is>
          <t>yahoo</t>
        </is>
      </c>
      <c r="AJ120" s="23" t="inlineStr"/>
    </row>
    <row r="121">
      <c r="A121" s="10">
        <f>IF(AD121="","",RANK(AD121,AD$2:AD$167))</f>
        <v/>
      </c>
      <c r="B121" s="11" t="inlineStr">
        <is>
          <t>Southern Company</t>
        </is>
      </c>
      <c r="C121" s="12" t="inlineStr">
        <is>
          <t>SO</t>
        </is>
      </c>
      <c r="D121" s="11" t="inlineStr">
        <is>
          <t>Utility</t>
        </is>
      </c>
      <c r="E121" s="13" t="inlineStr">
        <is>
          <t>Utility</t>
        </is>
      </c>
      <c r="F121" s="14" t="n">
        <v>86.95</v>
      </c>
      <c r="G121" s="15" t="inlineStr">
        <is>
          <t>USD</t>
        </is>
      </c>
      <c r="H121" s="14" t="n">
        <v>77.88981050784156</v>
      </c>
      <c r="I121" s="16" t="n">
        <v>89601.58936420236</v>
      </c>
      <c r="J121" s="16" t="n">
        <v>100024.1</v>
      </c>
      <c r="K121" s="14" t="n">
        <v>4.15</v>
      </c>
      <c r="L121" s="14" t="n">
        <v>4.92321</v>
      </c>
      <c r="M121" s="17">
        <f>IF(OR(F121="",K121="",K121&lt;=0),"",F121/K121)</f>
        <v/>
      </c>
      <c r="N121" s="18" t="n">
        <v>2.5277631</v>
      </c>
      <c r="O121" s="19">
        <f>IF(OR(N121="",M121="",M121&lt;=0),"",N121/M121)</f>
        <v/>
      </c>
      <c r="P121" s="20" t="n">
        <v>0.114829995</v>
      </c>
      <c r="Q121" s="20" t="n">
        <v>0.123939347481506</v>
      </c>
      <c r="R121" s="20" t="n">
        <v>0.006139514343077336</v>
      </c>
      <c r="S121" s="21" t="n">
        <v>4</v>
      </c>
      <c r="T121" s="20" t="n"/>
      <c r="U121" s="20" t="n">
        <v>0.1205297645490893</v>
      </c>
      <c r="V121" s="20" t="n">
        <v>0.132528306432185</v>
      </c>
      <c r="W121" s="20" t="n">
        <v>0.1264470169189671</v>
      </c>
      <c r="X121" s="20" t="n">
        <v>0.1162523020257827</v>
      </c>
      <c r="Y121" s="14" t="n">
        <v>3.04</v>
      </c>
      <c r="Z121" s="19">
        <f>IF(OR(Y121="",F121="",F121=0),"",Y121/F121)</f>
        <v/>
      </c>
      <c r="AA121" s="22" t="n">
        <v>182.058</v>
      </c>
      <c r="AB121" s="20" t="n">
        <v>0.001</v>
      </c>
      <c r="AC121" s="20" t="n">
        <v>0.1576151278042838</v>
      </c>
      <c r="AD121" s="17">
        <f>IF(OR(Q121="",M121="",M121&lt;=0),"",ROUND(40*MAX(0,MIN(N(Q121)/0.3,1))+IF(OR(R121="",N(Q121)&lt;=0),10,20*MAX(0,1-MIN(R121/Q121,1)))+30*MAX(0,MIN((PARAMETRI!$B$5-M121)/MAX(PARAMETRI!$B$5-10,1),1))+IF(AB121="",3,10*MAX(0,MIN(AB121/0.15,1)))+IF(AND(P121&lt;&gt;"",N(P121)&lt;N(Q121)*0.6),-8,0),1))</f>
        <v/>
      </c>
      <c r="AE121" s="13">
        <f>IF(AND(P121="",Q121=""),"DATI MANCANTI",IF(AND(N(P121)&gt;=PARAMETRI!$B$4,N(Q121)&gt;=PARAMETRI!$B$4),"OK","NO"))</f>
        <v/>
      </c>
      <c r="AF121" s="13">
        <f>IF(M121="","N/D",IF(M121&lt;PARAMETRI!$B$6,"OTTIMO",IF(M121&lt;PARAMETRI!$B$5,"OK","NO")))</f>
        <v/>
      </c>
      <c r="AG121" s="13">
        <f>IF(OR(AE121="DATI MANCANTI",AF121="N/D"),"DA COMPLETARE",IF(AND(AE121="OK",AF121="OTTIMO"),"PASSA FORTE",IF(AND(AE121="OK",AF121="OK"),"PASSA","SCARTA")))</f>
        <v/>
      </c>
      <c r="AH121" s="11" t="inlineStr">
        <is>
          <t>2026-10-12</t>
        </is>
      </c>
      <c r="AI121" s="11" t="inlineStr">
        <is>
          <t>yahoo</t>
        </is>
      </c>
      <c r="AJ121" s="23" t="inlineStr"/>
    </row>
    <row r="122">
      <c r="A122" s="10">
        <f>IF(AD122="","",RANK(AD122,AD$2:AD$167))</f>
        <v/>
      </c>
      <c r="B122" s="11" t="inlineStr">
        <is>
          <t>Prologis</t>
        </is>
      </c>
      <c r="C122" s="12" t="inlineStr">
        <is>
          <t>PLD</t>
        </is>
      </c>
      <c r="D122" s="11" t="inlineStr">
        <is>
          <t>REIT / Logistica</t>
        </is>
      </c>
      <c r="E122" s="13" t="inlineStr">
        <is>
          <t>Immobiliare</t>
        </is>
      </c>
      <c r="F122" s="14" t="n">
        <v>131.575</v>
      </c>
      <c r="G122" s="15" t="inlineStr">
        <is>
          <t>USD</t>
        </is>
      </c>
      <c r="H122" s="14" t="n">
        <v>117.864885768479</v>
      </c>
      <c r="I122" s="16" t="n">
        <v>114575.4185670317</v>
      </c>
      <c r="J122" s="16" t="n">
        <v>127902.9</v>
      </c>
      <c r="K122" s="14" t="n">
        <v>4.5</v>
      </c>
      <c r="L122" s="14" t="n">
        <v>3.33333</v>
      </c>
      <c r="M122" s="17">
        <f>IF(OR(F122="",K122="",K122&lt;=0),"",F122/K122)</f>
        <v/>
      </c>
      <c r="N122" s="18" t="n">
        <v>2.2876642</v>
      </c>
      <c r="O122" s="19">
        <f>IF(OR(N122="",M122="",M122&lt;=0),"",N122/M122)</f>
        <v/>
      </c>
      <c r="P122" s="20" t="n">
        <v>0.07749</v>
      </c>
      <c r="Q122" s="20" t="n">
        <v>0.06311608942280056</v>
      </c>
      <c r="R122" s="20" t="n">
        <v>0.004128986030073493</v>
      </c>
      <c r="S122" s="21" t="n">
        <v>4</v>
      </c>
      <c r="T122" s="20" t="n"/>
      <c r="U122" s="20" t="n">
        <v>0.06256875646722969</v>
      </c>
      <c r="V122" s="20" t="n">
        <v>0.06916693768350168</v>
      </c>
      <c r="W122" s="20" t="n">
        <v>0.05752378392246178</v>
      </c>
      <c r="X122" s="20" t="n">
        <v>0.06320487961800905</v>
      </c>
      <c r="Y122" s="14" t="n">
        <v>4.28</v>
      </c>
      <c r="Z122" s="19">
        <f>IF(OR(Y122="",F122="",F122=0),"",Y122/F122)</f>
        <v/>
      </c>
      <c r="AA122" s="22" t="n">
        <v>63.823</v>
      </c>
      <c r="AB122" s="20" t="n">
        <v>0.123</v>
      </c>
      <c r="AC122" s="20" t="n">
        <v>0.4780868390183668</v>
      </c>
      <c r="AD122" s="17">
        <f>IF(OR(Q122="",M122="",M122&lt;=0),"",ROUND(40*MAX(0,MIN(N(Q122)/0.3,1))+IF(OR(R122="",N(Q122)&lt;=0),10,20*MAX(0,1-MIN(R122/Q122,1)))+30*MAX(0,MIN((PARAMETRI!$B$5-M122)/MAX(PARAMETRI!$B$5-10,1),1))+IF(AB122="",3,10*MAX(0,MIN(AB122/0.15,1)))+IF(AND(P122&lt;&gt;"",N(P122)&lt;N(Q122)*0.6),-8,0),1))</f>
        <v/>
      </c>
      <c r="AE122" s="13">
        <f>IF(AND(P122="",Q122=""),"DATI MANCANTI",IF(AND(N(P122)&gt;=PARAMETRI!$B$4,N(Q122)&gt;=PARAMETRI!$B$4),"OK","NO"))</f>
        <v/>
      </c>
      <c r="AF122" s="13">
        <f>IF(M122="","N/D",IF(M122&lt;PARAMETRI!$B$6,"OTTIMO",IF(M122&lt;PARAMETRI!$B$5,"OK","NO")))</f>
        <v/>
      </c>
      <c r="AG122" s="13">
        <f>IF(OR(AE122="DATI MANCANTI",AF122="N/D"),"DA COMPLETARE",IF(AND(AE122="OK",AF122="OTTIMO"),"PASSA FORTE",IF(AND(AE122="OK",AF122="OK"),"PASSA","SCARTA")))</f>
        <v/>
      </c>
      <c r="AH122" s="11" t="inlineStr">
        <is>
          <t>2026-10-12</t>
        </is>
      </c>
      <c r="AI122" s="11" t="inlineStr">
        <is>
          <t>yahoo</t>
        </is>
      </c>
      <c r="AJ122" s="23" t="inlineStr"/>
    </row>
    <row r="123">
      <c r="A123" s="10">
        <f>IF(AD123="","",RANK(AD123,AD$2:AD$167))</f>
        <v/>
      </c>
      <c r="B123" s="11" t="inlineStr">
        <is>
          <t>RTX Corporation</t>
        </is>
      </c>
      <c r="C123" s="12" t="inlineStr">
        <is>
          <t>RTX</t>
        </is>
      </c>
      <c r="D123" s="11" t="inlineStr">
        <is>
          <t>Difesa / Aerospazio</t>
        </is>
      </c>
      <c r="E123" s="13" t="inlineStr">
        <is>
          <t>Industriale</t>
        </is>
      </c>
      <c r="F123" s="14" t="n">
        <v>186.91</v>
      </c>
      <c r="G123" s="15" t="inlineStr">
        <is>
          <t>USD</t>
        </is>
      </c>
      <c r="H123" s="14" t="n">
        <v>167.4339790916695</v>
      </c>
      <c r="I123" s="16" t="n">
        <v>225648.4382712278</v>
      </c>
      <c r="J123" s="16" t="n">
        <v>251896</v>
      </c>
      <c r="K123" s="14" t="n">
        <v>5.68</v>
      </c>
      <c r="L123" s="14" t="n">
        <v>7.86635</v>
      </c>
      <c r="M123" s="17">
        <f>IF(OR(F123="",K123="",K123&lt;=0),"",F123/K123)</f>
        <v/>
      </c>
      <c r="N123" s="18" t="n">
        <v>3.7949238</v>
      </c>
      <c r="O123" s="19">
        <f>IF(OR(N123="",M123="",M123&lt;=0),"",N123/M123)</f>
        <v/>
      </c>
      <c r="P123" s="20" t="n">
        <v>0.12274</v>
      </c>
      <c r="Q123" s="20" t="n">
        <v>0.07688075362298834</v>
      </c>
      <c r="R123" s="20" t="n">
        <v>0.01786161675583029</v>
      </c>
      <c r="S123" s="21" t="n">
        <v>4</v>
      </c>
      <c r="T123" s="20" t="n"/>
      <c r="U123" s="20" t="n">
        <v>0.1031803203310599</v>
      </c>
      <c r="V123" s="20" t="n">
        <v>0.07936032980916284</v>
      </c>
      <c r="W123" s="20" t="n">
        <v>0.05342988059801331</v>
      </c>
      <c r="X123" s="20" t="n">
        <v>0.07155248375371737</v>
      </c>
      <c r="Y123" s="14" t="n">
        <v>2.92</v>
      </c>
      <c r="Z123" s="19">
        <f>IF(OR(Y123="",F123="",F123=0),"",Y123/F123)</f>
        <v/>
      </c>
      <c r="AA123" s="22" t="n">
        <v>57.02</v>
      </c>
      <c r="AB123" s="20" t="n">
        <v>0.145</v>
      </c>
      <c r="AC123" s="20" t="n">
        <v>0.08733338455808494</v>
      </c>
      <c r="AD123" s="17">
        <f>IF(OR(Q123="",M123="",M123&lt;=0),"",ROUND(40*MAX(0,MIN(N(Q123)/0.3,1))+IF(OR(R123="",N(Q123)&lt;=0),10,20*MAX(0,1-MIN(R123/Q123,1)))+30*MAX(0,MIN((PARAMETRI!$B$5-M123)/MAX(PARAMETRI!$B$5-10,1),1))+IF(AB123="",3,10*MAX(0,MIN(AB123/0.15,1)))+IF(AND(P123&lt;&gt;"",N(P123)&lt;N(Q123)*0.6),-8,0),1))</f>
        <v/>
      </c>
      <c r="AE123" s="13">
        <f>IF(AND(P123="",Q123=""),"DATI MANCANTI",IF(AND(N(P123)&gt;=PARAMETRI!$B$4,N(Q123)&gt;=PARAMETRI!$B$4),"OK","NO"))</f>
        <v/>
      </c>
      <c r="AF123" s="13">
        <f>IF(M123="","N/D",IF(M123&lt;PARAMETRI!$B$6,"OTTIMO",IF(M123&lt;PARAMETRI!$B$5,"OK","NO")))</f>
        <v/>
      </c>
      <c r="AG123" s="13">
        <f>IF(OR(AE123="DATI MANCANTI",AF123="N/D"),"DA COMPLETARE",IF(AND(AE123="OK",AF123="OTTIMO"),"PASSA FORTE",IF(AND(AE123="OK",AF123="OK"),"PASSA","SCARTA")))</f>
        <v/>
      </c>
      <c r="AH123" s="11" t="inlineStr">
        <is>
          <t>2026-10-12</t>
        </is>
      </c>
      <c r="AI123" s="11" t="inlineStr">
        <is>
          <t>yahoo</t>
        </is>
      </c>
      <c r="AJ123" s="23" t="inlineStr"/>
    </row>
    <row r="124">
      <c r="A124" s="10">
        <f>IF(AD124="","",RANK(AD124,AD$2:AD$167))</f>
        <v/>
      </c>
      <c r="B124" s="11" t="inlineStr">
        <is>
          <t>Mondelez International</t>
        </is>
      </c>
      <c r="C124" s="12" t="inlineStr">
        <is>
          <t>MDLZ</t>
        </is>
      </c>
      <c r="D124" s="11" t="inlineStr">
        <is>
          <t>Alimentare</t>
        </is>
      </c>
      <c r="E124" s="13" t="inlineStr">
        <is>
          <t>Consumi</t>
        </is>
      </c>
      <c r="F124" s="14" t="n">
        <v>61.575</v>
      </c>
      <c r="G124" s="15" t="inlineStr">
        <is>
          <t>USD</t>
        </is>
      </c>
      <c r="H124" s="14" t="n">
        <v>55.15888535963592</v>
      </c>
      <c r="I124" s="16" t="n">
        <v>70804.65952164636</v>
      </c>
      <c r="J124" s="16" t="n">
        <v>79040.7</v>
      </c>
      <c r="K124" s="14" t="n">
        <v>2.72</v>
      </c>
      <c r="L124" s="14" t="n">
        <v>3.36193</v>
      </c>
      <c r="M124" s="17">
        <f>IF(OR(F124="",K124="",K124&lt;=0),"",F124/K124)</f>
        <v/>
      </c>
      <c r="N124" s="18" t="n">
        <v>2.9599097</v>
      </c>
      <c r="O124" s="19">
        <f>IF(OR(N124="",M124="",M124&lt;=0),"",N124/M124)</f>
        <v/>
      </c>
      <c r="P124" s="20" t="n">
        <v>0.13340001</v>
      </c>
      <c r="Q124" s="20" t="n">
        <v>0.1355421523570761</v>
      </c>
      <c r="R124" s="20" t="n">
        <v>0.03766650206384878</v>
      </c>
      <c r="S124" s="21" t="n">
        <v>4</v>
      </c>
      <c r="T124" s="20" t="n"/>
      <c r="U124" s="20" t="n">
        <v>0.09486028330366128</v>
      </c>
      <c r="V124" s="20" t="n">
        <v>0.1712089707411258</v>
      </c>
      <c r="W124" s="20" t="n">
        <v>0.1750317662007624</v>
      </c>
      <c r="X124" s="20" t="n">
        <v>0.1010675891827549</v>
      </c>
      <c r="Y124" s="14" t="n">
        <v>2.08</v>
      </c>
      <c r="Z124" s="19">
        <f>IF(OR(Y124="",F124="",F124=0),"",Y124/F124)</f>
        <v/>
      </c>
      <c r="AA124" s="22" t="n">
        <v>82.643</v>
      </c>
      <c r="AB124" s="20" t="n">
        <v>0.041</v>
      </c>
      <c r="AC124" s="20" t="n">
        <v>0.09123699301969536</v>
      </c>
      <c r="AD124" s="17">
        <f>IF(OR(Q124="",M124="",M124&lt;=0),"",ROUND(40*MAX(0,MIN(N(Q124)/0.3,1))+IF(OR(R124="",N(Q124)&lt;=0),10,20*MAX(0,1-MIN(R124/Q124,1)))+30*MAX(0,MIN((PARAMETRI!$B$5-M124)/MAX(PARAMETRI!$B$5-10,1),1))+IF(AB124="",3,10*MAX(0,MIN(AB124/0.15,1)))+IF(AND(P124&lt;&gt;"",N(P124)&lt;N(Q124)*0.6),-8,0),1))</f>
        <v/>
      </c>
      <c r="AE124" s="13">
        <f>IF(AND(P124="",Q124=""),"DATI MANCANTI",IF(AND(N(P124)&gt;=PARAMETRI!$B$4,N(Q124)&gt;=PARAMETRI!$B$4),"OK","NO"))</f>
        <v/>
      </c>
      <c r="AF124" s="13">
        <f>IF(M124="","N/D",IF(M124&lt;PARAMETRI!$B$6,"OTTIMO",IF(M124&lt;PARAMETRI!$B$5,"OK","NO")))</f>
        <v/>
      </c>
      <c r="AG124" s="13">
        <f>IF(OR(AE124="DATI MANCANTI",AF124="N/D"),"DA COMPLETARE",IF(AND(AE124="OK",AF124="OTTIMO"),"PASSA FORTE",IF(AND(AE124="OK",AF124="OK"),"PASSA","SCARTA")))</f>
        <v/>
      </c>
      <c r="AH124" s="11" t="inlineStr">
        <is>
          <t>2026-10-12</t>
        </is>
      </c>
      <c r="AI124" s="11" t="inlineStr">
        <is>
          <t>yahoo</t>
        </is>
      </c>
      <c r="AJ124" s="23" t="inlineStr"/>
    </row>
    <row r="125">
      <c r="A125" s="10">
        <f>IF(AD125="","",RANK(AD125,AD$2:AD$167))</f>
        <v/>
      </c>
      <c r="B125" s="11" t="inlineStr">
        <is>
          <t>Vertex Pharmaceuticals</t>
        </is>
      </c>
      <c r="C125" s="12" t="inlineStr">
        <is>
          <t>VRTX</t>
        </is>
      </c>
      <c r="D125" s="11" t="inlineStr">
        <is>
          <t>Biotecnologie</t>
        </is>
      </c>
      <c r="E125" s="13" t="inlineStr">
        <is>
          <t>Salute</t>
        </is>
      </c>
      <c r="F125" s="14" t="n">
        <v>509.7</v>
      </c>
      <c r="G125" s="15" t="inlineStr">
        <is>
          <t>USD</t>
        </is>
      </c>
      <c r="H125" s="14" t="n">
        <v>456.5892629769619</v>
      </c>
      <c r="I125" s="16" t="n">
        <v>115654.0513540644</v>
      </c>
      <c r="J125" s="16" t="n">
        <v>129107</v>
      </c>
      <c r="K125" s="14" t="n">
        <v>17.17</v>
      </c>
      <c r="L125" s="14" t="n">
        <v>20.10614</v>
      </c>
      <c r="M125" s="17">
        <f>IF(OR(F125="",K125="",K125&lt;=0),"",F125/K125)</f>
        <v/>
      </c>
      <c r="N125" s="18" t="n">
        <v>6.377548</v>
      </c>
      <c r="O125" s="19">
        <f>IF(OR(N125="",M125="",M125&lt;=0),"",N125/M125)</f>
        <v/>
      </c>
      <c r="P125" s="20" t="n">
        <v>0.23542999</v>
      </c>
      <c r="Q125" s="20" t="n">
        <v>0.1559529985811414</v>
      </c>
      <c r="R125" s="20" t="n">
        <v>0.1095874808620584</v>
      </c>
      <c r="S125" s="21" t="n">
        <v>4</v>
      </c>
      <c r="T125" s="20" t="n"/>
      <c r="U125" s="20" t="n">
        <v>0.2117884044616357</v>
      </c>
      <c r="V125" s="20" t="n">
        <v>-0.03263943057722309</v>
      </c>
      <c r="W125" s="20" t="n">
        <v>0.2058883756911105</v>
      </c>
      <c r="X125" s="20" t="n">
        <v>0.2387746447490423</v>
      </c>
      <c r="Y125" s="14" t="n"/>
      <c r="Z125" s="19">
        <f>IF(OR(Y125="",F125="",F125=0),"",Y125/F125)</f>
        <v/>
      </c>
      <c r="AA125" s="22" t="n">
        <v>9.766999999999999</v>
      </c>
      <c r="AB125" s="20" t="n">
        <v>0.125</v>
      </c>
      <c r="AC125" s="20" t="n">
        <v>0.3670602244756818</v>
      </c>
      <c r="AD125" s="17">
        <f>IF(OR(Q125="",M125="",M125&lt;=0),"",ROUND(40*MAX(0,MIN(N(Q125)/0.3,1))+IF(OR(R125="",N(Q125)&lt;=0),10,20*MAX(0,1-MIN(R125/Q125,1)))+30*MAX(0,MIN((PARAMETRI!$B$5-M125)/MAX(PARAMETRI!$B$5-10,1),1))+IF(AB125="",3,10*MAX(0,MIN(AB125/0.15,1)))+IF(AND(P125&lt;&gt;"",N(P125)&lt;N(Q125)*0.6),-8,0),1))</f>
        <v/>
      </c>
      <c r="AE125" s="13">
        <f>IF(AND(P125="",Q125=""),"DATI MANCANTI",IF(AND(N(P125)&gt;=PARAMETRI!$B$4,N(Q125)&gt;=PARAMETRI!$B$4),"OK","NO"))</f>
        <v/>
      </c>
      <c r="AF125" s="13">
        <f>IF(M125="","N/D",IF(M125&lt;PARAMETRI!$B$6,"OTTIMO",IF(M125&lt;PARAMETRI!$B$5,"OK","NO")))</f>
        <v/>
      </c>
      <c r="AG125" s="13">
        <f>IF(OR(AE125="DATI MANCANTI",AF125="N/D"),"DA COMPLETARE",IF(AND(AE125="OK",AF125="OTTIMO"),"PASSA FORTE",IF(AND(AE125="OK",AF125="OK"),"PASSA","SCARTA")))</f>
        <v/>
      </c>
      <c r="AH125" s="11" t="inlineStr">
        <is>
          <t>2026-10-12</t>
        </is>
      </c>
      <c r="AI125" s="11" t="inlineStr">
        <is>
          <t>yahoo</t>
        </is>
      </c>
      <c r="AJ125" s="23" t="inlineStr"/>
    </row>
    <row r="126">
      <c r="A126" s="10">
        <f>IF(AD126="","",RANK(AD126,AD$2:AD$167))</f>
        <v/>
      </c>
      <c r="B126" s="11" t="inlineStr">
        <is>
          <t>Constellation Energy</t>
        </is>
      </c>
      <c r="C126" s="12" t="inlineStr">
        <is>
          <t>CEG</t>
        </is>
      </c>
      <c r="D126" s="11" t="inlineStr">
        <is>
          <t>Utility / Nucleare</t>
        </is>
      </c>
      <c r="E126" s="13" t="inlineStr">
        <is>
          <t>Utility</t>
        </is>
      </c>
      <c r="F126" s="14" t="n">
        <v>292.0694</v>
      </c>
      <c r="G126" s="15" t="inlineStr">
        <is>
          <t>USD</t>
        </is>
      </c>
      <c r="H126" s="14" t="n">
        <v>261.6357702258651</v>
      </c>
      <c r="I126" s="16" t="n">
        <v>92653.66956410192</v>
      </c>
      <c r="J126" s="16" t="n">
        <v>103431.2</v>
      </c>
      <c r="K126" s="14" t="n">
        <v>10.23</v>
      </c>
      <c r="L126" s="14" t="n">
        <v>13.32016</v>
      </c>
      <c r="M126" s="17">
        <f>IF(OR(F126="",K126="",K126&lt;=0),"",F126/K126)</f>
        <v/>
      </c>
      <c r="N126" s="18" t="n">
        <v>3.243647</v>
      </c>
      <c r="O126" s="19">
        <f>IF(OR(N126="",M126="",M126&lt;=0),"",N126/M126)</f>
        <v/>
      </c>
      <c r="P126" s="20" t="n">
        <v>0.15055001</v>
      </c>
      <c r="Q126" s="20" t="n">
        <v>0.1446322510499069</v>
      </c>
      <c r="R126" s="20" t="n">
        <v>0.1063089118500449</v>
      </c>
      <c r="S126" s="21" t="n">
        <v>4</v>
      </c>
      <c r="T126" s="20" t="n"/>
      <c r="U126" s="20" t="n">
        <v>0.1597437487084108</v>
      </c>
      <c r="V126" s="20" t="n">
        <v>0.2847485948655628</v>
      </c>
      <c r="W126" s="20" t="n">
        <v>0.148558352402746</v>
      </c>
      <c r="X126" s="20" t="n">
        <v>-0.01452169177709203</v>
      </c>
      <c r="Y126" s="14" t="n">
        <v>1.71</v>
      </c>
      <c r="Z126" s="19">
        <f>IF(OR(Y126="",F126="",F126=0),"",Y126/F126)</f>
        <v/>
      </c>
      <c r="AA126" s="22" t="n">
        <v>76.419</v>
      </c>
      <c r="AB126" s="20" t="n">
        <v>0.23</v>
      </c>
      <c r="AC126" s="20" t="n">
        <v>0.1357067299573101</v>
      </c>
      <c r="AD126" s="17">
        <f>IF(OR(Q126="",M126="",M126&lt;=0),"",ROUND(40*MAX(0,MIN(N(Q126)/0.3,1))+IF(OR(R126="",N(Q126)&lt;=0),10,20*MAX(0,1-MIN(R126/Q126,1)))+30*MAX(0,MIN((PARAMETRI!$B$5-M126)/MAX(PARAMETRI!$B$5-10,1),1))+IF(AB126="",3,10*MAX(0,MIN(AB126/0.15,1)))+IF(AND(P126&lt;&gt;"",N(P126)&lt;N(Q126)*0.6),-8,0),1))</f>
        <v/>
      </c>
      <c r="AE126" s="13">
        <f>IF(AND(P126="",Q126=""),"DATI MANCANTI",IF(AND(N(P126)&gt;=PARAMETRI!$B$4,N(Q126)&gt;=PARAMETRI!$B$4),"OK","NO"))</f>
        <v/>
      </c>
      <c r="AF126" s="13">
        <f>IF(M126="","N/D",IF(M126&lt;PARAMETRI!$B$6,"OTTIMO",IF(M126&lt;PARAMETRI!$B$5,"OK","NO")))</f>
        <v/>
      </c>
      <c r="AG126" s="13">
        <f>IF(OR(AE126="DATI MANCANTI",AF126="N/D"),"DA COMPLETARE",IF(AND(AE126="OK",AF126="OTTIMO"),"PASSA FORTE",IF(AND(AE126="OK",AF126="OK"),"PASSA","SCARTA")))</f>
        <v/>
      </c>
      <c r="AH126" s="11" t="inlineStr">
        <is>
          <t>2026-10-12</t>
        </is>
      </c>
      <c r="AI126" s="11" t="inlineStr">
        <is>
          <t>yahoo</t>
        </is>
      </c>
      <c r="AJ126" s="23" t="inlineStr"/>
    </row>
    <row r="127">
      <c r="A127" s="10">
        <f>IF(AD127="","",RANK(AD127,AD$2:AD$167))</f>
        <v/>
      </c>
      <c r="B127" s="11" t="inlineStr">
        <is>
          <t>Amazon</t>
        </is>
      </c>
      <c r="C127" s="12" t="inlineStr">
        <is>
          <t>AMZN</t>
        </is>
      </c>
      <c r="D127" s="11" t="inlineStr">
        <is>
          <t>E-commerce / Cloud</t>
        </is>
      </c>
      <c r="E127" s="13" t="inlineStr">
        <is>
          <t>Tecnologia</t>
        </is>
      </c>
      <c r="F127" s="14" t="n">
        <v>259.605</v>
      </c>
      <c r="G127" s="15" t="inlineStr">
        <is>
          <t>USD</t>
        </is>
      </c>
      <c r="H127" s="14" t="n">
        <v>232.5541605162531</v>
      </c>
      <c r="I127" s="16" t="n">
        <v>2508063.812492575</v>
      </c>
      <c r="J127" s="16" t="n">
        <v>2799803.3</v>
      </c>
      <c r="K127" s="14" t="n">
        <v>12.43</v>
      </c>
      <c r="L127" s="14" t="n">
        <v>10.46643</v>
      </c>
      <c r="M127" s="17">
        <f>IF(OR(F127="",K127="",K127&lt;=0),"",F127/K127)</f>
        <v/>
      </c>
      <c r="N127" s="18" t="n">
        <v>5.0740876</v>
      </c>
      <c r="O127" s="19">
        <f>IF(OR(N127="",M127="",M127&lt;=0),"",N127/M127)</f>
        <v/>
      </c>
      <c r="P127" s="20" t="n">
        <v>0.30558002</v>
      </c>
      <c r="Q127" s="20" t="n">
        <v>0.1320511298823096</v>
      </c>
      <c r="R127" s="20" t="n">
        <v>0.08935541595787762</v>
      </c>
      <c r="S127" s="21" t="n">
        <v>4</v>
      </c>
      <c r="T127" s="20" t="n"/>
      <c r="U127" s="20" t="n">
        <v>0.1889482198679041</v>
      </c>
      <c r="V127" s="20" t="n">
        <v>0.2071825715984194</v>
      </c>
      <c r="W127" s="20" t="n">
        <v>0.1507120743034056</v>
      </c>
      <c r="X127" s="20" t="n">
        <v>-0.01863834624049081</v>
      </c>
      <c r="Y127" s="14" t="n"/>
      <c r="Z127" s="19">
        <f>IF(OR(Y127="",F127="",F127=0),"",Y127/F127)</f>
        <v/>
      </c>
      <c r="AA127" s="22" t="n">
        <v>45.617</v>
      </c>
      <c r="AB127" s="20" t="n">
        <v>0.196</v>
      </c>
      <c r="AC127" s="20" t="n">
        <v>0.1886964314878564</v>
      </c>
      <c r="AD127" s="17">
        <f>IF(OR(Q127="",M127="",M127&lt;=0),"",ROUND(40*MAX(0,MIN(N(Q127)/0.3,1))+IF(OR(R127="",N(Q127)&lt;=0),10,20*MAX(0,1-MIN(R127/Q127,1)))+30*MAX(0,MIN((PARAMETRI!$B$5-M127)/MAX(PARAMETRI!$B$5-10,1),1))+IF(AB127="",3,10*MAX(0,MIN(AB127/0.15,1)))+IF(AND(P127&lt;&gt;"",N(P127)&lt;N(Q127)*0.6),-8,0),1))</f>
        <v/>
      </c>
      <c r="AE127" s="13">
        <f>IF(AND(P127="",Q127=""),"DATI MANCANTI",IF(AND(N(P127)&gt;=PARAMETRI!$B$4,N(Q127)&gt;=PARAMETRI!$B$4),"OK","NO"))</f>
        <v/>
      </c>
      <c r="AF127" s="13">
        <f>IF(M127="","N/D",IF(M127&lt;PARAMETRI!$B$6,"OTTIMO",IF(M127&lt;PARAMETRI!$B$5,"OK","NO")))</f>
        <v/>
      </c>
      <c r="AG127" s="13">
        <f>IF(OR(AE127="DATI MANCANTI",AF127="N/D"),"DA COMPLETARE",IF(AND(AE127="OK",AF127="OTTIMO"),"PASSA FORTE",IF(AND(AE127="OK",AF127="OK"),"PASSA","SCARTA")))</f>
        <v/>
      </c>
      <c r="AH127" s="11" t="inlineStr">
        <is>
          <t>2026-10-12</t>
        </is>
      </c>
      <c r="AI127" s="11" t="inlineStr">
        <is>
          <t>yahoo</t>
        </is>
      </c>
      <c r="AJ127" s="23" t="inlineStr"/>
    </row>
    <row r="128">
      <c r="A128" s="10">
        <f>IF(AD128="","",RANK(AD128,AD$2:AD$167))</f>
        <v/>
      </c>
      <c r="B128" s="11" t="inlineStr">
        <is>
          <t>Dominion Energy</t>
        </is>
      </c>
      <c r="C128" s="12" t="inlineStr">
        <is>
          <t>D</t>
        </is>
      </c>
      <c r="D128" s="11" t="inlineStr">
        <is>
          <t>Utility</t>
        </is>
      </c>
      <c r="E128" s="13" t="inlineStr">
        <is>
          <t>Utility</t>
        </is>
      </c>
      <c r="F128" s="14" t="n">
        <v>62.37</v>
      </c>
      <c r="G128" s="15" t="inlineStr">
        <is>
          <t>USD</t>
        </is>
      </c>
      <c r="H128" s="14" t="n">
        <v>55.87104636427921</v>
      </c>
      <c r="I128" s="16" t="n">
        <v>49140.00512039282</v>
      </c>
      <c r="J128" s="16" t="n">
        <v>54856</v>
      </c>
      <c r="K128" s="14" t="n">
        <v>2.89</v>
      </c>
      <c r="L128" s="14" t="n">
        <v>3.81423</v>
      </c>
      <c r="M128" s="17">
        <f>IF(OR(F128="",K128="",K128&lt;=0),"",F128/K128)</f>
        <v/>
      </c>
      <c r="N128" s="18" t="n">
        <v>1.9650283</v>
      </c>
      <c r="O128" s="19">
        <f>IF(OR(N128="",M128="",M128&lt;=0),"",N128/M128)</f>
        <v/>
      </c>
      <c r="P128" s="20" t="n">
        <v>0.08280999999999999</v>
      </c>
      <c r="Q128" s="20" t="n">
        <v>0.07325849609060171</v>
      </c>
      <c r="R128" s="20" t="n">
        <v>0.02128332004749445</v>
      </c>
      <c r="S128" s="21" t="n">
        <v>4</v>
      </c>
      <c r="T128" s="20" t="n"/>
      <c r="U128" s="20" t="n">
        <v>0.1030842760375477</v>
      </c>
      <c r="V128" s="20" t="n">
        <v>0.07571752968767449</v>
      </c>
      <c r="W128" s="20" t="n">
        <v>0.07117205354227882</v>
      </c>
      <c r="X128" s="20" t="n">
        <v>0.04306012509490582</v>
      </c>
      <c r="Y128" s="14" t="n">
        <v>2.67</v>
      </c>
      <c r="Z128" s="19">
        <f>IF(OR(Y128="",F128="",F128=0),"",Y128/F128)</f>
        <v/>
      </c>
      <c r="AA128" s="22" t="n">
        <v>160.459</v>
      </c>
      <c r="AB128" s="20" t="n">
        <v>0.176</v>
      </c>
      <c r="AC128" s="20" t="n">
        <v>0.1518235715497395</v>
      </c>
      <c r="AD128" s="17">
        <f>IF(OR(Q128="",M128="",M128&lt;=0),"",ROUND(40*MAX(0,MIN(N(Q128)/0.3,1))+IF(OR(R128="",N(Q128)&lt;=0),10,20*MAX(0,1-MIN(R128/Q128,1)))+30*MAX(0,MIN((PARAMETRI!$B$5-M128)/MAX(PARAMETRI!$B$5-10,1),1))+IF(AB128="",3,10*MAX(0,MIN(AB128/0.15,1)))+IF(AND(P128&lt;&gt;"",N(P128)&lt;N(Q128)*0.6),-8,0),1))</f>
        <v/>
      </c>
      <c r="AE128" s="13">
        <f>IF(AND(P128="",Q128=""),"DATI MANCANTI",IF(AND(N(P128)&gt;=PARAMETRI!$B$4,N(Q128)&gt;=PARAMETRI!$B$4),"OK","NO"))</f>
        <v/>
      </c>
      <c r="AF128" s="13">
        <f>IF(M128="","N/D",IF(M128&lt;PARAMETRI!$B$6,"OTTIMO",IF(M128&lt;PARAMETRI!$B$5,"OK","NO")))</f>
        <v/>
      </c>
      <c r="AG128" s="13">
        <f>IF(OR(AE128="DATI MANCANTI",AF128="N/D"),"DA COMPLETARE",IF(AND(AE128="OK",AF128="OTTIMO"),"PASSA FORTE",IF(AND(AE128="OK",AF128="OK"),"PASSA","SCARTA")))</f>
        <v/>
      </c>
      <c r="AH128" s="11" t="inlineStr">
        <is>
          <t>2026-10-12</t>
        </is>
      </c>
      <c r="AI128" s="11" t="inlineStr">
        <is>
          <t>yahoo</t>
        </is>
      </c>
      <c r="AJ128" s="23" t="inlineStr"/>
    </row>
    <row r="129">
      <c r="A129" s="10">
        <f>IF(AD129="","",RANK(AD129,AD$2:AD$167))</f>
        <v/>
      </c>
      <c r="B129" s="11" t="inlineStr">
        <is>
          <t>Tesla</t>
        </is>
      </c>
      <c r="C129" s="12" t="inlineStr">
        <is>
          <t>TSLA</t>
        </is>
      </c>
      <c r="D129" s="11" t="inlineStr">
        <is>
          <t>Auto elettriche</t>
        </is>
      </c>
      <c r="E129" s="13" t="inlineStr">
        <is>
          <t>Consumi</t>
        </is>
      </c>
      <c r="F129" s="14" t="n">
        <v>379.16</v>
      </c>
      <c r="G129" s="15" t="inlineStr">
        <is>
          <t>USD</t>
        </is>
      </c>
      <c r="H129" s="14" t="n">
        <v>339.651530214528</v>
      </c>
      <c r="I129" s="16" t="n">
        <v>1341469.825066383</v>
      </c>
      <c r="J129" s="16" t="n">
        <v>1497510.4</v>
      </c>
      <c r="K129" s="14" t="n">
        <v>1.08</v>
      </c>
      <c r="L129" s="14" t="n">
        <v>2.18245</v>
      </c>
      <c r="M129" s="17">
        <f>IF(OR(F129="",K129="",K129&lt;=0),"",F129/K129)</f>
        <v/>
      </c>
      <c r="N129" s="18" t="n">
        <v>17.238462</v>
      </c>
      <c r="O129" s="19">
        <f>IF(OR(N129="",M129="",M129&lt;=0),"",N129/M129)</f>
        <v/>
      </c>
      <c r="P129" s="20" t="n">
        <v>0.046669997</v>
      </c>
      <c r="Q129" s="20" t="n">
        <v>0.1662307907254467</v>
      </c>
      <c r="R129" s="20" t="n">
        <v>0.09713259207574809</v>
      </c>
      <c r="S129" s="21" t="n">
        <v>4</v>
      </c>
      <c r="T129" s="20" t="n"/>
      <c r="U129" s="20" t="n">
        <v>0.04619111971462313</v>
      </c>
      <c r="V129" s="20" t="n">
        <v>0.09778777447094482</v>
      </c>
      <c r="W129" s="20" t="n">
        <v>0.2394705750870134</v>
      </c>
      <c r="X129" s="20" t="n">
        <v>0.2814736936292054</v>
      </c>
      <c r="Y129" s="14" t="n"/>
      <c r="Z129" s="19">
        <f>IF(OR(Y129="",F129="",F129=0),"",Y129/F129)</f>
        <v/>
      </c>
      <c r="AA129" s="22" t="n">
        <v>18.373</v>
      </c>
      <c r="AB129" s="20" t="n">
        <v>0.255</v>
      </c>
      <c r="AC129" s="20" t="n">
        <v>0.04013624946481487</v>
      </c>
      <c r="AD129" s="17">
        <f>IF(OR(Q129="",M129="",M129&lt;=0),"",ROUND(40*MAX(0,MIN(N(Q129)/0.3,1))+IF(OR(R129="",N(Q129)&lt;=0),10,20*MAX(0,1-MIN(R129/Q129,1)))+30*MAX(0,MIN((PARAMETRI!$B$5-M129)/MAX(PARAMETRI!$B$5-10,1),1))+IF(AB129="",3,10*MAX(0,MIN(AB129/0.15,1)))+IF(AND(P129&lt;&gt;"",N(P129)&lt;N(Q129)*0.6),-8,0),1))</f>
        <v/>
      </c>
      <c r="AE129" s="13">
        <f>IF(AND(P129="",Q129=""),"DATI MANCANTI",IF(AND(N(P129)&gt;=PARAMETRI!$B$4,N(Q129)&gt;=PARAMETRI!$B$4),"OK","NO"))</f>
        <v/>
      </c>
      <c r="AF129" s="13">
        <f>IF(M129="","N/D",IF(M129&lt;PARAMETRI!$B$6,"OTTIMO",IF(M129&lt;PARAMETRI!$B$5,"OK","NO")))</f>
        <v/>
      </c>
      <c r="AG129" s="13">
        <f>IF(OR(AE129="DATI MANCANTI",AF129="N/D"),"DA COMPLETARE",IF(AND(AE129="OK",AF129="OTTIMO"),"PASSA FORTE",IF(AND(AE129="OK",AF129="OK"),"PASSA","SCARTA")))</f>
        <v/>
      </c>
      <c r="AH129" s="11" t="inlineStr">
        <is>
          <t>2026-10-12</t>
        </is>
      </c>
      <c r="AI129" s="11" t="inlineStr">
        <is>
          <t>yahoo</t>
        </is>
      </c>
      <c r="AJ129" s="23" t="inlineStr"/>
    </row>
    <row r="130">
      <c r="A130" s="10">
        <f>IF(AD130="","",RANK(AD130,AD$2:AD$167))</f>
        <v/>
      </c>
      <c r="B130" s="11" t="inlineStr">
        <is>
          <t>Duke Energy</t>
        </is>
      </c>
      <c r="C130" s="12" t="inlineStr">
        <is>
          <t>DUK</t>
        </is>
      </c>
      <c r="D130" s="11" t="inlineStr">
        <is>
          <t>Utility</t>
        </is>
      </c>
      <c r="E130" s="13" t="inlineStr">
        <is>
          <t>Utility</t>
        </is>
      </c>
      <c r="F130" s="14" t="n">
        <v>117.655</v>
      </c>
      <c r="G130" s="15" t="inlineStr">
        <is>
          <t>USD</t>
        </is>
      </c>
      <c r="H130" s="14" t="n">
        <v>105.3953496871777</v>
      </c>
      <c r="I130" s="16" t="n">
        <v>82177.01975579416</v>
      </c>
      <c r="J130" s="16" t="n">
        <v>91735.89999999999</v>
      </c>
      <c r="K130" s="14" t="n">
        <v>6.64</v>
      </c>
      <c r="L130" s="14" t="n">
        <v>7.17142</v>
      </c>
      <c r="M130" s="17">
        <f>IF(OR(F130="",K130="",K130&lt;=0),"",F130/K130)</f>
        <v/>
      </c>
      <c r="N130" s="18" t="n">
        <v>1.7064804</v>
      </c>
      <c r="O130" s="19">
        <f>IF(OR(N130="",M130="",M130&lt;=0),"",N130/M130)</f>
        <v/>
      </c>
      <c r="P130" s="20" t="n">
        <v>0.098570004</v>
      </c>
      <c r="Q130" s="20" t="n">
        <v>0.0739075032235007</v>
      </c>
      <c r="R130" s="20" t="n">
        <v>0.01935651027259411</v>
      </c>
      <c r="S130" s="21" t="n">
        <v>4</v>
      </c>
      <c r="T130" s="20" t="n"/>
      <c r="U130" s="20" t="n">
        <v>0.09582963620230701</v>
      </c>
      <c r="V130" s="20" t="n">
        <v>0.09025076306182298</v>
      </c>
      <c r="W130" s="20" t="n">
        <v>0.05784854716865875</v>
      </c>
      <c r="X130" s="20" t="n">
        <v>0.05170106646121406</v>
      </c>
      <c r="Y130" s="14" t="n">
        <v>4.34</v>
      </c>
      <c r="Z130" s="19">
        <f>IF(OR(Y130="",F130="",F130=0),"",Y130/F130)</f>
        <v/>
      </c>
      <c r="AA130" s="22" t="n">
        <v>162.155</v>
      </c>
      <c r="AB130" s="20" t="n">
        <v>0.011</v>
      </c>
      <c r="AC130" s="20" t="n">
        <v>0.1603126841827713</v>
      </c>
      <c r="AD130" s="17">
        <f>IF(OR(Q130="",M130="",M130&lt;=0),"",ROUND(40*MAX(0,MIN(N(Q130)/0.3,1))+IF(OR(R130="",N(Q130)&lt;=0),10,20*MAX(0,1-MIN(R130/Q130,1)))+30*MAX(0,MIN((PARAMETRI!$B$5-M130)/MAX(PARAMETRI!$B$5-10,1),1))+IF(AB130="",3,10*MAX(0,MIN(AB130/0.15,1)))+IF(AND(P130&lt;&gt;"",N(P130)&lt;N(Q130)*0.6),-8,0),1))</f>
        <v/>
      </c>
      <c r="AE130" s="13">
        <f>IF(AND(P130="",Q130=""),"DATI MANCANTI",IF(AND(N(P130)&gt;=PARAMETRI!$B$4,N(Q130)&gt;=PARAMETRI!$B$4),"OK","NO"))</f>
        <v/>
      </c>
      <c r="AF130" s="13">
        <f>IF(M130="","N/D",IF(M130&lt;PARAMETRI!$B$6,"OTTIMO",IF(M130&lt;PARAMETRI!$B$5,"OK","NO")))</f>
        <v/>
      </c>
      <c r="AG130" s="13">
        <f>IF(OR(AE130="DATI MANCANTI",AF130="N/D"),"DA COMPLETARE",IF(AND(AE130="OK",AF130="OTTIMO"),"PASSA FORTE",IF(AND(AE130="OK",AF130="OK"),"PASSA","SCARTA")))</f>
        <v/>
      </c>
      <c r="AH130" s="11" t="inlineStr">
        <is>
          <t>2026-10-12</t>
        </is>
      </c>
      <c r="AI130" s="11" t="inlineStr">
        <is>
          <t>yahoo</t>
        </is>
      </c>
      <c r="AJ130" s="23" t="inlineStr"/>
    </row>
    <row r="131">
      <c r="A131" s="10">
        <f>IF(AD131="","",RANK(AD131,AD$2:AD$167))</f>
        <v/>
      </c>
      <c r="B131" s="11" t="inlineStr">
        <is>
          <t>Uber Technologies</t>
        </is>
      </c>
      <c r="C131" s="12" t="inlineStr">
        <is>
          <t>UBER</t>
        </is>
      </c>
      <c r="D131" s="11" t="inlineStr">
        <is>
          <t>Piattaforme</t>
        </is>
      </c>
      <c r="E131" s="13" t="inlineStr">
        <is>
          <t>Tecnologia</t>
        </is>
      </c>
      <c r="F131" s="14" t="n">
        <v>71.071</v>
      </c>
      <c r="G131" s="15" t="inlineStr">
        <is>
          <t>USD</t>
        </is>
      </c>
      <c r="H131" s="14" t="n">
        <v>63.66540221509841</v>
      </c>
      <c r="I131" s="16" t="n">
        <v>130040.4202878635</v>
      </c>
      <c r="J131" s="16" t="n">
        <v>145166.8</v>
      </c>
      <c r="K131" s="14" t="n">
        <v>4.64</v>
      </c>
      <c r="L131" s="14" t="n">
        <v>4.41322</v>
      </c>
      <c r="M131" s="17">
        <f>IF(OR(F131="",K131="",K131&lt;=0),"",F131/K131)</f>
        <v/>
      </c>
      <c r="N131" s="18" t="n">
        <v>5.307767</v>
      </c>
      <c r="O131" s="19">
        <f>IF(OR(N131="",M131="",M131&lt;=0),"",N131/M131)</f>
        <v/>
      </c>
      <c r="P131" s="20" t="n">
        <v>0.3716</v>
      </c>
      <c r="Q131" s="20" t="n">
        <v>-0.06216638498507329</v>
      </c>
      <c r="R131" s="20" t="n">
        <v>0.6911679096695134</v>
      </c>
      <c r="S131" s="21" t="n">
        <v>4</v>
      </c>
      <c r="T131" s="20" t="n"/>
      <c r="U131" s="20" t="n">
        <v>0.3717687955327096</v>
      </c>
      <c r="V131" s="20" t="n">
        <v>0.4571852676500603</v>
      </c>
      <c r="W131" s="20" t="n">
        <v>0.1677482442883812</v>
      </c>
      <c r="X131" s="20" t="n">
        <v>-1.245367847411444</v>
      </c>
      <c r="Y131" s="14" t="n"/>
      <c r="Z131" s="19">
        <f>IF(OR(Y131="",F131="",F131=0),"",Y131/F131)</f>
        <v/>
      </c>
      <c r="AA131" s="22" t="n">
        <v>51.872</v>
      </c>
      <c r="AB131" s="20" t="n">
        <v>0.122</v>
      </c>
      <c r="AC131" s="20" t="n">
        <v>0.1841513314493339</v>
      </c>
      <c r="AD131" s="17">
        <f>IF(OR(Q131="",M131="",M131&lt;=0),"",ROUND(40*MAX(0,MIN(N(Q131)/0.3,1))+IF(OR(R131="",N(Q131)&lt;=0),10,20*MAX(0,1-MIN(R131/Q131,1)))+30*MAX(0,MIN((PARAMETRI!$B$5-M131)/MAX(PARAMETRI!$B$5-10,1),1))+IF(AB131="",3,10*MAX(0,MIN(AB131/0.15,1)))+IF(AND(P131&lt;&gt;"",N(P131)&lt;N(Q131)*0.6),-8,0),1))</f>
        <v/>
      </c>
      <c r="AE131" s="13">
        <f>IF(AND(P131="",Q131=""),"DATI MANCANTI",IF(AND(N(P131)&gt;=PARAMETRI!$B$4,N(Q131)&gt;=PARAMETRI!$B$4),"OK","NO"))</f>
        <v/>
      </c>
      <c r="AF131" s="13">
        <f>IF(M131="","N/D",IF(M131&lt;PARAMETRI!$B$6,"OTTIMO",IF(M131&lt;PARAMETRI!$B$5,"OK","NO")))</f>
        <v/>
      </c>
      <c r="AG131" s="13">
        <f>IF(OR(AE131="DATI MANCANTI",AF131="N/D"),"DA COMPLETARE",IF(AND(AE131="OK",AF131="OTTIMO"),"PASSA FORTE",IF(AND(AE131="OK",AF131="OK"),"PASSA","SCARTA")))</f>
        <v/>
      </c>
      <c r="AH131" s="11" t="inlineStr">
        <is>
          <t>2026-10-12</t>
        </is>
      </c>
      <c r="AI131" s="11" t="inlineStr">
        <is>
          <t>yahoo</t>
        </is>
      </c>
      <c r="AJ131" s="23" t="inlineStr"/>
    </row>
    <row r="132">
      <c r="A132" s="10">
        <f>IF(AD132="","",RANK(AD132,AD$2:AD$167))</f>
        <v/>
      </c>
      <c r="B132" s="11" t="inlineStr">
        <is>
          <t>Freeport-McMoRan</t>
        </is>
      </c>
      <c r="C132" s="12" t="inlineStr">
        <is>
          <t>FCX</t>
        </is>
      </c>
      <c r="D132" s="11" t="inlineStr">
        <is>
          <t>Rame</t>
        </is>
      </c>
      <c r="E132" s="13" t="inlineStr">
        <is>
          <t>Materiali</t>
        </is>
      </c>
      <c r="F132" s="14" t="n">
        <v>73.48999999999999</v>
      </c>
      <c r="G132" s="15" t="inlineStr">
        <is>
          <t>USD</t>
        </is>
      </c>
      <c r="H132" s="14" t="n">
        <v>65.83234242922686</v>
      </c>
      <c r="I132" s="16" t="n">
        <v>94536.37243637713</v>
      </c>
      <c r="J132" s="16" t="n">
        <v>105532.9</v>
      </c>
      <c r="K132" s="14" t="n">
        <v>2.03</v>
      </c>
      <c r="L132" s="14" t="n">
        <v>4.31287</v>
      </c>
      <c r="M132" s="17">
        <f>IF(OR(F132="",K132="",K132&lt;=0),"",F132/K132)</f>
        <v/>
      </c>
      <c r="N132" s="18" t="n">
        <v>5.248161</v>
      </c>
      <c r="O132" s="19">
        <f>IF(OR(N132="",M132="",M132&lt;=0),"",N132/M132)</f>
        <v/>
      </c>
      <c r="P132" s="20" t="n">
        <v>0.14755</v>
      </c>
      <c r="Q132" s="20" t="n">
        <v>0.139430342603264</v>
      </c>
      <c r="R132" s="20" t="n">
        <v>0.04833258025963022</v>
      </c>
      <c r="S132" s="21" t="n">
        <v>4</v>
      </c>
      <c r="T132" s="20" t="n"/>
      <c r="U132" s="20" t="n">
        <v>0.1166199269802635</v>
      </c>
      <c r="V132" s="20" t="n">
        <v>0.1074455377964848</v>
      </c>
      <c r="W132" s="20" t="n">
        <v>0.1107050859641766</v>
      </c>
      <c r="X132" s="20" t="n">
        <v>0.2229508196721312</v>
      </c>
      <c r="Y132" s="14" t="n">
        <v>0.6</v>
      </c>
      <c r="Z132" s="19">
        <f>IF(OR(Y132="",F132="",F132=0),"",Y132/F132)</f>
        <v/>
      </c>
      <c r="AA132" s="22" t="n">
        <v>32.149</v>
      </c>
      <c r="AB132" s="20" t="n">
        <v>-0.073</v>
      </c>
      <c r="AC132" s="20" t="n">
        <v>0.1132934593864557</v>
      </c>
      <c r="AD132" s="17">
        <f>IF(OR(Q132="",M132="",M132&lt;=0),"",ROUND(40*MAX(0,MIN(N(Q132)/0.3,1))+IF(OR(R132="",N(Q132)&lt;=0),10,20*MAX(0,1-MIN(R132/Q132,1)))+30*MAX(0,MIN((PARAMETRI!$B$5-M132)/MAX(PARAMETRI!$B$5-10,1),1))+IF(AB132="",3,10*MAX(0,MIN(AB132/0.15,1)))+IF(AND(P132&lt;&gt;"",N(P132)&lt;N(Q132)*0.6),-8,0),1))</f>
        <v/>
      </c>
      <c r="AE132" s="13">
        <f>IF(AND(P132="",Q132=""),"DATI MANCANTI",IF(AND(N(P132)&gt;=PARAMETRI!$B$4,N(Q132)&gt;=PARAMETRI!$B$4),"OK","NO"))</f>
        <v/>
      </c>
      <c r="AF132" s="13">
        <f>IF(M132="","N/D",IF(M132&lt;PARAMETRI!$B$6,"OTTIMO",IF(M132&lt;PARAMETRI!$B$5,"OK","NO")))</f>
        <v/>
      </c>
      <c r="AG132" s="13">
        <f>IF(OR(AE132="DATI MANCANTI",AF132="N/D"),"DA COMPLETARE",IF(AND(AE132="OK",AF132="OTTIMO"),"PASSA FORTE",IF(AND(AE132="OK",AF132="OK"),"PASSA","SCARTA")))</f>
        <v/>
      </c>
      <c r="AH132" s="11" t="inlineStr">
        <is>
          <t>2026-10-12</t>
        </is>
      </c>
      <c r="AI132" s="11" t="inlineStr">
        <is>
          <t>yahoo</t>
        </is>
      </c>
      <c r="AJ132" s="23" t="inlineStr"/>
    </row>
    <row r="133">
      <c r="A133" s="10">
        <f>IF(AD133="","",RANK(AD133,AD$2:AD$167))</f>
        <v/>
      </c>
      <c r="B133" s="11" t="inlineStr">
        <is>
          <t>Xcel Energy</t>
        </is>
      </c>
      <c r="C133" s="12" t="inlineStr">
        <is>
          <t>XEL</t>
        </is>
      </c>
      <c r="D133" s="11" t="inlineStr">
        <is>
          <t>Utility</t>
        </is>
      </c>
      <c r="E133" s="13" t="inlineStr">
        <is>
          <t>Utility</t>
        </is>
      </c>
      <c r="F133" s="14" t="n">
        <v>74.155</v>
      </c>
      <c r="G133" s="15" t="inlineStr">
        <is>
          <t>USD</t>
        </is>
      </c>
      <c r="H133" s="14" t="n">
        <v>66.42804943311087</v>
      </c>
      <c r="I133" s="16" t="n">
        <v>41493.27711053616</v>
      </c>
      <c r="J133" s="16" t="n">
        <v>46319.8</v>
      </c>
      <c r="K133" s="14" t="n">
        <v>3.65</v>
      </c>
      <c r="L133" s="14" t="n">
        <v>4.537</v>
      </c>
      <c r="M133" s="17">
        <f>IF(OR(F133="",K133="",K133&lt;=0),"",F133/K133)</f>
        <v/>
      </c>
      <c r="N133" s="18" t="n">
        <v>1.9247041</v>
      </c>
      <c r="O133" s="19">
        <f>IF(OR(N133="",M133="",M133&lt;=0),"",N133/M133)</f>
        <v/>
      </c>
      <c r="P133" s="20" t="n">
        <v>0.0992</v>
      </c>
      <c r="Q133" s="20" t="n">
        <v>0.09732189916854156</v>
      </c>
      <c r="R133" s="20" t="n">
        <v>0.007073008672390108</v>
      </c>
      <c r="S133" s="21" t="n">
        <v>4</v>
      </c>
      <c r="T133" s="20" t="n"/>
      <c r="U133" s="20" t="n">
        <v>0.08547587784319539</v>
      </c>
      <c r="V133" s="20" t="n">
        <v>0.09917016699108698</v>
      </c>
      <c r="W133" s="20" t="n">
        <v>0.1005336058128974</v>
      </c>
      <c r="X133" s="20" t="n">
        <v>0.1041079460269865</v>
      </c>
      <c r="Y133" s="14" t="n">
        <v>2.37</v>
      </c>
      <c r="Z133" s="19">
        <f>IF(OR(Y133="",F133="",F133=0),"",Y133/F133)</f>
        <v/>
      </c>
      <c r="AA133" s="22" t="n">
        <v>173.135</v>
      </c>
      <c r="AB133" s="20" t="n">
        <v>-0.051</v>
      </c>
      <c r="AC133" s="20" t="n">
        <v>0.1522257778989706</v>
      </c>
      <c r="AD133" s="17">
        <f>IF(OR(Q133="",M133="",M133&lt;=0),"",ROUND(40*MAX(0,MIN(N(Q133)/0.3,1))+IF(OR(R133="",N(Q133)&lt;=0),10,20*MAX(0,1-MIN(R133/Q133,1)))+30*MAX(0,MIN((PARAMETRI!$B$5-M133)/MAX(PARAMETRI!$B$5-10,1),1))+IF(AB133="",3,10*MAX(0,MIN(AB133/0.15,1)))+IF(AND(P133&lt;&gt;"",N(P133)&lt;N(Q133)*0.6),-8,0),1))</f>
        <v/>
      </c>
      <c r="AE133" s="13">
        <f>IF(AND(P133="",Q133=""),"DATI MANCANTI",IF(AND(N(P133)&gt;=PARAMETRI!$B$4,N(Q133)&gt;=PARAMETRI!$B$4),"OK","NO"))</f>
        <v/>
      </c>
      <c r="AF133" s="13">
        <f>IF(M133="","N/D",IF(M133&lt;PARAMETRI!$B$6,"OTTIMO",IF(M133&lt;PARAMETRI!$B$5,"OK","NO")))</f>
        <v/>
      </c>
      <c r="AG133" s="13">
        <f>IF(OR(AE133="DATI MANCANTI",AF133="N/D"),"DA COMPLETARE",IF(AND(AE133="OK",AF133="OTTIMO"),"PASSA FORTE",IF(AND(AE133="OK",AF133="OK"),"PASSA","SCARTA")))</f>
        <v/>
      </c>
      <c r="AH133" s="11" t="inlineStr">
        <is>
          <t>2026-10-12</t>
        </is>
      </c>
      <c r="AI133" s="11" t="inlineStr">
        <is>
          <t>yahoo</t>
        </is>
      </c>
      <c r="AJ133" s="23" t="inlineStr"/>
    </row>
    <row r="134">
      <c r="A134" s="10">
        <f>IF(AD134="","",RANK(AD134,AD$2:AD$167))</f>
        <v/>
      </c>
      <c r="B134" s="11" t="inlineStr">
        <is>
          <t>Danaher</t>
        </is>
      </c>
      <c r="C134" s="12" t="inlineStr">
        <is>
          <t>DHR</t>
        </is>
      </c>
      <c r="D134" s="11" t="inlineStr">
        <is>
          <t>Strumentazione life science</t>
        </is>
      </c>
      <c r="E134" s="13" t="inlineStr">
        <is>
          <t>Salute</t>
        </is>
      </c>
      <c r="F134" s="14" t="n">
        <v>220.39</v>
      </c>
      <c r="G134" s="15" t="inlineStr">
        <is>
          <t>USD</t>
        </is>
      </c>
      <c r="H134" s="14" t="n">
        <v>197.4253632872133</v>
      </c>
      <c r="I134" s="16" t="n">
        <v>138787.2802848931</v>
      </c>
      <c r="J134" s="16" t="n">
        <v>154931.1</v>
      </c>
      <c r="K134" s="14" t="n">
        <v>5.61</v>
      </c>
      <c r="L134" s="14" t="n">
        <v>9.299770000000001</v>
      </c>
      <c r="M134" s="17">
        <f>IF(OR(F134="",K134="",K134&lt;=0),"",F134/K134)</f>
        <v/>
      </c>
      <c r="N134" s="18" t="n">
        <v>2.946154</v>
      </c>
      <c r="O134" s="19">
        <f>IF(OR(N134="",M134="",M134&lt;=0),"",N134/M134)</f>
        <v/>
      </c>
      <c r="P134" s="20" t="n">
        <v>0.07605000000000001</v>
      </c>
      <c r="Q134" s="20" t="n">
        <v>0.09512670597719992</v>
      </c>
      <c r="R134" s="20" t="n">
        <v>0.02908220905236598</v>
      </c>
      <c r="S134" s="21" t="n">
        <v>4</v>
      </c>
      <c r="T134" s="20" t="n"/>
      <c r="U134" s="20" t="n">
        <v>0.06879354322914684</v>
      </c>
      <c r="V134" s="20" t="n">
        <v>0.07869931170902045</v>
      </c>
      <c r="W134" s="20" t="n">
        <v>0.08907003701903302</v>
      </c>
      <c r="X134" s="20" t="n">
        <v>0.1439439319515994</v>
      </c>
      <c r="Y134" s="14" t="n">
        <v>1.6</v>
      </c>
      <c r="Z134" s="19">
        <f>IF(OR(Y134="",F134="",F134=0),"",Y134/F134)</f>
        <v/>
      </c>
      <c r="AA134" s="22" t="n">
        <v>52.97</v>
      </c>
      <c r="AB134" s="20" t="n">
        <v>0.055</v>
      </c>
      <c r="AC134" s="20" t="n">
        <v>0.1624063874959297</v>
      </c>
      <c r="AD134" s="17">
        <f>IF(OR(Q134="",M134="",M134&lt;=0),"",ROUND(40*MAX(0,MIN(N(Q134)/0.3,1))+IF(OR(R134="",N(Q134)&lt;=0),10,20*MAX(0,1-MIN(R134/Q134,1)))+30*MAX(0,MIN((PARAMETRI!$B$5-M134)/MAX(PARAMETRI!$B$5-10,1),1))+IF(AB134="",3,10*MAX(0,MIN(AB134/0.15,1)))+IF(AND(P134&lt;&gt;"",N(P134)&lt;N(Q134)*0.6),-8,0),1))</f>
        <v/>
      </c>
      <c r="AE134" s="13">
        <f>IF(AND(P134="",Q134=""),"DATI MANCANTI",IF(AND(N(P134)&gt;=PARAMETRI!$B$4,N(Q134)&gt;=PARAMETRI!$B$4),"OK","NO"))</f>
        <v/>
      </c>
      <c r="AF134" s="13">
        <f>IF(M134="","N/D",IF(M134&lt;PARAMETRI!$B$6,"OTTIMO",IF(M134&lt;PARAMETRI!$B$5,"OK","NO")))</f>
        <v/>
      </c>
      <c r="AG134" s="13">
        <f>IF(OR(AE134="DATI MANCANTI",AF134="N/D"),"DA COMPLETARE",IF(AND(AE134="OK",AF134="OTTIMO"),"PASSA FORTE",IF(AND(AE134="OK",AF134="OK"),"PASSA","SCARTA")))</f>
        <v/>
      </c>
      <c r="AH134" s="11" t="inlineStr">
        <is>
          <t>2026-10-12</t>
        </is>
      </c>
      <c r="AI134" s="11" t="inlineStr">
        <is>
          <t>yahoo</t>
        </is>
      </c>
      <c r="AJ134" s="23" t="inlineStr"/>
    </row>
    <row r="135">
      <c r="A135" s="10">
        <f>IF(AD135="","",RANK(AD135,AD$2:AD$167))</f>
        <v/>
      </c>
      <c r="B135" s="11" t="inlineStr">
        <is>
          <t>American International Group</t>
        </is>
      </c>
      <c r="C135" s="12" t="inlineStr">
        <is>
          <t>AIG</t>
        </is>
      </c>
      <c r="D135" s="11" t="inlineStr">
        <is>
          <t>Assicurazione</t>
        </is>
      </c>
      <c r="E135" s="13" t="inlineStr">
        <is>
          <t>Finanziario</t>
        </is>
      </c>
      <c r="F135" s="14" t="n">
        <v>77.62</v>
      </c>
      <c r="G135" s="15" t="inlineStr">
        <is>
          <t>USD</t>
        </is>
      </c>
      <c r="H135" s="14" t="n">
        <v>69.53199645334861</v>
      </c>
      <c r="I135" s="16" t="n">
        <v>36357.83483705308</v>
      </c>
      <c r="J135" s="16" t="n">
        <v>40587</v>
      </c>
      <c r="K135" s="14" t="n">
        <v>5.46</v>
      </c>
      <c r="L135" s="14" t="n">
        <v>8.792920000000001</v>
      </c>
      <c r="M135" s="17">
        <f>IF(OR(F135="",K135="",K135&lt;=0),"",F135/K135)</f>
        <v/>
      </c>
      <c r="N135" s="18" t="n">
        <v>1.0030239</v>
      </c>
      <c r="O135" s="19">
        <f>IF(OR(N135="",M135="",M135&lt;=0),"",N135/M135)</f>
        <v/>
      </c>
      <c r="P135" s="20" t="n">
        <v>0.0722</v>
      </c>
      <c r="Q135" s="20" t="n">
        <v>0.09304718508131808</v>
      </c>
      <c r="R135" s="20" t="n">
        <v>0.1011020395574324</v>
      </c>
      <c r="S135" s="21" t="n">
        <v>4</v>
      </c>
      <c r="T135" s="20" t="n"/>
      <c r="U135" s="20" t="n">
        <v>0.07525705534893896</v>
      </c>
      <c r="V135" s="20" t="n">
        <v>-0.0330189788575057</v>
      </c>
      <c r="W135" s="20" t="n">
        <v>0.08032898943793963</v>
      </c>
      <c r="X135" s="20" t="n">
        <v>0.2496216743958994</v>
      </c>
      <c r="Y135" s="14" t="n">
        <v>2</v>
      </c>
      <c r="Z135" s="19">
        <f>IF(OR(Y135="",F135="",F135=0),"",Y135/F135)</f>
        <v/>
      </c>
      <c r="AA135" s="22" t="n">
        <v>22.466</v>
      </c>
      <c r="AB135" s="20" t="n">
        <v>0.005</v>
      </c>
      <c r="AC135" s="20" t="n">
        <v>0.1107417620079181</v>
      </c>
      <c r="AD135" s="17">
        <f>IF(OR(Q135="",M135="",M135&lt;=0),"",ROUND(40*MAX(0,MIN(N(Q135)/0.3,1))+IF(OR(R135="",N(Q135)&lt;=0),10,20*MAX(0,1-MIN(R135/Q135,1)))+30*MAX(0,MIN((PARAMETRI!$B$5-M135)/MAX(PARAMETRI!$B$5-10,1),1))+IF(AB135="",3,10*MAX(0,MIN(AB135/0.15,1)))+IF(AND(P135&lt;&gt;"",N(P135)&lt;N(Q135)*0.6),-8,0),1))</f>
        <v/>
      </c>
      <c r="AE135" s="13">
        <f>IF(AND(P135="",Q135=""),"DATI MANCANTI",IF(AND(N(P135)&gt;=PARAMETRI!$B$4,N(Q135)&gt;=PARAMETRI!$B$4),"OK","NO"))</f>
        <v/>
      </c>
      <c r="AF135" s="13">
        <f>IF(M135="","N/D",IF(M135&lt;PARAMETRI!$B$6,"OTTIMO",IF(M135&lt;PARAMETRI!$B$5,"OK","NO")))</f>
        <v/>
      </c>
      <c r="AG135" s="13">
        <f>IF(OR(AE135="DATI MANCANTI",AF135="N/D"),"DA COMPLETARE",IF(AND(AE135="OK",AF135="OTTIMO"),"PASSA FORTE",IF(AND(AE135="OK",AF135="OK"),"PASSA","SCARTA")))</f>
        <v/>
      </c>
      <c r="AH135" s="11" t="inlineStr">
        <is>
          <t>2026-10-12</t>
        </is>
      </c>
      <c r="AI135" s="11" t="inlineStr">
        <is>
          <t>yahoo</t>
        </is>
      </c>
      <c r="AJ135" s="23" t="inlineStr"/>
    </row>
    <row r="136">
      <c r="A136" s="10">
        <f>IF(AD136="","",RANK(AD136,AD$2:AD$167))</f>
        <v/>
      </c>
      <c r="B136" s="11" t="inlineStr">
        <is>
          <t>American Electric Power</t>
        </is>
      </c>
      <c r="C136" s="12" t="inlineStr">
        <is>
          <t>AEP</t>
        </is>
      </c>
      <c r="D136" s="11" t="inlineStr">
        <is>
          <t>Utility</t>
        </is>
      </c>
      <c r="E136" s="13" t="inlineStr">
        <is>
          <t>Utility</t>
        </is>
      </c>
      <c r="F136" s="14" t="n">
        <v>123.93</v>
      </c>
      <c r="G136" s="15" t="inlineStr">
        <is>
          <t>USD</t>
        </is>
      </c>
      <c r="H136" s="14" t="n">
        <v>111.0164947238275</v>
      </c>
      <c r="I136" s="16" t="n">
        <v>60437.11815405</v>
      </c>
      <c r="J136" s="16" t="n">
        <v>67467.2</v>
      </c>
      <c r="K136" s="14" t="n">
        <v>5.77</v>
      </c>
      <c r="L136" s="14" t="n">
        <v>6.85684</v>
      </c>
      <c r="M136" s="17">
        <f>IF(OR(F136="",K136="",K136&lt;=0),"",F136/K136)</f>
        <v/>
      </c>
      <c r="N136" s="18" t="n">
        <v>2.1030393</v>
      </c>
      <c r="O136" s="19">
        <f>IF(OR(N136="",M136="",M136&lt;=0),"",N136/M136)</f>
        <v/>
      </c>
      <c r="P136" s="20" t="n">
        <v>0.10130999</v>
      </c>
      <c r="Q136" s="20" t="n">
        <v>0.10130999</v>
      </c>
      <c r="R136" s="20" t="n"/>
      <c r="S136" s="21" t="n">
        <v>0</v>
      </c>
      <c r="T136" s="20" t="n"/>
      <c r="U136" s="20" t="n">
        <v>0.1149720598625474</v>
      </c>
      <c r="V136" s="20" t="n">
        <v>0.1101172802850356</v>
      </c>
      <c r="W136" s="20" t="n">
        <v>0.08745697457489493</v>
      </c>
      <c r="X136" s="20" t="n">
        <v>0.09656223057413345</v>
      </c>
      <c r="Y136" s="14" t="n">
        <v>3.8</v>
      </c>
      <c r="Z136" s="19">
        <f>IF(OR(Y136="",F136="",F136=0),"",Y136/F136)</f>
        <v/>
      </c>
      <c r="AA136" s="22" t="n">
        <v>160.789</v>
      </c>
      <c r="AB136" s="20" t="n">
        <v>0.07000000000000001</v>
      </c>
      <c r="AC136" s="20" t="n">
        <v>0.13781999</v>
      </c>
      <c r="AD136" s="17">
        <f>IF(OR(Q136="",M136="",M136&lt;=0),"",ROUND(40*MAX(0,MIN(N(Q136)/0.3,1))+IF(OR(R136="",N(Q136)&lt;=0),10,20*MAX(0,1-MIN(R136/Q136,1)))+30*MAX(0,MIN((PARAMETRI!$B$5-M136)/MAX(PARAMETRI!$B$5-10,1),1))+IF(AB136="",3,10*MAX(0,MIN(AB136/0.15,1)))+IF(AND(P136&lt;&gt;"",N(P136)&lt;N(Q136)*0.6),-8,0),1))</f>
        <v/>
      </c>
      <c r="AE136" s="13">
        <f>IF(AND(P136="",Q136=""),"DATI MANCANTI",IF(AND(N(P136)&gt;=PARAMETRI!$B$4,N(Q136)&gt;=PARAMETRI!$B$4),"OK","NO"))</f>
        <v/>
      </c>
      <c r="AF136" s="13">
        <f>IF(M136="","N/D",IF(M136&lt;PARAMETRI!$B$6,"OTTIMO",IF(M136&lt;PARAMETRI!$B$5,"OK","NO")))</f>
        <v/>
      </c>
      <c r="AG136" s="13">
        <f>IF(OR(AE136="DATI MANCANTI",AF136="N/D"),"DA COMPLETARE",IF(AND(AE136="OK",AF136="OTTIMO"),"PASSA FORTE",IF(AND(AE136="OK",AF136="OK"),"PASSA","SCARTA")))</f>
        <v/>
      </c>
      <c r="AH136" s="11" t="inlineStr">
        <is>
          <t>2026-10-12</t>
        </is>
      </c>
      <c r="AI136" s="11" t="inlineStr">
        <is>
          <t>yahoo</t>
        </is>
      </c>
      <c r="AJ136" s="23" t="inlineStr"/>
    </row>
    <row r="137">
      <c r="A137" s="10">
        <f>IF(AD137="","",RANK(AD137,AD$2:AD$167))</f>
        <v/>
      </c>
      <c r="B137" s="11" t="inlineStr">
        <is>
          <t>Digital Realty</t>
        </is>
      </c>
      <c r="C137" s="12" t="inlineStr">
        <is>
          <t>DLR</t>
        </is>
      </c>
      <c r="D137" s="11" t="inlineStr">
        <is>
          <t>REIT / Data center</t>
        </is>
      </c>
      <c r="E137" s="13" t="inlineStr">
        <is>
          <t>Immobiliare</t>
        </is>
      </c>
      <c r="F137" s="14" t="n">
        <v>179.84</v>
      </c>
      <c r="G137" s="15" t="inlineStr">
        <is>
          <t>USD</t>
        </is>
      </c>
      <c r="H137" s="14" t="n">
        <v>161.1006730503764</v>
      </c>
      <c r="I137" s="16" t="n">
        <v>60841.84059668879</v>
      </c>
      <c r="J137" s="16" t="n">
        <v>67919</v>
      </c>
      <c r="K137" s="14" t="n">
        <v>2.06</v>
      </c>
      <c r="L137" s="14" t="n">
        <v>2.76208</v>
      </c>
      <c r="M137" s="17">
        <f>IF(OR(F137="",K137="",K137&lt;=0),"",F137/K137)</f>
        <v/>
      </c>
      <c r="N137" s="18" t="n">
        <v>2.4919631</v>
      </c>
      <c r="O137" s="19">
        <f>IF(OR(N137="",M137="",M137&lt;=0),"",N137/M137)</f>
        <v/>
      </c>
      <c r="P137" s="20" t="n">
        <v>0.02912</v>
      </c>
      <c r="Q137" s="20" t="n">
        <v>0.03910587655461811</v>
      </c>
      <c r="R137" s="20" t="n">
        <v>0.01468646488418679</v>
      </c>
      <c r="S137" s="21" t="n">
        <v>4</v>
      </c>
      <c r="T137" s="20" t="n"/>
      <c r="U137" s="20" t="n">
        <v>0.05707965784893549</v>
      </c>
      <c r="V137" s="20" t="n">
        <v>0.02823237074736707</v>
      </c>
      <c r="W137" s="20" t="n">
        <v>0.04963181966879201</v>
      </c>
      <c r="X137" s="20" t="n">
        <v>0.0214796579533779</v>
      </c>
      <c r="Y137" s="14" t="n">
        <v>4.88</v>
      </c>
      <c r="Z137" s="19">
        <f>IF(OR(Y137="",F137="",F137=0),"",Y137/F137)</f>
        <v/>
      </c>
      <c r="AA137" s="22" t="n">
        <v>67.944</v>
      </c>
      <c r="AB137" s="20" t="n">
        <v>0.299</v>
      </c>
      <c r="AC137" s="20" t="n">
        <v>0.1240530332625953</v>
      </c>
      <c r="AD137" s="17">
        <f>IF(OR(Q137="",M137="",M137&lt;=0),"",ROUND(40*MAX(0,MIN(N(Q137)/0.3,1))+IF(OR(R137="",N(Q137)&lt;=0),10,20*MAX(0,1-MIN(R137/Q137,1)))+30*MAX(0,MIN((PARAMETRI!$B$5-M137)/MAX(PARAMETRI!$B$5-10,1),1))+IF(AB137="",3,10*MAX(0,MIN(AB137/0.15,1)))+IF(AND(P137&lt;&gt;"",N(P137)&lt;N(Q137)*0.6),-8,0),1))</f>
        <v/>
      </c>
      <c r="AE137" s="13">
        <f>IF(AND(P137="",Q137=""),"DATI MANCANTI",IF(AND(N(P137)&gt;=PARAMETRI!$B$4,N(Q137)&gt;=PARAMETRI!$B$4),"OK","NO"))</f>
        <v/>
      </c>
      <c r="AF137" s="13">
        <f>IF(M137="","N/D",IF(M137&lt;PARAMETRI!$B$6,"OTTIMO",IF(M137&lt;PARAMETRI!$B$5,"OK","NO")))</f>
        <v/>
      </c>
      <c r="AG137" s="13">
        <f>IF(OR(AE137="DATI MANCANTI",AF137="N/D"),"DA COMPLETARE",IF(AND(AE137="OK",AF137="OTTIMO"),"PASSA FORTE",IF(AND(AE137="OK",AF137="OK"),"PASSA","SCARTA")))</f>
        <v/>
      </c>
      <c r="AH137" s="11" t="inlineStr">
        <is>
          <t>2026-10-12</t>
        </is>
      </c>
      <c r="AI137" s="11" t="inlineStr">
        <is>
          <t>yahoo</t>
        </is>
      </c>
      <c r="AJ137" s="23" t="inlineStr"/>
    </row>
    <row r="138">
      <c r="A138" s="10">
        <f>IF(AD138="","",RANK(AD138,AD$2:AD$167))</f>
        <v/>
      </c>
      <c r="B138" s="11" t="inlineStr">
        <is>
          <t>Realty Income</t>
        </is>
      </c>
      <c r="C138" s="12" t="inlineStr">
        <is>
          <t>O</t>
        </is>
      </c>
      <c r="D138" s="11" t="inlineStr">
        <is>
          <t>REIT / Retail</t>
        </is>
      </c>
      <c r="E138" s="13" t="inlineStr">
        <is>
          <t>Immobiliare</t>
        </is>
      </c>
      <c r="F138" s="14" t="n">
        <v>54.615</v>
      </c>
      <c r="G138" s="15" t="inlineStr">
        <is>
          <t>USD</t>
        </is>
      </c>
      <c r="H138" s="14" t="n">
        <v>48.92411731898524</v>
      </c>
      <c r="I138" s="16" t="n">
        <v>46292.8839618296</v>
      </c>
      <c r="J138" s="16" t="n">
        <v>51677.7</v>
      </c>
      <c r="K138" s="14" t="n">
        <v>1.38</v>
      </c>
      <c r="L138" s="14" t="n">
        <v>1.55302</v>
      </c>
      <c r="M138" s="17">
        <f>IF(OR(F138="",K138="",K138&lt;=0),"",F138/K138)</f>
        <v/>
      </c>
      <c r="N138" s="18" t="n">
        <v>1.3066415</v>
      </c>
      <c r="O138" s="19">
        <f>IF(OR(N138="",M138="",M138&lt;=0),"",N138/M138)</f>
        <v/>
      </c>
      <c r="P138" s="20" t="n">
        <v>0.03225</v>
      </c>
      <c r="Q138" s="20" t="n">
        <v>0.02644066170262016</v>
      </c>
      <c r="R138" s="20" t="n">
        <v>0.00288124458790436</v>
      </c>
      <c r="S138" s="21" t="n">
        <v>4</v>
      </c>
      <c r="T138" s="20" t="n"/>
      <c r="U138" s="20" t="n">
        <v>0.02684140537611602</v>
      </c>
      <c r="V138" s="20" t="n">
        <v>0.02216157684748421</v>
      </c>
      <c r="W138" s="20" t="n">
        <v>0.02648057537935393</v>
      </c>
      <c r="X138" s="20" t="n">
        <v>0.03027908920752649</v>
      </c>
      <c r="Y138" s="14" t="n">
        <v>3.26</v>
      </c>
      <c r="Z138" s="19">
        <f>IF(OR(Y138="",F138="",F138=0),"",Y138/F138)</f>
        <v/>
      </c>
      <c r="AA138" s="22" t="n">
        <v>74.72199999999999</v>
      </c>
      <c r="AB138" s="20" t="n">
        <v>0.096</v>
      </c>
      <c r="AC138" s="20" t="n">
        <v>0.2204720546243532</v>
      </c>
      <c r="AD138" s="17">
        <f>IF(OR(Q138="",M138="",M138&lt;=0),"",ROUND(40*MAX(0,MIN(N(Q138)/0.3,1))+IF(OR(R138="",N(Q138)&lt;=0),10,20*MAX(0,1-MIN(R138/Q138,1)))+30*MAX(0,MIN((PARAMETRI!$B$5-M138)/MAX(PARAMETRI!$B$5-10,1),1))+IF(AB138="",3,10*MAX(0,MIN(AB138/0.15,1)))+IF(AND(P138&lt;&gt;"",N(P138)&lt;N(Q138)*0.6),-8,0),1))</f>
        <v/>
      </c>
      <c r="AE138" s="13">
        <f>IF(AND(P138="",Q138=""),"DATI MANCANTI",IF(AND(N(P138)&gt;=PARAMETRI!$B$4,N(Q138)&gt;=PARAMETRI!$B$4),"OK","NO"))</f>
        <v/>
      </c>
      <c r="AF138" s="13">
        <f>IF(M138="","N/D",IF(M138&lt;PARAMETRI!$B$6,"OTTIMO",IF(M138&lt;PARAMETRI!$B$5,"OK","NO")))</f>
        <v/>
      </c>
      <c r="AG138" s="13">
        <f>IF(OR(AE138="DATI MANCANTI",AF138="N/D"),"DA COMPLETARE",IF(AND(AE138="OK",AF138="OTTIMO"),"PASSA FORTE",IF(AND(AE138="OK",AF138="OK"),"PASSA","SCARTA")))</f>
        <v/>
      </c>
      <c r="AH138" s="11" t="inlineStr">
        <is>
          <t>2026-10-12</t>
        </is>
      </c>
      <c r="AI138" s="11" t="inlineStr">
        <is>
          <t>yahoo</t>
        </is>
      </c>
      <c r="AJ138" s="23" t="inlineStr"/>
    </row>
    <row r="139">
      <c r="A139" s="10">
        <f>IF(AD139="","",RANK(AD139,AD$2:AD$167))</f>
        <v/>
      </c>
      <c r="B139" s="11" t="inlineStr">
        <is>
          <t>Sempra</t>
        </is>
      </c>
      <c r="C139" s="12" t="inlineStr">
        <is>
          <t>SRE</t>
        </is>
      </c>
      <c r="D139" s="11" t="inlineStr">
        <is>
          <t>Utility</t>
        </is>
      </c>
      <c r="E139" s="13" t="inlineStr">
        <is>
          <t>Utility</t>
        </is>
      </c>
      <c r="F139" s="14" t="n">
        <v>81.79000000000001</v>
      </c>
      <c r="G139" s="15" t="inlineStr">
        <is>
          <t>USD</t>
        </is>
      </c>
      <c r="H139" s="14" t="n">
        <v>73.26748247770398</v>
      </c>
      <c r="I139" s="16" t="n">
        <v>47909.62381237074</v>
      </c>
      <c r="J139" s="16" t="n">
        <v>53482.5</v>
      </c>
      <c r="K139" s="14" t="n">
        <v>3.46</v>
      </c>
      <c r="L139" s="14" t="n">
        <v>5.53921</v>
      </c>
      <c r="M139" s="17">
        <f>IF(OR(F139="",K139="",K139&lt;=0),"",F139/K139)</f>
        <v/>
      </c>
      <c r="N139" s="18" t="n">
        <v>1.6359309</v>
      </c>
      <c r="O139" s="19">
        <f>IF(OR(N139="",M139="",M139&lt;=0),"",N139/M139)</f>
        <v/>
      </c>
      <c r="P139" s="20" t="n">
        <v>0.06679</v>
      </c>
      <c r="Q139" s="20" t="n">
        <v>0.0839260568573944</v>
      </c>
      <c r="R139" s="20" t="n">
        <v>0.01796868981652871</v>
      </c>
      <c r="S139" s="21" t="n">
        <v>4</v>
      </c>
      <c r="T139" s="20" t="n"/>
      <c r="U139" s="20" t="n">
        <v>0.058107167710508</v>
      </c>
      <c r="V139" s="20" t="n">
        <v>0.09160745150758594</v>
      </c>
      <c r="W139" s="20" t="n">
        <v>0.1071615263983272</v>
      </c>
      <c r="X139" s="20" t="n">
        <v>0.07882808181315644</v>
      </c>
      <c r="Y139" s="14" t="n">
        <v>2.63</v>
      </c>
      <c r="Z139" s="19">
        <f>IF(OR(Y139="",F139="",F139=0),"",Y139/F139)</f>
        <v/>
      </c>
      <c r="AA139" s="22" t="n">
        <v>84.663</v>
      </c>
      <c r="AB139" s="20" t="n">
        <v>-0.001</v>
      </c>
      <c r="AC139" s="20" t="n">
        <v>0.1650853983360094</v>
      </c>
      <c r="AD139" s="17">
        <f>IF(OR(Q139="",M139="",M139&lt;=0),"",ROUND(40*MAX(0,MIN(N(Q139)/0.3,1))+IF(OR(R139="",N(Q139)&lt;=0),10,20*MAX(0,1-MIN(R139/Q139,1)))+30*MAX(0,MIN((PARAMETRI!$B$5-M139)/MAX(PARAMETRI!$B$5-10,1),1))+IF(AB139="",3,10*MAX(0,MIN(AB139/0.15,1)))+IF(AND(P139&lt;&gt;"",N(P139)&lt;N(Q139)*0.6),-8,0),1))</f>
        <v/>
      </c>
      <c r="AE139" s="13">
        <f>IF(AND(P139="",Q139=""),"DATI MANCANTI",IF(AND(N(P139)&gt;=PARAMETRI!$B$4,N(Q139)&gt;=PARAMETRI!$B$4),"OK","NO"))</f>
        <v/>
      </c>
      <c r="AF139" s="13">
        <f>IF(M139="","N/D",IF(M139&lt;PARAMETRI!$B$6,"OTTIMO",IF(M139&lt;PARAMETRI!$B$5,"OK","NO")))</f>
        <v/>
      </c>
      <c r="AG139" s="13">
        <f>IF(OR(AE139="DATI MANCANTI",AF139="N/D"),"DA COMPLETARE",IF(AND(AE139="OK",AF139="OTTIMO"),"PASSA FORTE",IF(AND(AE139="OK",AF139="OK"),"PASSA","SCARTA")))</f>
        <v/>
      </c>
      <c r="AH139" s="11" t="inlineStr">
        <is>
          <t>2026-10-12</t>
        </is>
      </c>
      <c r="AI139" s="11" t="inlineStr">
        <is>
          <t>yahoo</t>
        </is>
      </c>
      <c r="AJ139" s="23" t="inlineStr"/>
    </row>
    <row r="140">
      <c r="A140" s="10">
        <f>IF(AD140="","",RANK(AD140,AD$2:AD$167))</f>
        <v/>
      </c>
      <c r="B140" s="11" t="inlineStr">
        <is>
          <t>3M</t>
        </is>
      </c>
      <c r="C140" s="12" t="inlineStr">
        <is>
          <t>MMM</t>
        </is>
      </c>
      <c r="D140" s="11" t="inlineStr">
        <is>
          <t>Conglomerata industriale</t>
        </is>
      </c>
      <c r="E140" s="13" t="inlineStr">
        <is>
          <t>Industriale</t>
        </is>
      </c>
      <c r="F140" s="14" t="n">
        <v>161.345</v>
      </c>
      <c r="G140" s="15" t="inlineStr">
        <is>
          <t>USD</t>
        </is>
      </c>
      <c r="H140" s="14" t="n">
        <v>144.5328519423542</v>
      </c>
      <c r="I140" s="16" t="n">
        <v>74568.90072618923</v>
      </c>
      <c r="J140" s="16" t="n">
        <v>83242.8</v>
      </c>
      <c r="K140" s="14" t="n">
        <v>5.63</v>
      </c>
      <c r="L140" s="14" t="n">
        <v>9.819929999999999</v>
      </c>
      <c r="M140" s="17">
        <f>IF(OR(F140="",K140="",K140&lt;=0),"",F140/K140)</f>
        <v/>
      </c>
      <c r="N140" s="18" t="n">
        <v>28.198812</v>
      </c>
      <c r="O140" s="19">
        <f>IF(OR(N140="",M140="",M140&lt;=0),"",N140/M140)</f>
        <v/>
      </c>
      <c r="P140" s="20" t="n">
        <v>0.81891996</v>
      </c>
      <c r="Q140" s="20" t="n">
        <v>0.1786461650131368</v>
      </c>
      <c r="R140" s="20" t="n">
        <v>0.9748490004280096</v>
      </c>
      <c r="S140" s="21" t="n">
        <v>4</v>
      </c>
      <c r="T140" s="20" t="n"/>
      <c r="U140" s="20" t="n">
        <v>0.6911952360697575</v>
      </c>
      <c r="V140" s="20" t="n">
        <v>1.086153045288912</v>
      </c>
      <c r="W140" s="20" t="n">
        <v>-1.455169544414396</v>
      </c>
      <c r="X140" s="20" t="n">
        <v>0.3924059231082733</v>
      </c>
      <c r="Y140" s="14" t="n">
        <v>3.12</v>
      </c>
      <c r="Z140" s="19">
        <f>IF(OR(Y140="",F140="",F140=0),"",Y140/F140)</f>
        <v/>
      </c>
      <c r="AA140" s="22" t="n">
        <v>437.937</v>
      </c>
      <c r="AB140" s="20" t="n">
        <v>0.025</v>
      </c>
      <c r="AC140" s="20" t="n">
        <v>0.1201298675645342</v>
      </c>
      <c r="AD140" s="17">
        <f>IF(OR(Q140="",M140="",M140&lt;=0),"",ROUND(40*MAX(0,MIN(N(Q140)/0.3,1))+IF(OR(R140="",N(Q140)&lt;=0),10,20*MAX(0,1-MIN(R140/Q140,1)))+30*MAX(0,MIN((PARAMETRI!$B$5-M140)/MAX(PARAMETRI!$B$5-10,1),1))+IF(AB140="",3,10*MAX(0,MIN(AB140/0.15,1)))+IF(AND(P140&lt;&gt;"",N(P140)&lt;N(Q140)*0.6),-8,0),1))</f>
        <v/>
      </c>
      <c r="AE140" s="13">
        <f>IF(AND(P140="",Q140=""),"DATI MANCANTI",IF(AND(N(P140)&gt;=PARAMETRI!$B$4,N(Q140)&gt;=PARAMETRI!$B$4),"OK","NO"))</f>
        <v/>
      </c>
      <c r="AF140" s="13">
        <f>IF(M140="","N/D",IF(M140&lt;PARAMETRI!$B$6,"OTTIMO",IF(M140&lt;PARAMETRI!$B$5,"OK","NO")))</f>
        <v/>
      </c>
      <c r="AG140" s="13">
        <f>IF(OR(AE140="DATI MANCANTI",AF140="N/D"),"DA COMPLETARE",IF(AND(AE140="OK",AF140="OTTIMO"),"PASSA FORTE",IF(AND(AE140="OK",AF140="OK"),"PASSA","SCARTA")))</f>
        <v/>
      </c>
      <c r="AH140" s="11" t="inlineStr">
        <is>
          <t>2026-10-12</t>
        </is>
      </c>
      <c r="AI140" s="11" t="inlineStr">
        <is>
          <t>yahoo</t>
        </is>
      </c>
      <c r="AJ140" s="23" t="inlineStr"/>
    </row>
    <row r="141">
      <c r="A141" s="10">
        <f>IF(AD141="","",RANK(AD141,AD$2:AD$167))</f>
        <v/>
      </c>
      <c r="B141" s="11" t="inlineStr">
        <is>
          <t>Salesforce</t>
        </is>
      </c>
      <c r="C141" s="12" t="inlineStr">
        <is>
          <t>CRM</t>
        </is>
      </c>
      <c r="D141" s="11" t="inlineStr">
        <is>
          <t>Software</t>
        </is>
      </c>
      <c r="E141" s="13" t="inlineStr">
        <is>
          <t>Tecnologia</t>
        </is>
      </c>
      <c r="F141" s="14" t="n">
        <v>232.2</v>
      </c>
      <c r="G141" s="15" t="inlineStr">
        <is>
          <t>USD</t>
        </is>
      </c>
      <c r="H141" s="14" t="n">
        <v>208.004761356191</v>
      </c>
      <c r="I141" s="16" t="n">
        <v>171187.9185961452</v>
      </c>
      <c r="J141" s="16" t="n">
        <v>191100.6</v>
      </c>
      <c r="K141" s="14" t="n">
        <v>10.93</v>
      </c>
      <c r="L141" s="14" t="n">
        <v>16.0207</v>
      </c>
      <c r="M141" s="17">
        <f>IF(OR(F141="",K141="",K141&lt;=0),"",F141/K141)</f>
        <v/>
      </c>
      <c r="N141" s="18" t="n">
        <v>4.979413</v>
      </c>
      <c r="O141" s="19">
        <f>IF(OR(N141="",M141="",M141&lt;=0),"",N141/M141)</f>
        <v/>
      </c>
      <c r="P141" s="20" t="n">
        <v>0.19381</v>
      </c>
      <c r="Q141" s="20" t="n">
        <v>0.07507395766191549</v>
      </c>
      <c r="R141" s="20" t="n">
        <v>0.04592582275632811</v>
      </c>
      <c r="S141" s="21" t="n">
        <v>4</v>
      </c>
      <c r="T141" s="20" t="n">
        <v>0.1260863684014744</v>
      </c>
      <c r="U141" s="20" t="n">
        <v>0.1013028623739231</v>
      </c>
      <c r="V141" s="20" t="n">
        <v>0.06934245381081715</v>
      </c>
      <c r="W141" s="20" t="n">
        <v>0.003564146061447249</v>
      </c>
      <c r="X141" s="20" t="n"/>
      <c r="Y141" s="14" t="n">
        <v>1.76</v>
      </c>
      <c r="Z141" s="19">
        <f>IF(OR(Y141="",F141="",F141=0),"",Y141/F141)</f>
        <v/>
      </c>
      <c r="AA141" s="22" t="n">
        <v>110.417</v>
      </c>
      <c r="AB141" s="20" t="n">
        <v>0.108</v>
      </c>
      <c r="AC141" s="20" t="n">
        <v>0.2326791120529801</v>
      </c>
      <c r="AD141" s="17">
        <f>IF(OR(Q141="",M141="",M141&lt;=0),"",ROUND(40*MAX(0,MIN(N(Q141)/0.3,1))+IF(OR(R141="",N(Q141)&lt;=0),10,20*MAX(0,1-MIN(R141/Q141,1)))+30*MAX(0,MIN((PARAMETRI!$B$5-M141)/MAX(PARAMETRI!$B$5-10,1),1))+IF(AB141="",3,10*MAX(0,MIN(AB141/0.15,1)))+IF(AND(P141&lt;&gt;"",N(P141)&lt;N(Q141)*0.6),-8,0),1))</f>
        <v/>
      </c>
      <c r="AE141" s="13">
        <f>IF(AND(P141="",Q141=""),"DATI MANCANTI",IF(AND(N(P141)&gt;=PARAMETRI!$B$4,N(Q141)&gt;=PARAMETRI!$B$4),"OK","NO"))</f>
        <v/>
      </c>
      <c r="AF141" s="13">
        <f>IF(M141="","N/D",IF(M141&lt;PARAMETRI!$B$6,"OTTIMO",IF(M141&lt;PARAMETRI!$B$5,"OK","NO")))</f>
        <v/>
      </c>
      <c r="AG141" s="13">
        <f>IF(OR(AE141="DATI MANCANTI",AF141="N/D"),"DA COMPLETARE",IF(AND(AE141="OK",AF141="OTTIMO"),"PASSA FORTE",IF(AND(AE141="OK",AF141="OK"),"PASSA","SCARTA")))</f>
        <v/>
      </c>
      <c r="AH141" s="11" t="inlineStr">
        <is>
          <t>2026-10-12</t>
        </is>
      </c>
      <c r="AI141" s="11" t="inlineStr">
        <is>
          <t>yahoo</t>
        </is>
      </c>
      <c r="AJ141" s="23" t="inlineStr"/>
    </row>
    <row r="142">
      <c r="A142" s="10">
        <f>IF(AD142="","",RANK(AD142,AD$2:AD$167))</f>
        <v/>
      </c>
      <c r="B142" s="11" t="inlineStr">
        <is>
          <t>CVS Health</t>
        </is>
      </c>
      <c r="C142" s="12" t="inlineStr">
        <is>
          <t>CVS</t>
        </is>
      </c>
      <c r="D142" s="11" t="inlineStr">
        <is>
          <t>Distribuzione farmaceutica</t>
        </is>
      </c>
      <c r="E142" s="13" t="inlineStr">
        <is>
          <t>Salute</t>
        </is>
      </c>
      <c r="F142" s="14" t="n">
        <v>87.09</v>
      </c>
      <c r="G142" s="15" t="inlineStr">
        <is>
          <t>USD</t>
        </is>
      </c>
      <c r="H142" s="14" t="n">
        <v>78.01522250865925</v>
      </c>
      <c r="I142" s="16" t="n">
        <v>99779.13155055992</v>
      </c>
      <c r="J142" s="16" t="n">
        <v>111385.5</v>
      </c>
      <c r="K142" s="14" t="n">
        <v>3.8</v>
      </c>
      <c r="L142" s="14" t="n">
        <v>8.534420000000001</v>
      </c>
      <c r="M142" s="17">
        <f>IF(OR(F142="",K142="",K142&lt;=0),"",F142/K142)</f>
        <v/>
      </c>
      <c r="N142" s="18" t="n">
        <v>1.3964562</v>
      </c>
      <c r="O142" s="19">
        <f>IF(OR(N142="",M142="",M142&lt;=0),"",N142/M142)</f>
        <v/>
      </c>
      <c r="P142" s="20" t="n">
        <v>0.06205</v>
      </c>
      <c r="Q142" s="20" t="n">
        <v>0.06350442630364242</v>
      </c>
      <c r="R142" s="20" t="n">
        <v>0.03040319688724718</v>
      </c>
      <c r="S142" s="21" t="n">
        <v>4</v>
      </c>
      <c r="T142" s="20" t="n"/>
      <c r="U142" s="20" t="n">
        <v>0.02350626213204988</v>
      </c>
      <c r="V142" s="20" t="n">
        <v>0.06106405505558497</v>
      </c>
      <c r="W142" s="20" t="n">
        <v>0.1091275290671061</v>
      </c>
      <c r="X142" s="20" t="n">
        <v>0.06031985895982873</v>
      </c>
      <c r="Y142" s="14" t="n">
        <v>2.66</v>
      </c>
      <c r="Z142" s="19">
        <f>IF(OR(Y142="",F142="",F142=0),"",Y142/F142)</f>
        <v/>
      </c>
      <c r="AA142" s="22" t="n">
        <v>95.503</v>
      </c>
      <c r="AB142" s="20" t="n">
        <v>0.07099999999999999</v>
      </c>
      <c r="AC142" s="20" t="n">
        <v>0.01216215176077619</v>
      </c>
      <c r="AD142" s="17">
        <f>IF(OR(Q142="",M142="",M142&lt;=0),"",ROUND(40*MAX(0,MIN(N(Q142)/0.3,1))+IF(OR(R142="",N(Q142)&lt;=0),10,20*MAX(0,1-MIN(R142/Q142,1)))+30*MAX(0,MIN((PARAMETRI!$B$5-M142)/MAX(PARAMETRI!$B$5-10,1),1))+IF(AB142="",3,10*MAX(0,MIN(AB142/0.15,1)))+IF(AND(P142&lt;&gt;"",N(P142)&lt;N(Q142)*0.6),-8,0),1))</f>
        <v/>
      </c>
      <c r="AE142" s="13">
        <f>IF(AND(P142="",Q142=""),"DATI MANCANTI",IF(AND(N(P142)&gt;=PARAMETRI!$B$4,N(Q142)&gt;=PARAMETRI!$B$4),"OK","NO"))</f>
        <v/>
      </c>
      <c r="AF142" s="13">
        <f>IF(M142="","N/D",IF(M142&lt;PARAMETRI!$B$6,"OTTIMO",IF(M142&lt;PARAMETRI!$B$5,"OK","NO")))</f>
        <v/>
      </c>
      <c r="AG142" s="13">
        <f>IF(OR(AE142="DATI MANCANTI",AF142="N/D"),"DA COMPLETARE",IF(AND(AE142="OK",AF142="OTTIMO"),"PASSA FORTE",IF(AND(AE142="OK",AF142="OK"),"PASSA","SCARTA")))</f>
        <v/>
      </c>
      <c r="AH142" s="11" t="inlineStr">
        <is>
          <t>2026-10-12</t>
        </is>
      </c>
      <c r="AI142" s="11" t="inlineStr">
        <is>
          <t>yahoo</t>
        </is>
      </c>
      <c r="AJ142" s="23" t="inlineStr"/>
    </row>
    <row r="143">
      <c r="A143" s="10">
        <f>IF(AD143="","",RANK(AD143,AD$2:AD$167))</f>
        <v/>
      </c>
      <c r="B143" s="11" t="inlineStr">
        <is>
          <t>Vistra</t>
        </is>
      </c>
      <c r="C143" s="12" t="inlineStr">
        <is>
          <t>VST</t>
        </is>
      </c>
      <c r="D143" s="11" t="inlineStr">
        <is>
          <t>Utility / Generazione</t>
        </is>
      </c>
      <c r="E143" s="13" t="inlineStr">
        <is>
          <t>Utility</t>
        </is>
      </c>
      <c r="F143" s="14" t="n">
        <v>158.26</v>
      </c>
      <c r="G143" s="15" t="inlineStr">
        <is>
          <t>USD</t>
        </is>
      </c>
      <c r="H143" s="14" t="n">
        <v>141.7693089243359</v>
      </c>
      <c r="I143" s="16" t="n">
        <v>47582.7463902395</v>
      </c>
      <c r="J143" s="16" t="n">
        <v>53117.6</v>
      </c>
      <c r="K143" s="14" t="n">
        <v>5.93</v>
      </c>
      <c r="L143" s="14" t="n">
        <v>10.41634</v>
      </c>
      <c r="M143" s="17">
        <f>IF(OR(F143="",K143="",K143&lt;=0),"",F143/K143)</f>
        <v/>
      </c>
      <c r="N143" s="18" t="n">
        <v>17.68861</v>
      </c>
      <c r="O143" s="19">
        <f>IF(OR(N143="",M143="",M143&lt;=0),"",N143/M143)</f>
        <v/>
      </c>
      <c r="P143" s="20" t="n">
        <v>0.42962003</v>
      </c>
      <c r="Q143" s="20" t="n">
        <v>0.1734015879673228</v>
      </c>
      <c r="R143" s="20" t="n">
        <v>0.2663256640903746</v>
      </c>
      <c r="S143" s="21" t="n">
        <v>4</v>
      </c>
      <c r="T143" s="20" t="n"/>
      <c r="U143" s="20" t="n">
        <v>0.1852069845006867</v>
      </c>
      <c r="V143" s="20" t="n">
        <v>0.4773788150807899</v>
      </c>
      <c r="W143" s="20" t="n">
        <v>0.2813265498398342</v>
      </c>
      <c r="X143" s="20" t="n">
        <v>-0.2503059975520196</v>
      </c>
      <c r="Y143" s="14" t="n">
        <v>0.92</v>
      </c>
      <c r="Z143" s="19">
        <f>IF(OR(Y143="",F143="",F143=0),"",Y143/F143)</f>
        <v/>
      </c>
      <c r="AA143" s="22" t="n">
        <v>373.28</v>
      </c>
      <c r="AB143" s="20" t="n">
        <v>-0.055</v>
      </c>
      <c r="AC143" s="20" t="n">
        <v>0.114274442665464</v>
      </c>
      <c r="AD143" s="17">
        <f>IF(OR(Q143="",M143="",M143&lt;=0),"",ROUND(40*MAX(0,MIN(N(Q143)/0.3,1))+IF(OR(R143="",N(Q143)&lt;=0),10,20*MAX(0,1-MIN(R143/Q143,1)))+30*MAX(0,MIN((PARAMETRI!$B$5-M143)/MAX(PARAMETRI!$B$5-10,1),1))+IF(AB143="",3,10*MAX(0,MIN(AB143/0.15,1)))+IF(AND(P143&lt;&gt;"",N(P143)&lt;N(Q143)*0.6),-8,0),1))</f>
        <v/>
      </c>
      <c r="AE143" s="13">
        <f>IF(AND(P143="",Q143=""),"DATI MANCANTI",IF(AND(N(P143)&gt;=PARAMETRI!$B$4,N(Q143)&gt;=PARAMETRI!$B$4),"OK","NO"))</f>
        <v/>
      </c>
      <c r="AF143" s="13">
        <f>IF(M143="","N/D",IF(M143&lt;PARAMETRI!$B$6,"OTTIMO",IF(M143&lt;PARAMETRI!$B$5,"OK","NO")))</f>
        <v/>
      </c>
      <c r="AG143" s="13">
        <f>IF(OR(AE143="DATI MANCANTI",AF143="N/D"),"DA COMPLETARE",IF(AND(AE143="OK",AF143="OTTIMO"),"PASSA FORTE",IF(AND(AE143="OK",AF143="OK"),"PASSA","SCARTA")))</f>
        <v/>
      </c>
      <c r="AH143" s="11" t="inlineStr">
        <is>
          <t>2026-10-12</t>
        </is>
      </c>
      <c r="AI143" s="11" t="inlineStr">
        <is>
          <t>yahoo</t>
        </is>
      </c>
      <c r="AJ143" s="23" t="inlineStr"/>
    </row>
    <row r="144">
      <c r="A144" s="10">
        <f>IF(AD144="","",RANK(AD144,AD$2:AD$167))</f>
        <v/>
      </c>
      <c r="B144" s="11" t="inlineStr">
        <is>
          <t>Advanced Micro Devices</t>
        </is>
      </c>
      <c r="C144" s="12" t="inlineStr">
        <is>
          <t>AMD</t>
        </is>
      </c>
      <c r="D144" s="11" t="inlineStr">
        <is>
          <t>Semiconduttori</t>
        </is>
      </c>
      <c r="E144" s="13" t="inlineStr">
        <is>
          <t>Tecnologia</t>
        </is>
      </c>
      <c r="F144" s="14" t="n">
        <v>591.5700000000001</v>
      </c>
      <c r="G144" s="15" t="inlineStr">
        <is>
          <t>USD</t>
        </is>
      </c>
      <c r="H144" s="14" t="n">
        <v>529.9284094551332</v>
      </c>
      <c r="I144" s="16" t="n">
        <v>865094.8482004183</v>
      </c>
      <c r="J144" s="16" t="n">
        <v>965723.2</v>
      </c>
      <c r="K144" s="14" t="n">
        <v>3.92</v>
      </c>
      <c r="L144" s="14" t="n">
        <v>15.72189</v>
      </c>
      <c r="M144" s="17">
        <f>IF(OR(F144="",K144="",K144&lt;=0),"",F144/K144)</f>
        <v/>
      </c>
      <c r="N144" s="18" t="n">
        <v>14.361632</v>
      </c>
      <c r="O144" s="19">
        <f>IF(OR(N144="",M144="",M144&lt;=0),"",N144/M144)</f>
        <v/>
      </c>
      <c r="P144" s="20" t="n">
        <v>0.10196</v>
      </c>
      <c r="Q144" s="20" t="n">
        <v>0.03417627307619231</v>
      </c>
      <c r="R144" s="20" t="n">
        <v>0.02055555689875465</v>
      </c>
      <c r="S144" s="21" t="n">
        <v>4</v>
      </c>
      <c r="T144" s="20" t="n"/>
      <c r="U144" s="20" t="n">
        <v>0.06881061604152447</v>
      </c>
      <c r="V144" s="20" t="n">
        <v>0.02850541967759867</v>
      </c>
      <c r="W144" s="20" t="n">
        <v>0.0152794675445502</v>
      </c>
      <c r="X144" s="20" t="n">
        <v>0.02410958904109589</v>
      </c>
      <c r="Y144" s="14" t="n"/>
      <c r="Z144" s="19">
        <f>IF(OR(Y144="",F144="",F144=0),"",Y144/F144)</f>
        <v/>
      </c>
      <c r="AA144" s="22" t="n">
        <v>6.361</v>
      </c>
      <c r="AB144" s="20" t="n">
        <v>0.501</v>
      </c>
      <c r="AC144" s="20" t="n">
        <v>0.1867548194809319</v>
      </c>
      <c r="AD144" s="17">
        <f>IF(OR(Q144="",M144="",M144&lt;=0),"",ROUND(40*MAX(0,MIN(N(Q144)/0.3,1))+IF(OR(R144="",N(Q144)&lt;=0),10,20*MAX(0,1-MIN(R144/Q144,1)))+30*MAX(0,MIN((PARAMETRI!$B$5-M144)/MAX(PARAMETRI!$B$5-10,1),1))+IF(AB144="",3,10*MAX(0,MIN(AB144/0.15,1)))+IF(AND(P144&lt;&gt;"",N(P144)&lt;N(Q144)*0.6),-8,0),1))</f>
        <v/>
      </c>
      <c r="AE144" s="13">
        <f>IF(AND(P144="",Q144=""),"DATI MANCANTI",IF(AND(N(P144)&gt;=PARAMETRI!$B$4,N(Q144)&gt;=PARAMETRI!$B$4),"OK","NO"))</f>
        <v/>
      </c>
      <c r="AF144" s="13">
        <f>IF(M144="","N/D",IF(M144&lt;PARAMETRI!$B$6,"OTTIMO",IF(M144&lt;PARAMETRI!$B$5,"OK","NO")))</f>
        <v/>
      </c>
      <c r="AG144" s="13">
        <f>IF(OR(AE144="DATI MANCANTI",AF144="N/D"),"DA COMPLETARE",IF(AND(AE144="OK",AF144="OTTIMO"),"PASSA FORTE",IF(AND(AE144="OK",AF144="OK"),"PASSA","SCARTA")))</f>
        <v/>
      </c>
      <c r="AH144" s="11" t="inlineStr">
        <is>
          <t>2026-10-12</t>
        </is>
      </c>
      <c r="AI144" s="11" t="inlineStr">
        <is>
          <t>yahoo</t>
        </is>
      </c>
      <c r="AJ144" s="23" t="inlineStr"/>
    </row>
    <row r="145">
      <c r="A145" s="10">
        <f>IF(AD145="","",RANK(AD145,AD$2:AD$167))</f>
        <v/>
      </c>
      <c r="B145" s="11" t="inlineStr">
        <is>
          <t>CrowdStrike</t>
        </is>
      </c>
      <c r="C145" s="12" t="inlineStr">
        <is>
          <t>CRWD</t>
        </is>
      </c>
      <c r="D145" s="11" t="inlineStr">
        <is>
          <t>Cybersicurezza</t>
        </is>
      </c>
      <c r="E145" s="13" t="inlineStr">
        <is>
          <t>Tecnologia</t>
        </is>
      </c>
      <c r="F145" s="14" t="n">
        <v>262.69</v>
      </c>
      <c r="G145" s="15" t="inlineStr">
        <is>
          <t>USD</t>
        </is>
      </c>
      <c r="H145" s="14" t="n">
        <v>235.3177035342714</v>
      </c>
      <c r="I145" s="16" t="n">
        <v>240950.0460709943</v>
      </c>
      <c r="J145" s="16" t="n">
        <v>268977.5</v>
      </c>
      <c r="K145" s="14" t="n">
        <v>0.06</v>
      </c>
      <c r="L145" s="14" t="n">
        <v>1.60591</v>
      </c>
      <c r="M145" s="17">
        <f>IF(OR(F145="",K145="",K145&lt;=0),"",F145/K145)</f>
        <v/>
      </c>
      <c r="N145" s="18" t="n">
        <v>52.71724</v>
      </c>
      <c r="O145" s="19">
        <f>IF(OR(N145="",M145="",M145&lt;=0),"",N145/M145)</f>
        <v/>
      </c>
      <c r="P145" s="20" t="n">
        <v>0.01461</v>
      </c>
      <c r="Q145" s="20" t="n">
        <v>-0.03380291957831719</v>
      </c>
      <c r="R145" s="20" t="n">
        <v>0.05799500312740814</v>
      </c>
      <c r="S145" s="21" t="n">
        <v>4</v>
      </c>
      <c r="T145" s="20" t="n">
        <v>-0.0366955033319107</v>
      </c>
      <c r="U145" s="20" t="n">
        <v>-0.004647363282262447</v>
      </c>
      <c r="V145" s="20" t="n">
        <v>0.03132923891577508</v>
      </c>
      <c r="W145" s="20" t="n">
        <v>-0.1251980506148707</v>
      </c>
      <c r="X145" s="20" t="n"/>
      <c r="Y145" s="14" t="n"/>
      <c r="Z145" s="19">
        <f>IF(OR(Y145="",F145="",F145=0),"",Y145/F145)</f>
        <v/>
      </c>
      <c r="AA145" s="22" t="n">
        <v>15.958</v>
      </c>
      <c r="AB145" s="20" t="n">
        <v>0.258</v>
      </c>
      <c r="AC145" s="20" t="n">
        <v>0.00935057216274713</v>
      </c>
      <c r="AD145" s="17">
        <f>IF(OR(Q145="",M145="",M145&lt;=0),"",ROUND(40*MAX(0,MIN(N(Q145)/0.3,1))+IF(OR(R145="",N(Q145)&lt;=0),10,20*MAX(0,1-MIN(R145/Q145,1)))+30*MAX(0,MIN((PARAMETRI!$B$5-M145)/MAX(PARAMETRI!$B$5-10,1),1))+IF(AB145="",3,10*MAX(0,MIN(AB145/0.15,1)))+IF(AND(P145&lt;&gt;"",N(P145)&lt;N(Q145)*0.6),-8,0),1))</f>
        <v/>
      </c>
      <c r="AE145" s="13">
        <f>IF(AND(P145="",Q145=""),"DATI MANCANTI",IF(AND(N(P145)&gt;=PARAMETRI!$B$4,N(Q145)&gt;=PARAMETRI!$B$4),"OK","NO"))</f>
        <v/>
      </c>
      <c r="AF145" s="13">
        <f>IF(M145="","N/D",IF(M145&lt;PARAMETRI!$B$6,"OTTIMO",IF(M145&lt;PARAMETRI!$B$5,"OK","NO")))</f>
        <v/>
      </c>
      <c r="AG145" s="13">
        <f>IF(OR(AE145="DATI MANCANTI",AF145="N/D"),"DA COMPLETARE",IF(AND(AE145="OK",AF145="OTTIMO"),"PASSA FORTE",IF(AND(AE145="OK",AF145="OK"),"PASSA","SCARTA")))</f>
        <v/>
      </c>
      <c r="AH145" s="11" t="inlineStr">
        <is>
          <t>2026-10-12</t>
        </is>
      </c>
      <c r="AI145" s="11" t="inlineStr">
        <is>
          <t>yahoo</t>
        </is>
      </c>
      <c r="AJ145" s="23" t="inlineStr"/>
    </row>
    <row r="146">
      <c r="A146" s="10">
        <f>IF(AD146="","",RANK(AD146,AD$2:AD$167))</f>
        <v/>
      </c>
      <c r="B146" s="11" t="inlineStr">
        <is>
          <t>General Motors</t>
        </is>
      </c>
      <c r="C146" s="12" t="inlineStr">
        <is>
          <t>GM</t>
        </is>
      </c>
      <c r="D146" s="11" t="inlineStr">
        <is>
          <t>Auto</t>
        </is>
      </c>
      <c r="E146" s="13" t="inlineStr">
        <is>
          <t>Consumi</t>
        </is>
      </c>
      <c r="F146" s="14" t="n">
        <v>82.675</v>
      </c>
      <c r="G146" s="15" t="inlineStr">
        <is>
          <t>USD</t>
        </is>
      </c>
      <c r="H146" s="14" t="n">
        <v>74.06026548287292</v>
      </c>
      <c r="I146" s="16" t="n">
        <v>64984.28856369756</v>
      </c>
      <c r="J146" s="16" t="n">
        <v>72543.3</v>
      </c>
      <c r="K146" s="14" t="n">
        <v>2.23</v>
      </c>
      <c r="L146" s="14" t="n">
        <v>15.11443</v>
      </c>
      <c r="M146" s="17">
        <f>IF(OR(F146="",K146="",K146&lt;=0),"",F146/K146)</f>
        <v/>
      </c>
      <c r="N146" s="18" t="n">
        <v>1.1694438</v>
      </c>
      <c r="O146" s="19">
        <f>IF(OR(N146="",M146="",M146&lt;=0),"",N146/M146)</f>
        <v/>
      </c>
      <c r="P146" s="20" t="n">
        <v>0.03164</v>
      </c>
      <c r="Q146" s="20" t="n">
        <v>0.1108625303622402</v>
      </c>
      <c r="R146" s="20" t="n">
        <v>0.04513231830896564</v>
      </c>
      <c r="S146" s="21" t="n">
        <v>4</v>
      </c>
      <c r="T146" s="20" t="n"/>
      <c r="U146" s="20" t="n">
        <v>0.04412703087419624</v>
      </c>
      <c r="V146" s="20" t="n">
        <v>0.09525621511922881</v>
      </c>
      <c r="W146" s="20" t="n">
        <v>0.1575304109759512</v>
      </c>
      <c r="X146" s="20" t="n">
        <v>0.1465364644795846</v>
      </c>
      <c r="Y146" s="14" t="n">
        <v>0.72</v>
      </c>
      <c r="Z146" s="19">
        <f>IF(OR(Y146="",F146="",F146=0),"",Y146/F146)</f>
        <v/>
      </c>
      <c r="AA146" s="22" t="n">
        <v>202.341</v>
      </c>
      <c r="AB146" s="20" t="n">
        <v>0.019</v>
      </c>
      <c r="AC146" s="20" t="n">
        <v>0.01003680668471887</v>
      </c>
      <c r="AD146" s="17">
        <f>IF(OR(Q146="",M146="",M146&lt;=0),"",ROUND(40*MAX(0,MIN(N(Q146)/0.3,1))+IF(OR(R146="",N(Q146)&lt;=0),10,20*MAX(0,1-MIN(R146/Q146,1)))+30*MAX(0,MIN((PARAMETRI!$B$5-M146)/MAX(PARAMETRI!$B$5-10,1),1))+IF(AB146="",3,10*MAX(0,MIN(AB146/0.15,1)))+IF(AND(P146&lt;&gt;"",N(P146)&lt;N(Q146)*0.6),-8,0),1))</f>
        <v/>
      </c>
      <c r="AE146" s="13">
        <f>IF(AND(P146="",Q146=""),"DATI MANCANTI",IF(AND(N(P146)&gt;=PARAMETRI!$B$4,N(Q146)&gt;=PARAMETRI!$B$4),"OK","NO"))</f>
        <v/>
      </c>
      <c r="AF146" s="13">
        <f>IF(M146="","N/D",IF(M146&lt;PARAMETRI!$B$6,"OTTIMO",IF(M146&lt;PARAMETRI!$B$5,"OK","NO")))</f>
        <v/>
      </c>
      <c r="AG146" s="13">
        <f>IF(OR(AE146="DATI MANCANTI",AF146="N/D"),"DA COMPLETARE",IF(AND(AE146="OK",AF146="OTTIMO"),"PASSA FORTE",IF(AND(AE146="OK",AF146="OK"),"PASSA","SCARTA")))</f>
        <v/>
      </c>
      <c r="AH146" s="11" t="inlineStr">
        <is>
          <t>2026-10-12</t>
        </is>
      </c>
      <c r="AI146" s="11" t="inlineStr">
        <is>
          <t>yahoo</t>
        </is>
      </c>
      <c r="AJ146" s="23" t="inlineStr"/>
    </row>
    <row r="147">
      <c r="A147" s="10">
        <f>IF(AD147="","",RANK(AD147,AD$2:AD$167))</f>
        <v/>
      </c>
      <c r="B147" s="11" t="inlineStr">
        <is>
          <t>KKR &amp; Co.</t>
        </is>
      </c>
      <c r="C147" s="12" t="inlineStr">
        <is>
          <t>KKR</t>
        </is>
      </c>
      <c r="D147" s="11" t="inlineStr">
        <is>
          <t>Private equity</t>
        </is>
      </c>
      <c r="E147" s="13" t="inlineStr">
        <is>
          <t>Finanziario</t>
        </is>
      </c>
      <c r="F147" s="14" t="n">
        <v>91.215</v>
      </c>
      <c r="G147" s="15" t="inlineStr">
        <is>
          <t>USD</t>
        </is>
      </c>
      <c r="H147" s="14" t="n">
        <v>81.71039753275178</v>
      </c>
      <c r="I147" s="16" t="n">
        <v>75466.94023204445</v>
      </c>
      <c r="J147" s="16" t="n">
        <v>84245.3</v>
      </c>
      <c r="K147" s="14" t="n">
        <v>3.13</v>
      </c>
      <c r="L147" s="14" t="n">
        <v>7.4091</v>
      </c>
      <c r="M147" s="17">
        <f>IF(OR(F147="",K147="",K147&lt;=0),"",F147/K147)</f>
        <v/>
      </c>
      <c r="N147" s="18" t="n">
        <v>2.8729134</v>
      </c>
      <c r="O147" s="19">
        <f>IF(OR(N147="",M147="",M147&lt;=0),"",N147/M147)</f>
        <v/>
      </c>
      <c r="P147" s="20" t="n">
        <v>0.0728</v>
      </c>
      <c r="Q147" s="20" t="n">
        <v>0.08557788220889605</v>
      </c>
      <c r="R147" s="20" t="n">
        <v>0.07234443895318442</v>
      </c>
      <c r="S147" s="21" t="n">
        <v>4</v>
      </c>
      <c r="T147" s="20" t="n"/>
      <c r="U147" s="20" t="n">
        <v>0.07670765539464512</v>
      </c>
      <c r="V147" s="20" t="n">
        <v>0.130065161007507</v>
      </c>
      <c r="W147" s="20" t="n">
        <v>0.1632753384773426</v>
      </c>
      <c r="X147" s="20" t="n">
        <v>-0.02773662604391048</v>
      </c>
      <c r="Y147" s="14" t="n">
        <v>0.78</v>
      </c>
      <c r="Z147" s="19">
        <f>IF(OR(Y147="",F147="",F147=0),"",Y147/F147)</f>
        <v/>
      </c>
      <c r="AA147" s="22" t="n">
        <v>69.812</v>
      </c>
      <c r="AB147" s="20" t="n">
        <v>0.078</v>
      </c>
      <c r="AC147" s="20" t="n">
        <v>0.1556813368747196</v>
      </c>
      <c r="AD147" s="17">
        <f>IF(OR(Q147="",M147="",M147&lt;=0),"",ROUND(40*MAX(0,MIN(N(Q147)/0.3,1))+IF(OR(R147="",N(Q147)&lt;=0),10,20*MAX(0,1-MIN(R147/Q147,1)))+30*MAX(0,MIN((PARAMETRI!$B$5-M147)/MAX(PARAMETRI!$B$5-10,1),1))+IF(AB147="",3,10*MAX(0,MIN(AB147/0.15,1)))+IF(AND(P147&lt;&gt;"",N(P147)&lt;N(Q147)*0.6),-8,0),1))</f>
        <v/>
      </c>
      <c r="AE147" s="13">
        <f>IF(AND(P147="",Q147=""),"DATI MANCANTI",IF(AND(N(P147)&gt;=PARAMETRI!$B$4,N(Q147)&gt;=PARAMETRI!$B$4),"OK","NO"))</f>
        <v/>
      </c>
      <c r="AF147" s="13">
        <f>IF(M147="","N/D",IF(M147&lt;PARAMETRI!$B$6,"OTTIMO",IF(M147&lt;PARAMETRI!$B$5,"OK","NO")))</f>
        <v/>
      </c>
      <c r="AG147" s="13">
        <f>IF(OR(AE147="DATI MANCANTI",AF147="N/D"),"DA COMPLETARE",IF(AND(AE147="OK",AF147="OTTIMO"),"PASSA FORTE",IF(AND(AE147="OK",AF147="OK"),"PASSA","SCARTA")))</f>
        <v/>
      </c>
      <c r="AH147" s="11" t="inlineStr">
        <is>
          <t>2026-10-12</t>
        </is>
      </c>
      <c r="AI147" s="11" t="inlineStr">
        <is>
          <t>yahoo</t>
        </is>
      </c>
      <c r="AJ147" s="23" t="inlineStr"/>
    </row>
    <row r="148">
      <c r="A148" s="10">
        <f>IF(AD148="","",RANK(AD148,AD$2:AD$167))</f>
        <v/>
      </c>
      <c r="B148" s="11" t="inlineStr">
        <is>
          <t>GE Vernova</t>
        </is>
      </c>
      <c r="C148" s="12" t="inlineStr">
        <is>
          <t>GEV</t>
        </is>
      </c>
      <c r="D148" s="11" t="inlineStr">
        <is>
          <t>Elettrificazione / Energia</t>
        </is>
      </c>
      <c r="E148" s="13" t="inlineStr">
        <is>
          <t>Industriale</t>
        </is>
      </c>
      <c r="F148" s="14" t="n">
        <v>999.9499</v>
      </c>
      <c r="G148" s="15" t="inlineStr">
        <is>
          <t>USD</t>
        </is>
      </c>
      <c r="H148" s="14" t="n">
        <v>895.7551262603233</v>
      </c>
      <c r="I148" s="16" t="n">
        <v>238569.636715474</v>
      </c>
      <c r="J148" s="16" t="n">
        <v>266320.2</v>
      </c>
      <c r="K148" s="14" t="n">
        <v>34.88</v>
      </c>
      <c r="L148" s="14" t="n">
        <v>25.2703</v>
      </c>
      <c r="M148" s="17">
        <f>IF(OR(F148="",K148="",K148&lt;=0),"",F148/K148)</f>
        <v/>
      </c>
      <c r="N148" s="18" t="n">
        <v>22.273079</v>
      </c>
      <c r="O148" s="19">
        <f>IF(OR(N148="",M148="",M148&lt;=0),"",N148/M148)</f>
        <v/>
      </c>
      <c r="P148" s="20" t="n">
        <v>0.82577</v>
      </c>
      <c r="Q148" s="20" t="n">
        <v>0.07088699300491282</v>
      </c>
      <c r="R148" s="20" t="n">
        <v>0.2582280581877227</v>
      </c>
      <c r="S148" s="21" t="n">
        <v>4</v>
      </c>
      <c r="T148" s="20" t="n"/>
      <c r="U148" s="20" t="n">
        <v>0.4369296833064949</v>
      </c>
      <c r="V148" s="20" t="n">
        <v>0.1625811858369998</v>
      </c>
      <c r="W148" s="20" t="n">
        <v>-0.05906148867313916</v>
      </c>
      <c r="X148" s="20" t="n">
        <v>-0.2569014084507042</v>
      </c>
      <c r="Y148" s="14" t="n">
        <v>2</v>
      </c>
      <c r="Z148" s="19">
        <f>IF(OR(Y148="",F148="",F148=0),"",Y148/F148)</f>
        <v/>
      </c>
      <c r="AA148" s="22" t="n">
        <v>28.364</v>
      </c>
      <c r="AB148" s="20" t="n">
        <v>0.219</v>
      </c>
      <c r="AC148" s="20" t="n">
        <v>0.250315223704949</v>
      </c>
      <c r="AD148" s="17">
        <f>IF(OR(Q148="",M148="",M148&lt;=0),"",ROUND(40*MAX(0,MIN(N(Q148)/0.3,1))+IF(OR(R148="",N(Q148)&lt;=0),10,20*MAX(0,1-MIN(R148/Q148,1)))+30*MAX(0,MIN((PARAMETRI!$B$5-M148)/MAX(PARAMETRI!$B$5-10,1),1))+IF(AB148="",3,10*MAX(0,MIN(AB148/0.15,1)))+IF(AND(P148&lt;&gt;"",N(P148)&lt;N(Q148)*0.6),-8,0),1))</f>
        <v/>
      </c>
      <c r="AE148" s="13">
        <f>IF(AND(P148="",Q148=""),"DATI MANCANTI",IF(AND(N(P148)&gt;=PARAMETRI!$B$4,N(Q148)&gt;=PARAMETRI!$B$4),"OK","NO"))</f>
        <v/>
      </c>
      <c r="AF148" s="13">
        <f>IF(M148="","N/D",IF(M148&lt;PARAMETRI!$B$6,"OTTIMO",IF(M148&lt;PARAMETRI!$B$5,"OK","NO")))</f>
        <v/>
      </c>
      <c r="AG148" s="13">
        <f>IF(OR(AE148="DATI MANCANTI",AF148="N/D"),"DA COMPLETARE",IF(AND(AE148="OK",AF148="OTTIMO"),"PASSA FORTE",IF(AND(AE148="OK",AF148="OK"),"PASSA","SCARTA")))</f>
        <v/>
      </c>
      <c r="AH148" s="11" t="inlineStr">
        <is>
          <t>2026-10-12</t>
        </is>
      </c>
      <c r="AI148" s="11" t="inlineStr">
        <is>
          <t>yahoo</t>
        </is>
      </c>
      <c r="AJ148" s="23" t="inlineStr"/>
    </row>
    <row r="149">
      <c r="A149" s="10">
        <f>IF(AD149="","",RANK(AD149,AD$2:AD$167))</f>
        <v/>
      </c>
      <c r="B149" s="11" t="inlineStr">
        <is>
          <t>Biogen</t>
        </is>
      </c>
      <c r="C149" s="12" t="inlineStr">
        <is>
          <t>BIIB</t>
        </is>
      </c>
      <c r="D149" s="11" t="inlineStr">
        <is>
          <t>Biotecnologie / CNS</t>
        </is>
      </c>
      <c r="E149" s="13" t="inlineStr">
        <is>
          <t>Salute</t>
        </is>
      </c>
      <c r="F149" s="14" t="n">
        <v>234.215</v>
      </c>
      <c r="G149" s="15" t="inlineStr">
        <is>
          <t>USD</t>
        </is>
      </c>
      <c r="H149" s="14" t="n">
        <v>209.8097983679599</v>
      </c>
      <c r="I149" s="16" t="n">
        <v>31000.23416212152</v>
      </c>
      <c r="J149" s="16" t="n">
        <v>34606.2</v>
      </c>
      <c r="K149" s="14" t="n">
        <v>5.63</v>
      </c>
      <c r="L149" s="14" t="n">
        <v>16.54</v>
      </c>
      <c r="M149" s="17">
        <f>IF(OR(F149="",K149="",K149&lt;=0),"",F149/K149)</f>
        <v/>
      </c>
      <c r="N149" s="18" t="n">
        <v>1.8353969</v>
      </c>
      <c r="O149" s="19">
        <f>IF(OR(N149="",M149="",M149&lt;=0),"",N149/M149)</f>
        <v/>
      </c>
      <c r="P149" s="20" t="n">
        <v>0.04575</v>
      </c>
      <c r="Q149" s="20" t="n">
        <v>0.1185831364623125</v>
      </c>
      <c r="R149" s="20" t="n">
        <v>0.06359027321197776</v>
      </c>
      <c r="S149" s="21" t="n">
        <v>4</v>
      </c>
      <c r="T149" s="20" t="n"/>
      <c r="U149" s="20" t="n">
        <v>0.0708174488409798</v>
      </c>
      <c r="V149" s="20" t="n">
        <v>0.09764297678870543</v>
      </c>
      <c r="W149" s="20" t="n">
        <v>0.07845588334662217</v>
      </c>
      <c r="X149" s="20" t="n">
        <v>0.2274162368729428</v>
      </c>
      <c r="Y149" s="14" t="n"/>
      <c r="Z149" s="19">
        <f>IF(OR(Y149="",F149="",F149=0),"",Y149/F149)</f>
        <v/>
      </c>
      <c r="AA149" s="22" t="n">
        <v>44.329</v>
      </c>
      <c r="AB149" s="20" t="n">
        <v>0.034</v>
      </c>
      <c r="AC149" s="20" t="n">
        <v>0.08438315167937234</v>
      </c>
      <c r="AD149" s="17">
        <f>IF(OR(Q149="",M149="",M149&lt;=0),"",ROUND(40*MAX(0,MIN(N(Q149)/0.3,1))+IF(OR(R149="",N(Q149)&lt;=0),10,20*MAX(0,1-MIN(R149/Q149,1)))+30*MAX(0,MIN((PARAMETRI!$B$5-M149)/MAX(PARAMETRI!$B$5-10,1),1))+IF(AB149="",3,10*MAX(0,MIN(AB149/0.15,1)))+IF(AND(P149&lt;&gt;"",N(P149)&lt;N(Q149)*0.6),-8,0),1))</f>
        <v/>
      </c>
      <c r="AE149" s="13">
        <f>IF(AND(P149="",Q149=""),"DATI MANCANTI",IF(AND(N(P149)&gt;=PARAMETRI!$B$4,N(Q149)&gt;=PARAMETRI!$B$4),"OK","NO"))</f>
        <v/>
      </c>
      <c r="AF149" s="13">
        <f>IF(M149="","N/D",IF(M149&lt;PARAMETRI!$B$6,"OTTIMO",IF(M149&lt;PARAMETRI!$B$5,"OK","NO")))</f>
        <v/>
      </c>
      <c r="AG149" s="13">
        <f>IF(OR(AE149="DATI MANCANTI",AF149="N/D"),"DA COMPLETARE",IF(AND(AE149="OK",AF149="OTTIMO"),"PASSA FORTE",IF(AND(AE149="OK",AF149="OK"),"PASSA","SCARTA")))</f>
        <v/>
      </c>
      <c r="AH149" s="11" t="inlineStr">
        <is>
          <t>2026-10-12</t>
        </is>
      </c>
      <c r="AI149" s="11" t="inlineStr">
        <is>
          <t>yahoo</t>
        </is>
      </c>
      <c r="AJ149" s="23" t="inlineStr"/>
    </row>
    <row r="150">
      <c r="A150" s="10">
        <f>IF(AD150="","",RANK(AD150,AD$2:AD$167))</f>
        <v/>
      </c>
      <c r="B150" s="11" t="inlineStr">
        <is>
          <t>Walt Disney</t>
        </is>
      </c>
      <c r="C150" s="12" t="inlineStr">
        <is>
          <t>DIS</t>
        </is>
      </c>
      <c r="D150" s="11" t="inlineStr">
        <is>
          <t>Media / Intrattenimento</t>
        </is>
      </c>
      <c r="E150" s="13" t="inlineStr">
        <is>
          <t>Consumi</t>
        </is>
      </c>
      <c r="F150" s="14" t="n">
        <v>108.745</v>
      </c>
      <c r="G150" s="15" t="inlineStr">
        <is>
          <t>USD</t>
        </is>
      </c>
      <c r="H150" s="14" t="n">
        <v>97.41377163513778</v>
      </c>
      <c r="I150" s="16" t="n">
        <v>168203.1129766843</v>
      </c>
      <c r="J150" s="16" t="n">
        <v>187768.6</v>
      </c>
      <c r="K150" s="14" t="n">
        <v>4.85</v>
      </c>
      <c r="L150" s="14" t="n">
        <v>7.47302</v>
      </c>
      <c r="M150" s="17">
        <f>IF(OR(F150="",K150="",K150&lt;=0),"",F150/K150)</f>
        <v/>
      </c>
      <c r="N150" s="18" t="n">
        <v>1.7097733</v>
      </c>
      <c r="O150" s="19">
        <f>IF(OR(N150="",M150="",M150&lt;=0),"",N150/M150)</f>
        <v/>
      </c>
      <c r="P150" s="20" t="n">
        <v>0.0801</v>
      </c>
      <c r="Q150" s="20" t="n">
        <v>0.05477208440950006</v>
      </c>
      <c r="R150" s="20" t="n">
        <v>0.03479253613600624</v>
      </c>
      <c r="S150" s="21" t="n">
        <v>4</v>
      </c>
      <c r="T150" s="20" t="n"/>
      <c r="U150" s="20" t="n">
        <v>0.1128980877226515</v>
      </c>
      <c r="V150" s="20" t="n">
        <v>0.04937634066894415</v>
      </c>
      <c r="W150" s="20" t="n">
        <v>0.02371143366540085</v>
      </c>
      <c r="X150" s="20" t="n">
        <v>0.0331024755810037</v>
      </c>
      <c r="Y150" s="14" t="n">
        <v>1.5</v>
      </c>
      <c r="Z150" s="19">
        <f>IF(OR(Y150="",F150="",F150=0),"",Y150/F150)</f>
        <v/>
      </c>
      <c r="AA150" s="22" t="n">
        <v>39.404</v>
      </c>
      <c r="AB150" s="20" t="n">
        <v>0.068</v>
      </c>
      <c r="AC150" s="20" t="n">
        <v>0.09107758021710352</v>
      </c>
      <c r="AD150" s="17">
        <f>IF(OR(Q150="",M150="",M150&lt;=0),"",ROUND(40*MAX(0,MIN(N(Q150)/0.3,1))+IF(OR(R150="",N(Q150)&lt;=0),10,20*MAX(0,1-MIN(R150/Q150,1)))+30*MAX(0,MIN((PARAMETRI!$B$5-M150)/MAX(PARAMETRI!$B$5-10,1),1))+IF(AB150="",3,10*MAX(0,MIN(AB150/0.15,1)))+IF(AND(P150&lt;&gt;"",N(P150)&lt;N(Q150)*0.6),-8,0),1))</f>
        <v/>
      </c>
      <c r="AE150" s="13">
        <f>IF(AND(P150="",Q150=""),"DATI MANCANTI",IF(AND(N(P150)&gt;=PARAMETRI!$B$4,N(Q150)&gt;=PARAMETRI!$B$4),"OK","NO"))</f>
        <v/>
      </c>
      <c r="AF150" s="13">
        <f>IF(M150="","N/D",IF(M150&lt;PARAMETRI!$B$6,"OTTIMO",IF(M150&lt;PARAMETRI!$B$5,"OK","NO")))</f>
        <v/>
      </c>
      <c r="AG150" s="13">
        <f>IF(OR(AE150="DATI MANCANTI",AF150="N/D"),"DA COMPLETARE",IF(AND(AE150="OK",AF150="OTTIMO"),"PASSA FORTE",IF(AND(AE150="OK",AF150="OK"),"PASSA","SCARTA")))</f>
        <v/>
      </c>
      <c r="AH150" s="11" t="inlineStr">
        <is>
          <t>2026-10-12</t>
        </is>
      </c>
      <c r="AI150" s="11" t="inlineStr">
        <is>
          <t>yahoo</t>
        </is>
      </c>
      <c r="AJ150" s="23" t="inlineStr"/>
    </row>
    <row r="151">
      <c r="A151" s="10">
        <f>IF(AD151="","",RANK(AD151,AD$2:AD$167))</f>
        <v/>
      </c>
      <c r="B151" s="11" t="inlineStr">
        <is>
          <t>Palantir</t>
        </is>
      </c>
      <c r="C151" s="12" t="inlineStr">
        <is>
          <t>PLTR</t>
        </is>
      </c>
      <c r="D151" s="11" t="inlineStr">
        <is>
          <t>Software / Dati</t>
        </is>
      </c>
      <c r="E151" s="13" t="inlineStr">
        <is>
          <t>Tecnologia</t>
        </is>
      </c>
      <c r="F151" s="14" t="n">
        <v>206.62</v>
      </c>
      <c r="G151" s="15" t="inlineStr">
        <is>
          <t>USD</t>
        </is>
      </c>
      <c r="H151" s="14" t="n">
        <v>185.0901972067881</v>
      </c>
      <c r="I151" s="16" t="n">
        <v>444782.529319982</v>
      </c>
      <c r="J151" s="16" t="n">
        <v>496519.9</v>
      </c>
      <c r="K151" s="14" t="n">
        <v>1.16</v>
      </c>
      <c r="L151" s="14" t="n">
        <v>2.34416</v>
      </c>
      <c r="M151" s="17">
        <f>IF(OR(F151="",K151="",K151&lt;=0),"",F151/K151)</f>
        <v/>
      </c>
      <c r="N151" s="18" t="n">
        <v>50.791546</v>
      </c>
      <c r="O151" s="19">
        <f>IF(OR(N151="",M151="",M151&lt;=0),"",N151/M151)</f>
        <v/>
      </c>
      <c r="P151" s="20" t="n">
        <v>0.38097</v>
      </c>
      <c r="Q151" s="20" t="n">
        <v>0.0567627833233541</v>
      </c>
      <c r="R151" s="20" t="n">
        <v>0.1312456864995072</v>
      </c>
      <c r="S151" s="21" t="n">
        <v>4</v>
      </c>
      <c r="T151" s="20" t="n"/>
      <c r="U151" s="20" t="n">
        <v>0.2199775343198595</v>
      </c>
      <c r="V151" s="20" t="n">
        <v>0.09237749274225382</v>
      </c>
      <c r="W151" s="20" t="n">
        <v>0.06037154865070703</v>
      </c>
      <c r="X151" s="20" t="n">
        <v>-0.145675442419404</v>
      </c>
      <c r="Y151" s="14" t="n"/>
      <c r="Z151" s="19">
        <f>IF(OR(Y151="",F151="",F151=0),"",Y151/F151)</f>
        <v/>
      </c>
      <c r="AA151" s="22" t="n">
        <v>2.139</v>
      </c>
      <c r="AB151" s="20" t="n">
        <v>0.928</v>
      </c>
      <c r="AC151" s="20" t="n">
        <v>0.6740539307143913</v>
      </c>
      <c r="AD151" s="17">
        <f>IF(OR(Q151="",M151="",M151&lt;=0),"",ROUND(40*MAX(0,MIN(N(Q151)/0.3,1))+IF(OR(R151="",N(Q151)&lt;=0),10,20*MAX(0,1-MIN(R151/Q151,1)))+30*MAX(0,MIN((PARAMETRI!$B$5-M151)/MAX(PARAMETRI!$B$5-10,1),1))+IF(AB151="",3,10*MAX(0,MIN(AB151/0.15,1)))+IF(AND(P151&lt;&gt;"",N(P151)&lt;N(Q151)*0.6),-8,0),1))</f>
        <v/>
      </c>
      <c r="AE151" s="13">
        <f>IF(AND(P151="",Q151=""),"DATI MANCANTI",IF(AND(N(P151)&gt;=PARAMETRI!$B$4,N(Q151)&gt;=PARAMETRI!$B$4),"OK","NO"))</f>
        <v/>
      </c>
      <c r="AF151" s="13">
        <f>IF(M151="","N/D",IF(M151&lt;PARAMETRI!$B$6,"OTTIMO",IF(M151&lt;PARAMETRI!$B$5,"OK","NO")))</f>
        <v/>
      </c>
      <c r="AG151" s="13">
        <f>IF(OR(AE151="DATI MANCANTI",AF151="N/D"),"DA COMPLETARE",IF(AND(AE151="OK",AF151="OTTIMO"),"PASSA FORTE",IF(AND(AE151="OK",AF151="OK"),"PASSA","SCARTA")))</f>
        <v/>
      </c>
      <c r="AH151" s="11" t="inlineStr">
        <is>
          <t>2026-10-12</t>
        </is>
      </c>
      <c r="AI151" s="11" t="inlineStr">
        <is>
          <t>yahoo</t>
        </is>
      </c>
      <c r="AJ151" s="23" t="inlineStr"/>
    </row>
    <row r="152">
      <c r="A152" s="10">
        <f>IF(AD152="","",RANK(AD152,AD$2:AD$167))</f>
        <v/>
      </c>
      <c r="B152" s="11" t="inlineStr">
        <is>
          <t>Pfizer</t>
        </is>
      </c>
      <c r="C152" s="12" t="inlineStr">
        <is>
          <t>PFE</t>
        </is>
      </c>
      <c r="D152" s="11" t="inlineStr">
        <is>
          <t>Farmaceutica</t>
        </is>
      </c>
      <c r="E152" s="13" t="inlineStr">
        <is>
          <t>Salute</t>
        </is>
      </c>
      <c r="F152" s="14" t="n">
        <v>28.3951</v>
      </c>
      <c r="G152" s="15" t="inlineStr">
        <is>
          <t>USD</t>
        </is>
      </c>
      <c r="H152" s="14" t="n">
        <v>25.43633074584487</v>
      </c>
      <c r="I152" s="16" t="n">
        <v>144978.7811852616</v>
      </c>
      <c r="J152" s="16" t="n">
        <v>161842.8</v>
      </c>
      <c r="K152" s="14" t="n">
        <v>0.76</v>
      </c>
      <c r="L152" s="14" t="n">
        <v>2.89811</v>
      </c>
      <c r="M152" s="17">
        <f>IF(OR(F152="",K152="",K152&lt;=0),"",F152/K152)</f>
        <v/>
      </c>
      <c r="N152" s="18" t="n">
        <v>1.8995919</v>
      </c>
      <c r="O152" s="19">
        <f>IF(OR(N152="",M152="",M152&lt;=0),"",N152/M152)</f>
        <v/>
      </c>
      <c r="P152" s="20" t="n">
        <v>0.05014</v>
      </c>
      <c r="Q152" s="20" t="n">
        <v>0.1331673478714483</v>
      </c>
      <c r="R152" s="20" t="n">
        <v>0.1157035743013489</v>
      </c>
      <c r="S152" s="21" t="n">
        <v>4</v>
      </c>
      <c r="T152" s="20" t="n"/>
      <c r="U152" s="20" t="n">
        <v>0.08986308339886211</v>
      </c>
      <c r="V152" s="20" t="n">
        <v>0.09105132478487127</v>
      </c>
      <c r="W152" s="20" t="n">
        <v>0.02380524411890264</v>
      </c>
      <c r="X152" s="20" t="n">
        <v>0.3279497391831572</v>
      </c>
      <c r="Y152" s="14" t="n">
        <v>1.72</v>
      </c>
      <c r="Z152" s="19">
        <f>IF(OR(Y152="",F152="",F152=0),"",Y152/F152)</f>
        <v/>
      </c>
      <c r="AA152" s="22" t="n">
        <v>74.253</v>
      </c>
      <c r="AB152" s="20" t="n">
        <v>0.026</v>
      </c>
      <c r="AC152" s="20" t="n">
        <v>0.06933635577430128</v>
      </c>
      <c r="AD152" s="17">
        <f>IF(OR(Q152="",M152="",M152&lt;=0),"",ROUND(40*MAX(0,MIN(N(Q152)/0.3,1))+IF(OR(R152="",N(Q152)&lt;=0),10,20*MAX(0,1-MIN(R152/Q152,1)))+30*MAX(0,MIN((PARAMETRI!$B$5-M152)/MAX(PARAMETRI!$B$5-10,1),1))+IF(AB152="",3,10*MAX(0,MIN(AB152/0.15,1)))+IF(AND(P152&lt;&gt;"",N(P152)&lt;N(Q152)*0.6),-8,0),1))</f>
        <v/>
      </c>
      <c r="AE152" s="13">
        <f>IF(AND(P152="",Q152=""),"DATI MANCANTI",IF(AND(N(P152)&gt;=PARAMETRI!$B$4,N(Q152)&gt;=PARAMETRI!$B$4),"OK","NO"))</f>
        <v/>
      </c>
      <c r="AF152" s="13">
        <f>IF(M152="","N/D",IF(M152&lt;PARAMETRI!$B$6,"OTTIMO",IF(M152&lt;PARAMETRI!$B$5,"OK","NO")))</f>
        <v/>
      </c>
      <c r="AG152" s="13">
        <f>IF(OR(AE152="DATI MANCANTI",AF152="N/D"),"DA COMPLETARE",IF(AND(AE152="OK",AF152="OTTIMO"),"PASSA FORTE",IF(AND(AE152="OK",AF152="OK"),"PASSA","SCARTA")))</f>
        <v/>
      </c>
      <c r="AH152" s="11" t="inlineStr">
        <is>
          <t>2026-10-12</t>
        </is>
      </c>
      <c r="AI152" s="11" t="inlineStr">
        <is>
          <t>yahoo</t>
        </is>
      </c>
      <c r="AJ152" s="23" t="inlineStr"/>
    </row>
    <row r="153">
      <c r="A153" s="10">
        <f>IF(AD153="","",RANK(AD153,AD$2:AD$167))</f>
        <v/>
      </c>
      <c r="B153" s="11" t="inlineStr">
        <is>
          <t>Marvell Technology</t>
        </is>
      </c>
      <c r="C153" s="12" t="inlineStr">
        <is>
          <t>MRVL</t>
        </is>
      </c>
      <c r="D153" s="11" t="inlineStr">
        <is>
          <t>Semiconduttori</t>
        </is>
      </c>
      <c r="E153" s="13" t="inlineStr">
        <is>
          <t>Tecnologia</t>
        </is>
      </c>
      <c r="F153" s="14" t="n">
        <v>266.53</v>
      </c>
      <c r="G153" s="15" t="inlineStr">
        <is>
          <t>USD</t>
        </is>
      </c>
      <c r="H153" s="14" t="n">
        <v>238.7575755566994</v>
      </c>
      <c r="I153" s="16" t="n">
        <v>214572.5878390132</v>
      </c>
      <c r="J153" s="16" t="n">
        <v>239531.8</v>
      </c>
      <c r="K153" s="14" t="n">
        <v>3.04</v>
      </c>
      <c r="L153" s="14" t="n">
        <v>7.28277</v>
      </c>
      <c r="M153" s="17">
        <f>IF(OR(F153="",K153="",K153&lt;=0),"",F153/K153)</f>
        <v/>
      </c>
      <c r="N153" s="18" t="n">
        <v>12.610835</v>
      </c>
      <c r="O153" s="19">
        <f>IF(OR(N153="",M153="",M153&lt;=0),"",N153/M153)</f>
        <v/>
      </c>
      <c r="P153" s="20" t="n">
        <v>0.16523</v>
      </c>
      <c r="Q153" s="20" t="n">
        <v>0.01182720310676225</v>
      </c>
      <c r="R153" s="20" t="n">
        <v>0.1032937733974441</v>
      </c>
      <c r="S153" s="21" t="n">
        <v>4</v>
      </c>
      <c r="T153" s="20" t="n">
        <v>0.1866106622683179</v>
      </c>
      <c r="U153" s="20" t="n">
        <v>-0.06591196842183659</v>
      </c>
      <c r="V153" s="20" t="n">
        <v>-0.06293404533624607</v>
      </c>
      <c r="W153" s="20" t="n">
        <v>-0.01045583608318625</v>
      </c>
      <c r="X153" s="20" t="n"/>
      <c r="Y153" s="14" t="n">
        <v>0.24</v>
      </c>
      <c r="Z153" s="19">
        <f>IF(OR(Y153="",F153="",F153=0),"",Y153/F153)</f>
        <v/>
      </c>
      <c r="AA153" s="22" t="n">
        <v>28.525</v>
      </c>
      <c r="AB153" s="20" t="n">
        <v>0.365</v>
      </c>
      <c r="AC153" s="20" t="n">
        <v>0.322151161008469</v>
      </c>
      <c r="AD153" s="17">
        <f>IF(OR(Q153="",M153="",M153&lt;=0),"",ROUND(40*MAX(0,MIN(N(Q153)/0.3,1))+IF(OR(R153="",N(Q153)&lt;=0),10,20*MAX(0,1-MIN(R153/Q153,1)))+30*MAX(0,MIN((PARAMETRI!$B$5-M153)/MAX(PARAMETRI!$B$5-10,1),1))+IF(AB153="",3,10*MAX(0,MIN(AB153/0.15,1)))+IF(AND(P153&lt;&gt;"",N(P153)&lt;N(Q153)*0.6),-8,0),1))</f>
        <v/>
      </c>
      <c r="AE153" s="13">
        <f>IF(AND(P153="",Q153=""),"DATI MANCANTI",IF(AND(N(P153)&gt;=PARAMETRI!$B$4,N(Q153)&gt;=PARAMETRI!$B$4),"OK","NO"))</f>
        <v/>
      </c>
      <c r="AF153" s="13">
        <f>IF(M153="","N/D",IF(M153&lt;PARAMETRI!$B$6,"OTTIMO",IF(M153&lt;PARAMETRI!$B$5,"OK","NO")))</f>
        <v/>
      </c>
      <c r="AG153" s="13">
        <f>IF(OR(AE153="DATI MANCANTI",AF153="N/D"),"DA COMPLETARE",IF(AND(AE153="OK",AF153="OTTIMO"),"PASSA FORTE",IF(AND(AE153="OK",AF153="OK"),"PASSA","SCARTA")))</f>
        <v/>
      </c>
      <c r="AH153" s="11" t="inlineStr">
        <is>
          <t>2026-10-12</t>
        </is>
      </c>
      <c r="AI153" s="11" t="inlineStr">
        <is>
          <t>yahoo</t>
        </is>
      </c>
      <c r="AJ153" s="23" t="inlineStr"/>
    </row>
    <row r="154">
      <c r="A154" s="10">
        <f>IF(AD154="","",RANK(AD154,AD$2:AD$167))</f>
        <v/>
      </c>
      <c r="B154" s="11" t="inlineStr">
        <is>
          <t>Estee Lauder</t>
        </is>
      </c>
      <c r="C154" s="12" t="inlineStr">
        <is>
          <t>EL</t>
        </is>
      </c>
      <c r="D154" s="11" t="inlineStr">
        <is>
          <t>Cosmetica</t>
        </is>
      </c>
      <c r="E154" s="13" t="inlineStr">
        <is>
          <t>Consumi</t>
        </is>
      </c>
      <c r="F154" s="14" t="n">
        <v>99.39</v>
      </c>
      <c r="G154" s="15" t="inlineStr">
        <is>
          <t>USD</t>
        </is>
      </c>
      <c r="H154" s="14" t="n">
        <v>89.03356258049881</v>
      </c>
      <c r="I154" s="16" t="n">
        <v>32258.92275032818</v>
      </c>
      <c r="J154" s="16" t="n">
        <v>36011.3</v>
      </c>
      <c r="K154" s="14" t="n">
        <v>0.5</v>
      </c>
      <c r="L154" s="14" t="n">
        <v>3.92737</v>
      </c>
      <c r="M154" s="17">
        <f>IF(OR(F154="",K154="",K154&lt;=0),"",F154/K154)</f>
        <v/>
      </c>
      <c r="N154" s="18" t="n">
        <v>9.447718999999999</v>
      </c>
      <c r="O154" s="19">
        <f>IF(OR(N154="",M154="",M154&lt;=0),"",N154/M154)</f>
        <v/>
      </c>
      <c r="P154" s="20" t="n">
        <v>0.04745</v>
      </c>
      <c r="Q154" s="20" t="n">
        <v>0.002048003665607673</v>
      </c>
      <c r="R154" s="20" t="n">
        <v>0.177506655887804</v>
      </c>
      <c r="S154" s="21" t="n">
        <v>4</v>
      </c>
      <c r="T154" s="20" t="n">
        <v>0.04781923279033105</v>
      </c>
      <c r="U154" s="20" t="n">
        <v>-0.293143596377749</v>
      </c>
      <c r="V154" s="20" t="n">
        <v>0.07339104252916824</v>
      </c>
      <c r="W154" s="20" t="n">
        <v>0.1801253357206804</v>
      </c>
      <c r="X154" s="20" t="n">
        <v>0.4275491949910555</v>
      </c>
      <c r="Y154" s="14" t="n">
        <v>1.4</v>
      </c>
      <c r="Z154" s="19">
        <f>IF(OR(Y154="",F154="",F154=0),"",Y154/F154)</f>
        <v/>
      </c>
      <c r="AA154" s="22" t="n">
        <v>242.932</v>
      </c>
      <c r="AB154" s="20" t="n">
        <v>0.063</v>
      </c>
      <c r="AC154" s="20" t="n">
        <v>0.01209382683234766</v>
      </c>
      <c r="AD154" s="17">
        <f>IF(OR(Q154="",M154="",M154&lt;=0),"",ROUND(40*MAX(0,MIN(N(Q154)/0.3,1))+IF(OR(R154="",N(Q154)&lt;=0),10,20*MAX(0,1-MIN(R154/Q154,1)))+30*MAX(0,MIN((PARAMETRI!$B$5-M154)/MAX(PARAMETRI!$B$5-10,1),1))+IF(AB154="",3,10*MAX(0,MIN(AB154/0.15,1)))+IF(AND(P154&lt;&gt;"",N(P154)&lt;N(Q154)*0.6),-8,0),1))</f>
        <v/>
      </c>
      <c r="AE154" s="13">
        <f>IF(AND(P154="",Q154=""),"DATI MANCANTI",IF(AND(N(P154)&gt;=PARAMETRI!$B$4,N(Q154)&gt;=PARAMETRI!$B$4),"OK","NO"))</f>
        <v/>
      </c>
      <c r="AF154" s="13">
        <f>IF(M154="","N/D",IF(M154&lt;PARAMETRI!$B$6,"OTTIMO",IF(M154&lt;PARAMETRI!$B$5,"OK","NO")))</f>
        <v/>
      </c>
      <c r="AG154" s="13">
        <f>IF(OR(AE154="DATI MANCANTI",AF154="N/D"),"DA COMPLETARE",IF(AND(AE154="OK",AF154="OTTIMO"),"PASSA FORTE",IF(AND(AE154="OK",AF154="OK"),"PASSA","SCARTA")))</f>
        <v/>
      </c>
      <c r="AH154" s="11" t="inlineStr">
        <is>
          <t>2026-10-12</t>
        </is>
      </c>
      <c r="AI154" s="11" t="inlineStr">
        <is>
          <t>yahoo</t>
        </is>
      </c>
      <c r="AJ154" s="23" t="inlineStr"/>
    </row>
    <row r="155">
      <c r="A155" s="10">
        <f>IF(AD155="","",RANK(AD155,AD$2:AD$167))</f>
        <v/>
      </c>
      <c r="B155" s="11" t="inlineStr">
        <is>
          <t>Air Products</t>
        </is>
      </c>
      <c r="C155" s="12" t="inlineStr">
        <is>
          <t>APD</t>
        </is>
      </c>
      <c r="D155" s="11" t="inlineStr">
        <is>
          <t>Gas industriali</t>
        </is>
      </c>
      <c r="E155" s="13" t="inlineStr">
        <is>
          <t>Materiali</t>
        </is>
      </c>
      <c r="F155" s="14" t="n">
        <v>284.04</v>
      </c>
      <c r="G155" s="15" t="inlineStr">
        <is>
          <t>USD</t>
        </is>
      </c>
      <c r="H155" s="14" t="n">
        <v>254.4430336589686</v>
      </c>
      <c r="I155" s="16" t="n">
        <v>56660.7836494283</v>
      </c>
      <c r="J155" s="16" t="n">
        <v>63251.6</v>
      </c>
      <c r="K155" s="14" t="n">
        <v>-0.21</v>
      </c>
      <c r="L155" s="14" t="n">
        <v>14.44026</v>
      </c>
      <c r="M155" s="17">
        <f>IF(OR(F155="",K155="",K155&lt;=0),"",F155/K155)</f>
        <v/>
      </c>
      <c r="N155" s="18" t="n">
        <v>4.555793</v>
      </c>
      <c r="O155" s="19">
        <f>IF(OR(N155="",M155="",M155&lt;=0),"",N155/M155)</f>
        <v/>
      </c>
      <c r="P155" s="20" t="n">
        <v>0.00023</v>
      </c>
      <c r="Q155" s="20" t="n">
        <v>0.1327005984334797</v>
      </c>
      <c r="R155" s="20" t="n">
        <v>0.0949122813335927</v>
      </c>
      <c r="S155" s="21" t="n">
        <v>4</v>
      </c>
      <c r="T155" s="20" t="n"/>
      <c r="U155" s="20" t="n">
        <v>-0.02625641435217539</v>
      </c>
      <c r="V155" s="20" t="n">
        <v>0.2247057787691134</v>
      </c>
      <c r="W155" s="20" t="n">
        <v>0.1607081723480217</v>
      </c>
      <c r="X155" s="20" t="n">
        <v>0.1716448569689592</v>
      </c>
      <c r="Y155" s="14" t="n">
        <v>7.24</v>
      </c>
      <c r="Z155" s="19">
        <f>IF(OR(Y155="",F155="",F155=0),"",Y155/F155)</f>
        <v/>
      </c>
      <c r="AA155" s="22" t="n">
        <v>110.091</v>
      </c>
      <c r="AB155" s="20" t="n">
        <v>0.046</v>
      </c>
      <c r="AC155" s="20" t="n">
        <v>-0.003929452618112035</v>
      </c>
      <c r="AD155" s="17">
        <f>IF(OR(Q155="",M155="",M155&lt;=0),"",ROUND(40*MAX(0,MIN(N(Q155)/0.3,1))+IF(OR(R155="",N(Q155)&lt;=0),10,20*MAX(0,1-MIN(R155/Q155,1)))+30*MAX(0,MIN((PARAMETRI!$B$5-M155)/MAX(PARAMETRI!$B$5-10,1),1))+IF(AB155="",3,10*MAX(0,MIN(AB155/0.15,1)))+IF(AND(P155&lt;&gt;"",N(P155)&lt;N(Q155)*0.6),-8,0),1))</f>
        <v/>
      </c>
      <c r="AE155" s="13">
        <f>IF(AND(P155="",Q155=""),"DATI MANCANTI",IF(AND(N(P155)&gt;=PARAMETRI!$B$4,N(Q155)&gt;=PARAMETRI!$B$4),"OK","NO"))</f>
        <v/>
      </c>
      <c r="AF155" s="13">
        <f>IF(M155="","N/D",IF(M155&lt;PARAMETRI!$B$6,"OTTIMO",IF(M155&lt;PARAMETRI!$B$5,"OK","NO")))</f>
        <v/>
      </c>
      <c r="AG155" s="13">
        <f>IF(OR(AE155="DATI MANCANTI",AF155="N/D"),"DA COMPLETARE",IF(AND(AE155="OK",AF155="OTTIMO"),"PASSA FORTE",IF(AND(AE155="OK",AF155="OK"),"PASSA","SCARTA")))</f>
        <v/>
      </c>
      <c r="AH155" s="11" t="inlineStr">
        <is>
          <t>2026-10-12</t>
        </is>
      </c>
      <c r="AI155" s="11" t="inlineStr">
        <is>
          <t>yahoo</t>
        </is>
      </c>
      <c r="AJ155" s="23" t="inlineStr"/>
    </row>
    <row r="156">
      <c r="A156" s="10">
        <f>IF(AD156="","",RANK(AD156,AD$2:AD$167))</f>
        <v/>
      </c>
      <c r="B156" s="11" t="inlineStr">
        <is>
          <t>Altria Group</t>
        </is>
      </c>
      <c r="C156" s="12" t="inlineStr">
        <is>
          <t>MO</t>
        </is>
      </c>
      <c r="D156" s="11" t="inlineStr">
        <is>
          <t>Tabacco</t>
        </is>
      </c>
      <c r="E156" s="13" t="inlineStr">
        <is>
          <t>Consumi</t>
        </is>
      </c>
      <c r="F156" s="14" t="n">
        <v>71.58499999999999</v>
      </c>
      <c r="G156" s="15" t="inlineStr">
        <is>
          <t>USD</t>
        </is>
      </c>
      <c r="H156" s="14" t="n">
        <v>64.12584341810049</v>
      </c>
      <c r="I156" s="16" t="n">
        <v>107073.7205781206</v>
      </c>
      <c r="J156" s="16" t="n">
        <v>119528.6</v>
      </c>
      <c r="K156" s="14" t="n">
        <v>4.75</v>
      </c>
      <c r="L156" s="14" t="n">
        <v>5.86546</v>
      </c>
      <c r="M156" s="17">
        <f>IF(OR(F156="",K156="",K156&lt;=0),"",F156/K156)</f>
        <v/>
      </c>
      <c r="N156" s="18" t="n">
        <v>-44.79662</v>
      </c>
      <c r="O156" s="19">
        <f>IF(OR(N156="",M156="",M156&lt;=0),"",N156/M156)</f>
        <v/>
      </c>
      <c r="P156" s="20" t="n"/>
      <c r="Q156" s="20" t="n"/>
      <c r="R156" s="20" t="n"/>
      <c r="S156" s="21" t="n">
        <v>0</v>
      </c>
      <c r="T156" s="20" t="n"/>
      <c r="U156" s="20" t="n"/>
      <c r="V156" s="20" t="n"/>
      <c r="W156" s="20" t="n"/>
      <c r="X156" s="20" t="n"/>
      <c r="Y156" s="14" t="n">
        <v>4.44</v>
      </c>
      <c r="Z156" s="19">
        <f>IF(OR(Y156="",F156="",F156=0),"",Y156/F156)</f>
        <v/>
      </c>
      <c r="AA156" s="22" t="n"/>
      <c r="AB156" s="20" t="n">
        <v>0.012</v>
      </c>
      <c r="AC156" s="20" t="n">
        <v>0.3948557525199861</v>
      </c>
      <c r="AD156" s="17">
        <f>IF(OR(Q156="",M156="",M156&lt;=0),"",ROUND(40*MAX(0,MIN(N(Q156)/0.3,1))+IF(OR(R156="",N(Q156)&lt;=0),10,20*MAX(0,1-MIN(R156/Q156,1)))+30*MAX(0,MIN((PARAMETRI!$B$5-M156)/MAX(PARAMETRI!$B$5-10,1),1))+IF(AB156="",3,10*MAX(0,MIN(AB156/0.15,1)))+IF(AND(P156&lt;&gt;"",N(P156)&lt;N(Q156)*0.6),-8,0),1))</f>
        <v/>
      </c>
      <c r="AE156" s="13">
        <f>IF(AND(P156="",Q156=""),"DATI MANCANTI",IF(AND(N(P156)&gt;=PARAMETRI!$B$4,N(Q156)&gt;=PARAMETRI!$B$4),"OK","NO"))</f>
        <v/>
      </c>
      <c r="AF156" s="13">
        <f>IF(M156="","N/D",IF(M156&lt;PARAMETRI!$B$6,"OTTIMO",IF(M156&lt;PARAMETRI!$B$5,"OK","NO")))</f>
        <v/>
      </c>
      <c r="AG156" s="13">
        <f>IF(OR(AE156="DATI MANCANTI",AF156="N/D"),"DA COMPLETARE",IF(AND(AE156="OK",AF156="OTTIMO"),"PASSA FORTE",IF(AND(AE156="OK",AF156="OK"),"PASSA","SCARTA")))</f>
        <v/>
      </c>
      <c r="AH156" s="11" t="inlineStr">
        <is>
          <t>2026-10-12</t>
        </is>
      </c>
      <c r="AI156" s="11" t="inlineStr">
        <is>
          <t>yahoo</t>
        </is>
      </c>
      <c r="AJ156" s="23" t="inlineStr"/>
    </row>
    <row r="157">
      <c r="A157" s="10">
        <f>IF(AD157="","",RANK(AD157,AD$2:AD$167))</f>
        <v/>
      </c>
      <c r="B157" s="11" t="inlineStr">
        <is>
          <t>Dell Technologies</t>
        </is>
      </c>
      <c r="C157" s="12" t="inlineStr">
        <is>
          <t>DELL</t>
        </is>
      </c>
      <c r="D157" s="11" t="inlineStr">
        <is>
          <t>Hardware</t>
        </is>
      </c>
      <c r="E157" s="13" t="inlineStr">
        <is>
          <t>Tecnologia</t>
        </is>
      </c>
      <c r="F157" s="14" t="n">
        <v>573.534</v>
      </c>
      <c r="G157" s="15" t="inlineStr">
        <is>
          <t>USD</t>
        </is>
      </c>
      <c r="H157" s="14" t="n">
        <v>513.7717605497918</v>
      </c>
      <c r="I157" s="16" t="n">
        <v>326662.6092898402</v>
      </c>
      <c r="J157" s="16" t="n">
        <v>364660.2</v>
      </c>
      <c r="K157" s="14" t="n">
        <v>17.2</v>
      </c>
      <c r="L157" s="14" t="n">
        <v>29.11713</v>
      </c>
      <c r="M157" s="17">
        <f>IF(OR(F157="",K157="",K157&lt;=0),"",F157/K157)</f>
        <v/>
      </c>
      <c r="N157" s="18" t="n">
        <v>-257.19012</v>
      </c>
      <c r="O157" s="19">
        <f>IF(OR(N157="",M157="",M157&lt;=0),"",N157/M157)</f>
        <v/>
      </c>
      <c r="P157" s="20" t="n"/>
      <c r="Q157" s="20" t="n"/>
      <c r="R157" s="20" t="n"/>
      <c r="S157" s="21" t="n">
        <v>0</v>
      </c>
      <c r="T157" s="20" t="n"/>
      <c r="U157" s="20" t="n"/>
      <c r="V157" s="20" t="n"/>
      <c r="W157" s="20" t="n"/>
      <c r="X157" s="20" t="n"/>
      <c r="Y157" s="14" t="n">
        <v>2.52</v>
      </c>
      <c r="Z157" s="19">
        <f>IF(OR(Y157="",F157="",F157=0),"",Y157/F157)</f>
        <v/>
      </c>
      <c r="AA157" s="22" t="n"/>
      <c r="AB157" s="20" t="n">
        <v>0.577</v>
      </c>
      <c r="AC157" s="20" t="n">
        <v>0.1002131433705015</v>
      </c>
      <c r="AD157" s="17">
        <f>IF(OR(Q157="",M157="",M157&lt;=0),"",ROUND(40*MAX(0,MIN(N(Q157)/0.3,1))+IF(OR(R157="",N(Q157)&lt;=0),10,20*MAX(0,1-MIN(R157/Q157,1)))+30*MAX(0,MIN((PARAMETRI!$B$5-M157)/MAX(PARAMETRI!$B$5-10,1),1))+IF(AB157="",3,10*MAX(0,MIN(AB157/0.15,1)))+IF(AND(P157&lt;&gt;"",N(P157)&lt;N(Q157)*0.6),-8,0),1))</f>
        <v/>
      </c>
      <c r="AE157" s="13">
        <f>IF(AND(P157="",Q157=""),"DATI MANCANTI",IF(AND(N(P157)&gt;=PARAMETRI!$B$4,N(Q157)&gt;=PARAMETRI!$B$4),"OK","NO"))</f>
        <v/>
      </c>
      <c r="AF157" s="13">
        <f>IF(M157="","N/D",IF(M157&lt;PARAMETRI!$B$6,"OTTIMO",IF(M157&lt;PARAMETRI!$B$5,"OK","NO")))</f>
        <v/>
      </c>
      <c r="AG157" s="13">
        <f>IF(OR(AE157="DATI MANCANTI",AF157="N/D"),"DA COMPLETARE",IF(AND(AE157="OK",AF157="OTTIMO"),"PASSA FORTE",IF(AND(AE157="OK",AF157="OK"),"PASSA","SCARTA")))</f>
        <v/>
      </c>
      <c r="AH157" s="11" t="inlineStr">
        <is>
          <t>2026-10-12</t>
        </is>
      </c>
      <c r="AI157" s="11" t="inlineStr">
        <is>
          <t>yahoo</t>
        </is>
      </c>
      <c r="AJ157" s="23" t="inlineStr"/>
    </row>
    <row r="158">
      <c r="A158" s="10">
        <f>IF(AD158="","",RANK(AD158,AD$2:AD$167))</f>
        <v/>
      </c>
      <c r="B158" s="11" t="inlineStr">
        <is>
          <t>Dow Inc.</t>
        </is>
      </c>
      <c r="C158" s="12" t="inlineStr">
        <is>
          <t>DOW</t>
        </is>
      </c>
      <c r="D158" s="11" t="inlineStr">
        <is>
          <t>Chimica di base</t>
        </is>
      </c>
      <c r="E158" s="13" t="inlineStr">
        <is>
          <t>Materiali</t>
        </is>
      </c>
      <c r="F158" s="14" t="n">
        <v>28.2201</v>
      </c>
      <c r="G158" s="15" t="inlineStr">
        <is>
          <t>USD</t>
        </is>
      </c>
      <c r="H158" s="14" t="n">
        <v>25.27956574482277</v>
      </c>
      <c r="I158" s="16" t="n">
        <v>18260.43521905804</v>
      </c>
      <c r="J158" s="16" t="n">
        <v>20384.5</v>
      </c>
      <c r="K158" s="14" t="n">
        <v>-1.84</v>
      </c>
      <c r="L158" s="14" t="n">
        <v>1.72487</v>
      </c>
      <c r="M158" s="17">
        <f>IF(OR(F158="",K158="",K158&lt;=0),"",F158/K158)</f>
        <v/>
      </c>
      <c r="N158" s="18" t="n">
        <v>1.2853025</v>
      </c>
      <c r="O158" s="19">
        <f>IF(OR(N158="",M158="",M158&lt;=0),"",N158/M158)</f>
        <v/>
      </c>
      <c r="P158" s="20" t="n">
        <v>-0.0554</v>
      </c>
      <c r="Q158" s="20" t="n">
        <v>0.03831594003168355</v>
      </c>
      <c r="R158" s="20" t="n">
        <v>0.1369536045415575</v>
      </c>
      <c r="S158" s="21" t="n">
        <v>4</v>
      </c>
      <c r="T158" s="20" t="n"/>
      <c r="U158" s="20" t="n">
        <v>-0.163855572213893</v>
      </c>
      <c r="V158" s="20" t="n">
        <v>0.06430423509075195</v>
      </c>
      <c r="W158" s="20" t="n">
        <v>0.0316547535873596</v>
      </c>
      <c r="X158" s="20" t="n">
        <v>0.2211603436625157</v>
      </c>
      <c r="Y158" s="14" t="n">
        <v>1.4</v>
      </c>
      <c r="Z158" s="19">
        <f>IF(OR(Y158="",F158="",F158=0),"",Y158/F158)</f>
        <v/>
      </c>
      <c r="AA158" s="22" t="n">
        <v>111.913</v>
      </c>
      <c r="AB158" s="20" t="n">
        <v>0.197</v>
      </c>
      <c r="AC158" s="20" t="n">
        <v>-0.03255103923138511</v>
      </c>
      <c r="AD158" s="17">
        <f>IF(OR(Q158="",M158="",M158&lt;=0),"",ROUND(40*MAX(0,MIN(N(Q158)/0.3,1))+IF(OR(R158="",N(Q158)&lt;=0),10,20*MAX(0,1-MIN(R158/Q158,1)))+30*MAX(0,MIN((PARAMETRI!$B$5-M158)/MAX(PARAMETRI!$B$5-10,1),1))+IF(AB158="",3,10*MAX(0,MIN(AB158/0.15,1)))+IF(AND(P158&lt;&gt;"",N(P158)&lt;N(Q158)*0.6),-8,0),1))</f>
        <v/>
      </c>
      <c r="AE158" s="13">
        <f>IF(AND(P158="",Q158=""),"DATI MANCANTI",IF(AND(N(P158)&gt;=PARAMETRI!$B$4,N(Q158)&gt;=PARAMETRI!$B$4),"OK","NO"))</f>
        <v/>
      </c>
      <c r="AF158" s="13">
        <f>IF(M158="","N/D",IF(M158&lt;PARAMETRI!$B$6,"OTTIMO",IF(M158&lt;PARAMETRI!$B$5,"OK","NO")))</f>
        <v/>
      </c>
      <c r="AG158" s="13">
        <f>IF(OR(AE158="DATI MANCANTI",AF158="N/D"),"DA COMPLETARE",IF(AND(AE158="OK",AF158="OTTIMO"),"PASSA FORTE",IF(AND(AE158="OK",AF158="OK"),"PASSA","SCARTA")))</f>
        <v/>
      </c>
      <c r="AH158" s="11" t="inlineStr">
        <is>
          <t>2026-10-12</t>
        </is>
      </c>
      <c r="AI158" s="11" t="inlineStr">
        <is>
          <t>yahoo</t>
        </is>
      </c>
      <c r="AJ158" s="23" t="inlineStr"/>
    </row>
    <row r="159">
      <c r="A159" s="10">
        <f>IF(AD159="","",RANK(AD159,AD$2:AD$167))</f>
        <v/>
      </c>
      <c r="B159" s="11" t="inlineStr">
        <is>
          <t>Ford Motor</t>
        </is>
      </c>
      <c r="C159" s="12" t="inlineStr">
        <is>
          <t>F</t>
        </is>
      </c>
      <c r="D159" s="11" t="inlineStr">
        <is>
          <t>Auto</t>
        </is>
      </c>
      <c r="E159" s="13" t="inlineStr">
        <is>
          <t>Consumi</t>
        </is>
      </c>
      <c r="F159" s="14" t="n">
        <v>12.0055</v>
      </c>
      <c r="G159" s="15" t="inlineStr">
        <is>
          <t>USD</t>
        </is>
      </c>
      <c r="H159" s="14" t="n">
        <v>10.75452697011951</v>
      </c>
      <c r="I159" s="16" t="n">
        <v>42884.72325960839</v>
      </c>
      <c r="J159" s="16" t="n">
        <v>47873.1</v>
      </c>
      <c r="K159" s="14" t="n">
        <v>-1.88</v>
      </c>
      <c r="L159" s="14" t="n">
        <v>1.95621</v>
      </c>
      <c r="M159" s="17">
        <f>IF(OR(F159="",K159="",K159&lt;=0),"",F159/K159)</f>
        <v/>
      </c>
      <c r="N159" s="18" t="n">
        <v>1.3401986</v>
      </c>
      <c r="O159" s="19">
        <f>IF(OR(N159="",M159="",M159&lt;=0),"",N159/M159)</f>
        <v/>
      </c>
      <c r="P159" s="20" t="n">
        <v>-0.18252</v>
      </c>
      <c r="Q159" s="20" t="n">
        <v>-0.01015959796696137</v>
      </c>
      <c r="R159" s="20" t="n">
        <v>0.142303781941802</v>
      </c>
      <c r="S159" s="21" t="n">
        <v>4</v>
      </c>
      <c r="T159" s="20" t="n"/>
      <c r="U159" s="20" t="n">
        <v>-0.2275812194036493</v>
      </c>
      <c r="V159" s="20" t="n">
        <v>0.1311252369800379</v>
      </c>
      <c r="W159" s="20" t="n">
        <v>0.1016295326491011</v>
      </c>
      <c r="X159" s="20" t="n">
        <v>-0.04581194209333518</v>
      </c>
      <c r="Y159" s="14" t="n">
        <v>0.6</v>
      </c>
      <c r="Z159" s="19">
        <f>IF(OR(Y159="",F159="",F159=0),"",Y159/F159)</f>
        <v/>
      </c>
      <c r="AA159" s="22" t="n">
        <v>456.708</v>
      </c>
      <c r="AB159" s="20" t="n">
        <v>-0.038</v>
      </c>
      <c r="AC159" s="20" t="n">
        <v>-0.03949441035526815</v>
      </c>
      <c r="AD159" s="17">
        <f>IF(OR(Q159="",M159="",M159&lt;=0),"",ROUND(40*MAX(0,MIN(N(Q159)/0.3,1))+IF(OR(R159="",N(Q159)&lt;=0),10,20*MAX(0,1-MIN(R159/Q159,1)))+30*MAX(0,MIN((PARAMETRI!$B$5-M159)/MAX(PARAMETRI!$B$5-10,1),1))+IF(AB159="",3,10*MAX(0,MIN(AB159/0.15,1)))+IF(AND(P159&lt;&gt;"",N(P159)&lt;N(Q159)*0.6),-8,0),1))</f>
        <v/>
      </c>
      <c r="AE159" s="13">
        <f>IF(AND(P159="",Q159=""),"DATI MANCANTI",IF(AND(N(P159)&gt;=PARAMETRI!$B$4,N(Q159)&gt;=PARAMETRI!$B$4),"OK","NO"))</f>
        <v/>
      </c>
      <c r="AF159" s="13">
        <f>IF(M159="","N/D",IF(M159&lt;PARAMETRI!$B$6,"OTTIMO",IF(M159&lt;PARAMETRI!$B$5,"OK","NO")))</f>
        <v/>
      </c>
      <c r="AG159" s="13">
        <f>IF(OR(AE159="DATI MANCANTI",AF159="N/D"),"DA COMPLETARE",IF(AND(AE159="OK",AF159="OTTIMO"),"PASSA FORTE",IF(AND(AE159="OK",AF159="OK"),"PASSA","SCARTA")))</f>
        <v/>
      </c>
      <c r="AH159" s="11" t="inlineStr">
        <is>
          <t>2026-10-12</t>
        </is>
      </c>
      <c r="AI159" s="11" t="inlineStr">
        <is>
          <t>yahoo</t>
        </is>
      </c>
      <c r="AJ159" s="23" t="inlineStr"/>
    </row>
    <row r="160">
      <c r="A160" s="10">
        <f>IF(AD160="","",RANK(AD160,AD$2:AD$167))</f>
        <v/>
      </c>
      <c r="B160" s="11" t="inlineStr">
        <is>
          <t>Gilead Sciences</t>
        </is>
      </c>
      <c r="C160" s="12" t="inlineStr">
        <is>
          <t>GILD</t>
        </is>
      </c>
      <c r="D160" s="11" t="inlineStr">
        <is>
          <t>Biotecnologie</t>
        </is>
      </c>
      <c r="E160" s="13" t="inlineStr">
        <is>
          <t>Salute</t>
        </is>
      </c>
      <c r="F160" s="14" t="n">
        <v>150.29</v>
      </c>
      <c r="G160" s="15" t="inlineStr">
        <is>
          <t>USD</t>
        </is>
      </c>
      <c r="H160" s="14" t="n">
        <v>134.6297828777862</v>
      </c>
      <c r="I160" s="16" t="n">
        <v>166934.9289084157</v>
      </c>
      <c r="J160" s="16" t="n">
        <v>186352.9</v>
      </c>
      <c r="K160" s="14" t="n">
        <v>-2.65</v>
      </c>
      <c r="L160" s="14" t="n">
        <v>9.918419999999999</v>
      </c>
      <c r="M160" s="17">
        <f>IF(OR(F160="",K160="",K160&lt;=0),"",F160/K160)</f>
        <v/>
      </c>
      <c r="N160" s="18" t="n">
        <v>15.766891</v>
      </c>
      <c r="O160" s="19">
        <f>IF(OR(N160="",M160="",M160&lt;=0),"",N160/M160)</f>
        <v/>
      </c>
      <c r="P160" s="20" t="n">
        <v>-0.2068</v>
      </c>
      <c r="Q160" s="20" t="n">
        <v>0.2159975942519622</v>
      </c>
      <c r="R160" s="20" t="n">
        <v>0.1253111848721516</v>
      </c>
      <c r="S160" s="21" t="n">
        <v>4</v>
      </c>
      <c r="T160" s="20" t="n"/>
      <c r="U160" s="20" t="n">
        <v>0.3748568408069773</v>
      </c>
      <c r="V160" s="20" t="n">
        <v>0.02483186756337299</v>
      </c>
      <c r="W160" s="20" t="n">
        <v>0.2481058117636754</v>
      </c>
      <c r="X160" s="20" t="n">
        <v>0.216195856873823</v>
      </c>
      <c r="Y160" s="14" t="n">
        <v>3.28</v>
      </c>
      <c r="Z160" s="19">
        <f>IF(OR(Y160="",F160="",F160=0),"",Y160/F160)</f>
        <v/>
      </c>
      <c r="AA160" s="22" t="n">
        <v>223.465</v>
      </c>
      <c r="AB160" s="20" t="n">
        <v>0.102</v>
      </c>
      <c r="AC160" s="20" t="n">
        <v>-0.1100468718157734</v>
      </c>
      <c r="AD160" s="17">
        <f>IF(OR(Q160="",M160="",M160&lt;=0),"",ROUND(40*MAX(0,MIN(N(Q160)/0.3,1))+IF(OR(R160="",N(Q160)&lt;=0),10,20*MAX(0,1-MIN(R160/Q160,1)))+30*MAX(0,MIN((PARAMETRI!$B$5-M160)/MAX(PARAMETRI!$B$5-10,1),1))+IF(AB160="",3,10*MAX(0,MIN(AB160/0.15,1)))+IF(AND(P160&lt;&gt;"",N(P160)&lt;N(Q160)*0.6),-8,0),1))</f>
        <v/>
      </c>
      <c r="AE160" s="13">
        <f>IF(AND(P160="",Q160=""),"DATI MANCANTI",IF(AND(N(P160)&gt;=PARAMETRI!$B$4,N(Q160)&gt;=PARAMETRI!$B$4),"OK","NO"))</f>
        <v/>
      </c>
      <c r="AF160" s="13">
        <f>IF(M160="","N/D",IF(M160&lt;PARAMETRI!$B$6,"OTTIMO",IF(M160&lt;PARAMETRI!$B$5,"OK","NO")))</f>
        <v/>
      </c>
      <c r="AG160" s="13">
        <f>IF(OR(AE160="DATI MANCANTI",AF160="N/D"),"DA COMPLETARE",IF(AND(AE160="OK",AF160="OTTIMO"),"PASSA FORTE",IF(AND(AE160="OK",AF160="OK"),"PASSA","SCARTA")))</f>
        <v/>
      </c>
      <c r="AH160" s="11" t="inlineStr">
        <is>
          <t>2026-10-12</t>
        </is>
      </c>
      <c r="AI160" s="11" t="inlineStr">
        <is>
          <t>yahoo</t>
        </is>
      </c>
      <c r="AJ160" s="23" t="inlineStr"/>
    </row>
    <row r="161">
      <c r="A161" s="10">
        <f>IF(AD161="","",RANK(AD161,AD$2:AD$167))</f>
        <v/>
      </c>
      <c r="B161" s="11" t="inlineStr">
        <is>
          <t>Intel</t>
        </is>
      </c>
      <c r="C161" s="12" t="inlineStr">
        <is>
          <t>INTC</t>
        </is>
      </c>
      <c r="D161" s="11" t="inlineStr">
        <is>
          <t>Semiconduttori</t>
        </is>
      </c>
      <c r="E161" s="13" t="inlineStr">
        <is>
          <t>Tecnologia</t>
        </is>
      </c>
      <c r="F161" s="14" t="n">
        <v>100.95</v>
      </c>
      <c r="G161" s="15" t="inlineStr">
        <is>
          <t>USD</t>
        </is>
      </c>
      <c r="H161" s="14" t="n">
        <v>90.43101058961018</v>
      </c>
      <c r="I161" s="16" t="n">
        <v>478075.2052770502</v>
      </c>
      <c r="J161" s="16" t="n">
        <v>533685.2</v>
      </c>
      <c r="K161" s="14" t="n">
        <v>-2.12</v>
      </c>
      <c r="L161" s="14" t="n">
        <v>2.08267</v>
      </c>
      <c r="M161" s="17">
        <f>IF(OR(F161="",K161="",K161&lt;=0),"",F161/K161)</f>
        <v/>
      </c>
      <c r="N161" s="18" t="n">
        <v>5.8160033</v>
      </c>
      <c r="O161" s="19">
        <f>IF(OR(N161="",M161="",M161&lt;=0),"",N161/M161)</f>
        <v/>
      </c>
      <c r="P161" s="20" t="n">
        <v>-0.10715</v>
      </c>
      <c r="Q161" s="20" t="n">
        <v>-0.02406604052723915</v>
      </c>
      <c r="R161" s="20" t="n">
        <v>0.09985756972463626</v>
      </c>
      <c r="S161" s="21" t="n">
        <v>4</v>
      </c>
      <c r="T161" s="20" t="n"/>
      <c r="U161" s="20" t="n">
        <v>-0.002336346374287939</v>
      </c>
      <c r="V161" s="20" t="n">
        <v>-0.1889392565729828</v>
      </c>
      <c r="W161" s="20" t="n">
        <v>0.01599583293872526</v>
      </c>
      <c r="X161" s="20" t="n">
        <v>0.07901560789958885</v>
      </c>
      <c r="Y161" s="14" t="n"/>
      <c r="Z161" s="19">
        <f>IF(OR(Y161="",F161="",F161=0),"",Y161/F161)</f>
        <v/>
      </c>
      <c r="AA161" s="22" t="n">
        <v>48.997</v>
      </c>
      <c r="AB161" s="20" t="n">
        <v>0.254</v>
      </c>
      <c r="AC161" s="20" t="n">
        <v>-0.213592415492025</v>
      </c>
      <c r="AD161" s="17">
        <f>IF(OR(Q161="",M161="",M161&lt;=0),"",ROUND(40*MAX(0,MIN(N(Q161)/0.3,1))+IF(OR(R161="",N(Q161)&lt;=0),10,20*MAX(0,1-MIN(R161/Q161,1)))+30*MAX(0,MIN((PARAMETRI!$B$5-M161)/MAX(PARAMETRI!$B$5-10,1),1))+IF(AB161="",3,10*MAX(0,MIN(AB161/0.15,1)))+IF(AND(P161&lt;&gt;"",N(P161)&lt;N(Q161)*0.6),-8,0),1))</f>
        <v/>
      </c>
      <c r="AE161" s="13">
        <f>IF(AND(P161="",Q161=""),"DATI MANCANTI",IF(AND(N(P161)&gt;=PARAMETRI!$B$4,N(Q161)&gt;=PARAMETRI!$B$4),"OK","NO"))</f>
        <v/>
      </c>
      <c r="AF161" s="13">
        <f>IF(M161="","N/D",IF(M161&lt;PARAMETRI!$B$6,"OTTIMO",IF(M161&lt;PARAMETRI!$B$5,"OK","NO")))</f>
        <v/>
      </c>
      <c r="AG161" s="13">
        <f>IF(OR(AE161="DATI MANCANTI",AF161="N/D"),"DA COMPLETARE",IF(AND(AE161="OK",AF161="OTTIMO"),"PASSA FORTE",IF(AND(AE161="OK",AF161="OK"),"PASSA","SCARTA")))</f>
        <v/>
      </c>
      <c r="AH161" s="11" t="inlineStr">
        <is>
          <t>2026-10-12</t>
        </is>
      </c>
      <c r="AI161" s="11" t="inlineStr">
        <is>
          <t>yahoo</t>
        </is>
      </c>
      <c r="AJ161" s="23" t="inlineStr"/>
    </row>
    <row r="162">
      <c r="A162" s="10">
        <f>IF(AD162="","",RANK(AD162,AD$2:AD$167))</f>
        <v/>
      </c>
      <c r="B162" s="11" t="inlineStr">
        <is>
          <t>Lowe's</t>
        </is>
      </c>
      <c r="C162" s="12" t="inlineStr">
        <is>
          <t>LOW</t>
        </is>
      </c>
      <c r="D162" s="11" t="inlineStr">
        <is>
          <t>Distribuzione specializzata</t>
        </is>
      </c>
      <c r="E162" s="13" t="inlineStr">
        <is>
          <t>Consumi</t>
        </is>
      </c>
      <c r="F162" s="14" t="n">
        <v>186.48</v>
      </c>
      <c r="G162" s="15" t="inlineStr">
        <is>
          <t>USD</t>
        </is>
      </c>
      <c r="H162" s="14" t="n">
        <v>167.0487850891581</v>
      </c>
      <c r="I162" s="16" t="n">
        <v>93723.3443510762</v>
      </c>
      <c r="J162" s="16" t="n">
        <v>104625.3</v>
      </c>
      <c r="K162" s="14" t="n">
        <v>11.83</v>
      </c>
      <c r="L162" s="14" t="n">
        <v>13</v>
      </c>
      <c r="M162" s="17">
        <f>IF(OR(F162="",K162="",K162&lt;=0),"",F162/K162)</f>
        <v/>
      </c>
      <c r="N162" s="18" t="n">
        <v>-14.06653</v>
      </c>
      <c r="O162" s="19">
        <f>IF(OR(N162="",M162="",M162&lt;=0),"",N162/M162)</f>
        <v/>
      </c>
      <c r="P162" s="20" t="n"/>
      <c r="Q162" s="20" t="n"/>
      <c r="R162" s="20" t="n"/>
      <c r="S162" s="21" t="n">
        <v>0</v>
      </c>
      <c r="T162" s="20" t="n"/>
      <c r="U162" s="20" t="n"/>
      <c r="V162" s="20" t="n"/>
      <c r="W162" s="20" t="n"/>
      <c r="X162" s="20" t="n"/>
      <c r="Y162" s="14" t="n">
        <v>5</v>
      </c>
      <c r="Z162" s="19">
        <f>IF(OR(Y162="",F162="",F162=0),"",Y162/F162)</f>
        <v/>
      </c>
      <c r="AA162" s="22" t="n"/>
      <c r="AB162" s="20" t="n">
        <v>0.083</v>
      </c>
      <c r="AC162" s="20" t="n">
        <v>0.07677954634587303</v>
      </c>
      <c r="AD162" s="17">
        <f>IF(OR(Q162="",M162="",M162&lt;=0),"",ROUND(40*MAX(0,MIN(N(Q162)/0.3,1))+IF(OR(R162="",N(Q162)&lt;=0),10,20*MAX(0,1-MIN(R162/Q162,1)))+30*MAX(0,MIN((PARAMETRI!$B$5-M162)/MAX(PARAMETRI!$B$5-10,1),1))+IF(AB162="",3,10*MAX(0,MIN(AB162/0.15,1)))+IF(AND(P162&lt;&gt;"",N(P162)&lt;N(Q162)*0.6),-8,0),1))</f>
        <v/>
      </c>
      <c r="AE162" s="13">
        <f>IF(AND(P162="",Q162=""),"DATI MANCANTI",IF(AND(N(P162)&gt;=PARAMETRI!$B$4,N(Q162)&gt;=PARAMETRI!$B$4),"OK","NO"))</f>
        <v/>
      </c>
      <c r="AF162" s="13">
        <f>IF(M162="","N/D",IF(M162&lt;PARAMETRI!$B$6,"OTTIMO",IF(M162&lt;PARAMETRI!$B$5,"OK","NO")))</f>
        <v/>
      </c>
      <c r="AG162" s="13">
        <f>IF(OR(AE162="DATI MANCANTI",AF162="N/D"),"DA COMPLETARE",IF(AND(AE162="OK",AF162="OTTIMO"),"PASSA FORTE",IF(AND(AE162="OK",AF162="OK"),"PASSA","SCARTA")))</f>
        <v/>
      </c>
      <c r="AH162" s="11" t="inlineStr">
        <is>
          <t>2026-10-12</t>
        </is>
      </c>
      <c r="AI162" s="11" t="inlineStr">
        <is>
          <t>yahoo</t>
        </is>
      </c>
      <c r="AJ162" s="23" t="inlineStr"/>
    </row>
    <row r="163">
      <c r="A163" s="10">
        <f>IF(AD163="","",RANK(AD163,AD$2:AD$167))</f>
        <v/>
      </c>
      <c r="B163" s="11" t="inlineStr">
        <is>
          <t>McDonald's</t>
        </is>
      </c>
      <c r="C163" s="12" t="inlineStr">
        <is>
          <t>MCD</t>
        </is>
      </c>
      <c r="D163" s="11" t="inlineStr">
        <is>
          <t>Ristorazione</t>
        </is>
      </c>
      <c r="E163" s="13" t="inlineStr">
        <is>
          <t>Consumi</t>
        </is>
      </c>
      <c r="F163" s="14" t="n">
        <v>235.335</v>
      </c>
      <c r="G163" s="15" t="inlineStr">
        <is>
          <t>USD</t>
        </is>
      </c>
      <c r="H163" s="14" t="n">
        <v>210.8130943745014</v>
      </c>
      <c r="I163" s="16" t="n">
        <v>149180.0832126541</v>
      </c>
      <c r="J163" s="16" t="n">
        <v>166532.8</v>
      </c>
      <c r="K163" s="14" t="n">
        <v>12.31</v>
      </c>
      <c r="L163" s="14" t="n">
        <v>13.76586</v>
      </c>
      <c r="M163" s="17">
        <f>IF(OR(F163="",K163="",K163&lt;=0),"",F163/K163)</f>
        <v/>
      </c>
      <c r="N163" s="18" t="n">
        <v>-162.74896</v>
      </c>
      <c r="O163" s="19">
        <f>IF(OR(N163="",M163="",M163&lt;=0),"",N163/M163)</f>
        <v/>
      </c>
      <c r="P163" s="20" t="n"/>
      <c r="Q163" s="20" t="n"/>
      <c r="R163" s="20" t="n"/>
      <c r="S163" s="21" t="n">
        <v>0</v>
      </c>
      <c r="T163" s="20" t="n"/>
      <c r="U163" s="20" t="n"/>
      <c r="V163" s="20" t="n"/>
      <c r="W163" s="20" t="n"/>
      <c r="X163" s="20" t="n"/>
      <c r="Y163" s="14" t="n">
        <v>7.72</v>
      </c>
      <c r="Z163" s="19">
        <f>IF(OR(Y163="",F163="",F163=0),"",Y163/F163)</f>
        <v/>
      </c>
      <c r="AA163" s="22" t="n"/>
      <c r="AB163" s="20" t="n">
        <v>0.037</v>
      </c>
      <c r="AC163" s="20" t="n">
        <v>0.3268365378463827</v>
      </c>
      <c r="AD163" s="17">
        <f>IF(OR(Q163="",M163="",M163&lt;=0),"",ROUND(40*MAX(0,MIN(N(Q163)/0.3,1))+IF(OR(R163="",N(Q163)&lt;=0),10,20*MAX(0,1-MIN(R163/Q163,1)))+30*MAX(0,MIN((PARAMETRI!$B$5-M163)/MAX(PARAMETRI!$B$5-10,1),1))+IF(AB163="",3,10*MAX(0,MIN(AB163/0.15,1)))+IF(AND(P163&lt;&gt;"",N(P163)&lt;N(Q163)*0.6),-8,0),1))</f>
        <v/>
      </c>
      <c r="AE163" s="13">
        <f>IF(AND(P163="",Q163=""),"DATI MANCANTI",IF(AND(N(P163)&gt;=PARAMETRI!$B$4,N(Q163)&gt;=PARAMETRI!$B$4),"OK","NO"))</f>
        <v/>
      </c>
      <c r="AF163" s="13">
        <f>IF(M163="","N/D",IF(M163&lt;PARAMETRI!$B$6,"OTTIMO",IF(M163&lt;PARAMETRI!$B$5,"OK","NO")))</f>
        <v/>
      </c>
      <c r="AG163" s="13">
        <f>IF(OR(AE163="DATI MANCANTI",AF163="N/D"),"DA COMPLETARE",IF(AND(AE163="OK",AF163="OTTIMO"),"PASSA FORTE",IF(AND(AE163="OK",AF163="OK"),"PASSA","SCARTA")))</f>
        <v/>
      </c>
      <c r="AH163" s="11" t="inlineStr">
        <is>
          <t>2026-10-12</t>
        </is>
      </c>
      <c r="AI163" s="11" t="inlineStr">
        <is>
          <t>yahoo</t>
        </is>
      </c>
      <c r="AJ163" s="23" t="inlineStr"/>
    </row>
    <row r="164">
      <c r="A164" s="10">
        <f>IF(AD164="","",RANK(AD164,AD$2:AD$167))</f>
        <v/>
      </c>
      <c r="B164" s="11" t="inlineStr">
        <is>
          <t>McKesson</t>
        </is>
      </c>
      <c r="C164" s="12" t="inlineStr">
        <is>
          <t>MCK</t>
        </is>
      </c>
      <c r="D164" s="11" t="inlineStr">
        <is>
          <t>Distribuzione farmaceutica</t>
        </is>
      </c>
      <c r="E164" s="13" t="inlineStr">
        <is>
          <t>Salute</t>
        </is>
      </c>
      <c r="F164" s="14" t="n">
        <v>946.205</v>
      </c>
      <c r="G164" s="15" t="inlineStr">
        <is>
          <t>USD</t>
        </is>
      </c>
      <c r="H164" s="14" t="n">
        <v>847.61044452642</v>
      </c>
      <c r="I164" s="16" t="n">
        <v>98823.22336432739</v>
      </c>
      <c r="J164" s="16" t="n">
        <v>110318.4</v>
      </c>
      <c r="K164" s="14" t="n">
        <v>37.31</v>
      </c>
      <c r="L164" s="14" t="n">
        <v>50.58726</v>
      </c>
      <c r="M164" s="17">
        <f>IF(OR(F164="",K164="",K164&lt;=0),"",F164/K164)</f>
        <v/>
      </c>
      <c r="N164" s="18" t="n">
        <v>-25.886547</v>
      </c>
      <c r="O164" s="19">
        <f>IF(OR(N164="",M164="",M164&lt;=0),"",N164/M164)</f>
        <v/>
      </c>
      <c r="P164" s="20" t="n"/>
      <c r="Q164" s="20" t="n"/>
      <c r="R164" s="20" t="n"/>
      <c r="S164" s="21" t="n">
        <v>0</v>
      </c>
      <c r="T164" s="20" t="n"/>
      <c r="U164" s="20" t="n"/>
      <c r="V164" s="20" t="n"/>
      <c r="W164" s="20" t="n"/>
      <c r="X164" s="20" t="n"/>
      <c r="Y164" s="14" t="n">
        <v>3.76</v>
      </c>
      <c r="Z164" s="19">
        <f>IF(OR(Y164="",F164="",F164=0),"",Y164/F164)</f>
        <v/>
      </c>
      <c r="AA164" s="22" t="n"/>
      <c r="AB164" s="20" t="n">
        <v>0.077</v>
      </c>
      <c r="AC164" s="20" t="n">
        <v>0.01138239595468855</v>
      </c>
      <c r="AD164" s="17">
        <f>IF(OR(Q164="",M164="",M164&lt;=0),"",ROUND(40*MAX(0,MIN(N(Q164)/0.3,1))+IF(OR(R164="",N(Q164)&lt;=0),10,20*MAX(0,1-MIN(R164/Q164,1)))+30*MAX(0,MIN((PARAMETRI!$B$5-M164)/MAX(PARAMETRI!$B$5-10,1),1))+IF(AB164="",3,10*MAX(0,MIN(AB164/0.15,1)))+IF(AND(P164&lt;&gt;"",N(P164)&lt;N(Q164)*0.6),-8,0),1))</f>
        <v/>
      </c>
      <c r="AE164" s="13">
        <f>IF(AND(P164="",Q164=""),"DATI MANCANTI",IF(AND(N(P164)&gt;=PARAMETRI!$B$4,N(Q164)&gt;=PARAMETRI!$B$4),"OK","NO"))</f>
        <v/>
      </c>
      <c r="AF164" s="13">
        <f>IF(M164="","N/D",IF(M164&lt;PARAMETRI!$B$6,"OTTIMO",IF(M164&lt;PARAMETRI!$B$5,"OK","NO")))</f>
        <v/>
      </c>
      <c r="AG164" s="13">
        <f>IF(OR(AE164="DATI MANCANTI",AF164="N/D"),"DA COMPLETARE",IF(AND(AE164="OK",AF164="OTTIMO"),"PASSA FORTE",IF(AND(AE164="OK",AF164="OK"),"PASSA","SCARTA")))</f>
        <v/>
      </c>
      <c r="AH164" s="11" t="inlineStr">
        <is>
          <t>2026-10-12</t>
        </is>
      </c>
      <c r="AI164" s="11" t="inlineStr">
        <is>
          <t>yahoo</t>
        </is>
      </c>
      <c r="AJ164" s="23" t="inlineStr"/>
    </row>
    <row r="165">
      <c r="A165" s="10">
        <f>IF(AD165="","",RANK(AD165,AD$2:AD$167))</f>
        <v/>
      </c>
      <c r="B165" s="11" t="inlineStr">
        <is>
          <t>Moderna</t>
        </is>
      </c>
      <c r="C165" s="12" t="inlineStr">
        <is>
          <t>MRNA</t>
        </is>
      </c>
      <c r="D165" s="11" t="inlineStr">
        <is>
          <t>Biotecnologie</t>
        </is>
      </c>
      <c r="E165" s="13" t="inlineStr">
        <is>
          <t>Salute</t>
        </is>
      </c>
      <c r="F165" s="14" t="n">
        <v>213.349</v>
      </c>
      <c r="G165" s="15" t="inlineStr">
        <is>
          <t>USD</t>
        </is>
      </c>
      <c r="H165" s="14" t="n">
        <v>191.1180354460896</v>
      </c>
      <c r="I165" s="16" t="n">
        <v>76301.19877748381</v>
      </c>
      <c r="J165" s="16" t="n">
        <v>85176.60000000001</v>
      </c>
      <c r="K165" s="14" t="n">
        <v>-7.98</v>
      </c>
      <c r="L165" s="14" t="n">
        <v>-4.43761</v>
      </c>
      <c r="M165" s="17">
        <f>IF(OR(F165="",K165="",K165&lt;=0),"",F165/K165)</f>
        <v/>
      </c>
      <c r="N165" s="18" t="n">
        <v>12.590676</v>
      </c>
      <c r="O165" s="19">
        <f>IF(OR(N165="",M165="",M165&lt;=0),"",N165/M165)</f>
        <v/>
      </c>
      <c r="P165" s="20" t="n">
        <v>-0.38998002</v>
      </c>
      <c r="Q165" s="20" t="n">
        <v>-0.1389745766449837</v>
      </c>
      <c r="R165" s="20" t="n">
        <v>0.3327453363096257</v>
      </c>
      <c r="S165" s="21" t="n">
        <v>4</v>
      </c>
      <c r="T165" s="20" t="n"/>
      <c r="U165" s="20" t="n">
        <v>-0.326242774566474</v>
      </c>
      <c r="V165" s="20" t="n">
        <v>-0.3266672782313549</v>
      </c>
      <c r="W165" s="20" t="n">
        <v>-0.3402627400028873</v>
      </c>
      <c r="X165" s="20" t="n">
        <v>0.4372744862207812</v>
      </c>
      <c r="Y165" s="14" t="n"/>
      <c r="Z165" s="19">
        <f>IF(OR(Y165="",F165="",F165=0),"",Y165/F165)</f>
        <v/>
      </c>
      <c r="AA165" s="22" t="n">
        <v>19.036</v>
      </c>
      <c r="AB165" s="20" t="n">
        <v>0.021</v>
      </c>
      <c r="AC165" s="20" t="n">
        <v>-1.639438118626431</v>
      </c>
      <c r="AD165" s="17">
        <f>IF(OR(Q165="",M165="",M165&lt;=0),"",ROUND(40*MAX(0,MIN(N(Q165)/0.3,1))+IF(OR(R165="",N(Q165)&lt;=0),10,20*MAX(0,1-MIN(R165/Q165,1)))+30*MAX(0,MIN((PARAMETRI!$B$5-M165)/MAX(PARAMETRI!$B$5-10,1),1))+IF(AB165="",3,10*MAX(0,MIN(AB165/0.15,1)))+IF(AND(P165&lt;&gt;"",N(P165)&lt;N(Q165)*0.6),-8,0),1))</f>
        <v/>
      </c>
      <c r="AE165" s="13">
        <f>IF(AND(P165="",Q165=""),"DATI MANCANTI",IF(AND(N(P165)&gt;=PARAMETRI!$B$4,N(Q165)&gt;=PARAMETRI!$B$4),"OK","NO"))</f>
        <v/>
      </c>
      <c r="AF165" s="13">
        <f>IF(M165="","N/D",IF(M165&lt;PARAMETRI!$B$6,"OTTIMO",IF(M165&lt;PARAMETRI!$B$5,"OK","NO")))</f>
        <v/>
      </c>
      <c r="AG165" s="13">
        <f>IF(OR(AE165="DATI MANCANTI",AF165="N/D"),"DA COMPLETARE",IF(AND(AE165="OK",AF165="OTTIMO"),"PASSA FORTE",IF(AND(AE165="OK",AF165="OK"),"PASSA","SCARTA")))</f>
        <v/>
      </c>
      <c r="AH165" s="11" t="inlineStr">
        <is>
          <t>2026-10-12</t>
        </is>
      </c>
      <c r="AI165" s="11" t="inlineStr">
        <is>
          <t>yahoo</t>
        </is>
      </c>
      <c r="AJ165" s="23" t="inlineStr"/>
    </row>
    <row r="166">
      <c r="A166" s="10">
        <f>IF(AD166="","",RANK(AD166,AD$2:AD$167))</f>
        <v/>
      </c>
      <c r="B166" s="11" t="inlineStr">
        <is>
          <t>Philip Morris International</t>
        </is>
      </c>
      <c r="C166" s="12" t="inlineStr">
        <is>
          <t>PM</t>
        </is>
      </c>
      <c r="D166" s="11" t="inlineStr">
        <is>
          <t>Tabacco</t>
        </is>
      </c>
      <c r="E166" s="13" t="inlineStr">
        <is>
          <t>Consumi</t>
        </is>
      </c>
      <c r="F166" s="14" t="n">
        <v>202.31</v>
      </c>
      <c r="G166" s="15" t="inlineStr">
        <is>
          <t>USD</t>
        </is>
      </c>
      <c r="H166" s="14" t="n">
        <v>181.229299181615</v>
      </c>
      <c r="I166" s="16" t="n">
        <v>282466.4348216811</v>
      </c>
      <c r="J166" s="16" t="n">
        <v>315323.1</v>
      </c>
      <c r="K166" s="14" t="n">
        <v>6.96</v>
      </c>
      <c r="L166" s="14" t="n">
        <v>9.181749999999999</v>
      </c>
      <c r="M166" s="17">
        <f>IF(OR(F166="",K166="",K166&lt;=0),"",F166/K166)</f>
        <v/>
      </c>
      <c r="N166" s="18" t="n">
        <v>-36.73688</v>
      </c>
      <c r="O166" s="19">
        <f>IF(OR(N166="",M166="",M166&lt;=0),"",N166/M166)</f>
        <v/>
      </c>
      <c r="P166" s="20" t="n"/>
      <c r="Q166" s="20" t="n"/>
      <c r="R166" s="20" t="n"/>
      <c r="S166" s="21" t="n">
        <v>0</v>
      </c>
      <c r="T166" s="20" t="n"/>
      <c r="U166" s="20" t="n"/>
      <c r="V166" s="20" t="n"/>
      <c r="W166" s="20" t="n"/>
      <c r="X166" s="20" t="n"/>
      <c r="Y166" s="14" t="n">
        <v>6.4</v>
      </c>
      <c r="Z166" s="19">
        <f>IF(OR(Y166="",F166="",F166=0),"",Y166/F166)</f>
        <v/>
      </c>
      <c r="AA166" s="22" t="n"/>
      <c r="AB166" s="20" t="n">
        <v>0.104</v>
      </c>
      <c r="AC166" s="20" t="n">
        <v>0.2667781995670144</v>
      </c>
      <c r="AD166" s="17">
        <f>IF(OR(Q166="",M166="",M166&lt;=0),"",ROUND(40*MAX(0,MIN(N(Q166)/0.3,1))+IF(OR(R166="",N(Q166)&lt;=0),10,20*MAX(0,1-MIN(R166/Q166,1)))+30*MAX(0,MIN((PARAMETRI!$B$5-M166)/MAX(PARAMETRI!$B$5-10,1),1))+IF(AB166="",3,10*MAX(0,MIN(AB166/0.15,1)))+IF(AND(P166&lt;&gt;"",N(P166)&lt;N(Q166)*0.6),-8,0),1))</f>
        <v/>
      </c>
      <c r="AE166" s="13">
        <f>IF(AND(P166="",Q166=""),"DATI MANCANTI",IF(AND(N(P166)&gt;=PARAMETRI!$B$4,N(Q166)&gt;=PARAMETRI!$B$4),"OK","NO"))</f>
        <v/>
      </c>
      <c r="AF166" s="13">
        <f>IF(M166="","N/D",IF(M166&lt;PARAMETRI!$B$6,"OTTIMO",IF(M166&lt;PARAMETRI!$B$5,"OK","NO")))</f>
        <v/>
      </c>
      <c r="AG166" s="13">
        <f>IF(OR(AE166="DATI MANCANTI",AF166="N/D"),"DA COMPLETARE",IF(AND(AE166="OK",AF166="OTTIMO"),"PASSA FORTE",IF(AND(AE166="OK",AF166="OK"),"PASSA","SCARTA")))</f>
        <v/>
      </c>
      <c r="AH166" s="11" t="inlineStr">
        <is>
          <t>2026-10-12</t>
        </is>
      </c>
      <c r="AI166" s="11" t="inlineStr">
        <is>
          <t>yahoo</t>
        </is>
      </c>
      <c r="AJ166" s="23" t="inlineStr"/>
    </row>
    <row r="167">
      <c r="A167" s="10">
        <f>IF(AD167="","",RANK(AD167,AD$2:AD$167))</f>
        <v/>
      </c>
      <c r="B167" s="11" t="inlineStr">
        <is>
          <t>Starbucks</t>
        </is>
      </c>
      <c r="C167" s="12" t="inlineStr">
        <is>
          <t>SBUX</t>
        </is>
      </c>
      <c r="D167" s="11" t="inlineStr">
        <is>
          <t>Ristorazione</t>
        </is>
      </c>
      <c r="E167" s="13" t="inlineStr">
        <is>
          <t>Consumi</t>
        </is>
      </c>
      <c r="F167" s="14" t="n">
        <v>92.01000000000001</v>
      </c>
      <c r="G167" s="15" t="inlineStr">
        <is>
          <t>USD</t>
        </is>
      </c>
      <c r="H167" s="14" t="n">
        <v>82.42255853739508</v>
      </c>
      <c r="I167" s="16" t="n">
        <v>93961.71673263038</v>
      </c>
      <c r="J167" s="16" t="n">
        <v>104891.4</v>
      </c>
      <c r="K167" s="14" t="n">
        <v>1.73</v>
      </c>
      <c r="L167" s="14" t="n">
        <v>3.12519</v>
      </c>
      <c r="M167" s="17">
        <f>IF(OR(F167="",K167="",K167&lt;=0),"",F167/K167)</f>
        <v/>
      </c>
      <c r="N167" s="18" t="n">
        <v>-13.665528</v>
      </c>
      <c r="O167" s="19">
        <f>IF(OR(N167="",M167="",M167&lt;=0),"",N167/M167)</f>
        <v/>
      </c>
      <c r="P167" s="20" t="n"/>
      <c r="Q167" s="20" t="n"/>
      <c r="R167" s="20" t="n"/>
      <c r="S167" s="21" t="n">
        <v>0</v>
      </c>
      <c r="T167" s="20" t="n"/>
      <c r="U167" s="20" t="n"/>
      <c r="V167" s="20" t="n"/>
      <c r="W167" s="20" t="n"/>
      <c r="X167" s="20" t="n"/>
      <c r="Y167" s="14" t="n">
        <v>2.52</v>
      </c>
      <c r="Z167" s="19">
        <f>IF(OR(Y167="",F167="",F167=0),"",Y167/F167)</f>
        <v/>
      </c>
      <c r="AA167" s="22" t="n"/>
      <c r="AB167" s="20" t="n">
        <v>-0.014</v>
      </c>
      <c r="AC167" s="20" t="n">
        <v>0.05332343671001818</v>
      </c>
      <c r="AD167" s="17">
        <f>IF(OR(Q167="",M167="",M167&lt;=0),"",ROUND(40*MAX(0,MIN(N(Q167)/0.3,1))+IF(OR(R167="",N(Q167)&lt;=0),10,20*MAX(0,1-MIN(R167/Q167,1)))+30*MAX(0,MIN((PARAMETRI!$B$5-M167)/MAX(PARAMETRI!$B$5-10,1),1))+IF(AB167="",3,10*MAX(0,MIN(AB167/0.15,1)))+IF(AND(P167&lt;&gt;"",N(P167)&lt;N(Q167)*0.6),-8,0),1))</f>
        <v/>
      </c>
      <c r="AE167" s="13">
        <f>IF(AND(P167="",Q167=""),"DATI MANCANTI",IF(AND(N(P167)&gt;=PARAMETRI!$B$4,N(Q167)&gt;=PARAMETRI!$B$4),"OK","NO"))</f>
        <v/>
      </c>
      <c r="AF167" s="13">
        <f>IF(M167="","N/D",IF(M167&lt;PARAMETRI!$B$6,"OTTIMO",IF(M167&lt;PARAMETRI!$B$5,"OK","NO")))</f>
        <v/>
      </c>
      <c r="AG167" s="13">
        <f>IF(OR(AE167="DATI MANCANTI",AF167="N/D"),"DA COMPLETARE",IF(AND(AE167="OK",AF167="OTTIMO"),"PASSA FORTE",IF(AND(AE167="OK",AF167="OK"),"PASSA","SCARTA")))</f>
        <v/>
      </c>
      <c r="AH167" s="11" t="inlineStr">
        <is>
          <t>2026-10-12</t>
        </is>
      </c>
      <c r="AI167" s="11" t="inlineStr">
        <is>
          <t>yahoo</t>
        </is>
      </c>
      <c r="AJ167" s="23" t="inlineStr"/>
    </row>
  </sheetData>
  <autoFilter ref="A1:AJ167"/>
  <conditionalFormatting sqref="AG2:AG167">
    <cfRule type="cellIs" priority="1" operator="equal" dxfId="0">
      <formula>"PASSA FORTE"</formula>
    </cfRule>
    <cfRule type="cellIs" priority="2" operator="equal" dxfId="1">
      <formula>"PASSA"</formula>
    </cfRule>
    <cfRule type="cellIs" priority="3" operator="equal" dxfId="2">
      <formula>"SCARTA"</formula>
    </cfRule>
    <cfRule type="cellIs" priority="4" operator="equal" dxfId="3">
      <formula>"DA COMPLETARE"</formula>
    </cfRule>
  </conditionalFormatting>
  <conditionalFormatting sqref="P2:P167">
    <cfRule type="dataBar" priority="5">
      <dataBar>
        <cfvo type="num" val="0"/>
        <cfvo type="num" val="0.4"/>
        <color rgb="00638EC6"/>
      </dataBar>
    </cfRule>
  </conditionalFormatting>
  <conditionalFormatting sqref="Q2:Q167">
    <cfRule type="dataBar" priority="6">
      <dataBar>
        <cfvo type="num" val="0"/>
        <cfvo type="num" val="0.4"/>
        <color rgb="00638EC6"/>
      </dataBar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58" customWidth="1" min="3" max="3"/>
  </cols>
  <sheetData>
    <row r="1">
      <c r="A1" s="1" t="inlineStr">
        <is>
          <t>PARAMETRI DI SCREENING</t>
        </is>
      </c>
    </row>
    <row r="3">
      <c r="A3" s="3" t="inlineStr">
        <is>
          <t>Parametro</t>
        </is>
      </c>
      <c r="B3" s="3" t="inlineStr">
        <is>
          <t>Valore</t>
        </is>
      </c>
      <c r="C3" s="3" t="inlineStr">
        <is>
          <t>A cosa serve</t>
        </is>
      </c>
    </row>
    <row r="4">
      <c r="A4" s="4" t="inlineStr">
        <is>
          <t>ROE minimo (1 anno e 5 anni)</t>
        </is>
      </c>
      <c r="B4" s="24" t="n">
        <v>0.15</v>
      </c>
      <c r="C4" s="2" t="inlineStr">
        <is>
          <t>Il titolo deve superarla su entrambi gli orizzonti</t>
        </is>
      </c>
    </row>
    <row r="5">
      <c r="A5" s="4" t="inlineStr">
        <is>
          <t>P/E massimo</t>
        </is>
      </c>
      <c r="B5" s="25" t="n">
        <v>20</v>
      </c>
      <c r="C5" s="2" t="inlineStr">
        <is>
          <t>Sopra questa soglia il titolo viene scartato</t>
        </is>
      </c>
    </row>
    <row r="6">
      <c r="A6" s="4" t="inlineStr">
        <is>
          <t>P/E soglia ottimo</t>
        </is>
      </c>
      <c r="B6" s="25" t="n">
        <v>15</v>
      </c>
      <c r="C6" s="2" t="inlineStr">
        <is>
          <t>Sotto questa soglia il giudizio si rafforza</t>
        </is>
      </c>
    </row>
    <row r="9">
      <c r="A9" s="2" t="inlineStr">
        <is>
          <t>Cambia le celle gialle: i giudizi di tutti i fogli si ricalcolano da soli.</t>
        </is>
      </c>
    </row>
    <row r="11" ht="28" customHeight="1">
      <c r="A11" s="26" t="inlineStr">
        <is>
          <t>Testo blu = dato che si aggiorna.  Testo nero = formula, non toccarla.
TICKER sottolineato = clicca per aprire il grafico su TradingView.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2026-10-12T18:03:02Z</dcterms:created>
  <dcterms:modified xsi:type="dcterms:W3CDTF">2026-10-12T18:03:02Z</dcterms:modified>
</cp:coreProperties>
</file>